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C:\Users\Nobuyuki.Sakurai\Documents\@Traning\制作\テスト\"/>
    </mc:Choice>
  </mc:AlternateContent>
  <xr:revisionPtr revIDLastSave="0" documentId="13_ncr:1_{F3B3023B-B943-46C1-A2EB-FA86B6AC7EE5}" xr6:coauthVersionLast="33" xr6:coauthVersionMax="33" xr10:uidLastSave="{00000000-0000-0000-0000-000000000000}"/>
  <bookViews>
    <workbookView xWindow="32768" yWindow="195" windowWidth="19320" windowHeight="10215" activeTab="2" xr2:uid="{00000000-000D-0000-FFFF-FFFF00000000}"/>
  </bookViews>
  <sheets>
    <sheet name="Generator" sheetId="5" r:id="rId1"/>
    <sheet name="テスト観点" sheetId="21" r:id="rId2"/>
    <sheet name="B004" sheetId="2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CHK01">#REF!</definedName>
    <definedName name="___CHK02">#REF!</definedName>
    <definedName name="___CHK03">#REF!</definedName>
    <definedName name="___CHK04">#REF!</definedName>
    <definedName name="___CHK05">#REF!</definedName>
    <definedName name="__CHK01">#REF!</definedName>
    <definedName name="__CHK02">#REF!</definedName>
    <definedName name="__CHK03">#REF!</definedName>
    <definedName name="__CHK04">#REF!</definedName>
    <definedName name="__CHK05" localSheetId="2">#REF!</definedName>
    <definedName name="__CHK05">#REF!</definedName>
    <definedName name="_CHK01" localSheetId="2">#REF!</definedName>
    <definedName name="_CHK01">#REF!</definedName>
    <definedName name="_CHK02" localSheetId="2">#REF!</definedName>
    <definedName name="_CHK02">#REF!</definedName>
    <definedName name="_CHK03" localSheetId="2">#REF!</definedName>
    <definedName name="_CHK03">#REF!</definedName>
    <definedName name="_CHK04" localSheetId="2">#REF!</definedName>
    <definedName name="_CHK04">#REF!</definedName>
    <definedName name="_CHK05" localSheetId="2">#REF!</definedName>
    <definedName name="_CHK05">#REF!</definedName>
    <definedName name="_D">#REF!</definedName>
    <definedName name="_E">[1]Sheet1!$EZ$2:$EZ$2</definedName>
    <definedName name="_Fill" hidden="1">#REF!</definedName>
    <definedName name="_xlnm._FilterDatabase" localSheetId="2" hidden="1">'B004'!$A$7:$GC$456</definedName>
    <definedName name="_xlnm._FilterDatabase" hidden="1">#REF!</definedName>
    <definedName name="_Key1" hidden="1">#REF!</definedName>
    <definedName name="_Order1" hidden="1">255</definedName>
    <definedName name="_Regression_X" hidden="1">#REF!</definedName>
    <definedName name="_Sort" hidden="1">#REF!</definedName>
    <definedName name="aaaaa">#REF!</definedName>
    <definedName name="ADSL">#REF!</definedName>
    <definedName name="ADSL数">#REF!</definedName>
    <definedName name="CATEGORY">#REF!</definedName>
    <definedName name="caza">#REF!</definedName>
    <definedName name="ｃｃｃ">[2]!Sort確認用</definedName>
    <definedName name="CHECK">[3]会社ﾏｽﾀ!$J$8</definedName>
    <definedName name="CreateSQL">[4]!CreateSQL</definedName>
    <definedName name="dbcount">#REF!</definedName>
    <definedName name="DU">#REF!</definedName>
    <definedName name="DU数">#REF!</definedName>
    <definedName name="ERRMSG">[5]errMsg一覧!$C$7:$C$14</definedName>
    <definedName name="FromConcordeLS" localSheetId="2">#REF!,#REF!,#REF!,#REF!,#REF!</definedName>
    <definedName name="FromConcordeLS">#REF!,#REF!,#REF!,#REF!,#REF!</definedName>
    <definedName name="IDX_NEXT">[3]会社ﾏｽﾀ!$N$23</definedName>
    <definedName name="IDX_PctFree">[3]会社ﾏｽﾀ!$N$21</definedName>
    <definedName name="IDX_SPACE">[3]会社ﾏｽﾀ!$N$20</definedName>
    <definedName name="IDX_Storage">[3]会社ﾏｽﾀ!$N$22</definedName>
    <definedName name="IFGS" localSheetId="2">#REF!</definedName>
    <definedName name="IFGS">#REF!</definedName>
    <definedName name="IFLS">#REF!</definedName>
    <definedName name="IFMALGS">#REF!</definedName>
    <definedName name="IFMALLS">#REF!</definedName>
    <definedName name="IFVPN">#REF!</definedName>
    <definedName name="in_ＡＤＳＬ利用">#REF!</definedName>
    <definedName name="in_PBﾀﾞｲﾔﾙｲﾝ・ﾓﾃﾞﾑﾀﾞｲﾔﾙｲﾝ">#REF!</definedName>
    <definedName name="in_ダイヤルイン桁数指定">#REF!</definedName>
    <definedName name="in_回線種別">#REF!</definedName>
    <definedName name="in_実回線・追加番号">#REF!</definedName>
    <definedName name="in_接続方式">#REF!</definedName>
    <definedName name="in_代表グループ">#REF!</definedName>
    <definedName name="in_代表ハント方式">#REF!</definedName>
    <definedName name="in_代表順位">#REF!</definedName>
    <definedName name="in_発着信専用">#REF!</definedName>
    <definedName name="in_利用有無">#REF!</definedName>
    <definedName name="INDEX">[3]会社ﾏｽﾀ!$H$8</definedName>
    <definedName name="Index_Length">[3]会社ﾏｽﾀ!$N$19</definedName>
    <definedName name="INITVALUE">[3]会社ﾏｽﾀ!$I$8</definedName>
    <definedName name="ITEM">[3]会社ﾏｽﾀ!$C$8</definedName>
    <definedName name="k" hidden="1">#REF!</definedName>
    <definedName name="KEITAI">#REF!</definedName>
    <definedName name="KETA">[3]会社ﾏｽﾀ!$E$8</definedName>
    <definedName name="KEY">[3]会社ﾏｽﾀ!$F$8</definedName>
    <definedName name="KOUTEI">#REF!</definedName>
    <definedName name="LANG">#REF!</definedName>
    <definedName name="Layout_Exp_Set" localSheetId="2">'B004'!Layout_Exp_Set</definedName>
    <definedName name="Layout_Exp_Set">[0]!Layout_Exp_Set</definedName>
    <definedName name="Layout_Exp_Set2" localSheetId="2">'B004'!Layout_Exp_Set2</definedName>
    <definedName name="Layout_Exp_Set2">[0]!Layout_Exp_Set2</definedName>
    <definedName name="Layout_Exp_Set3" localSheetId="2">'B004'!Layout_Exp_Set3</definedName>
    <definedName name="Layout_Exp_Set3">[0]!Layout_Exp_Set3</definedName>
    <definedName name="LIST_ACTION">#REF!</definedName>
    <definedName name="LIST_EVENT">#REF!</definedName>
    <definedName name="LIST_FORM">#REF!</definedName>
    <definedName name="LIST_IO">#REF!</definedName>
    <definedName name="LIST_JPTBL">#REF!</definedName>
    <definedName name="LIST_OBJ">#REF!</definedName>
    <definedName name="LIST_SIZE">#REF!</definedName>
    <definedName name="LIST_TABLE">#REF!</definedName>
    <definedName name="LIST_VAL">#REF!</definedName>
    <definedName name="LIST_WIN">#REF!</definedName>
    <definedName name="maica">#REF!</definedName>
    <definedName name="NewBook☆">[2]!NewBook☆</definedName>
    <definedName name="NewBook★">[2]!NewBook★</definedName>
    <definedName name="NOTNULL">[3]会社ﾏｽﾀ!$G$8</definedName>
    <definedName name="OBJ003_SYSCONTROL">#REF!</definedName>
    <definedName name="P_ALL">#REF!</definedName>
    <definedName name="P_LOG">#REF!</definedName>
    <definedName name="ｐｒｉｎｔ">#REF!</definedName>
    <definedName name="_xlnm.Print_Area" localSheetId="2">'B004'!$A$1:$GC$456</definedName>
    <definedName name="_xlnm.Print_Area" localSheetId="1">テスト観点!$A$1:$K$70</definedName>
    <definedName name="_xlnm.Print_Area">#REF!</definedName>
    <definedName name="Print_Title">#REF!</definedName>
    <definedName name="_xlnm.Print_Titles" localSheetId="2">'B004'!$6:$7</definedName>
    <definedName name="_xlnm.Print_Titles">#N/A</definedName>
    <definedName name="Print_Titles_MI">#REF!</definedName>
    <definedName name="Q">#REF!</definedName>
    <definedName name="ｑｑｑ">[2]!Sort完了予定</definedName>
    <definedName name="R_LOG">#REF!</definedName>
    <definedName name="Rec_Length">[3]会社ﾏｽﾀ!$N$9</definedName>
    <definedName name="Return_Menu" localSheetId="2">'B004'!Return_Menu</definedName>
    <definedName name="Return_Menu">[0]!Return_Menu</definedName>
    <definedName name="Return_Menu2" localSheetId="2">'B004'!Return_Menu2</definedName>
    <definedName name="Return_Menu2">[0]!Return_Menu2</definedName>
    <definedName name="SortNewBook">[2]!SortNewBook</definedName>
    <definedName name="SortモジュｰルID">[2]!SortモジュｰルID</definedName>
    <definedName name="Sort確認用">[2]!Sort確認用</definedName>
    <definedName name="Sort完了予定">[2]!Sort完了予定</definedName>
    <definedName name="Sort管理No">[2]!Sort管理No</definedName>
    <definedName name="SPUSER_SERVER_SHUBETSU">#REF!</definedName>
    <definedName name="TBL_NEXT">[3]会社ﾏｽﾀ!$N$15</definedName>
    <definedName name="TBL_PctFree">[3]会社ﾏｽﾀ!$N$12</definedName>
    <definedName name="TBL_PctUsed">[3]会社ﾏｽﾀ!$N$13</definedName>
    <definedName name="TBL_SPACE">[3]会社ﾏｽﾀ!$N$11</definedName>
    <definedName name="TBL_Storage">[3]会社ﾏｽﾀ!$N$14</definedName>
    <definedName name="TEKIYOU">#REF!</definedName>
    <definedName name="Ｔｐ名称">[6]Ｔｐ資料!$A$1:$A$120</definedName>
    <definedName name="TYPE">[3]会社ﾏｽﾀ!$D$8</definedName>
    <definedName name="UserID">[7]data!#REF!</definedName>
    <definedName name="ああ">#REF!</definedName>
    <definedName name="さああ">[3]会社ﾏｽﾀ!$J$8</definedName>
    <definedName name="テーブル物理名称">OFFSET([8]テーブル定義!$A$1,0,0,1,COUNTA([8]テーブル定義!$A$1:$IV$1))</definedName>
    <definedName name="ね表紙" hidden="1">#REF!</definedName>
    <definedName name="バリデータ">[5]選択!$A$2:$A$6</definedName>
    <definedName name="プロジェクト名">[9]表紙!$N$2</definedName>
    <definedName name="ﾛｰｶﾙ得意先マスタ">#REF!</definedName>
    <definedName name="ﾛｰｶﾙ得意先商品マスタ">#REF!</definedName>
    <definedName name="科目コード表抽出クエリ">#REF!</definedName>
    <definedName name="回線">#REF!</definedName>
    <definedName name="回線数">#REF!</definedName>
    <definedName name="勘定科目①">[10]Sheet1!$F$4:$F$6</definedName>
    <definedName name="関連表" hidden="1">#REF!</definedName>
    <definedName name="項番１" localSheetId="2">#REF!</definedName>
    <definedName name="項番１">#REF!</definedName>
    <definedName name="項目☆">[2]!項目☆</definedName>
    <definedName name="項目ＤＢ">[11]項目一覧!$A$3:$D$2998</definedName>
    <definedName name="項目一覧">[12]項目一覧!$C$7:$C$28</definedName>
    <definedName name="作成者">[9]表紙!$N$7</definedName>
    <definedName name="作成日">[9]表紙!$N$9</definedName>
    <definedName name="集計" localSheetId="2">[2]!集計</definedName>
    <definedName name="集計">#REF!</definedName>
    <definedName name="重複">[8]凡例!$C$8:$C$9</definedName>
    <definedName name="条件式">#REF!</definedName>
    <definedName name="申込数">#REF!</definedName>
    <definedName name="請求ＤＢ">#REF!</definedName>
    <definedName name="電話帳数">#REF!</definedName>
    <definedName name="版数">[9]表紙!$N$6</definedName>
    <definedName name="品目コード表抽出クエリ_GATE">#REF!</definedName>
    <definedName name="分析ﾃﾞｰﾀ">[13]データ!$A$1:$B$60</definedName>
    <definedName name="文書名">[9]表紙!$N$4</definedName>
    <definedName name="料金科目TBL">[14]料金科目テーブル!$F$1:$N$190</definedName>
  </definedNames>
  <calcPr calcId="179017"/>
</workbook>
</file>

<file path=xl/calcChain.xml><?xml version="1.0" encoding="utf-8"?>
<calcChain xmlns="http://schemas.openxmlformats.org/spreadsheetml/2006/main">
  <c r="B62" i="21" l="1"/>
  <c r="AI456" i="23"/>
  <c r="AF456" i="23"/>
  <c r="AG456" i="23" s="1"/>
  <c r="AI455" i="23"/>
  <c r="AF455" i="23"/>
  <c r="AG455" i="23" s="1"/>
  <c r="AI454" i="23"/>
  <c r="AI453" i="23"/>
  <c r="AI448" i="23"/>
  <c r="AI447" i="23"/>
  <c r="AI446" i="23"/>
  <c r="AI445" i="23"/>
  <c r="AI438" i="23"/>
  <c r="AI437" i="23"/>
  <c r="AF436" i="23"/>
  <c r="AG436" i="23" s="1"/>
  <c r="AI435" i="23"/>
  <c r="AF435" i="23"/>
  <c r="AG435" i="23" s="1"/>
  <c r="AI431" i="23"/>
  <c r="AI429" i="23"/>
  <c r="AI428" i="23"/>
  <c r="AF427" i="23"/>
  <c r="AG427" i="23" s="1"/>
  <c r="AI426" i="23"/>
  <c r="AF426" i="23"/>
  <c r="AG426" i="23"/>
  <c r="AI425" i="23"/>
  <c r="AF425" i="23"/>
  <c r="AG425" i="23" s="1"/>
  <c r="AI424" i="23"/>
  <c r="AI423" i="23"/>
  <c r="AI418" i="23"/>
  <c r="AI417" i="23"/>
  <c r="AI415" i="23"/>
  <c r="AI408" i="23"/>
  <c r="AI407" i="23"/>
  <c r="AF406" i="23"/>
  <c r="AG406" i="23"/>
  <c r="AI405" i="23"/>
  <c r="AF405" i="23"/>
  <c r="AG405" i="23" s="1"/>
  <c r="AI401" i="23"/>
  <c r="AI399" i="23"/>
  <c r="AI398" i="23"/>
  <c r="AF397" i="23"/>
  <c r="AG397" i="23" s="1"/>
  <c r="AI396" i="23"/>
  <c r="AF396" i="23"/>
  <c r="AG396" i="23" s="1"/>
  <c r="AI395" i="23"/>
  <c r="AF395" i="23"/>
  <c r="AG395" i="23"/>
  <c r="AI394" i="23"/>
  <c r="AI393" i="23"/>
  <c r="AI388" i="23"/>
  <c r="AI387" i="23"/>
  <c r="AI385" i="23"/>
  <c r="AI378" i="23"/>
  <c r="AI377" i="23"/>
  <c r="AF376" i="23"/>
  <c r="AG376" i="23" s="1"/>
  <c r="AI375" i="23"/>
  <c r="AF375" i="23"/>
  <c r="AG375" i="23"/>
  <c r="AI371" i="23"/>
  <c r="AI369" i="23"/>
  <c r="AI368" i="23"/>
  <c r="AF367" i="23"/>
  <c r="AG367" i="23" s="1"/>
  <c r="AI366" i="23"/>
  <c r="AF366" i="23"/>
  <c r="AG366" i="23" s="1"/>
  <c r="AI365" i="23"/>
  <c r="AF365" i="23"/>
  <c r="AG365" i="23" s="1"/>
  <c r="AI364" i="23"/>
  <c r="AI363" i="23"/>
  <c r="AI358" i="23"/>
  <c r="AI357" i="23"/>
  <c r="AI355" i="23"/>
  <c r="AI348" i="23"/>
  <c r="AI347" i="23"/>
  <c r="AF346" i="23"/>
  <c r="AG346" i="23" s="1"/>
  <c r="AI345" i="23"/>
  <c r="AF345" i="23"/>
  <c r="AG345" i="23" s="1"/>
  <c r="AI341" i="23"/>
  <c r="AI339" i="23"/>
  <c r="AI338" i="23"/>
  <c r="AF337" i="23"/>
  <c r="AG337" i="23"/>
  <c r="AI336" i="23"/>
  <c r="AF336" i="23"/>
  <c r="AG336" i="23" s="1"/>
  <c r="AI335" i="23"/>
  <c r="AF335" i="23"/>
  <c r="AG335" i="23" s="1"/>
  <c r="AI334" i="23"/>
  <c r="AI333" i="23"/>
  <c r="AI328" i="23"/>
  <c r="AI327" i="23"/>
  <c r="AI325" i="23"/>
  <c r="AI318" i="23"/>
  <c r="AI317" i="23"/>
  <c r="AF316" i="23"/>
  <c r="AG316" i="23" s="1"/>
  <c r="AI315" i="23"/>
  <c r="AF315" i="23"/>
  <c r="AG315" i="23"/>
  <c r="AI311" i="23"/>
  <c r="AI309" i="23"/>
  <c r="AI308" i="23"/>
  <c r="AF307" i="23"/>
  <c r="AG307" i="23" s="1"/>
  <c r="AI306" i="23"/>
  <c r="AF306" i="23"/>
  <c r="AG306" i="23"/>
  <c r="AI305" i="23"/>
  <c r="AF305" i="23"/>
  <c r="AG305" i="23" s="1"/>
  <c r="AI304" i="23"/>
  <c r="AI303" i="23"/>
  <c r="AI298" i="23"/>
  <c r="AI297" i="23"/>
  <c r="AI295" i="23"/>
  <c r="AI288" i="23"/>
  <c r="AI287" i="23"/>
  <c r="AF286" i="23"/>
  <c r="AG286" i="23"/>
  <c r="AI285" i="23"/>
  <c r="AF285" i="23"/>
  <c r="AG285" i="23" s="1"/>
  <c r="AI281" i="23"/>
  <c r="AI279" i="23"/>
  <c r="AI278" i="23"/>
  <c r="AF277" i="23"/>
  <c r="AG277" i="23"/>
  <c r="AI276" i="23"/>
  <c r="AF276" i="23"/>
  <c r="AG276" i="23" s="1"/>
  <c r="AI275" i="23"/>
  <c r="AF275" i="23"/>
  <c r="AG275" i="23"/>
  <c r="AI274" i="23"/>
  <c r="AI273" i="23"/>
  <c r="AI268" i="23"/>
  <c r="AI267" i="23"/>
  <c r="AI265" i="23"/>
  <c r="AI258" i="23"/>
  <c r="AI257" i="23"/>
  <c r="AF256" i="23"/>
  <c r="AG256" i="23" s="1"/>
  <c r="AI255" i="23"/>
  <c r="AF255" i="23"/>
  <c r="AG255" i="23"/>
  <c r="AI251" i="23"/>
  <c r="AI249" i="23"/>
  <c r="AI248" i="23"/>
  <c r="AF247" i="23"/>
  <c r="AG247" i="23" s="1"/>
  <c r="AI246" i="23"/>
  <c r="AF246" i="23"/>
  <c r="AG246" i="23"/>
  <c r="AI245" i="23"/>
  <c r="AF245" i="23"/>
  <c r="AG245" i="23" s="1"/>
  <c r="AI244" i="23"/>
  <c r="AI243" i="23"/>
  <c r="AI238" i="23"/>
  <c r="AI237" i="23"/>
  <c r="AI235" i="23"/>
  <c r="AI228" i="23"/>
  <c r="AI227" i="23"/>
  <c r="AF226" i="23"/>
  <c r="AG226" i="23"/>
  <c r="AI225" i="23"/>
  <c r="AF225" i="23"/>
  <c r="AG225" i="23" s="1"/>
  <c r="AI221" i="23"/>
  <c r="AI219" i="23"/>
  <c r="AI218" i="23"/>
  <c r="AF217" i="23"/>
  <c r="AG217" i="23"/>
  <c r="AI216" i="23"/>
  <c r="AF216" i="23"/>
  <c r="AG216" i="23" s="1"/>
  <c r="AI215" i="23"/>
  <c r="AF215" i="23"/>
  <c r="AG215" i="23"/>
  <c r="AI214" i="23"/>
  <c r="AI213" i="23"/>
  <c r="AI208" i="23"/>
  <c r="AI207" i="23"/>
  <c r="AI205" i="23"/>
  <c r="AI198" i="23"/>
  <c r="AI197" i="23"/>
  <c r="AF196" i="23"/>
  <c r="AG196" i="23" s="1"/>
  <c r="AI195" i="23"/>
  <c r="AF195" i="23"/>
  <c r="AG195" i="23"/>
  <c r="AI191" i="23"/>
  <c r="AI189" i="23"/>
  <c r="AI188" i="23"/>
  <c r="AF187" i="23"/>
  <c r="AG187" i="23" s="1"/>
  <c r="AI186" i="23"/>
  <c r="AF186" i="23"/>
  <c r="AG186" i="23"/>
  <c r="AI185" i="23"/>
  <c r="AG185" i="23"/>
  <c r="AF185" i="23"/>
  <c r="AI184" i="23"/>
  <c r="AI183" i="23"/>
  <c r="AI178" i="23"/>
  <c r="AI177" i="23"/>
  <c r="AI175" i="23"/>
  <c r="AI168" i="23"/>
  <c r="AI167" i="23"/>
  <c r="AF166" i="23"/>
  <c r="AG166" i="23"/>
  <c r="AI165" i="23"/>
  <c r="AG165" i="23"/>
  <c r="AF165" i="23"/>
  <c r="AI161" i="23"/>
  <c r="AI159" i="23"/>
  <c r="AI158" i="23"/>
  <c r="AF157" i="23"/>
  <c r="AG157" i="23"/>
  <c r="AI156" i="23"/>
  <c r="AF156" i="23"/>
  <c r="AG156" i="23" s="1"/>
  <c r="AI155" i="23"/>
  <c r="AF155" i="23"/>
  <c r="AG155" i="23"/>
  <c r="AI154" i="23"/>
  <c r="AI153" i="23"/>
  <c r="AI148" i="23"/>
  <c r="AI147" i="23"/>
  <c r="AI145" i="23"/>
  <c r="AI138" i="23"/>
  <c r="AI137" i="23"/>
  <c r="AF136" i="23"/>
  <c r="AG136" i="23" s="1"/>
  <c r="AI135" i="23"/>
  <c r="AF135" i="23"/>
  <c r="AG135" i="23"/>
  <c r="AI131" i="23"/>
  <c r="AI129" i="23"/>
  <c r="AI128" i="23"/>
  <c r="AG127" i="23"/>
  <c r="AF127" i="23"/>
  <c r="AI126" i="23"/>
  <c r="AF126" i="23"/>
  <c r="AG126" i="23"/>
  <c r="AI125" i="23"/>
  <c r="AG125" i="23"/>
  <c r="AF125" i="23"/>
  <c r="AI124" i="23"/>
  <c r="AI123" i="23"/>
  <c r="AI118" i="23"/>
  <c r="AI117" i="23"/>
  <c r="AI116" i="23"/>
  <c r="AI114" i="23"/>
  <c r="AI111" i="23"/>
  <c r="AI108" i="23"/>
  <c r="AI107" i="23"/>
  <c r="AI106" i="23"/>
  <c r="AG106" i="23"/>
  <c r="AF106" i="23"/>
  <c r="AI105" i="23"/>
  <c r="AF105" i="23"/>
  <c r="AG105" i="23"/>
  <c r="AI104" i="23"/>
  <c r="AI103" i="23"/>
  <c r="AI101" i="23"/>
  <c r="AI99" i="23"/>
  <c r="AI98" i="23"/>
  <c r="AF97" i="23"/>
  <c r="AG97" i="23" s="1"/>
  <c r="AI96" i="23"/>
  <c r="AF96" i="23"/>
  <c r="AG96" i="23"/>
  <c r="AI95" i="23"/>
  <c r="AF95" i="23"/>
  <c r="AG95" i="23" s="1"/>
  <c r="AI94" i="23"/>
  <c r="AI93" i="23"/>
  <c r="AI88" i="23"/>
  <c r="AI87" i="23"/>
  <c r="AI86" i="23"/>
  <c r="AI85" i="23"/>
  <c r="AI84" i="23"/>
  <c r="AI81" i="23"/>
  <c r="AI79" i="23"/>
  <c r="AI78" i="23"/>
  <c r="AI77" i="23"/>
  <c r="AI76" i="23"/>
  <c r="AG76" i="23"/>
  <c r="AF76" i="23"/>
  <c r="AI75" i="23"/>
  <c r="AF75" i="23"/>
  <c r="AG75" i="23"/>
  <c r="AI74" i="23"/>
  <c r="AI73" i="23"/>
  <c r="AI71" i="23"/>
  <c r="AI69" i="23"/>
  <c r="AF67" i="23"/>
  <c r="AG67" i="23"/>
  <c r="AI66" i="23"/>
  <c r="AF66" i="23"/>
  <c r="AG66" i="23" s="1"/>
  <c r="AI65" i="23"/>
  <c r="AF65" i="23"/>
  <c r="AG65" i="23"/>
  <c r="AI64" i="23"/>
  <c r="AI63" i="23"/>
  <c r="AI58" i="23"/>
  <c r="AI57" i="23"/>
  <c r="AI56" i="23"/>
  <c r="AI55" i="23"/>
  <c r="AI54" i="23"/>
  <c r="AI51" i="23"/>
  <c r="AI49" i="23"/>
  <c r="AI48" i="23"/>
  <c r="AI47" i="23"/>
  <c r="AI46" i="23"/>
  <c r="AF46" i="23"/>
  <c r="AG46" i="23"/>
  <c r="AI45" i="23"/>
  <c r="AF45" i="23"/>
  <c r="AG45" i="23" s="1"/>
  <c r="AI44" i="23"/>
  <c r="AI43" i="23"/>
  <c r="AI41" i="23"/>
  <c r="AI39" i="23"/>
  <c r="AI38" i="23"/>
  <c r="AF37" i="23"/>
  <c r="AG37" i="23"/>
  <c r="AI36" i="23"/>
  <c r="AF36" i="23"/>
  <c r="AG36" i="23" s="1"/>
  <c r="AI35" i="23"/>
  <c r="AF35" i="23"/>
  <c r="AG35" i="23"/>
  <c r="AI34" i="23"/>
  <c r="AI33" i="23"/>
  <c r="AH32" i="23"/>
  <c r="AH31" i="23"/>
  <c r="AH30" i="23"/>
  <c r="AH29" i="23"/>
  <c r="AI29" i="23" s="1"/>
  <c r="AH28" i="23"/>
  <c r="AI28" i="23" s="1"/>
  <c r="AH27" i="23"/>
  <c r="AH26" i="23"/>
  <c r="AI26" i="23" s="1"/>
  <c r="AH25" i="23"/>
  <c r="AI25" i="23"/>
  <c r="AI24" i="23"/>
  <c r="AI23" i="23"/>
  <c r="AF23" i="23"/>
  <c r="AG23" i="23" s="1"/>
  <c r="AI22" i="23"/>
  <c r="AF22" i="23"/>
  <c r="AG22" i="23" s="1"/>
  <c r="AI21" i="23"/>
  <c r="AF21" i="23"/>
  <c r="AG21" i="23"/>
  <c r="AH20" i="23"/>
  <c r="AI20" i="23" s="1"/>
  <c r="AH19" i="23"/>
  <c r="AI19" i="23"/>
  <c r="AH18" i="23"/>
  <c r="AI17" i="23"/>
  <c r="AH17" i="23"/>
  <c r="AF17" i="23"/>
  <c r="AG17" i="23" s="1"/>
  <c r="AH16" i="23"/>
  <c r="AH15" i="23"/>
  <c r="AF15" i="23"/>
  <c r="AG15" i="23" s="1"/>
  <c r="AH14" i="23"/>
  <c r="AI14" i="23" s="1"/>
  <c r="AH13" i="23"/>
  <c r="AI13" i="23" s="1"/>
  <c r="AH12" i="23"/>
  <c r="AI12" i="23" s="1"/>
  <c r="AH11" i="23"/>
  <c r="AI11" i="23" s="1"/>
  <c r="AG11" i="23"/>
  <c r="AI10" i="23"/>
  <c r="AF10" i="23"/>
  <c r="AG10" i="23" s="1"/>
  <c r="AI9" i="23"/>
  <c r="AF9" i="23"/>
  <c r="AG9" i="23"/>
  <c r="AI8" i="23"/>
  <c r="AG8" i="23"/>
  <c r="GC456" i="23"/>
  <c r="FW456" i="23"/>
  <c r="FQ456" i="23"/>
  <c r="FK456" i="23"/>
  <c r="FE456" i="23"/>
  <c r="EY456" i="23"/>
  <c r="ES456" i="23"/>
  <c r="EM456" i="23"/>
  <c r="EG456" i="23"/>
  <c r="EA456" i="23"/>
  <c r="DU456" i="23"/>
  <c r="DO456" i="23"/>
  <c r="DI456" i="23"/>
  <c r="DC456" i="23"/>
  <c r="CW456" i="23"/>
  <c r="CQ456" i="23"/>
  <c r="CK456" i="23"/>
  <c r="CE456" i="23"/>
  <c r="BY456" i="23"/>
  <c r="BS456" i="23"/>
  <c r="BM456" i="23"/>
  <c r="BG456" i="23"/>
  <c r="BA456" i="23"/>
  <c r="AU456" i="23"/>
  <c r="AO456" i="23"/>
  <c r="GC455" i="23"/>
  <c r="FW455" i="23"/>
  <c r="FQ455" i="23"/>
  <c r="FK455" i="23"/>
  <c r="FE455" i="23"/>
  <c r="EY455" i="23"/>
  <c r="ES455" i="23"/>
  <c r="EM455" i="23"/>
  <c r="EG455" i="23"/>
  <c r="EA455" i="23"/>
  <c r="DU455" i="23"/>
  <c r="DO455" i="23"/>
  <c r="DI455" i="23"/>
  <c r="DC455" i="23"/>
  <c r="CW455" i="23"/>
  <c r="CQ455" i="23"/>
  <c r="CK455" i="23"/>
  <c r="CE455" i="23"/>
  <c r="BY455" i="23"/>
  <c r="BS455" i="23"/>
  <c r="BM455" i="23"/>
  <c r="BG455" i="23"/>
  <c r="BA455" i="23"/>
  <c r="AU455" i="23"/>
  <c r="AO455" i="23"/>
  <c r="GC454" i="23"/>
  <c r="FW454" i="23"/>
  <c r="FQ454" i="23"/>
  <c r="FK454" i="23"/>
  <c r="FE454" i="23"/>
  <c r="EY454" i="23"/>
  <c r="ES454" i="23"/>
  <c r="EM454" i="23"/>
  <c r="EG454" i="23"/>
  <c r="EA454" i="23"/>
  <c r="DU454" i="23"/>
  <c r="DO454" i="23"/>
  <c r="DI454" i="23"/>
  <c r="DC454" i="23"/>
  <c r="CW454" i="23"/>
  <c r="CQ454" i="23"/>
  <c r="CK454" i="23"/>
  <c r="CE454" i="23"/>
  <c r="BY454" i="23"/>
  <c r="BS454" i="23"/>
  <c r="BM454" i="23"/>
  <c r="BG454" i="23"/>
  <c r="BA454" i="23"/>
  <c r="AU454" i="23"/>
  <c r="AO454" i="23"/>
  <c r="GC453" i="23"/>
  <c r="FW453" i="23"/>
  <c r="FQ453" i="23"/>
  <c r="FK453" i="23"/>
  <c r="FE453" i="23"/>
  <c r="EY453" i="23"/>
  <c r="ES453" i="23"/>
  <c r="EM453" i="23"/>
  <c r="EG453" i="23"/>
  <c r="EA453" i="23"/>
  <c r="DU453" i="23"/>
  <c r="DO453" i="23"/>
  <c r="DI453" i="23"/>
  <c r="DC453" i="23"/>
  <c r="CW453" i="23"/>
  <c r="CQ453" i="23"/>
  <c r="CK453" i="23"/>
  <c r="CE453" i="23"/>
  <c r="BY453" i="23"/>
  <c r="BS453" i="23"/>
  <c r="BM453" i="23"/>
  <c r="BG453" i="23"/>
  <c r="BA453" i="23"/>
  <c r="AU453" i="23"/>
  <c r="AO453" i="23"/>
  <c r="GC448" i="23"/>
  <c r="FW448" i="23"/>
  <c r="FQ448" i="23"/>
  <c r="FK448" i="23"/>
  <c r="FE448" i="23"/>
  <c r="EY448" i="23"/>
  <c r="ES448" i="23"/>
  <c r="EM448" i="23"/>
  <c r="EG448" i="23"/>
  <c r="EA448" i="23"/>
  <c r="DU448" i="23"/>
  <c r="DO448" i="23"/>
  <c r="DI448" i="23"/>
  <c r="DC448" i="23"/>
  <c r="CW448" i="23"/>
  <c r="CQ448" i="23"/>
  <c r="CK448" i="23"/>
  <c r="CE448" i="23"/>
  <c r="BY448" i="23"/>
  <c r="BS448" i="23"/>
  <c r="BM448" i="23"/>
  <c r="BG448" i="23"/>
  <c r="BA448" i="23"/>
  <c r="AU448" i="23"/>
  <c r="AO448" i="23"/>
  <c r="GC447" i="23"/>
  <c r="FW447" i="23"/>
  <c r="FQ447" i="23"/>
  <c r="FK447" i="23"/>
  <c r="FE447" i="23"/>
  <c r="EY447" i="23"/>
  <c r="ES447" i="23"/>
  <c r="EM447" i="23"/>
  <c r="EG447" i="23"/>
  <c r="EA447" i="23"/>
  <c r="DU447" i="23"/>
  <c r="DO447" i="23"/>
  <c r="DI447" i="23"/>
  <c r="DC447" i="23"/>
  <c r="CW447" i="23"/>
  <c r="CQ447" i="23"/>
  <c r="CK447" i="23"/>
  <c r="CE447" i="23"/>
  <c r="BY447" i="23"/>
  <c r="BS447" i="23"/>
  <c r="BM447" i="23"/>
  <c r="BG447" i="23"/>
  <c r="BA447" i="23"/>
  <c r="AU447" i="23"/>
  <c r="AO447" i="23"/>
  <c r="GC446" i="23"/>
  <c r="FW446" i="23"/>
  <c r="FQ446" i="23"/>
  <c r="FK446" i="23"/>
  <c r="FE446" i="23"/>
  <c r="EY446" i="23"/>
  <c r="ES446" i="23"/>
  <c r="EM446" i="23"/>
  <c r="EG446" i="23"/>
  <c r="EA446" i="23"/>
  <c r="DU446" i="23"/>
  <c r="DO446" i="23"/>
  <c r="DI446" i="23"/>
  <c r="DC446" i="23"/>
  <c r="CW446" i="23"/>
  <c r="CQ446" i="23"/>
  <c r="CK446" i="23"/>
  <c r="CE446" i="23"/>
  <c r="BY446" i="23"/>
  <c r="BS446" i="23"/>
  <c r="BM446" i="23"/>
  <c r="BG446" i="23"/>
  <c r="BA446" i="23"/>
  <c r="AU446" i="23"/>
  <c r="AO446" i="23"/>
  <c r="GC445" i="23"/>
  <c r="FW445" i="23"/>
  <c r="FQ445" i="23"/>
  <c r="FK445" i="23"/>
  <c r="FE445" i="23"/>
  <c r="EY445" i="23"/>
  <c r="ES445" i="23"/>
  <c r="EM445" i="23"/>
  <c r="EG445" i="23"/>
  <c r="EA445" i="23"/>
  <c r="DU445" i="23"/>
  <c r="DO445" i="23"/>
  <c r="DI445" i="23"/>
  <c r="DC445" i="23"/>
  <c r="CW445" i="23"/>
  <c r="CQ445" i="23"/>
  <c r="CK445" i="23"/>
  <c r="CE445" i="23"/>
  <c r="BY445" i="23"/>
  <c r="BS445" i="23"/>
  <c r="BM445" i="23"/>
  <c r="BG445" i="23"/>
  <c r="BA445" i="23"/>
  <c r="AU445" i="23"/>
  <c r="AO445" i="23"/>
  <c r="GC438" i="23"/>
  <c r="FW438" i="23"/>
  <c r="FQ438" i="23"/>
  <c r="FK438" i="23"/>
  <c r="FE438" i="23"/>
  <c r="EY438" i="23"/>
  <c r="ES438" i="23"/>
  <c r="EM438" i="23"/>
  <c r="EG438" i="23"/>
  <c r="EA438" i="23"/>
  <c r="DU438" i="23"/>
  <c r="DO438" i="23"/>
  <c r="DI438" i="23"/>
  <c r="DC438" i="23"/>
  <c r="CW438" i="23"/>
  <c r="CQ438" i="23"/>
  <c r="CK438" i="23"/>
  <c r="CE438" i="23"/>
  <c r="BY438" i="23"/>
  <c r="BS438" i="23"/>
  <c r="BM438" i="23"/>
  <c r="BG438" i="23"/>
  <c r="BA438" i="23"/>
  <c r="AU438" i="23"/>
  <c r="AO438" i="23"/>
  <c r="GC437" i="23"/>
  <c r="FW437" i="23"/>
  <c r="FQ437" i="23"/>
  <c r="FK437" i="23"/>
  <c r="FE437" i="23"/>
  <c r="EY437" i="23"/>
  <c r="ES437" i="23"/>
  <c r="EM437" i="23"/>
  <c r="EG437" i="23"/>
  <c r="EA437" i="23"/>
  <c r="DU437" i="23"/>
  <c r="DO437" i="23"/>
  <c r="DI437" i="23"/>
  <c r="DC437" i="23"/>
  <c r="CW437" i="23"/>
  <c r="CQ437" i="23"/>
  <c r="CK437" i="23"/>
  <c r="CE437" i="23"/>
  <c r="BY437" i="23"/>
  <c r="BS437" i="23"/>
  <c r="BM437" i="23"/>
  <c r="BG437" i="23"/>
  <c r="BA437" i="23"/>
  <c r="AU437" i="23"/>
  <c r="AO437" i="23"/>
  <c r="GC435" i="23"/>
  <c r="FW435" i="23"/>
  <c r="FQ435" i="23"/>
  <c r="FK435" i="23"/>
  <c r="FE435" i="23"/>
  <c r="EY435" i="23"/>
  <c r="ES435" i="23"/>
  <c r="EM435" i="23"/>
  <c r="EG435" i="23"/>
  <c r="EA435" i="23"/>
  <c r="DU435" i="23"/>
  <c r="DO435" i="23"/>
  <c r="DI435" i="23"/>
  <c r="DC435" i="23"/>
  <c r="CW435" i="23"/>
  <c r="CQ435" i="23"/>
  <c r="CK435" i="23"/>
  <c r="CE435" i="23"/>
  <c r="BY435" i="23"/>
  <c r="BS435" i="23"/>
  <c r="BM435" i="23"/>
  <c r="BG435" i="23"/>
  <c r="BA435" i="23"/>
  <c r="AU435" i="23"/>
  <c r="AO435" i="23"/>
  <c r="GC431" i="23"/>
  <c r="FW431" i="23"/>
  <c r="FQ431" i="23"/>
  <c r="FK431" i="23"/>
  <c r="FE431" i="23"/>
  <c r="EY431" i="23"/>
  <c r="ES431" i="23"/>
  <c r="EM431" i="23"/>
  <c r="EG431" i="23"/>
  <c r="EA431" i="23"/>
  <c r="DU431" i="23"/>
  <c r="DO431" i="23"/>
  <c r="DI431" i="23"/>
  <c r="DC431" i="23"/>
  <c r="CW431" i="23"/>
  <c r="CQ431" i="23"/>
  <c r="CK431" i="23"/>
  <c r="CE431" i="23"/>
  <c r="BY431" i="23"/>
  <c r="BS431" i="23"/>
  <c r="BM431" i="23"/>
  <c r="BG431" i="23"/>
  <c r="BA431" i="23"/>
  <c r="AU431" i="23"/>
  <c r="AO431" i="23"/>
  <c r="GC429" i="23"/>
  <c r="FW429" i="23"/>
  <c r="FQ429" i="23"/>
  <c r="FK429" i="23"/>
  <c r="FE429" i="23"/>
  <c r="EY429" i="23"/>
  <c r="ES429" i="23"/>
  <c r="EM429" i="23"/>
  <c r="EG429" i="23"/>
  <c r="EA429" i="23"/>
  <c r="DU429" i="23"/>
  <c r="DO429" i="23"/>
  <c r="DI429" i="23"/>
  <c r="DC429" i="23"/>
  <c r="CW429" i="23"/>
  <c r="CQ429" i="23"/>
  <c r="CK429" i="23"/>
  <c r="CE429" i="23"/>
  <c r="BY429" i="23"/>
  <c r="BS429" i="23"/>
  <c r="BM429" i="23"/>
  <c r="BG429" i="23"/>
  <c r="BA429" i="23"/>
  <c r="AU429" i="23"/>
  <c r="AO429" i="23"/>
  <c r="GC428" i="23"/>
  <c r="FW428" i="23"/>
  <c r="FQ428" i="23"/>
  <c r="FK428" i="23"/>
  <c r="FE428" i="23"/>
  <c r="EY428" i="23"/>
  <c r="ES428" i="23"/>
  <c r="EM428" i="23"/>
  <c r="EG428" i="23"/>
  <c r="EA428" i="23"/>
  <c r="DU428" i="23"/>
  <c r="DO428" i="23"/>
  <c r="DI428" i="23"/>
  <c r="DC428" i="23"/>
  <c r="CW428" i="23"/>
  <c r="CQ428" i="23"/>
  <c r="CK428" i="23"/>
  <c r="CE428" i="23"/>
  <c r="BY428" i="23"/>
  <c r="BS428" i="23"/>
  <c r="BM428" i="23"/>
  <c r="BG428" i="23"/>
  <c r="BA428" i="23"/>
  <c r="AU428" i="23"/>
  <c r="AO428" i="23"/>
  <c r="GC426" i="23"/>
  <c r="FW426" i="23"/>
  <c r="FQ426" i="23"/>
  <c r="FK426" i="23"/>
  <c r="FE426" i="23"/>
  <c r="EY426" i="23"/>
  <c r="ES426" i="23"/>
  <c r="EM426" i="23"/>
  <c r="EG426" i="23"/>
  <c r="EA426" i="23"/>
  <c r="DU426" i="23"/>
  <c r="DO426" i="23"/>
  <c r="DI426" i="23"/>
  <c r="DC426" i="23"/>
  <c r="CW426" i="23"/>
  <c r="CQ426" i="23"/>
  <c r="CK426" i="23"/>
  <c r="CE426" i="23"/>
  <c r="BY426" i="23"/>
  <c r="BS426" i="23"/>
  <c r="BM426" i="23"/>
  <c r="BG426" i="23"/>
  <c r="BA426" i="23"/>
  <c r="AU426" i="23"/>
  <c r="AO426" i="23"/>
  <c r="GC425" i="23"/>
  <c r="FW425" i="23"/>
  <c r="FQ425" i="23"/>
  <c r="FK425" i="23"/>
  <c r="FE425" i="23"/>
  <c r="EY425" i="23"/>
  <c r="ES425" i="23"/>
  <c r="EM425" i="23"/>
  <c r="EG425" i="23"/>
  <c r="EA425" i="23"/>
  <c r="DU425" i="23"/>
  <c r="DO425" i="23"/>
  <c r="DI425" i="23"/>
  <c r="DC425" i="23"/>
  <c r="CW425" i="23"/>
  <c r="CQ425" i="23"/>
  <c r="CK425" i="23"/>
  <c r="CE425" i="23"/>
  <c r="BY425" i="23"/>
  <c r="BS425" i="23"/>
  <c r="BM425" i="23"/>
  <c r="BG425" i="23"/>
  <c r="BA425" i="23"/>
  <c r="AU425" i="23"/>
  <c r="AO425" i="23"/>
  <c r="GC424" i="23"/>
  <c r="FW424" i="23"/>
  <c r="FQ424" i="23"/>
  <c r="FK424" i="23"/>
  <c r="FE424" i="23"/>
  <c r="EY424" i="23"/>
  <c r="ES424" i="23"/>
  <c r="EM424" i="23"/>
  <c r="EG424" i="23"/>
  <c r="EA424" i="23"/>
  <c r="DU424" i="23"/>
  <c r="DO424" i="23"/>
  <c r="DI424" i="23"/>
  <c r="DC424" i="23"/>
  <c r="CW424" i="23"/>
  <c r="CQ424" i="23"/>
  <c r="CK424" i="23"/>
  <c r="CE424" i="23"/>
  <c r="BY424" i="23"/>
  <c r="BS424" i="23"/>
  <c r="BM424" i="23"/>
  <c r="BG424" i="23"/>
  <c r="BA424" i="23"/>
  <c r="AU424" i="23"/>
  <c r="AO424" i="23"/>
  <c r="GC423" i="23"/>
  <c r="FW423" i="23"/>
  <c r="FQ423" i="23"/>
  <c r="FK423" i="23"/>
  <c r="FE423" i="23"/>
  <c r="EY423" i="23"/>
  <c r="ES423" i="23"/>
  <c r="EM423" i="23"/>
  <c r="EG423" i="23"/>
  <c r="EA423" i="23"/>
  <c r="DU423" i="23"/>
  <c r="DO423" i="23"/>
  <c r="DI423" i="23"/>
  <c r="DC423" i="23"/>
  <c r="CW423" i="23"/>
  <c r="CQ423" i="23"/>
  <c r="CK423" i="23"/>
  <c r="CE423" i="23"/>
  <c r="BY423" i="23"/>
  <c r="BS423" i="23"/>
  <c r="BM423" i="23"/>
  <c r="BG423" i="23"/>
  <c r="BA423" i="23"/>
  <c r="AU423" i="23"/>
  <c r="AO423" i="23"/>
  <c r="GC418" i="23"/>
  <c r="FW418" i="23"/>
  <c r="FQ418" i="23"/>
  <c r="FK418" i="23"/>
  <c r="FE418" i="23"/>
  <c r="EY418" i="23"/>
  <c r="ES418" i="23"/>
  <c r="EM418" i="23"/>
  <c r="EG418" i="23"/>
  <c r="EA418" i="23"/>
  <c r="DU418" i="23"/>
  <c r="DO418" i="23"/>
  <c r="DI418" i="23"/>
  <c r="DC418" i="23"/>
  <c r="CW418" i="23"/>
  <c r="CQ418" i="23"/>
  <c r="CK418" i="23"/>
  <c r="CE418" i="23"/>
  <c r="BY418" i="23"/>
  <c r="BS418" i="23"/>
  <c r="BM418" i="23"/>
  <c r="BG418" i="23"/>
  <c r="BA418" i="23"/>
  <c r="AU418" i="23"/>
  <c r="AO418" i="23"/>
  <c r="GC417" i="23"/>
  <c r="FW417" i="23"/>
  <c r="FQ417" i="23"/>
  <c r="FK417" i="23"/>
  <c r="FE417" i="23"/>
  <c r="EY417" i="23"/>
  <c r="ES417" i="23"/>
  <c r="EM417" i="23"/>
  <c r="EG417" i="23"/>
  <c r="EA417" i="23"/>
  <c r="DU417" i="23"/>
  <c r="DO417" i="23"/>
  <c r="DI417" i="23"/>
  <c r="DC417" i="23"/>
  <c r="CW417" i="23"/>
  <c r="CQ417" i="23"/>
  <c r="CK417" i="23"/>
  <c r="CE417" i="23"/>
  <c r="BY417" i="23"/>
  <c r="BS417" i="23"/>
  <c r="BM417" i="23"/>
  <c r="BG417" i="23"/>
  <c r="BA417" i="23"/>
  <c r="AU417" i="23"/>
  <c r="AO417" i="23"/>
  <c r="GC415" i="23"/>
  <c r="FW415" i="23"/>
  <c r="FQ415" i="23"/>
  <c r="FK415" i="23"/>
  <c r="FE415" i="23"/>
  <c r="EY415" i="23"/>
  <c r="ES415" i="23"/>
  <c r="EM415" i="23"/>
  <c r="EG415" i="23"/>
  <c r="EA415" i="23"/>
  <c r="DU415" i="23"/>
  <c r="DO415" i="23"/>
  <c r="DI415" i="23"/>
  <c r="DC415" i="23"/>
  <c r="CW415" i="23"/>
  <c r="CQ415" i="23"/>
  <c r="CK415" i="23"/>
  <c r="CE415" i="23"/>
  <c r="BY415" i="23"/>
  <c r="BS415" i="23"/>
  <c r="BM415" i="23"/>
  <c r="BG415" i="23"/>
  <c r="BA415" i="23"/>
  <c r="AU415" i="23"/>
  <c r="AO415" i="23"/>
  <c r="GC408" i="23"/>
  <c r="FW408" i="23"/>
  <c r="FQ408" i="23"/>
  <c r="FK408" i="23"/>
  <c r="FE408" i="23"/>
  <c r="EY408" i="23"/>
  <c r="ES408" i="23"/>
  <c r="EM408" i="23"/>
  <c r="EG408" i="23"/>
  <c r="EA408" i="23"/>
  <c r="DU408" i="23"/>
  <c r="DO408" i="23"/>
  <c r="DI408" i="23"/>
  <c r="DC408" i="23"/>
  <c r="CW408" i="23"/>
  <c r="CQ408" i="23"/>
  <c r="CK408" i="23"/>
  <c r="CE408" i="23"/>
  <c r="BY408" i="23"/>
  <c r="BS408" i="23"/>
  <c r="BM408" i="23"/>
  <c r="BG408" i="23"/>
  <c r="BA408" i="23"/>
  <c r="AU408" i="23"/>
  <c r="AO408" i="23"/>
  <c r="GC407" i="23"/>
  <c r="FW407" i="23"/>
  <c r="FQ407" i="23"/>
  <c r="FK407" i="23"/>
  <c r="FE407" i="23"/>
  <c r="EY407" i="23"/>
  <c r="ES407" i="23"/>
  <c r="EM407" i="23"/>
  <c r="EG407" i="23"/>
  <c r="EA407" i="23"/>
  <c r="DU407" i="23"/>
  <c r="DO407" i="23"/>
  <c r="DI407" i="23"/>
  <c r="DC407" i="23"/>
  <c r="CW407" i="23"/>
  <c r="CQ407" i="23"/>
  <c r="CK407" i="23"/>
  <c r="CE407" i="23"/>
  <c r="BY407" i="23"/>
  <c r="BS407" i="23"/>
  <c r="BM407" i="23"/>
  <c r="BG407" i="23"/>
  <c r="BA407" i="23"/>
  <c r="AU407" i="23"/>
  <c r="AO407" i="23"/>
  <c r="GC405" i="23"/>
  <c r="FW405" i="23"/>
  <c r="FQ405" i="23"/>
  <c r="FK405" i="23"/>
  <c r="FE405" i="23"/>
  <c r="EY405" i="23"/>
  <c r="ES405" i="23"/>
  <c r="EM405" i="23"/>
  <c r="EG405" i="23"/>
  <c r="EA405" i="23"/>
  <c r="DU405" i="23"/>
  <c r="DO405" i="23"/>
  <c r="DI405" i="23"/>
  <c r="DC405" i="23"/>
  <c r="CW405" i="23"/>
  <c r="CQ405" i="23"/>
  <c r="CK405" i="23"/>
  <c r="CE405" i="23"/>
  <c r="BY405" i="23"/>
  <c r="BS405" i="23"/>
  <c r="BM405" i="23"/>
  <c r="BG405" i="23"/>
  <c r="BA405" i="23"/>
  <c r="AU405" i="23"/>
  <c r="AO405" i="23"/>
  <c r="GC401" i="23"/>
  <c r="FW401" i="23"/>
  <c r="FQ401" i="23"/>
  <c r="FK401" i="23"/>
  <c r="FE401" i="23"/>
  <c r="EY401" i="23"/>
  <c r="ES401" i="23"/>
  <c r="EM401" i="23"/>
  <c r="EG401" i="23"/>
  <c r="EA401" i="23"/>
  <c r="DU401" i="23"/>
  <c r="DO401" i="23"/>
  <c r="DI401" i="23"/>
  <c r="DC401" i="23"/>
  <c r="CW401" i="23"/>
  <c r="CQ401" i="23"/>
  <c r="CK401" i="23"/>
  <c r="CE401" i="23"/>
  <c r="BY401" i="23"/>
  <c r="BS401" i="23"/>
  <c r="BM401" i="23"/>
  <c r="BG401" i="23"/>
  <c r="BA401" i="23"/>
  <c r="AU401" i="23"/>
  <c r="AO401" i="23"/>
  <c r="GC399" i="23"/>
  <c r="FW399" i="23"/>
  <c r="FQ399" i="23"/>
  <c r="FK399" i="23"/>
  <c r="FE399" i="23"/>
  <c r="EY399" i="23"/>
  <c r="ES399" i="23"/>
  <c r="EM399" i="23"/>
  <c r="EG399" i="23"/>
  <c r="EA399" i="23"/>
  <c r="DU399" i="23"/>
  <c r="DO399" i="23"/>
  <c r="DI399" i="23"/>
  <c r="DC399" i="23"/>
  <c r="CW399" i="23"/>
  <c r="CQ399" i="23"/>
  <c r="CK399" i="23"/>
  <c r="CE399" i="23"/>
  <c r="BY399" i="23"/>
  <c r="BS399" i="23"/>
  <c r="BM399" i="23"/>
  <c r="BG399" i="23"/>
  <c r="BA399" i="23"/>
  <c r="AU399" i="23"/>
  <c r="AO399" i="23"/>
  <c r="GC398" i="23"/>
  <c r="FW398" i="23"/>
  <c r="FQ398" i="23"/>
  <c r="FK398" i="23"/>
  <c r="FE398" i="23"/>
  <c r="EY398" i="23"/>
  <c r="ES398" i="23"/>
  <c r="EM398" i="23"/>
  <c r="EG398" i="23"/>
  <c r="EA398" i="23"/>
  <c r="DU398" i="23"/>
  <c r="DO398" i="23"/>
  <c r="DI398" i="23"/>
  <c r="DC398" i="23"/>
  <c r="CW398" i="23"/>
  <c r="CQ398" i="23"/>
  <c r="CK398" i="23"/>
  <c r="CE398" i="23"/>
  <c r="BY398" i="23"/>
  <c r="BS398" i="23"/>
  <c r="BM398" i="23"/>
  <c r="BG398" i="23"/>
  <c r="BA398" i="23"/>
  <c r="AU398" i="23"/>
  <c r="AO398" i="23"/>
  <c r="GC396" i="23"/>
  <c r="FW396" i="23"/>
  <c r="FQ396" i="23"/>
  <c r="FK396" i="23"/>
  <c r="FE396" i="23"/>
  <c r="EY396" i="23"/>
  <c r="ES396" i="23"/>
  <c r="EM396" i="23"/>
  <c r="EG396" i="23"/>
  <c r="EA396" i="23"/>
  <c r="DU396" i="23"/>
  <c r="DO396" i="23"/>
  <c r="DI396" i="23"/>
  <c r="DC396" i="23"/>
  <c r="CW396" i="23"/>
  <c r="CQ396" i="23"/>
  <c r="CK396" i="23"/>
  <c r="CE396" i="23"/>
  <c r="BY396" i="23"/>
  <c r="BS396" i="23"/>
  <c r="BM396" i="23"/>
  <c r="BG396" i="23"/>
  <c r="BA396" i="23"/>
  <c r="AU396" i="23"/>
  <c r="AO396" i="23"/>
  <c r="GC395" i="23"/>
  <c r="FW395" i="23"/>
  <c r="FQ395" i="23"/>
  <c r="FK395" i="23"/>
  <c r="FE395" i="23"/>
  <c r="EY395" i="23"/>
  <c r="ES395" i="23"/>
  <c r="EM395" i="23"/>
  <c r="EG395" i="23"/>
  <c r="EA395" i="23"/>
  <c r="DU395" i="23"/>
  <c r="DO395" i="23"/>
  <c r="DI395" i="23"/>
  <c r="DC395" i="23"/>
  <c r="CW395" i="23"/>
  <c r="CQ395" i="23"/>
  <c r="CK395" i="23"/>
  <c r="CE395" i="23"/>
  <c r="BY395" i="23"/>
  <c r="BS395" i="23"/>
  <c r="BM395" i="23"/>
  <c r="BG395" i="23"/>
  <c r="BA395" i="23"/>
  <c r="AU395" i="23"/>
  <c r="AO395" i="23"/>
  <c r="GC394" i="23"/>
  <c r="FW394" i="23"/>
  <c r="FQ394" i="23"/>
  <c r="FK394" i="23"/>
  <c r="FE394" i="23"/>
  <c r="EY394" i="23"/>
  <c r="ES394" i="23"/>
  <c r="EM394" i="23"/>
  <c r="EG394" i="23"/>
  <c r="EA394" i="23"/>
  <c r="DU394" i="23"/>
  <c r="DO394" i="23"/>
  <c r="DI394" i="23"/>
  <c r="DC394" i="23"/>
  <c r="CW394" i="23"/>
  <c r="CQ394" i="23"/>
  <c r="CK394" i="23"/>
  <c r="CE394" i="23"/>
  <c r="BY394" i="23"/>
  <c r="BS394" i="23"/>
  <c r="BM394" i="23"/>
  <c r="BG394" i="23"/>
  <c r="BA394" i="23"/>
  <c r="AU394" i="23"/>
  <c r="AO394" i="23"/>
  <c r="GC393" i="23"/>
  <c r="FW393" i="23"/>
  <c r="FQ393" i="23"/>
  <c r="FK393" i="23"/>
  <c r="FE393" i="23"/>
  <c r="EY393" i="23"/>
  <c r="ES393" i="23"/>
  <c r="EM393" i="23"/>
  <c r="EG393" i="23"/>
  <c r="EA393" i="23"/>
  <c r="DU393" i="23"/>
  <c r="DO393" i="23"/>
  <c r="DI393" i="23"/>
  <c r="DC393" i="23"/>
  <c r="CW393" i="23"/>
  <c r="CQ393" i="23"/>
  <c r="CK393" i="23"/>
  <c r="CE393" i="23"/>
  <c r="BY393" i="23"/>
  <c r="BS393" i="23"/>
  <c r="BM393" i="23"/>
  <c r="BG393" i="23"/>
  <c r="BA393" i="23"/>
  <c r="AU393" i="23"/>
  <c r="AO393" i="23"/>
  <c r="GC388" i="23"/>
  <c r="FW388" i="23"/>
  <c r="FQ388" i="23"/>
  <c r="FK388" i="23"/>
  <c r="FE388" i="23"/>
  <c r="EY388" i="23"/>
  <c r="ES388" i="23"/>
  <c r="EM388" i="23"/>
  <c r="EG388" i="23"/>
  <c r="EA388" i="23"/>
  <c r="DU388" i="23"/>
  <c r="DO388" i="23"/>
  <c r="DI388" i="23"/>
  <c r="DC388" i="23"/>
  <c r="CW388" i="23"/>
  <c r="CQ388" i="23"/>
  <c r="CK388" i="23"/>
  <c r="CE388" i="23"/>
  <c r="BY388" i="23"/>
  <c r="BS388" i="23"/>
  <c r="BM388" i="23"/>
  <c r="BG388" i="23"/>
  <c r="BA388" i="23"/>
  <c r="AU388" i="23"/>
  <c r="AO388" i="23"/>
  <c r="GC387" i="23"/>
  <c r="FW387" i="23"/>
  <c r="FQ387" i="23"/>
  <c r="FK387" i="23"/>
  <c r="FE387" i="23"/>
  <c r="EY387" i="23"/>
  <c r="ES387" i="23"/>
  <c r="EM387" i="23"/>
  <c r="EG387" i="23"/>
  <c r="EA387" i="23"/>
  <c r="DU387" i="23"/>
  <c r="DO387" i="23"/>
  <c r="DI387" i="23"/>
  <c r="DC387" i="23"/>
  <c r="CW387" i="23"/>
  <c r="CQ387" i="23"/>
  <c r="CK387" i="23"/>
  <c r="CE387" i="23"/>
  <c r="BY387" i="23"/>
  <c r="BS387" i="23"/>
  <c r="BM387" i="23"/>
  <c r="BG387" i="23"/>
  <c r="BA387" i="23"/>
  <c r="AU387" i="23"/>
  <c r="AO387" i="23"/>
  <c r="GC385" i="23"/>
  <c r="FW385" i="23"/>
  <c r="FQ385" i="23"/>
  <c r="FK385" i="23"/>
  <c r="FE385" i="23"/>
  <c r="EY385" i="23"/>
  <c r="ES385" i="23"/>
  <c r="EM385" i="23"/>
  <c r="EG385" i="23"/>
  <c r="EA385" i="23"/>
  <c r="DU385" i="23"/>
  <c r="DO385" i="23"/>
  <c r="DI385" i="23"/>
  <c r="DC385" i="23"/>
  <c r="CW385" i="23"/>
  <c r="CQ385" i="23"/>
  <c r="CK385" i="23"/>
  <c r="CE385" i="23"/>
  <c r="BY385" i="23"/>
  <c r="BS385" i="23"/>
  <c r="BM385" i="23"/>
  <c r="BG385" i="23"/>
  <c r="BA385" i="23"/>
  <c r="AU385" i="23"/>
  <c r="AO385" i="23"/>
  <c r="GC378" i="23"/>
  <c r="FW378" i="23"/>
  <c r="FQ378" i="23"/>
  <c r="FK378" i="23"/>
  <c r="FE378" i="23"/>
  <c r="EY378" i="23"/>
  <c r="ES378" i="23"/>
  <c r="EM378" i="23"/>
  <c r="EG378" i="23"/>
  <c r="EA378" i="23"/>
  <c r="DU378" i="23"/>
  <c r="DO378" i="23"/>
  <c r="DI378" i="23"/>
  <c r="DC378" i="23"/>
  <c r="CW378" i="23"/>
  <c r="CQ378" i="23"/>
  <c r="CK378" i="23"/>
  <c r="CE378" i="23"/>
  <c r="BY378" i="23"/>
  <c r="BS378" i="23"/>
  <c r="BM378" i="23"/>
  <c r="BG378" i="23"/>
  <c r="BA378" i="23"/>
  <c r="AU378" i="23"/>
  <c r="AO378" i="23"/>
  <c r="GC377" i="23"/>
  <c r="FW377" i="23"/>
  <c r="FQ377" i="23"/>
  <c r="FK377" i="23"/>
  <c r="FE377" i="23"/>
  <c r="EY377" i="23"/>
  <c r="ES377" i="23"/>
  <c r="EM377" i="23"/>
  <c r="EG377" i="23"/>
  <c r="EA377" i="23"/>
  <c r="DU377" i="23"/>
  <c r="DO377" i="23"/>
  <c r="DI377" i="23"/>
  <c r="DC377" i="23"/>
  <c r="CW377" i="23"/>
  <c r="CQ377" i="23"/>
  <c r="CK377" i="23"/>
  <c r="CE377" i="23"/>
  <c r="BY377" i="23"/>
  <c r="BS377" i="23"/>
  <c r="BM377" i="23"/>
  <c r="BG377" i="23"/>
  <c r="BA377" i="23"/>
  <c r="AU377" i="23"/>
  <c r="AO377" i="23"/>
  <c r="GC375" i="23"/>
  <c r="FW375" i="23"/>
  <c r="FQ375" i="23"/>
  <c r="FK375" i="23"/>
  <c r="FE375" i="23"/>
  <c r="EY375" i="23"/>
  <c r="ES375" i="23"/>
  <c r="EM375" i="23"/>
  <c r="EG375" i="23"/>
  <c r="EA375" i="23"/>
  <c r="DU375" i="23"/>
  <c r="DO375" i="23"/>
  <c r="DI375" i="23"/>
  <c r="DC375" i="23"/>
  <c r="CW375" i="23"/>
  <c r="CQ375" i="23"/>
  <c r="CK375" i="23"/>
  <c r="CE375" i="23"/>
  <c r="BY375" i="23"/>
  <c r="BS375" i="23"/>
  <c r="BM375" i="23"/>
  <c r="BG375" i="23"/>
  <c r="BA375" i="23"/>
  <c r="AU375" i="23"/>
  <c r="AO375" i="23"/>
  <c r="GC371" i="23"/>
  <c r="FW371" i="23"/>
  <c r="FQ371" i="23"/>
  <c r="FK371" i="23"/>
  <c r="FE371" i="23"/>
  <c r="EY371" i="23"/>
  <c r="ES371" i="23"/>
  <c r="EM371" i="23"/>
  <c r="EG371" i="23"/>
  <c r="EA371" i="23"/>
  <c r="DU371" i="23"/>
  <c r="DO371" i="23"/>
  <c r="DI371" i="23"/>
  <c r="DC371" i="23"/>
  <c r="CW371" i="23"/>
  <c r="CQ371" i="23"/>
  <c r="CK371" i="23"/>
  <c r="CE371" i="23"/>
  <c r="BY371" i="23"/>
  <c r="BS371" i="23"/>
  <c r="BM371" i="23"/>
  <c r="BG371" i="23"/>
  <c r="BA371" i="23"/>
  <c r="AU371" i="23"/>
  <c r="AO371" i="23"/>
  <c r="GC369" i="23"/>
  <c r="FW369" i="23"/>
  <c r="FQ369" i="23"/>
  <c r="FK369" i="23"/>
  <c r="FE369" i="23"/>
  <c r="EY369" i="23"/>
  <c r="ES369" i="23"/>
  <c r="EM369" i="23"/>
  <c r="EG369" i="23"/>
  <c r="EA369" i="23"/>
  <c r="DU369" i="23"/>
  <c r="DO369" i="23"/>
  <c r="DI369" i="23"/>
  <c r="DC369" i="23"/>
  <c r="CW369" i="23"/>
  <c r="CQ369" i="23"/>
  <c r="CK369" i="23"/>
  <c r="CE369" i="23"/>
  <c r="BY369" i="23"/>
  <c r="BS369" i="23"/>
  <c r="BM369" i="23"/>
  <c r="BG369" i="23"/>
  <c r="BA369" i="23"/>
  <c r="AU369" i="23"/>
  <c r="AO369" i="23"/>
  <c r="GC368" i="23"/>
  <c r="FW368" i="23"/>
  <c r="FQ368" i="23"/>
  <c r="FK368" i="23"/>
  <c r="FE368" i="23"/>
  <c r="EY368" i="23"/>
  <c r="ES368" i="23"/>
  <c r="EM368" i="23"/>
  <c r="EG368" i="23"/>
  <c r="EA368" i="23"/>
  <c r="DU368" i="23"/>
  <c r="DO368" i="23"/>
  <c r="DI368" i="23"/>
  <c r="DC368" i="23"/>
  <c r="CW368" i="23"/>
  <c r="CQ368" i="23"/>
  <c r="CK368" i="23"/>
  <c r="CE368" i="23"/>
  <c r="BY368" i="23"/>
  <c r="BS368" i="23"/>
  <c r="BM368" i="23"/>
  <c r="BG368" i="23"/>
  <c r="BA368" i="23"/>
  <c r="AU368" i="23"/>
  <c r="AO368" i="23"/>
  <c r="GC366" i="23"/>
  <c r="FW366" i="23"/>
  <c r="FQ366" i="23"/>
  <c r="FK366" i="23"/>
  <c r="FE366" i="23"/>
  <c r="EY366" i="23"/>
  <c r="ES366" i="23"/>
  <c r="EM366" i="23"/>
  <c r="EG366" i="23"/>
  <c r="EA366" i="23"/>
  <c r="DU366" i="23"/>
  <c r="DO366" i="23"/>
  <c r="DI366" i="23"/>
  <c r="DC366" i="23"/>
  <c r="CW366" i="23"/>
  <c r="CQ366" i="23"/>
  <c r="CK366" i="23"/>
  <c r="CE366" i="23"/>
  <c r="BY366" i="23"/>
  <c r="BS366" i="23"/>
  <c r="BM366" i="23"/>
  <c r="BG366" i="23"/>
  <c r="BA366" i="23"/>
  <c r="AU366" i="23"/>
  <c r="AO366" i="23"/>
  <c r="GC365" i="23"/>
  <c r="FW365" i="23"/>
  <c r="FQ365" i="23"/>
  <c r="FK365" i="23"/>
  <c r="FE365" i="23"/>
  <c r="EY365" i="23"/>
  <c r="ES365" i="23"/>
  <c r="EM365" i="23"/>
  <c r="EG365" i="23"/>
  <c r="EA365" i="23"/>
  <c r="DU365" i="23"/>
  <c r="DO365" i="23"/>
  <c r="DI365" i="23"/>
  <c r="DC365" i="23"/>
  <c r="CW365" i="23"/>
  <c r="CQ365" i="23"/>
  <c r="CK365" i="23"/>
  <c r="CE365" i="23"/>
  <c r="BY365" i="23"/>
  <c r="BS365" i="23"/>
  <c r="BM365" i="23"/>
  <c r="BG365" i="23"/>
  <c r="BA365" i="23"/>
  <c r="AU365" i="23"/>
  <c r="AO365" i="23"/>
  <c r="GC364" i="23"/>
  <c r="FW364" i="23"/>
  <c r="FQ364" i="23"/>
  <c r="FK364" i="23"/>
  <c r="FE364" i="23"/>
  <c r="EY364" i="23"/>
  <c r="ES364" i="23"/>
  <c r="EM364" i="23"/>
  <c r="EG364" i="23"/>
  <c r="EA364" i="23"/>
  <c r="DU364" i="23"/>
  <c r="DO364" i="23"/>
  <c r="DI364" i="23"/>
  <c r="DC364" i="23"/>
  <c r="CW364" i="23"/>
  <c r="CQ364" i="23"/>
  <c r="CK364" i="23"/>
  <c r="CE364" i="23"/>
  <c r="BY364" i="23"/>
  <c r="BS364" i="23"/>
  <c r="BM364" i="23"/>
  <c r="BG364" i="23"/>
  <c r="BA364" i="23"/>
  <c r="AU364" i="23"/>
  <c r="AO364" i="23"/>
  <c r="GC363" i="23"/>
  <c r="FW363" i="23"/>
  <c r="FQ363" i="23"/>
  <c r="FK363" i="23"/>
  <c r="FE363" i="23"/>
  <c r="EY363" i="23"/>
  <c r="ES363" i="23"/>
  <c r="EM363" i="23"/>
  <c r="EG363" i="23"/>
  <c r="EA363" i="23"/>
  <c r="DU363" i="23"/>
  <c r="DO363" i="23"/>
  <c r="DI363" i="23"/>
  <c r="DC363" i="23"/>
  <c r="CW363" i="23"/>
  <c r="CQ363" i="23"/>
  <c r="CK363" i="23"/>
  <c r="CE363" i="23"/>
  <c r="BY363" i="23"/>
  <c r="BS363" i="23"/>
  <c r="BM363" i="23"/>
  <c r="BG363" i="23"/>
  <c r="BA363" i="23"/>
  <c r="AU363" i="23"/>
  <c r="AO363" i="23"/>
  <c r="GC358" i="23"/>
  <c r="FW358" i="23"/>
  <c r="FQ358" i="23"/>
  <c r="FK358" i="23"/>
  <c r="FE358" i="23"/>
  <c r="EY358" i="23"/>
  <c r="ES358" i="23"/>
  <c r="EM358" i="23"/>
  <c r="EG358" i="23"/>
  <c r="EA358" i="23"/>
  <c r="DU358" i="23"/>
  <c r="DO358" i="23"/>
  <c r="DI358" i="23"/>
  <c r="DC358" i="23"/>
  <c r="CW358" i="23"/>
  <c r="CQ358" i="23"/>
  <c r="CK358" i="23"/>
  <c r="CE358" i="23"/>
  <c r="BY358" i="23"/>
  <c r="BS358" i="23"/>
  <c r="BM358" i="23"/>
  <c r="BG358" i="23"/>
  <c r="BA358" i="23"/>
  <c r="AU358" i="23"/>
  <c r="AO358" i="23"/>
  <c r="GC357" i="23"/>
  <c r="FW357" i="23"/>
  <c r="FQ357" i="23"/>
  <c r="FK357" i="23"/>
  <c r="FE357" i="23"/>
  <c r="EY357" i="23"/>
  <c r="ES357" i="23"/>
  <c r="EM357" i="23"/>
  <c r="EG357" i="23"/>
  <c r="EA357" i="23"/>
  <c r="DU357" i="23"/>
  <c r="DO357" i="23"/>
  <c r="DI357" i="23"/>
  <c r="DC357" i="23"/>
  <c r="CW357" i="23"/>
  <c r="CQ357" i="23"/>
  <c r="CK357" i="23"/>
  <c r="CE357" i="23"/>
  <c r="BY357" i="23"/>
  <c r="BS357" i="23"/>
  <c r="BM357" i="23"/>
  <c r="BG357" i="23"/>
  <c r="BA357" i="23"/>
  <c r="AU357" i="23"/>
  <c r="AO357" i="23"/>
  <c r="GC355" i="23"/>
  <c r="FW355" i="23"/>
  <c r="FQ355" i="23"/>
  <c r="FK355" i="23"/>
  <c r="FE355" i="23"/>
  <c r="EY355" i="23"/>
  <c r="ES355" i="23"/>
  <c r="EM355" i="23"/>
  <c r="EG355" i="23"/>
  <c r="EA355" i="23"/>
  <c r="DU355" i="23"/>
  <c r="DO355" i="23"/>
  <c r="DI355" i="23"/>
  <c r="DC355" i="23"/>
  <c r="CW355" i="23"/>
  <c r="CQ355" i="23"/>
  <c r="CK355" i="23"/>
  <c r="CE355" i="23"/>
  <c r="BY355" i="23"/>
  <c r="BS355" i="23"/>
  <c r="BM355" i="23"/>
  <c r="BG355" i="23"/>
  <c r="BA355" i="23"/>
  <c r="AU355" i="23"/>
  <c r="AO355" i="23"/>
  <c r="GC348" i="23"/>
  <c r="FW348" i="23"/>
  <c r="FQ348" i="23"/>
  <c r="FK348" i="23"/>
  <c r="FE348" i="23"/>
  <c r="EY348" i="23"/>
  <c r="ES348" i="23"/>
  <c r="EM348" i="23"/>
  <c r="EG348" i="23"/>
  <c r="EA348" i="23"/>
  <c r="DU348" i="23"/>
  <c r="DO348" i="23"/>
  <c r="DI348" i="23"/>
  <c r="DC348" i="23"/>
  <c r="CW348" i="23"/>
  <c r="CQ348" i="23"/>
  <c r="CK348" i="23"/>
  <c r="CE348" i="23"/>
  <c r="BY348" i="23"/>
  <c r="BS348" i="23"/>
  <c r="BM348" i="23"/>
  <c r="BG348" i="23"/>
  <c r="BA348" i="23"/>
  <c r="AU348" i="23"/>
  <c r="AO348" i="23"/>
  <c r="GC347" i="23"/>
  <c r="FW347" i="23"/>
  <c r="FQ347" i="23"/>
  <c r="FK347" i="23"/>
  <c r="FE347" i="23"/>
  <c r="EY347" i="23"/>
  <c r="ES347" i="23"/>
  <c r="EM347" i="23"/>
  <c r="EG347" i="23"/>
  <c r="EA347" i="23"/>
  <c r="DU347" i="23"/>
  <c r="DO347" i="23"/>
  <c r="DI347" i="23"/>
  <c r="DC347" i="23"/>
  <c r="CW347" i="23"/>
  <c r="CQ347" i="23"/>
  <c r="CK347" i="23"/>
  <c r="CE347" i="23"/>
  <c r="BY347" i="23"/>
  <c r="BS347" i="23"/>
  <c r="BM347" i="23"/>
  <c r="BG347" i="23"/>
  <c r="BA347" i="23"/>
  <c r="AU347" i="23"/>
  <c r="AO347" i="23"/>
  <c r="GC345" i="23"/>
  <c r="FW345" i="23"/>
  <c r="FQ345" i="23"/>
  <c r="FK345" i="23"/>
  <c r="FE345" i="23"/>
  <c r="EY345" i="23"/>
  <c r="ES345" i="23"/>
  <c r="EM345" i="23"/>
  <c r="EG345" i="23"/>
  <c r="EA345" i="23"/>
  <c r="DU345" i="23"/>
  <c r="DO345" i="23"/>
  <c r="DI345" i="23"/>
  <c r="DC345" i="23"/>
  <c r="CW345" i="23"/>
  <c r="CQ345" i="23"/>
  <c r="CK345" i="23"/>
  <c r="CE345" i="23"/>
  <c r="BY345" i="23"/>
  <c r="BS345" i="23"/>
  <c r="BM345" i="23"/>
  <c r="BG345" i="23"/>
  <c r="BA345" i="23"/>
  <c r="AU345" i="23"/>
  <c r="AO345" i="23"/>
  <c r="GC341" i="23"/>
  <c r="FW341" i="23"/>
  <c r="FQ341" i="23"/>
  <c r="FK341" i="23"/>
  <c r="FE341" i="23"/>
  <c r="EY341" i="23"/>
  <c r="ES341" i="23"/>
  <c r="EM341" i="23"/>
  <c r="EG341" i="23"/>
  <c r="EA341" i="23"/>
  <c r="DU341" i="23"/>
  <c r="DO341" i="23"/>
  <c r="DI341" i="23"/>
  <c r="DC341" i="23"/>
  <c r="CW341" i="23"/>
  <c r="CQ341" i="23"/>
  <c r="CK341" i="23"/>
  <c r="CE341" i="23"/>
  <c r="BY341" i="23"/>
  <c r="BS341" i="23"/>
  <c r="BM341" i="23"/>
  <c r="BG341" i="23"/>
  <c r="BA341" i="23"/>
  <c r="AU341" i="23"/>
  <c r="AO341" i="23"/>
  <c r="GC339" i="23"/>
  <c r="FW339" i="23"/>
  <c r="FQ339" i="23"/>
  <c r="FK339" i="23"/>
  <c r="FE339" i="23"/>
  <c r="EY339" i="23"/>
  <c r="ES339" i="23"/>
  <c r="EM339" i="23"/>
  <c r="EG339" i="23"/>
  <c r="EA339" i="23"/>
  <c r="DU339" i="23"/>
  <c r="DO339" i="23"/>
  <c r="DI339" i="23"/>
  <c r="DC339" i="23"/>
  <c r="CW339" i="23"/>
  <c r="CQ339" i="23"/>
  <c r="CK339" i="23"/>
  <c r="CE339" i="23"/>
  <c r="BY339" i="23"/>
  <c r="BS339" i="23"/>
  <c r="BM339" i="23"/>
  <c r="BG339" i="23"/>
  <c r="BA339" i="23"/>
  <c r="AU339" i="23"/>
  <c r="AO339" i="23"/>
  <c r="GC338" i="23"/>
  <c r="FW338" i="23"/>
  <c r="FQ338" i="23"/>
  <c r="FK338" i="23"/>
  <c r="FE338" i="23"/>
  <c r="EY338" i="23"/>
  <c r="ES338" i="23"/>
  <c r="EM338" i="23"/>
  <c r="EG338" i="23"/>
  <c r="EA338" i="23"/>
  <c r="DU338" i="23"/>
  <c r="DO338" i="23"/>
  <c r="DI338" i="23"/>
  <c r="DC338" i="23"/>
  <c r="CW338" i="23"/>
  <c r="CQ338" i="23"/>
  <c r="CK338" i="23"/>
  <c r="CE338" i="23"/>
  <c r="BY338" i="23"/>
  <c r="BS338" i="23"/>
  <c r="BM338" i="23"/>
  <c r="BG338" i="23"/>
  <c r="BA338" i="23"/>
  <c r="AU338" i="23"/>
  <c r="AO338" i="23"/>
  <c r="GC336" i="23"/>
  <c r="FW336" i="23"/>
  <c r="FQ336" i="23"/>
  <c r="FK336" i="23"/>
  <c r="FE336" i="23"/>
  <c r="EY336" i="23"/>
  <c r="ES336" i="23"/>
  <c r="EM336" i="23"/>
  <c r="EG336" i="23"/>
  <c r="EA336" i="23"/>
  <c r="DU336" i="23"/>
  <c r="DO336" i="23"/>
  <c r="DI336" i="23"/>
  <c r="DC336" i="23"/>
  <c r="CW336" i="23"/>
  <c r="CQ336" i="23"/>
  <c r="CK336" i="23"/>
  <c r="CE336" i="23"/>
  <c r="BY336" i="23"/>
  <c r="BS336" i="23"/>
  <c r="BM336" i="23"/>
  <c r="BG336" i="23"/>
  <c r="BA336" i="23"/>
  <c r="AU336" i="23"/>
  <c r="AO336" i="23"/>
  <c r="GC335" i="23"/>
  <c r="FW335" i="23"/>
  <c r="FQ335" i="23"/>
  <c r="FK335" i="23"/>
  <c r="FE335" i="23"/>
  <c r="EY335" i="23"/>
  <c r="ES335" i="23"/>
  <c r="EM335" i="23"/>
  <c r="EG335" i="23"/>
  <c r="EA335" i="23"/>
  <c r="DU335" i="23"/>
  <c r="DO335" i="23"/>
  <c r="DI335" i="23"/>
  <c r="DC335" i="23"/>
  <c r="CW335" i="23"/>
  <c r="CQ335" i="23"/>
  <c r="CK335" i="23"/>
  <c r="CE335" i="23"/>
  <c r="BY335" i="23"/>
  <c r="BS335" i="23"/>
  <c r="BM335" i="23"/>
  <c r="BG335" i="23"/>
  <c r="BA335" i="23"/>
  <c r="AU335" i="23"/>
  <c r="AO335" i="23"/>
  <c r="GC334" i="23"/>
  <c r="FW334" i="23"/>
  <c r="FQ334" i="23"/>
  <c r="FK334" i="23"/>
  <c r="FE334" i="23"/>
  <c r="EY334" i="23"/>
  <c r="ES334" i="23"/>
  <c r="EM334" i="23"/>
  <c r="EG334" i="23"/>
  <c r="EA334" i="23"/>
  <c r="DU334" i="23"/>
  <c r="DO334" i="23"/>
  <c r="DI334" i="23"/>
  <c r="DC334" i="23"/>
  <c r="CW334" i="23"/>
  <c r="CQ334" i="23"/>
  <c r="CK334" i="23"/>
  <c r="CE334" i="23"/>
  <c r="BY334" i="23"/>
  <c r="BS334" i="23"/>
  <c r="BM334" i="23"/>
  <c r="BG334" i="23"/>
  <c r="BA334" i="23"/>
  <c r="AU334" i="23"/>
  <c r="AO334" i="23"/>
  <c r="GC333" i="23"/>
  <c r="FW333" i="23"/>
  <c r="FQ333" i="23"/>
  <c r="FK333" i="23"/>
  <c r="FE333" i="23"/>
  <c r="EY333" i="23"/>
  <c r="ES333" i="23"/>
  <c r="EM333" i="23"/>
  <c r="EG333" i="23"/>
  <c r="EA333" i="23"/>
  <c r="DU333" i="23"/>
  <c r="DO333" i="23"/>
  <c r="DI333" i="23"/>
  <c r="DC333" i="23"/>
  <c r="CW333" i="23"/>
  <c r="CQ333" i="23"/>
  <c r="CK333" i="23"/>
  <c r="CE333" i="23"/>
  <c r="BY333" i="23"/>
  <c r="BS333" i="23"/>
  <c r="BM333" i="23"/>
  <c r="BG333" i="23"/>
  <c r="BA333" i="23"/>
  <c r="AU333" i="23"/>
  <c r="AO333" i="23"/>
  <c r="GC328" i="23"/>
  <c r="FW328" i="23"/>
  <c r="FQ328" i="23"/>
  <c r="FK328" i="23"/>
  <c r="FE328" i="23"/>
  <c r="EY328" i="23"/>
  <c r="ES328" i="23"/>
  <c r="EM328" i="23"/>
  <c r="EG328" i="23"/>
  <c r="EA328" i="23"/>
  <c r="DU328" i="23"/>
  <c r="DO328" i="23"/>
  <c r="DI328" i="23"/>
  <c r="DC328" i="23"/>
  <c r="CW328" i="23"/>
  <c r="CQ328" i="23"/>
  <c r="CK328" i="23"/>
  <c r="CE328" i="23"/>
  <c r="BY328" i="23"/>
  <c r="BS328" i="23"/>
  <c r="BM328" i="23"/>
  <c r="BG328" i="23"/>
  <c r="BA328" i="23"/>
  <c r="AU328" i="23"/>
  <c r="AO328" i="23"/>
  <c r="GC327" i="23"/>
  <c r="FW327" i="23"/>
  <c r="FQ327" i="23"/>
  <c r="FK327" i="23"/>
  <c r="FE327" i="23"/>
  <c r="EY327" i="23"/>
  <c r="ES327" i="23"/>
  <c r="EM327" i="23"/>
  <c r="EG327" i="23"/>
  <c r="EA327" i="23"/>
  <c r="DU327" i="23"/>
  <c r="DO327" i="23"/>
  <c r="DI327" i="23"/>
  <c r="DC327" i="23"/>
  <c r="CW327" i="23"/>
  <c r="CQ327" i="23"/>
  <c r="CK327" i="23"/>
  <c r="CE327" i="23"/>
  <c r="BY327" i="23"/>
  <c r="BS327" i="23"/>
  <c r="BM327" i="23"/>
  <c r="BG327" i="23"/>
  <c r="BA327" i="23"/>
  <c r="AU327" i="23"/>
  <c r="AO327" i="23"/>
  <c r="GC325" i="23"/>
  <c r="FW325" i="23"/>
  <c r="FQ325" i="23"/>
  <c r="FK325" i="23"/>
  <c r="FE325" i="23"/>
  <c r="EY325" i="23"/>
  <c r="ES325" i="23"/>
  <c r="EM325" i="23"/>
  <c r="EG325" i="23"/>
  <c r="EA325" i="23"/>
  <c r="DU325" i="23"/>
  <c r="DO325" i="23"/>
  <c r="DI325" i="23"/>
  <c r="DC325" i="23"/>
  <c r="CW325" i="23"/>
  <c r="CQ325" i="23"/>
  <c r="CK325" i="23"/>
  <c r="CE325" i="23"/>
  <c r="BY325" i="23"/>
  <c r="BS325" i="23"/>
  <c r="BM325" i="23"/>
  <c r="BG325" i="23"/>
  <c r="BA325" i="23"/>
  <c r="AU325" i="23"/>
  <c r="AO325" i="23"/>
  <c r="GC318" i="23"/>
  <c r="FW318" i="23"/>
  <c r="FQ318" i="23"/>
  <c r="FK318" i="23"/>
  <c r="FE318" i="23"/>
  <c r="EY318" i="23"/>
  <c r="ES318" i="23"/>
  <c r="EM318" i="23"/>
  <c r="EG318" i="23"/>
  <c r="EA318" i="23"/>
  <c r="DU318" i="23"/>
  <c r="DO318" i="23"/>
  <c r="DI318" i="23"/>
  <c r="DC318" i="23"/>
  <c r="CW318" i="23"/>
  <c r="CQ318" i="23"/>
  <c r="CK318" i="23"/>
  <c r="CE318" i="23"/>
  <c r="BY318" i="23"/>
  <c r="BS318" i="23"/>
  <c r="BM318" i="23"/>
  <c r="BG318" i="23"/>
  <c r="BA318" i="23"/>
  <c r="AU318" i="23"/>
  <c r="AO318" i="23"/>
  <c r="GC317" i="23"/>
  <c r="FW317" i="23"/>
  <c r="FQ317" i="23"/>
  <c r="FK317" i="23"/>
  <c r="FE317" i="23"/>
  <c r="EY317" i="23"/>
  <c r="ES317" i="23"/>
  <c r="EM317" i="23"/>
  <c r="EG317" i="23"/>
  <c r="EA317" i="23"/>
  <c r="DU317" i="23"/>
  <c r="DO317" i="23"/>
  <c r="DI317" i="23"/>
  <c r="DC317" i="23"/>
  <c r="CW317" i="23"/>
  <c r="CQ317" i="23"/>
  <c r="CK317" i="23"/>
  <c r="CE317" i="23"/>
  <c r="BY317" i="23"/>
  <c r="BS317" i="23"/>
  <c r="BM317" i="23"/>
  <c r="BG317" i="23"/>
  <c r="BA317" i="23"/>
  <c r="AU317" i="23"/>
  <c r="AO317" i="23"/>
  <c r="GC315" i="23"/>
  <c r="FW315" i="23"/>
  <c r="FQ315" i="23"/>
  <c r="FK315" i="23"/>
  <c r="FE315" i="23"/>
  <c r="EY315" i="23"/>
  <c r="ES315" i="23"/>
  <c r="EM315" i="23"/>
  <c r="EG315" i="23"/>
  <c r="EA315" i="23"/>
  <c r="DU315" i="23"/>
  <c r="DO315" i="23"/>
  <c r="DI315" i="23"/>
  <c r="DC315" i="23"/>
  <c r="CW315" i="23"/>
  <c r="CQ315" i="23"/>
  <c r="CK315" i="23"/>
  <c r="CE315" i="23"/>
  <c r="BY315" i="23"/>
  <c r="BS315" i="23"/>
  <c r="BM315" i="23"/>
  <c r="BG315" i="23"/>
  <c r="BA315" i="23"/>
  <c r="AU315" i="23"/>
  <c r="AO315" i="23"/>
  <c r="GC311" i="23"/>
  <c r="FW311" i="23"/>
  <c r="FQ311" i="23"/>
  <c r="FK311" i="23"/>
  <c r="FE311" i="23"/>
  <c r="EY311" i="23"/>
  <c r="ES311" i="23"/>
  <c r="EM311" i="23"/>
  <c r="EG311" i="23"/>
  <c r="EA311" i="23"/>
  <c r="DU311" i="23"/>
  <c r="DO311" i="23"/>
  <c r="DI311" i="23"/>
  <c r="DC311" i="23"/>
  <c r="CW311" i="23"/>
  <c r="CQ311" i="23"/>
  <c r="CK311" i="23"/>
  <c r="CE311" i="23"/>
  <c r="BY311" i="23"/>
  <c r="BS311" i="23"/>
  <c r="BM311" i="23"/>
  <c r="BG311" i="23"/>
  <c r="BA311" i="23"/>
  <c r="AU311" i="23"/>
  <c r="AO311" i="23"/>
  <c r="GC309" i="23"/>
  <c r="FW309" i="23"/>
  <c r="FQ309" i="23"/>
  <c r="FK309" i="23"/>
  <c r="FE309" i="23"/>
  <c r="EY309" i="23"/>
  <c r="ES309" i="23"/>
  <c r="EM309" i="23"/>
  <c r="EG309" i="23"/>
  <c r="EA309" i="23"/>
  <c r="DU309" i="23"/>
  <c r="DO309" i="23"/>
  <c r="DI309" i="23"/>
  <c r="DC309" i="23"/>
  <c r="CW309" i="23"/>
  <c r="CQ309" i="23"/>
  <c r="CK309" i="23"/>
  <c r="CE309" i="23"/>
  <c r="BY309" i="23"/>
  <c r="BS309" i="23"/>
  <c r="BM309" i="23"/>
  <c r="BG309" i="23"/>
  <c r="BA309" i="23"/>
  <c r="AU309" i="23"/>
  <c r="AO309" i="23"/>
  <c r="GC308" i="23"/>
  <c r="FW308" i="23"/>
  <c r="FQ308" i="23"/>
  <c r="FK308" i="23"/>
  <c r="FE308" i="23"/>
  <c r="EY308" i="23"/>
  <c r="ES308" i="23"/>
  <c r="EM308" i="23"/>
  <c r="EG308" i="23"/>
  <c r="EA308" i="23"/>
  <c r="DU308" i="23"/>
  <c r="DO308" i="23"/>
  <c r="DI308" i="23"/>
  <c r="DC308" i="23"/>
  <c r="CW308" i="23"/>
  <c r="CQ308" i="23"/>
  <c r="CK308" i="23"/>
  <c r="CE308" i="23"/>
  <c r="BY308" i="23"/>
  <c r="BS308" i="23"/>
  <c r="BM308" i="23"/>
  <c r="BG308" i="23"/>
  <c r="BA308" i="23"/>
  <c r="AU308" i="23"/>
  <c r="AO308" i="23"/>
  <c r="GC306" i="23"/>
  <c r="FW306" i="23"/>
  <c r="FQ306" i="23"/>
  <c r="FK306" i="23"/>
  <c r="FE306" i="23"/>
  <c r="EY306" i="23"/>
  <c r="ES306" i="23"/>
  <c r="EM306" i="23"/>
  <c r="EG306" i="23"/>
  <c r="EA306" i="23"/>
  <c r="DU306" i="23"/>
  <c r="DO306" i="23"/>
  <c r="DI306" i="23"/>
  <c r="DC306" i="23"/>
  <c r="CW306" i="23"/>
  <c r="CQ306" i="23"/>
  <c r="CK306" i="23"/>
  <c r="CE306" i="23"/>
  <c r="BY306" i="23"/>
  <c r="BS306" i="23"/>
  <c r="BM306" i="23"/>
  <c r="BG306" i="23"/>
  <c r="BA306" i="23"/>
  <c r="AU306" i="23"/>
  <c r="AO306" i="23"/>
  <c r="GC305" i="23"/>
  <c r="FW305" i="23"/>
  <c r="FQ305" i="23"/>
  <c r="FK305" i="23"/>
  <c r="FE305" i="23"/>
  <c r="EY305" i="23"/>
  <c r="ES305" i="23"/>
  <c r="EM305" i="23"/>
  <c r="EG305" i="23"/>
  <c r="EA305" i="23"/>
  <c r="DU305" i="23"/>
  <c r="DO305" i="23"/>
  <c r="DI305" i="23"/>
  <c r="DC305" i="23"/>
  <c r="CW305" i="23"/>
  <c r="CQ305" i="23"/>
  <c r="CK305" i="23"/>
  <c r="CE305" i="23"/>
  <c r="BY305" i="23"/>
  <c r="BS305" i="23"/>
  <c r="BM305" i="23"/>
  <c r="BG305" i="23"/>
  <c r="BA305" i="23"/>
  <c r="AU305" i="23"/>
  <c r="AO305" i="23"/>
  <c r="GC304" i="23"/>
  <c r="FW304" i="23"/>
  <c r="FQ304" i="23"/>
  <c r="FK304" i="23"/>
  <c r="FE304" i="23"/>
  <c r="EY304" i="23"/>
  <c r="ES304" i="23"/>
  <c r="EM304" i="23"/>
  <c r="EG304" i="23"/>
  <c r="EA304" i="23"/>
  <c r="DU304" i="23"/>
  <c r="DO304" i="23"/>
  <c r="DI304" i="23"/>
  <c r="DC304" i="23"/>
  <c r="CW304" i="23"/>
  <c r="CQ304" i="23"/>
  <c r="CK304" i="23"/>
  <c r="CE304" i="23"/>
  <c r="BY304" i="23"/>
  <c r="BS304" i="23"/>
  <c r="BM304" i="23"/>
  <c r="BG304" i="23"/>
  <c r="BA304" i="23"/>
  <c r="AU304" i="23"/>
  <c r="AO304" i="23"/>
  <c r="GC303" i="23"/>
  <c r="FW303" i="23"/>
  <c r="FQ303" i="23"/>
  <c r="FK303" i="23"/>
  <c r="FE303" i="23"/>
  <c r="EY303" i="23"/>
  <c r="ES303" i="23"/>
  <c r="EM303" i="23"/>
  <c r="EG303" i="23"/>
  <c r="EA303" i="23"/>
  <c r="DU303" i="23"/>
  <c r="DO303" i="23"/>
  <c r="DI303" i="23"/>
  <c r="DC303" i="23"/>
  <c r="CW303" i="23"/>
  <c r="CQ303" i="23"/>
  <c r="CK303" i="23"/>
  <c r="CE303" i="23"/>
  <c r="BY303" i="23"/>
  <c r="BS303" i="23"/>
  <c r="BM303" i="23"/>
  <c r="BG303" i="23"/>
  <c r="BA303" i="23"/>
  <c r="AU303" i="23"/>
  <c r="AO303" i="23"/>
  <c r="GC298" i="23"/>
  <c r="FW298" i="23"/>
  <c r="FQ298" i="23"/>
  <c r="FK298" i="23"/>
  <c r="FE298" i="23"/>
  <c r="EY298" i="23"/>
  <c r="ES298" i="23"/>
  <c r="EM298" i="23"/>
  <c r="EG298" i="23"/>
  <c r="EA298" i="23"/>
  <c r="DU298" i="23"/>
  <c r="DO298" i="23"/>
  <c r="DI298" i="23"/>
  <c r="DC298" i="23"/>
  <c r="CW298" i="23"/>
  <c r="CQ298" i="23"/>
  <c r="CK298" i="23"/>
  <c r="CE298" i="23"/>
  <c r="BY298" i="23"/>
  <c r="BS298" i="23"/>
  <c r="BM298" i="23"/>
  <c r="BG298" i="23"/>
  <c r="BA298" i="23"/>
  <c r="AU298" i="23"/>
  <c r="AO298" i="23"/>
  <c r="GC297" i="23"/>
  <c r="FW297" i="23"/>
  <c r="FQ297" i="23"/>
  <c r="FK297" i="23"/>
  <c r="FE297" i="23"/>
  <c r="EY297" i="23"/>
  <c r="ES297" i="23"/>
  <c r="EM297" i="23"/>
  <c r="EG297" i="23"/>
  <c r="EA297" i="23"/>
  <c r="DU297" i="23"/>
  <c r="DO297" i="23"/>
  <c r="DI297" i="23"/>
  <c r="DC297" i="23"/>
  <c r="CW297" i="23"/>
  <c r="CQ297" i="23"/>
  <c r="CK297" i="23"/>
  <c r="CE297" i="23"/>
  <c r="BY297" i="23"/>
  <c r="BS297" i="23"/>
  <c r="BM297" i="23"/>
  <c r="BG297" i="23"/>
  <c r="BA297" i="23"/>
  <c r="AU297" i="23"/>
  <c r="AO297" i="23"/>
  <c r="GC295" i="23"/>
  <c r="FW295" i="23"/>
  <c r="FQ295" i="23"/>
  <c r="FK295" i="23"/>
  <c r="FE295" i="23"/>
  <c r="EY295" i="23"/>
  <c r="ES295" i="23"/>
  <c r="EM295" i="23"/>
  <c r="EG295" i="23"/>
  <c r="EA295" i="23"/>
  <c r="DU295" i="23"/>
  <c r="DO295" i="23"/>
  <c r="DI295" i="23"/>
  <c r="DC295" i="23"/>
  <c r="CW295" i="23"/>
  <c r="CQ295" i="23"/>
  <c r="CK295" i="23"/>
  <c r="CE295" i="23"/>
  <c r="BY295" i="23"/>
  <c r="BS295" i="23"/>
  <c r="BM295" i="23"/>
  <c r="BG295" i="23"/>
  <c r="BA295" i="23"/>
  <c r="AU295" i="23"/>
  <c r="AO295" i="23"/>
  <c r="GC288" i="23"/>
  <c r="FW288" i="23"/>
  <c r="FQ288" i="23"/>
  <c r="FK288" i="23"/>
  <c r="FE288" i="23"/>
  <c r="EY288" i="23"/>
  <c r="ES288" i="23"/>
  <c r="EM288" i="23"/>
  <c r="EG288" i="23"/>
  <c r="EA288" i="23"/>
  <c r="DU288" i="23"/>
  <c r="DO288" i="23"/>
  <c r="DI288" i="23"/>
  <c r="DC288" i="23"/>
  <c r="CW288" i="23"/>
  <c r="CQ288" i="23"/>
  <c r="CK288" i="23"/>
  <c r="CE288" i="23"/>
  <c r="BY288" i="23"/>
  <c r="BS288" i="23"/>
  <c r="BM288" i="23"/>
  <c r="BG288" i="23"/>
  <c r="BA288" i="23"/>
  <c r="AU288" i="23"/>
  <c r="AO288" i="23"/>
  <c r="GC287" i="23"/>
  <c r="FW287" i="23"/>
  <c r="FQ287" i="23"/>
  <c r="FK287" i="23"/>
  <c r="FE287" i="23"/>
  <c r="EY287" i="23"/>
  <c r="ES287" i="23"/>
  <c r="EM287" i="23"/>
  <c r="EG287" i="23"/>
  <c r="EA287" i="23"/>
  <c r="DU287" i="23"/>
  <c r="DO287" i="23"/>
  <c r="DI287" i="23"/>
  <c r="DC287" i="23"/>
  <c r="CW287" i="23"/>
  <c r="CQ287" i="23"/>
  <c r="CK287" i="23"/>
  <c r="CE287" i="23"/>
  <c r="BY287" i="23"/>
  <c r="BS287" i="23"/>
  <c r="BM287" i="23"/>
  <c r="BG287" i="23"/>
  <c r="BA287" i="23"/>
  <c r="AU287" i="23"/>
  <c r="AO287" i="23"/>
  <c r="GC285" i="23"/>
  <c r="FW285" i="23"/>
  <c r="FQ285" i="23"/>
  <c r="FK285" i="23"/>
  <c r="FE285" i="23"/>
  <c r="EY285" i="23"/>
  <c r="ES285" i="23"/>
  <c r="EM285" i="23"/>
  <c r="EG285" i="23"/>
  <c r="EA285" i="23"/>
  <c r="DU285" i="23"/>
  <c r="DO285" i="23"/>
  <c r="DI285" i="23"/>
  <c r="DC285" i="23"/>
  <c r="CW285" i="23"/>
  <c r="CQ285" i="23"/>
  <c r="CK285" i="23"/>
  <c r="CE285" i="23"/>
  <c r="BY285" i="23"/>
  <c r="BS285" i="23"/>
  <c r="BM285" i="23"/>
  <c r="BG285" i="23"/>
  <c r="BA285" i="23"/>
  <c r="AU285" i="23"/>
  <c r="AO285" i="23"/>
  <c r="GC281" i="23"/>
  <c r="FW281" i="23"/>
  <c r="FQ281" i="23"/>
  <c r="FK281" i="23"/>
  <c r="FE281" i="23"/>
  <c r="EY281" i="23"/>
  <c r="ES281" i="23"/>
  <c r="EM281" i="23"/>
  <c r="EG281" i="23"/>
  <c r="EA281" i="23"/>
  <c r="DU281" i="23"/>
  <c r="DO281" i="23"/>
  <c r="DI281" i="23"/>
  <c r="DC281" i="23"/>
  <c r="CW281" i="23"/>
  <c r="CQ281" i="23"/>
  <c r="CK281" i="23"/>
  <c r="CE281" i="23"/>
  <c r="BY281" i="23"/>
  <c r="BS281" i="23"/>
  <c r="BM281" i="23"/>
  <c r="BG281" i="23"/>
  <c r="BA281" i="23"/>
  <c r="AU281" i="23"/>
  <c r="AO281" i="23"/>
  <c r="GC279" i="23"/>
  <c r="FW279" i="23"/>
  <c r="FQ279" i="23"/>
  <c r="FK279" i="23"/>
  <c r="FE279" i="23"/>
  <c r="EY279" i="23"/>
  <c r="ES279" i="23"/>
  <c r="EM279" i="23"/>
  <c r="EG279" i="23"/>
  <c r="EA279" i="23"/>
  <c r="DU279" i="23"/>
  <c r="DO279" i="23"/>
  <c r="DI279" i="23"/>
  <c r="DC279" i="23"/>
  <c r="CW279" i="23"/>
  <c r="CQ279" i="23"/>
  <c r="CK279" i="23"/>
  <c r="CE279" i="23"/>
  <c r="BY279" i="23"/>
  <c r="BS279" i="23"/>
  <c r="BM279" i="23"/>
  <c r="BG279" i="23"/>
  <c r="BA279" i="23"/>
  <c r="AU279" i="23"/>
  <c r="AO279" i="23"/>
  <c r="GC278" i="23"/>
  <c r="FW278" i="23"/>
  <c r="FQ278" i="23"/>
  <c r="FK278" i="23"/>
  <c r="FE278" i="23"/>
  <c r="EY278" i="23"/>
  <c r="ES278" i="23"/>
  <c r="EM278" i="23"/>
  <c r="EG278" i="23"/>
  <c r="EA278" i="23"/>
  <c r="DU278" i="23"/>
  <c r="DO278" i="23"/>
  <c r="DI278" i="23"/>
  <c r="DC278" i="23"/>
  <c r="CW278" i="23"/>
  <c r="CQ278" i="23"/>
  <c r="CK278" i="23"/>
  <c r="CE278" i="23"/>
  <c r="BY278" i="23"/>
  <c r="BS278" i="23"/>
  <c r="BM278" i="23"/>
  <c r="BG278" i="23"/>
  <c r="BA278" i="23"/>
  <c r="AU278" i="23"/>
  <c r="AO278" i="23"/>
  <c r="GC276" i="23"/>
  <c r="FW276" i="23"/>
  <c r="FQ276" i="23"/>
  <c r="FK276" i="23"/>
  <c r="FE276" i="23"/>
  <c r="EY276" i="23"/>
  <c r="ES276" i="23"/>
  <c r="EM276" i="23"/>
  <c r="EG276" i="23"/>
  <c r="EA276" i="23"/>
  <c r="DU276" i="23"/>
  <c r="DO276" i="23"/>
  <c r="DI276" i="23"/>
  <c r="DC276" i="23"/>
  <c r="CW276" i="23"/>
  <c r="CQ276" i="23"/>
  <c r="CK276" i="23"/>
  <c r="CE276" i="23"/>
  <c r="BY276" i="23"/>
  <c r="BS276" i="23"/>
  <c r="BM276" i="23"/>
  <c r="BG276" i="23"/>
  <c r="BA276" i="23"/>
  <c r="AU276" i="23"/>
  <c r="AO276" i="23"/>
  <c r="GC275" i="23"/>
  <c r="FW275" i="23"/>
  <c r="FQ275" i="23"/>
  <c r="FK275" i="23"/>
  <c r="FE275" i="23"/>
  <c r="EY275" i="23"/>
  <c r="ES275" i="23"/>
  <c r="EM275" i="23"/>
  <c r="EG275" i="23"/>
  <c r="EA275" i="23"/>
  <c r="DU275" i="23"/>
  <c r="DO275" i="23"/>
  <c r="DI275" i="23"/>
  <c r="DC275" i="23"/>
  <c r="CW275" i="23"/>
  <c r="CQ275" i="23"/>
  <c r="CK275" i="23"/>
  <c r="CE275" i="23"/>
  <c r="BY275" i="23"/>
  <c r="BS275" i="23"/>
  <c r="BM275" i="23"/>
  <c r="BG275" i="23"/>
  <c r="BA275" i="23"/>
  <c r="AU275" i="23"/>
  <c r="AO275" i="23"/>
  <c r="GC274" i="23"/>
  <c r="FW274" i="23"/>
  <c r="FQ274" i="23"/>
  <c r="FK274" i="23"/>
  <c r="FE274" i="23"/>
  <c r="EY274" i="23"/>
  <c r="ES274" i="23"/>
  <c r="EM274" i="23"/>
  <c r="EG274" i="23"/>
  <c r="EA274" i="23"/>
  <c r="DU274" i="23"/>
  <c r="DO274" i="23"/>
  <c r="DI274" i="23"/>
  <c r="DC274" i="23"/>
  <c r="CW274" i="23"/>
  <c r="CQ274" i="23"/>
  <c r="CK274" i="23"/>
  <c r="CE274" i="23"/>
  <c r="BY274" i="23"/>
  <c r="BS274" i="23"/>
  <c r="BM274" i="23"/>
  <c r="BG274" i="23"/>
  <c r="BA274" i="23"/>
  <c r="AU274" i="23"/>
  <c r="AO274" i="23"/>
  <c r="GC273" i="23"/>
  <c r="FW273" i="23"/>
  <c r="FQ273" i="23"/>
  <c r="FK273" i="23"/>
  <c r="FE273" i="23"/>
  <c r="EY273" i="23"/>
  <c r="ES273" i="23"/>
  <c r="EM273" i="23"/>
  <c r="EG273" i="23"/>
  <c r="EA273" i="23"/>
  <c r="DU273" i="23"/>
  <c r="DO273" i="23"/>
  <c r="DI273" i="23"/>
  <c r="DC273" i="23"/>
  <c r="CW273" i="23"/>
  <c r="CQ273" i="23"/>
  <c r="CK273" i="23"/>
  <c r="CE273" i="23"/>
  <c r="BY273" i="23"/>
  <c r="BS273" i="23"/>
  <c r="BM273" i="23"/>
  <c r="BG273" i="23"/>
  <c r="BA273" i="23"/>
  <c r="AU273" i="23"/>
  <c r="AO273" i="23"/>
  <c r="GC268" i="23"/>
  <c r="FW268" i="23"/>
  <c r="FQ268" i="23"/>
  <c r="FK268" i="23"/>
  <c r="FE268" i="23"/>
  <c r="EY268" i="23"/>
  <c r="ES268" i="23"/>
  <c r="EM268" i="23"/>
  <c r="EG268" i="23"/>
  <c r="EA268" i="23"/>
  <c r="DU268" i="23"/>
  <c r="DO268" i="23"/>
  <c r="DI268" i="23"/>
  <c r="DC268" i="23"/>
  <c r="CW268" i="23"/>
  <c r="CQ268" i="23"/>
  <c r="CK268" i="23"/>
  <c r="CE268" i="23"/>
  <c r="BY268" i="23"/>
  <c r="BS268" i="23"/>
  <c r="BM268" i="23"/>
  <c r="BG268" i="23"/>
  <c r="BA268" i="23"/>
  <c r="AU268" i="23"/>
  <c r="AO268" i="23"/>
  <c r="GC267" i="23"/>
  <c r="FW267" i="23"/>
  <c r="FQ267" i="23"/>
  <c r="FK267" i="23"/>
  <c r="FE267" i="23"/>
  <c r="EY267" i="23"/>
  <c r="ES267" i="23"/>
  <c r="EM267" i="23"/>
  <c r="EG267" i="23"/>
  <c r="EA267" i="23"/>
  <c r="DU267" i="23"/>
  <c r="DO267" i="23"/>
  <c r="DI267" i="23"/>
  <c r="DC267" i="23"/>
  <c r="CW267" i="23"/>
  <c r="CQ267" i="23"/>
  <c r="CK267" i="23"/>
  <c r="CE267" i="23"/>
  <c r="BY267" i="23"/>
  <c r="BS267" i="23"/>
  <c r="BM267" i="23"/>
  <c r="BG267" i="23"/>
  <c r="BA267" i="23"/>
  <c r="AU267" i="23"/>
  <c r="AO267" i="23"/>
  <c r="GC265" i="23"/>
  <c r="FW265" i="23"/>
  <c r="FQ265" i="23"/>
  <c r="FK265" i="23"/>
  <c r="FE265" i="23"/>
  <c r="EY265" i="23"/>
  <c r="ES265" i="23"/>
  <c r="EM265" i="23"/>
  <c r="EG265" i="23"/>
  <c r="EA265" i="23"/>
  <c r="DU265" i="23"/>
  <c r="DO265" i="23"/>
  <c r="DI265" i="23"/>
  <c r="DC265" i="23"/>
  <c r="CW265" i="23"/>
  <c r="CQ265" i="23"/>
  <c r="CK265" i="23"/>
  <c r="CE265" i="23"/>
  <c r="BY265" i="23"/>
  <c r="BS265" i="23"/>
  <c r="BM265" i="23"/>
  <c r="BG265" i="23"/>
  <c r="BA265" i="23"/>
  <c r="AU265" i="23"/>
  <c r="AO265" i="23"/>
  <c r="GC258" i="23"/>
  <c r="FW258" i="23"/>
  <c r="FQ258" i="23"/>
  <c r="FK258" i="23"/>
  <c r="FE258" i="23"/>
  <c r="EY258" i="23"/>
  <c r="ES258" i="23"/>
  <c r="EM258" i="23"/>
  <c r="EG258" i="23"/>
  <c r="EA258" i="23"/>
  <c r="DU258" i="23"/>
  <c r="DO258" i="23"/>
  <c r="DI258" i="23"/>
  <c r="DC258" i="23"/>
  <c r="CW258" i="23"/>
  <c r="CQ258" i="23"/>
  <c r="CK258" i="23"/>
  <c r="CE258" i="23"/>
  <c r="BY258" i="23"/>
  <c r="BS258" i="23"/>
  <c r="BM258" i="23"/>
  <c r="BG258" i="23"/>
  <c r="BA258" i="23"/>
  <c r="AU258" i="23"/>
  <c r="AO258" i="23"/>
  <c r="GC257" i="23"/>
  <c r="FW257" i="23"/>
  <c r="FQ257" i="23"/>
  <c r="FK257" i="23"/>
  <c r="FE257" i="23"/>
  <c r="EY257" i="23"/>
  <c r="ES257" i="23"/>
  <c r="EM257" i="23"/>
  <c r="EG257" i="23"/>
  <c r="EA257" i="23"/>
  <c r="DU257" i="23"/>
  <c r="DO257" i="23"/>
  <c r="DI257" i="23"/>
  <c r="DC257" i="23"/>
  <c r="CW257" i="23"/>
  <c r="CQ257" i="23"/>
  <c r="CK257" i="23"/>
  <c r="CE257" i="23"/>
  <c r="BY257" i="23"/>
  <c r="BS257" i="23"/>
  <c r="BM257" i="23"/>
  <c r="BG257" i="23"/>
  <c r="BA257" i="23"/>
  <c r="AU257" i="23"/>
  <c r="AO257" i="23"/>
  <c r="GC255" i="23"/>
  <c r="FW255" i="23"/>
  <c r="FQ255" i="23"/>
  <c r="FK255" i="23"/>
  <c r="FE255" i="23"/>
  <c r="EY255" i="23"/>
  <c r="ES255" i="23"/>
  <c r="EM255" i="23"/>
  <c r="EG255" i="23"/>
  <c r="EA255" i="23"/>
  <c r="DU255" i="23"/>
  <c r="DO255" i="23"/>
  <c r="DI255" i="23"/>
  <c r="DC255" i="23"/>
  <c r="CW255" i="23"/>
  <c r="CQ255" i="23"/>
  <c r="CK255" i="23"/>
  <c r="CE255" i="23"/>
  <c r="BY255" i="23"/>
  <c r="BS255" i="23"/>
  <c r="BM255" i="23"/>
  <c r="BG255" i="23"/>
  <c r="BA255" i="23"/>
  <c r="AU255" i="23"/>
  <c r="AO255" i="23"/>
  <c r="GC251" i="23"/>
  <c r="FW251" i="23"/>
  <c r="FQ251" i="23"/>
  <c r="FK251" i="23"/>
  <c r="FE251" i="23"/>
  <c r="EY251" i="23"/>
  <c r="ES251" i="23"/>
  <c r="EM251" i="23"/>
  <c r="EG251" i="23"/>
  <c r="EA251" i="23"/>
  <c r="DU251" i="23"/>
  <c r="DO251" i="23"/>
  <c r="DI251" i="23"/>
  <c r="DC251" i="23"/>
  <c r="CW251" i="23"/>
  <c r="CQ251" i="23"/>
  <c r="CK251" i="23"/>
  <c r="CE251" i="23"/>
  <c r="BY251" i="23"/>
  <c r="BS251" i="23"/>
  <c r="BM251" i="23"/>
  <c r="BG251" i="23"/>
  <c r="BA251" i="23"/>
  <c r="AU251" i="23"/>
  <c r="AO251" i="23"/>
  <c r="GC249" i="23"/>
  <c r="FW249" i="23"/>
  <c r="FQ249" i="23"/>
  <c r="FK249" i="23"/>
  <c r="FE249" i="23"/>
  <c r="EY249" i="23"/>
  <c r="ES249" i="23"/>
  <c r="EM249" i="23"/>
  <c r="EG249" i="23"/>
  <c r="EA249" i="23"/>
  <c r="DU249" i="23"/>
  <c r="DO249" i="23"/>
  <c r="DI249" i="23"/>
  <c r="DC249" i="23"/>
  <c r="CW249" i="23"/>
  <c r="CQ249" i="23"/>
  <c r="CK249" i="23"/>
  <c r="CE249" i="23"/>
  <c r="BY249" i="23"/>
  <c r="BS249" i="23"/>
  <c r="BM249" i="23"/>
  <c r="BG249" i="23"/>
  <c r="BA249" i="23"/>
  <c r="AU249" i="23"/>
  <c r="AO249" i="23"/>
  <c r="GC248" i="23"/>
  <c r="FW248" i="23"/>
  <c r="FQ248" i="23"/>
  <c r="FK248" i="23"/>
  <c r="FE248" i="23"/>
  <c r="EY248" i="23"/>
  <c r="ES248" i="23"/>
  <c r="EM248" i="23"/>
  <c r="EG248" i="23"/>
  <c r="EA248" i="23"/>
  <c r="DU248" i="23"/>
  <c r="DO248" i="23"/>
  <c r="DI248" i="23"/>
  <c r="DC248" i="23"/>
  <c r="CW248" i="23"/>
  <c r="CQ248" i="23"/>
  <c r="CK248" i="23"/>
  <c r="CE248" i="23"/>
  <c r="BY248" i="23"/>
  <c r="BS248" i="23"/>
  <c r="BM248" i="23"/>
  <c r="BG248" i="23"/>
  <c r="BA248" i="23"/>
  <c r="AU248" i="23"/>
  <c r="AO248" i="23"/>
  <c r="GC246" i="23"/>
  <c r="FW246" i="23"/>
  <c r="FQ246" i="23"/>
  <c r="FK246" i="23"/>
  <c r="FE246" i="23"/>
  <c r="EY246" i="23"/>
  <c r="ES246" i="23"/>
  <c r="EM246" i="23"/>
  <c r="EG246" i="23"/>
  <c r="EA246" i="23"/>
  <c r="DU246" i="23"/>
  <c r="DO246" i="23"/>
  <c r="DI246" i="23"/>
  <c r="DC246" i="23"/>
  <c r="CW246" i="23"/>
  <c r="CQ246" i="23"/>
  <c r="CK246" i="23"/>
  <c r="CE246" i="23"/>
  <c r="BY246" i="23"/>
  <c r="BS246" i="23"/>
  <c r="BM246" i="23"/>
  <c r="BG246" i="23"/>
  <c r="BA246" i="23"/>
  <c r="AU246" i="23"/>
  <c r="AO246" i="23"/>
  <c r="GC245" i="23"/>
  <c r="FW245" i="23"/>
  <c r="FQ245" i="23"/>
  <c r="FK245" i="23"/>
  <c r="FE245" i="23"/>
  <c r="EY245" i="23"/>
  <c r="ES245" i="23"/>
  <c r="EM245" i="23"/>
  <c r="EG245" i="23"/>
  <c r="EA245" i="23"/>
  <c r="DU245" i="23"/>
  <c r="DO245" i="23"/>
  <c r="DI245" i="23"/>
  <c r="DC245" i="23"/>
  <c r="CW245" i="23"/>
  <c r="CQ245" i="23"/>
  <c r="CK245" i="23"/>
  <c r="CE245" i="23"/>
  <c r="BY245" i="23"/>
  <c r="BS245" i="23"/>
  <c r="BM245" i="23"/>
  <c r="BG245" i="23"/>
  <c r="BA245" i="23"/>
  <c r="AU245" i="23"/>
  <c r="AO245" i="23"/>
  <c r="GC244" i="23"/>
  <c r="FW244" i="23"/>
  <c r="FQ244" i="23"/>
  <c r="FK244" i="23"/>
  <c r="FE244" i="23"/>
  <c r="EY244" i="23"/>
  <c r="ES244" i="23"/>
  <c r="EM244" i="23"/>
  <c r="EG244" i="23"/>
  <c r="EA244" i="23"/>
  <c r="DU244" i="23"/>
  <c r="DO244" i="23"/>
  <c r="DI244" i="23"/>
  <c r="DC244" i="23"/>
  <c r="CW244" i="23"/>
  <c r="CQ244" i="23"/>
  <c r="CK244" i="23"/>
  <c r="CE244" i="23"/>
  <c r="BY244" i="23"/>
  <c r="BS244" i="23"/>
  <c r="BM244" i="23"/>
  <c r="BG244" i="23"/>
  <c r="BA244" i="23"/>
  <c r="AU244" i="23"/>
  <c r="AO244" i="23"/>
  <c r="GC243" i="23"/>
  <c r="FW243" i="23"/>
  <c r="FQ243" i="23"/>
  <c r="FK243" i="23"/>
  <c r="FE243" i="23"/>
  <c r="EY243" i="23"/>
  <c r="ES243" i="23"/>
  <c r="EM243" i="23"/>
  <c r="EG243" i="23"/>
  <c r="EA243" i="23"/>
  <c r="DU243" i="23"/>
  <c r="DO243" i="23"/>
  <c r="DI243" i="23"/>
  <c r="DC243" i="23"/>
  <c r="CW243" i="23"/>
  <c r="CQ243" i="23"/>
  <c r="CK243" i="23"/>
  <c r="CE243" i="23"/>
  <c r="BY243" i="23"/>
  <c r="BS243" i="23"/>
  <c r="BM243" i="23"/>
  <c r="BG243" i="23"/>
  <c r="BA243" i="23"/>
  <c r="AU243" i="23"/>
  <c r="AO243" i="23"/>
  <c r="GC238" i="23"/>
  <c r="FW238" i="23"/>
  <c r="FQ238" i="23"/>
  <c r="FK238" i="23"/>
  <c r="FE238" i="23"/>
  <c r="EY238" i="23"/>
  <c r="ES238" i="23"/>
  <c r="EM238" i="23"/>
  <c r="EG238" i="23"/>
  <c r="EA238" i="23"/>
  <c r="DU238" i="23"/>
  <c r="DO238" i="23"/>
  <c r="DI238" i="23"/>
  <c r="DC238" i="23"/>
  <c r="CW238" i="23"/>
  <c r="CQ238" i="23"/>
  <c r="CK238" i="23"/>
  <c r="CE238" i="23"/>
  <c r="BY238" i="23"/>
  <c r="BS238" i="23"/>
  <c r="BM238" i="23"/>
  <c r="BG238" i="23"/>
  <c r="BA238" i="23"/>
  <c r="AU238" i="23"/>
  <c r="AO238" i="23"/>
  <c r="GC237" i="23"/>
  <c r="FW237" i="23"/>
  <c r="FQ237" i="23"/>
  <c r="FK237" i="23"/>
  <c r="FE237" i="23"/>
  <c r="EY237" i="23"/>
  <c r="ES237" i="23"/>
  <c r="EM237" i="23"/>
  <c r="EG237" i="23"/>
  <c r="EA237" i="23"/>
  <c r="DU237" i="23"/>
  <c r="DO237" i="23"/>
  <c r="DI237" i="23"/>
  <c r="DC237" i="23"/>
  <c r="CW237" i="23"/>
  <c r="CQ237" i="23"/>
  <c r="CK237" i="23"/>
  <c r="CE237" i="23"/>
  <c r="BY237" i="23"/>
  <c r="BS237" i="23"/>
  <c r="BM237" i="23"/>
  <c r="BG237" i="23"/>
  <c r="BA237" i="23"/>
  <c r="AU237" i="23"/>
  <c r="AO237" i="23"/>
  <c r="GC235" i="23"/>
  <c r="FW235" i="23"/>
  <c r="FQ235" i="23"/>
  <c r="FK235" i="23"/>
  <c r="FE235" i="23"/>
  <c r="EY235" i="23"/>
  <c r="ES235" i="23"/>
  <c r="EM235" i="23"/>
  <c r="EG235" i="23"/>
  <c r="EA235" i="23"/>
  <c r="DU235" i="23"/>
  <c r="DO235" i="23"/>
  <c r="DI235" i="23"/>
  <c r="DC235" i="23"/>
  <c r="CW235" i="23"/>
  <c r="CQ235" i="23"/>
  <c r="CK235" i="23"/>
  <c r="CE235" i="23"/>
  <c r="BY235" i="23"/>
  <c r="BS235" i="23"/>
  <c r="BM235" i="23"/>
  <c r="BG235" i="23"/>
  <c r="BA235" i="23"/>
  <c r="AU235" i="23"/>
  <c r="AO235" i="23"/>
  <c r="GC228" i="23"/>
  <c r="FW228" i="23"/>
  <c r="FQ228" i="23"/>
  <c r="FK228" i="23"/>
  <c r="FE228" i="23"/>
  <c r="EY228" i="23"/>
  <c r="ES228" i="23"/>
  <c r="EM228" i="23"/>
  <c r="EG228" i="23"/>
  <c r="EA228" i="23"/>
  <c r="DU228" i="23"/>
  <c r="DO228" i="23"/>
  <c r="DI228" i="23"/>
  <c r="DC228" i="23"/>
  <c r="CW228" i="23"/>
  <c r="CQ228" i="23"/>
  <c r="CK228" i="23"/>
  <c r="CE228" i="23"/>
  <c r="BY228" i="23"/>
  <c r="BS228" i="23"/>
  <c r="BM228" i="23"/>
  <c r="BG228" i="23"/>
  <c r="BA228" i="23"/>
  <c r="AU228" i="23"/>
  <c r="AO228" i="23"/>
  <c r="GC227" i="23"/>
  <c r="FW227" i="23"/>
  <c r="FQ227" i="23"/>
  <c r="FK227" i="23"/>
  <c r="FE227" i="23"/>
  <c r="EY227" i="23"/>
  <c r="ES227" i="23"/>
  <c r="EM227" i="23"/>
  <c r="EG227" i="23"/>
  <c r="EA227" i="23"/>
  <c r="DU227" i="23"/>
  <c r="DO227" i="23"/>
  <c r="DI227" i="23"/>
  <c r="DC227" i="23"/>
  <c r="CW227" i="23"/>
  <c r="CQ227" i="23"/>
  <c r="CK227" i="23"/>
  <c r="CE227" i="23"/>
  <c r="BY227" i="23"/>
  <c r="BS227" i="23"/>
  <c r="BM227" i="23"/>
  <c r="BG227" i="23"/>
  <c r="BA227" i="23"/>
  <c r="AU227" i="23"/>
  <c r="AO227" i="23"/>
  <c r="GC225" i="23"/>
  <c r="FW225" i="23"/>
  <c r="FQ225" i="23"/>
  <c r="FK225" i="23"/>
  <c r="FE225" i="23"/>
  <c r="EY225" i="23"/>
  <c r="ES225" i="23"/>
  <c r="EM225" i="23"/>
  <c r="EG225" i="23"/>
  <c r="EA225" i="23"/>
  <c r="DU225" i="23"/>
  <c r="DO225" i="23"/>
  <c r="DI225" i="23"/>
  <c r="DC225" i="23"/>
  <c r="CW225" i="23"/>
  <c r="CQ225" i="23"/>
  <c r="CK225" i="23"/>
  <c r="CE225" i="23"/>
  <c r="BY225" i="23"/>
  <c r="BS225" i="23"/>
  <c r="BM225" i="23"/>
  <c r="BG225" i="23"/>
  <c r="BA225" i="23"/>
  <c r="AU225" i="23"/>
  <c r="AO225" i="23"/>
  <c r="GC221" i="23"/>
  <c r="FW221" i="23"/>
  <c r="FQ221" i="23"/>
  <c r="FK221" i="23"/>
  <c r="FE221" i="23"/>
  <c r="EY221" i="23"/>
  <c r="ES221" i="23"/>
  <c r="EM221" i="23"/>
  <c r="EG221" i="23"/>
  <c r="EA221" i="23"/>
  <c r="DU221" i="23"/>
  <c r="DO221" i="23"/>
  <c r="DI221" i="23"/>
  <c r="DC221" i="23"/>
  <c r="CW221" i="23"/>
  <c r="CQ221" i="23"/>
  <c r="CK221" i="23"/>
  <c r="CE221" i="23"/>
  <c r="BY221" i="23"/>
  <c r="BS221" i="23"/>
  <c r="BM221" i="23"/>
  <c r="BG221" i="23"/>
  <c r="BA221" i="23"/>
  <c r="AU221" i="23"/>
  <c r="AO221" i="23"/>
  <c r="GC219" i="23"/>
  <c r="FW219" i="23"/>
  <c r="FQ219" i="23"/>
  <c r="FK219" i="23"/>
  <c r="FE219" i="23"/>
  <c r="EY219" i="23"/>
  <c r="ES219" i="23"/>
  <c r="EM219" i="23"/>
  <c r="EG219" i="23"/>
  <c r="EA219" i="23"/>
  <c r="DU219" i="23"/>
  <c r="DO219" i="23"/>
  <c r="DI219" i="23"/>
  <c r="DC219" i="23"/>
  <c r="CW219" i="23"/>
  <c r="CQ219" i="23"/>
  <c r="CK219" i="23"/>
  <c r="CE219" i="23"/>
  <c r="BY219" i="23"/>
  <c r="BS219" i="23"/>
  <c r="BM219" i="23"/>
  <c r="BG219" i="23"/>
  <c r="BA219" i="23"/>
  <c r="AU219" i="23"/>
  <c r="AO219" i="23"/>
  <c r="GC218" i="23"/>
  <c r="FW218" i="23"/>
  <c r="FQ218" i="23"/>
  <c r="FK218" i="23"/>
  <c r="FE218" i="23"/>
  <c r="EY218" i="23"/>
  <c r="ES218" i="23"/>
  <c r="EM218" i="23"/>
  <c r="EG218" i="23"/>
  <c r="EA218" i="23"/>
  <c r="DU218" i="23"/>
  <c r="DO218" i="23"/>
  <c r="DI218" i="23"/>
  <c r="DC218" i="23"/>
  <c r="CW218" i="23"/>
  <c r="CQ218" i="23"/>
  <c r="CK218" i="23"/>
  <c r="CE218" i="23"/>
  <c r="BY218" i="23"/>
  <c r="BS218" i="23"/>
  <c r="BM218" i="23"/>
  <c r="BG218" i="23"/>
  <c r="BA218" i="23"/>
  <c r="AU218" i="23"/>
  <c r="AO218" i="23"/>
  <c r="GC216" i="23"/>
  <c r="FW216" i="23"/>
  <c r="FQ216" i="23"/>
  <c r="FK216" i="23"/>
  <c r="FE216" i="23"/>
  <c r="EY216" i="23"/>
  <c r="ES216" i="23"/>
  <c r="EM216" i="23"/>
  <c r="EG216" i="23"/>
  <c r="EA216" i="23"/>
  <c r="DU216" i="23"/>
  <c r="DO216" i="23"/>
  <c r="DI216" i="23"/>
  <c r="DC216" i="23"/>
  <c r="CW216" i="23"/>
  <c r="CQ216" i="23"/>
  <c r="CK216" i="23"/>
  <c r="CE216" i="23"/>
  <c r="BY216" i="23"/>
  <c r="BS216" i="23"/>
  <c r="BM216" i="23"/>
  <c r="BG216" i="23"/>
  <c r="BA216" i="23"/>
  <c r="AU216" i="23"/>
  <c r="AO216" i="23"/>
  <c r="GC215" i="23"/>
  <c r="FW215" i="23"/>
  <c r="FQ215" i="23"/>
  <c r="FK215" i="23"/>
  <c r="FE215" i="23"/>
  <c r="EY215" i="23"/>
  <c r="ES215" i="23"/>
  <c r="EM215" i="23"/>
  <c r="EG215" i="23"/>
  <c r="EA215" i="23"/>
  <c r="DU215" i="23"/>
  <c r="DO215" i="23"/>
  <c r="DI215" i="23"/>
  <c r="DC215" i="23"/>
  <c r="CW215" i="23"/>
  <c r="CQ215" i="23"/>
  <c r="CK215" i="23"/>
  <c r="CE215" i="23"/>
  <c r="BY215" i="23"/>
  <c r="BS215" i="23"/>
  <c r="BM215" i="23"/>
  <c r="BG215" i="23"/>
  <c r="BA215" i="23"/>
  <c r="AU215" i="23"/>
  <c r="AO215" i="23"/>
  <c r="GC214" i="23"/>
  <c r="FW214" i="23"/>
  <c r="FQ214" i="23"/>
  <c r="FK214" i="23"/>
  <c r="FE214" i="23"/>
  <c r="EY214" i="23"/>
  <c r="ES214" i="23"/>
  <c r="EM214" i="23"/>
  <c r="EG214" i="23"/>
  <c r="EA214" i="23"/>
  <c r="DU214" i="23"/>
  <c r="DO214" i="23"/>
  <c r="DI214" i="23"/>
  <c r="DC214" i="23"/>
  <c r="CW214" i="23"/>
  <c r="CQ214" i="23"/>
  <c r="CK214" i="23"/>
  <c r="CE214" i="23"/>
  <c r="BY214" i="23"/>
  <c r="BS214" i="23"/>
  <c r="BM214" i="23"/>
  <c r="BG214" i="23"/>
  <c r="BA214" i="23"/>
  <c r="AU214" i="23"/>
  <c r="AO214" i="23"/>
  <c r="GC213" i="23"/>
  <c r="FW213" i="23"/>
  <c r="FQ213" i="23"/>
  <c r="FK213" i="23"/>
  <c r="FE213" i="23"/>
  <c r="EY213" i="23"/>
  <c r="ES213" i="23"/>
  <c r="EM213" i="23"/>
  <c r="EG213" i="23"/>
  <c r="EA213" i="23"/>
  <c r="DU213" i="23"/>
  <c r="DO213" i="23"/>
  <c r="DI213" i="23"/>
  <c r="DC213" i="23"/>
  <c r="CW213" i="23"/>
  <c r="CQ213" i="23"/>
  <c r="CK213" i="23"/>
  <c r="CE213" i="23"/>
  <c r="BY213" i="23"/>
  <c r="BS213" i="23"/>
  <c r="BM213" i="23"/>
  <c r="BG213" i="23"/>
  <c r="BA213" i="23"/>
  <c r="AU213" i="23"/>
  <c r="AO213" i="23"/>
  <c r="GC208" i="23"/>
  <c r="FW208" i="23"/>
  <c r="FQ208" i="23"/>
  <c r="FK208" i="23"/>
  <c r="FE208" i="23"/>
  <c r="EY208" i="23"/>
  <c r="ES208" i="23"/>
  <c r="EM208" i="23"/>
  <c r="EG208" i="23"/>
  <c r="EA208" i="23"/>
  <c r="DU208" i="23"/>
  <c r="DO208" i="23"/>
  <c r="DI208" i="23"/>
  <c r="DC208" i="23"/>
  <c r="CW208" i="23"/>
  <c r="CQ208" i="23"/>
  <c r="CK208" i="23"/>
  <c r="CE208" i="23"/>
  <c r="BY208" i="23"/>
  <c r="BS208" i="23"/>
  <c r="BM208" i="23"/>
  <c r="BG208" i="23"/>
  <c r="BA208" i="23"/>
  <c r="AU208" i="23"/>
  <c r="AO208" i="23"/>
  <c r="GC207" i="23"/>
  <c r="FW207" i="23"/>
  <c r="FQ207" i="23"/>
  <c r="FK207" i="23"/>
  <c r="FE207" i="23"/>
  <c r="EY207" i="23"/>
  <c r="ES207" i="23"/>
  <c r="EM207" i="23"/>
  <c r="EG207" i="23"/>
  <c r="EA207" i="23"/>
  <c r="DU207" i="23"/>
  <c r="DO207" i="23"/>
  <c r="DI207" i="23"/>
  <c r="DC207" i="23"/>
  <c r="CW207" i="23"/>
  <c r="CQ207" i="23"/>
  <c r="CK207" i="23"/>
  <c r="CE207" i="23"/>
  <c r="BY207" i="23"/>
  <c r="BS207" i="23"/>
  <c r="BM207" i="23"/>
  <c r="BG207" i="23"/>
  <c r="BA207" i="23"/>
  <c r="AU207" i="23"/>
  <c r="AO207" i="23"/>
  <c r="GC205" i="23"/>
  <c r="FW205" i="23"/>
  <c r="FQ205" i="23"/>
  <c r="FK205" i="23"/>
  <c r="FE205" i="23"/>
  <c r="EY205" i="23"/>
  <c r="ES205" i="23"/>
  <c r="EM205" i="23"/>
  <c r="EG205" i="23"/>
  <c r="EA205" i="23"/>
  <c r="DU205" i="23"/>
  <c r="DO205" i="23"/>
  <c r="DI205" i="23"/>
  <c r="DC205" i="23"/>
  <c r="CW205" i="23"/>
  <c r="CQ205" i="23"/>
  <c r="CK205" i="23"/>
  <c r="CE205" i="23"/>
  <c r="BY205" i="23"/>
  <c r="BS205" i="23"/>
  <c r="BM205" i="23"/>
  <c r="BG205" i="23"/>
  <c r="BA205" i="23"/>
  <c r="AU205" i="23"/>
  <c r="AO205" i="23"/>
  <c r="GC198" i="23"/>
  <c r="FW198" i="23"/>
  <c r="FQ198" i="23"/>
  <c r="FK198" i="23"/>
  <c r="FE198" i="23"/>
  <c r="EY198" i="23"/>
  <c r="ES198" i="23"/>
  <c r="EM198" i="23"/>
  <c r="EG198" i="23"/>
  <c r="EA198" i="23"/>
  <c r="DU198" i="23"/>
  <c r="DO198" i="23"/>
  <c r="DI198" i="23"/>
  <c r="DC198" i="23"/>
  <c r="CW198" i="23"/>
  <c r="CQ198" i="23"/>
  <c r="CK198" i="23"/>
  <c r="CE198" i="23"/>
  <c r="BY198" i="23"/>
  <c r="BS198" i="23"/>
  <c r="BM198" i="23"/>
  <c r="BG198" i="23"/>
  <c r="BA198" i="23"/>
  <c r="AU198" i="23"/>
  <c r="AO198" i="23"/>
  <c r="GC197" i="23"/>
  <c r="FW197" i="23"/>
  <c r="FQ197" i="23"/>
  <c r="FK197" i="23"/>
  <c r="FE197" i="23"/>
  <c r="EY197" i="23"/>
  <c r="ES197" i="23"/>
  <c r="EM197" i="23"/>
  <c r="EG197" i="23"/>
  <c r="EA197" i="23"/>
  <c r="DU197" i="23"/>
  <c r="DO197" i="23"/>
  <c r="DI197" i="23"/>
  <c r="DC197" i="23"/>
  <c r="CW197" i="23"/>
  <c r="CQ197" i="23"/>
  <c r="CK197" i="23"/>
  <c r="CE197" i="23"/>
  <c r="BY197" i="23"/>
  <c r="BS197" i="23"/>
  <c r="BM197" i="23"/>
  <c r="BG197" i="23"/>
  <c r="BA197" i="23"/>
  <c r="AU197" i="23"/>
  <c r="AO197" i="23"/>
  <c r="GC195" i="23"/>
  <c r="FW195" i="23"/>
  <c r="FQ195" i="23"/>
  <c r="FK195" i="23"/>
  <c r="FE195" i="23"/>
  <c r="EY195" i="23"/>
  <c r="ES195" i="23"/>
  <c r="EM195" i="23"/>
  <c r="EG195" i="23"/>
  <c r="EA195" i="23"/>
  <c r="DU195" i="23"/>
  <c r="DO195" i="23"/>
  <c r="DI195" i="23"/>
  <c r="DC195" i="23"/>
  <c r="CW195" i="23"/>
  <c r="CQ195" i="23"/>
  <c r="CK195" i="23"/>
  <c r="CE195" i="23"/>
  <c r="BY195" i="23"/>
  <c r="BS195" i="23"/>
  <c r="BM195" i="23"/>
  <c r="BG195" i="23"/>
  <c r="BA195" i="23"/>
  <c r="AU195" i="23"/>
  <c r="AO195" i="23"/>
  <c r="GC191" i="23"/>
  <c r="FW191" i="23"/>
  <c r="FQ191" i="23"/>
  <c r="FK191" i="23"/>
  <c r="FE191" i="23"/>
  <c r="EY191" i="23"/>
  <c r="ES191" i="23"/>
  <c r="EM191" i="23"/>
  <c r="EG191" i="23"/>
  <c r="EA191" i="23"/>
  <c r="DU191" i="23"/>
  <c r="DO191" i="23"/>
  <c r="DI191" i="23"/>
  <c r="DC191" i="23"/>
  <c r="CW191" i="23"/>
  <c r="CQ191" i="23"/>
  <c r="CK191" i="23"/>
  <c r="CE191" i="23"/>
  <c r="BY191" i="23"/>
  <c r="BS191" i="23"/>
  <c r="BM191" i="23"/>
  <c r="BG191" i="23"/>
  <c r="BA191" i="23"/>
  <c r="AU191" i="23"/>
  <c r="AO191" i="23"/>
  <c r="GC189" i="23"/>
  <c r="FW189" i="23"/>
  <c r="FQ189" i="23"/>
  <c r="FK189" i="23"/>
  <c r="FE189" i="23"/>
  <c r="EY189" i="23"/>
  <c r="ES189" i="23"/>
  <c r="EM189" i="23"/>
  <c r="EG189" i="23"/>
  <c r="EA189" i="23"/>
  <c r="DU189" i="23"/>
  <c r="DO189" i="23"/>
  <c r="DI189" i="23"/>
  <c r="DC189" i="23"/>
  <c r="CW189" i="23"/>
  <c r="CQ189" i="23"/>
  <c r="CK189" i="23"/>
  <c r="CE189" i="23"/>
  <c r="BY189" i="23"/>
  <c r="BS189" i="23"/>
  <c r="BM189" i="23"/>
  <c r="BG189" i="23"/>
  <c r="BA189" i="23"/>
  <c r="AU189" i="23"/>
  <c r="AO189" i="23"/>
  <c r="GC188" i="23"/>
  <c r="FW188" i="23"/>
  <c r="FQ188" i="23"/>
  <c r="FK188" i="23"/>
  <c r="FE188" i="23"/>
  <c r="EY188" i="23"/>
  <c r="ES188" i="23"/>
  <c r="EM188" i="23"/>
  <c r="EG188" i="23"/>
  <c r="EA188" i="23"/>
  <c r="DU188" i="23"/>
  <c r="DO188" i="23"/>
  <c r="DI188" i="23"/>
  <c r="DC188" i="23"/>
  <c r="CW188" i="23"/>
  <c r="CQ188" i="23"/>
  <c r="CK188" i="23"/>
  <c r="CE188" i="23"/>
  <c r="BY188" i="23"/>
  <c r="BS188" i="23"/>
  <c r="BM188" i="23"/>
  <c r="BG188" i="23"/>
  <c r="BA188" i="23"/>
  <c r="AU188" i="23"/>
  <c r="AO188" i="23"/>
  <c r="GC186" i="23"/>
  <c r="FW186" i="23"/>
  <c r="FQ186" i="23"/>
  <c r="FK186" i="23"/>
  <c r="FE186" i="23"/>
  <c r="EY186" i="23"/>
  <c r="ES186" i="23"/>
  <c r="EM186" i="23"/>
  <c r="EG186" i="23"/>
  <c r="EA186" i="23"/>
  <c r="DU186" i="23"/>
  <c r="DO186" i="23"/>
  <c r="DI186" i="23"/>
  <c r="DC186" i="23"/>
  <c r="CW186" i="23"/>
  <c r="CQ186" i="23"/>
  <c r="CK186" i="23"/>
  <c r="CE186" i="23"/>
  <c r="BY186" i="23"/>
  <c r="BS186" i="23"/>
  <c r="BM186" i="23"/>
  <c r="BG186" i="23"/>
  <c r="BA186" i="23"/>
  <c r="AU186" i="23"/>
  <c r="AO186" i="23"/>
  <c r="GC185" i="23"/>
  <c r="FW185" i="23"/>
  <c r="FQ185" i="23"/>
  <c r="FK185" i="23"/>
  <c r="FE185" i="23"/>
  <c r="EY185" i="23"/>
  <c r="ES185" i="23"/>
  <c r="EM185" i="23"/>
  <c r="EG185" i="23"/>
  <c r="EA185" i="23"/>
  <c r="DU185" i="23"/>
  <c r="DO185" i="23"/>
  <c r="DI185" i="23"/>
  <c r="DC185" i="23"/>
  <c r="CW185" i="23"/>
  <c r="CQ185" i="23"/>
  <c r="CK185" i="23"/>
  <c r="CE185" i="23"/>
  <c r="BY185" i="23"/>
  <c r="BS185" i="23"/>
  <c r="BM185" i="23"/>
  <c r="BG185" i="23"/>
  <c r="BA185" i="23"/>
  <c r="AU185" i="23"/>
  <c r="AO185" i="23"/>
  <c r="GC184" i="23"/>
  <c r="FW184" i="23"/>
  <c r="FQ184" i="23"/>
  <c r="FK184" i="23"/>
  <c r="FE184" i="23"/>
  <c r="EY184" i="23"/>
  <c r="ES184" i="23"/>
  <c r="EM184" i="23"/>
  <c r="EG184" i="23"/>
  <c r="EA184" i="23"/>
  <c r="DU184" i="23"/>
  <c r="DO184" i="23"/>
  <c r="DI184" i="23"/>
  <c r="DC184" i="23"/>
  <c r="CW184" i="23"/>
  <c r="CQ184" i="23"/>
  <c r="CK184" i="23"/>
  <c r="CE184" i="23"/>
  <c r="BY184" i="23"/>
  <c r="BS184" i="23"/>
  <c r="BM184" i="23"/>
  <c r="BG184" i="23"/>
  <c r="BA184" i="23"/>
  <c r="AU184" i="23"/>
  <c r="AO184" i="23"/>
  <c r="GC183" i="23"/>
  <c r="FW183" i="23"/>
  <c r="FQ183" i="23"/>
  <c r="FK183" i="23"/>
  <c r="FE183" i="23"/>
  <c r="EY183" i="23"/>
  <c r="ES183" i="23"/>
  <c r="EM183" i="23"/>
  <c r="EG183" i="23"/>
  <c r="EA183" i="23"/>
  <c r="DU183" i="23"/>
  <c r="DO183" i="23"/>
  <c r="DI183" i="23"/>
  <c r="DC183" i="23"/>
  <c r="CW183" i="23"/>
  <c r="CQ183" i="23"/>
  <c r="CK183" i="23"/>
  <c r="CE183" i="23"/>
  <c r="BY183" i="23"/>
  <c r="BS183" i="23"/>
  <c r="BM183" i="23"/>
  <c r="BG183" i="23"/>
  <c r="BA183" i="23"/>
  <c r="AU183" i="23"/>
  <c r="AO183" i="23"/>
  <c r="GC178" i="23"/>
  <c r="FW178" i="23"/>
  <c r="FQ178" i="23"/>
  <c r="FK178" i="23"/>
  <c r="FE178" i="23"/>
  <c r="EY178" i="23"/>
  <c r="ES178" i="23"/>
  <c r="EM178" i="23"/>
  <c r="EG178" i="23"/>
  <c r="EA178" i="23"/>
  <c r="DU178" i="23"/>
  <c r="DO178" i="23"/>
  <c r="DI178" i="23"/>
  <c r="DC178" i="23"/>
  <c r="CW178" i="23"/>
  <c r="CQ178" i="23"/>
  <c r="CK178" i="23"/>
  <c r="CE178" i="23"/>
  <c r="BY178" i="23"/>
  <c r="BS178" i="23"/>
  <c r="BM178" i="23"/>
  <c r="BG178" i="23"/>
  <c r="BA178" i="23"/>
  <c r="AU178" i="23"/>
  <c r="AO178" i="23"/>
  <c r="GC177" i="23"/>
  <c r="FW177" i="23"/>
  <c r="FQ177" i="23"/>
  <c r="FK177" i="23"/>
  <c r="FE177" i="23"/>
  <c r="EY177" i="23"/>
  <c r="ES177" i="23"/>
  <c r="EM177" i="23"/>
  <c r="EG177" i="23"/>
  <c r="EA177" i="23"/>
  <c r="DU177" i="23"/>
  <c r="DO177" i="23"/>
  <c r="DI177" i="23"/>
  <c r="DC177" i="23"/>
  <c r="CW177" i="23"/>
  <c r="CQ177" i="23"/>
  <c r="CK177" i="23"/>
  <c r="CE177" i="23"/>
  <c r="BY177" i="23"/>
  <c r="BS177" i="23"/>
  <c r="BM177" i="23"/>
  <c r="BG177" i="23"/>
  <c r="BA177" i="23"/>
  <c r="AU177" i="23"/>
  <c r="AO177" i="23"/>
  <c r="GC175" i="23"/>
  <c r="FW175" i="23"/>
  <c r="FQ175" i="23"/>
  <c r="FK175" i="23"/>
  <c r="FE175" i="23"/>
  <c r="EY175" i="23"/>
  <c r="ES175" i="23"/>
  <c r="EM175" i="23"/>
  <c r="EG175" i="23"/>
  <c r="EA175" i="23"/>
  <c r="DU175" i="23"/>
  <c r="DO175" i="23"/>
  <c r="DI175" i="23"/>
  <c r="DC175" i="23"/>
  <c r="CW175" i="23"/>
  <c r="CQ175" i="23"/>
  <c r="CK175" i="23"/>
  <c r="CE175" i="23"/>
  <c r="BY175" i="23"/>
  <c r="BS175" i="23"/>
  <c r="BM175" i="23"/>
  <c r="BG175" i="23"/>
  <c r="BA175" i="23"/>
  <c r="AU175" i="23"/>
  <c r="AO175" i="23"/>
  <c r="GC168" i="23"/>
  <c r="FW168" i="23"/>
  <c r="FQ168" i="23"/>
  <c r="FK168" i="23"/>
  <c r="FE168" i="23"/>
  <c r="EY168" i="23"/>
  <c r="ES168" i="23"/>
  <c r="EM168" i="23"/>
  <c r="EG168" i="23"/>
  <c r="EA168" i="23"/>
  <c r="DU168" i="23"/>
  <c r="DO168" i="23"/>
  <c r="DI168" i="23"/>
  <c r="DC168" i="23"/>
  <c r="CW168" i="23"/>
  <c r="CQ168" i="23"/>
  <c r="CK168" i="23"/>
  <c r="CE168" i="23"/>
  <c r="BY168" i="23"/>
  <c r="BS168" i="23"/>
  <c r="BM168" i="23"/>
  <c r="BG168" i="23"/>
  <c r="BA168" i="23"/>
  <c r="AU168" i="23"/>
  <c r="AO168" i="23"/>
  <c r="GC167" i="23"/>
  <c r="FW167" i="23"/>
  <c r="FQ167" i="23"/>
  <c r="FK167" i="23"/>
  <c r="FE167" i="23"/>
  <c r="EY167" i="23"/>
  <c r="ES167" i="23"/>
  <c r="EM167" i="23"/>
  <c r="EG167" i="23"/>
  <c r="EA167" i="23"/>
  <c r="DU167" i="23"/>
  <c r="DO167" i="23"/>
  <c r="DI167" i="23"/>
  <c r="DC167" i="23"/>
  <c r="CW167" i="23"/>
  <c r="CQ167" i="23"/>
  <c r="CK167" i="23"/>
  <c r="CE167" i="23"/>
  <c r="BY167" i="23"/>
  <c r="BS167" i="23"/>
  <c r="BM167" i="23"/>
  <c r="BG167" i="23"/>
  <c r="BA167" i="23"/>
  <c r="AU167" i="23"/>
  <c r="AO167" i="23"/>
  <c r="GC165" i="23"/>
  <c r="FW165" i="23"/>
  <c r="FQ165" i="23"/>
  <c r="FK165" i="23"/>
  <c r="FE165" i="23"/>
  <c r="EY165" i="23"/>
  <c r="ES165" i="23"/>
  <c r="EM165" i="23"/>
  <c r="EG165" i="23"/>
  <c r="EA165" i="23"/>
  <c r="DU165" i="23"/>
  <c r="DO165" i="23"/>
  <c r="DI165" i="23"/>
  <c r="DC165" i="23"/>
  <c r="CW165" i="23"/>
  <c r="CQ165" i="23"/>
  <c r="CK165" i="23"/>
  <c r="CE165" i="23"/>
  <c r="BY165" i="23"/>
  <c r="BS165" i="23"/>
  <c r="BM165" i="23"/>
  <c r="BG165" i="23"/>
  <c r="BA165" i="23"/>
  <c r="AU165" i="23"/>
  <c r="AO165" i="23"/>
  <c r="GC161" i="23"/>
  <c r="FW161" i="23"/>
  <c r="FQ161" i="23"/>
  <c r="FK161" i="23"/>
  <c r="FE161" i="23"/>
  <c r="EY161" i="23"/>
  <c r="ES161" i="23"/>
  <c r="EM161" i="23"/>
  <c r="EG161" i="23"/>
  <c r="EA161" i="23"/>
  <c r="DU161" i="23"/>
  <c r="DO161" i="23"/>
  <c r="DI161" i="23"/>
  <c r="DC161" i="23"/>
  <c r="CW161" i="23"/>
  <c r="CQ161" i="23"/>
  <c r="CK161" i="23"/>
  <c r="CE161" i="23"/>
  <c r="BY161" i="23"/>
  <c r="BS161" i="23"/>
  <c r="BM161" i="23"/>
  <c r="BG161" i="23"/>
  <c r="BA161" i="23"/>
  <c r="AU161" i="23"/>
  <c r="AO161" i="23"/>
  <c r="GC159" i="23"/>
  <c r="FW159" i="23"/>
  <c r="FQ159" i="23"/>
  <c r="FK159" i="23"/>
  <c r="FE159" i="23"/>
  <c r="EY159" i="23"/>
  <c r="ES159" i="23"/>
  <c r="EM159" i="23"/>
  <c r="EG159" i="23"/>
  <c r="EA159" i="23"/>
  <c r="DU159" i="23"/>
  <c r="DO159" i="23"/>
  <c r="DI159" i="23"/>
  <c r="DC159" i="23"/>
  <c r="CW159" i="23"/>
  <c r="CQ159" i="23"/>
  <c r="CK159" i="23"/>
  <c r="CE159" i="23"/>
  <c r="BY159" i="23"/>
  <c r="BS159" i="23"/>
  <c r="BM159" i="23"/>
  <c r="BG159" i="23"/>
  <c r="BA159" i="23"/>
  <c r="AU159" i="23"/>
  <c r="AO159" i="23"/>
  <c r="GC158" i="23"/>
  <c r="FW158" i="23"/>
  <c r="FQ158" i="23"/>
  <c r="FK158" i="23"/>
  <c r="FE158" i="23"/>
  <c r="EY158" i="23"/>
  <c r="ES158" i="23"/>
  <c r="EM158" i="23"/>
  <c r="EG158" i="23"/>
  <c r="EA158" i="23"/>
  <c r="DU158" i="23"/>
  <c r="DO158" i="23"/>
  <c r="DI158" i="23"/>
  <c r="DC158" i="23"/>
  <c r="CW158" i="23"/>
  <c r="CQ158" i="23"/>
  <c r="CK158" i="23"/>
  <c r="CE158" i="23"/>
  <c r="BY158" i="23"/>
  <c r="BS158" i="23"/>
  <c r="BM158" i="23"/>
  <c r="BG158" i="23"/>
  <c r="BA158" i="23"/>
  <c r="AU158" i="23"/>
  <c r="AO158" i="23"/>
  <c r="GC156" i="23"/>
  <c r="FW156" i="23"/>
  <c r="FQ156" i="23"/>
  <c r="FK156" i="23"/>
  <c r="FE156" i="23"/>
  <c r="EY156" i="23"/>
  <c r="ES156" i="23"/>
  <c r="EM156" i="23"/>
  <c r="EG156" i="23"/>
  <c r="EA156" i="23"/>
  <c r="DU156" i="23"/>
  <c r="DO156" i="23"/>
  <c r="DI156" i="23"/>
  <c r="DC156" i="23"/>
  <c r="CW156" i="23"/>
  <c r="CQ156" i="23"/>
  <c r="CK156" i="23"/>
  <c r="CE156" i="23"/>
  <c r="BY156" i="23"/>
  <c r="BS156" i="23"/>
  <c r="BM156" i="23"/>
  <c r="BG156" i="23"/>
  <c r="BA156" i="23"/>
  <c r="AU156" i="23"/>
  <c r="AO156" i="23"/>
  <c r="GC155" i="23"/>
  <c r="FW155" i="23"/>
  <c r="FQ155" i="23"/>
  <c r="FK155" i="23"/>
  <c r="FE155" i="23"/>
  <c r="EY155" i="23"/>
  <c r="ES155" i="23"/>
  <c r="EM155" i="23"/>
  <c r="EG155" i="23"/>
  <c r="EA155" i="23"/>
  <c r="DU155" i="23"/>
  <c r="DO155" i="23"/>
  <c r="DI155" i="23"/>
  <c r="DC155" i="23"/>
  <c r="CW155" i="23"/>
  <c r="CQ155" i="23"/>
  <c r="CK155" i="23"/>
  <c r="CE155" i="23"/>
  <c r="BY155" i="23"/>
  <c r="BS155" i="23"/>
  <c r="BM155" i="23"/>
  <c r="BG155" i="23"/>
  <c r="BA155" i="23"/>
  <c r="AU155" i="23"/>
  <c r="AO155" i="23"/>
  <c r="GC154" i="23"/>
  <c r="FW154" i="23"/>
  <c r="FQ154" i="23"/>
  <c r="FK154" i="23"/>
  <c r="FE154" i="23"/>
  <c r="EY154" i="23"/>
  <c r="ES154" i="23"/>
  <c r="EM154" i="23"/>
  <c r="EG154" i="23"/>
  <c r="EA154" i="23"/>
  <c r="DU154" i="23"/>
  <c r="DO154" i="23"/>
  <c r="DI154" i="23"/>
  <c r="DC154" i="23"/>
  <c r="CW154" i="23"/>
  <c r="CQ154" i="23"/>
  <c r="CK154" i="23"/>
  <c r="CE154" i="23"/>
  <c r="BY154" i="23"/>
  <c r="BS154" i="23"/>
  <c r="BM154" i="23"/>
  <c r="BG154" i="23"/>
  <c r="BA154" i="23"/>
  <c r="AU154" i="23"/>
  <c r="AO154" i="23"/>
  <c r="GC153" i="23"/>
  <c r="FW153" i="23"/>
  <c r="FQ153" i="23"/>
  <c r="FK153" i="23"/>
  <c r="FE153" i="23"/>
  <c r="EY153" i="23"/>
  <c r="ES153" i="23"/>
  <c r="EM153" i="23"/>
  <c r="EG153" i="23"/>
  <c r="EA153" i="23"/>
  <c r="DU153" i="23"/>
  <c r="DO153" i="23"/>
  <c r="DI153" i="23"/>
  <c r="DC153" i="23"/>
  <c r="CW153" i="23"/>
  <c r="CQ153" i="23"/>
  <c r="CK153" i="23"/>
  <c r="CE153" i="23"/>
  <c r="BY153" i="23"/>
  <c r="BS153" i="23"/>
  <c r="BM153" i="23"/>
  <c r="BG153" i="23"/>
  <c r="BA153" i="23"/>
  <c r="AU153" i="23"/>
  <c r="AO153" i="23"/>
  <c r="GC148" i="23"/>
  <c r="FW148" i="23"/>
  <c r="FQ148" i="23"/>
  <c r="FK148" i="23"/>
  <c r="FE148" i="23"/>
  <c r="EY148" i="23"/>
  <c r="ES148" i="23"/>
  <c r="EM148" i="23"/>
  <c r="EG148" i="23"/>
  <c r="EA148" i="23"/>
  <c r="DU148" i="23"/>
  <c r="DO148" i="23"/>
  <c r="DI148" i="23"/>
  <c r="DC148" i="23"/>
  <c r="CW148" i="23"/>
  <c r="CQ148" i="23"/>
  <c r="CK148" i="23"/>
  <c r="CE148" i="23"/>
  <c r="BY148" i="23"/>
  <c r="BS148" i="23"/>
  <c r="BM148" i="23"/>
  <c r="BG148" i="23"/>
  <c r="BA148" i="23"/>
  <c r="AU148" i="23"/>
  <c r="AO148" i="23"/>
  <c r="GC147" i="23"/>
  <c r="FW147" i="23"/>
  <c r="FQ147" i="23"/>
  <c r="FK147" i="23"/>
  <c r="FE147" i="23"/>
  <c r="EY147" i="23"/>
  <c r="ES147" i="23"/>
  <c r="EM147" i="23"/>
  <c r="EG147" i="23"/>
  <c r="EA147" i="23"/>
  <c r="DU147" i="23"/>
  <c r="DO147" i="23"/>
  <c r="DI147" i="23"/>
  <c r="DC147" i="23"/>
  <c r="CW147" i="23"/>
  <c r="CQ147" i="23"/>
  <c r="CK147" i="23"/>
  <c r="CE147" i="23"/>
  <c r="BY147" i="23"/>
  <c r="BS147" i="23"/>
  <c r="BM147" i="23"/>
  <c r="BG147" i="23"/>
  <c r="BA147" i="23"/>
  <c r="AU147" i="23"/>
  <c r="AO147" i="23"/>
  <c r="GC145" i="23"/>
  <c r="FW145" i="23"/>
  <c r="FQ145" i="23"/>
  <c r="FK145" i="23"/>
  <c r="FE145" i="23"/>
  <c r="EY145" i="23"/>
  <c r="ES145" i="23"/>
  <c r="EM145" i="23"/>
  <c r="EG145" i="23"/>
  <c r="EA145" i="23"/>
  <c r="DU145" i="23"/>
  <c r="DO145" i="23"/>
  <c r="DI145" i="23"/>
  <c r="DC145" i="23"/>
  <c r="CW145" i="23"/>
  <c r="CQ145" i="23"/>
  <c r="CK145" i="23"/>
  <c r="CE145" i="23"/>
  <c r="BY145" i="23"/>
  <c r="BS145" i="23"/>
  <c r="BM145" i="23"/>
  <c r="BG145" i="23"/>
  <c r="BA145" i="23"/>
  <c r="AU145" i="23"/>
  <c r="AO145" i="23"/>
  <c r="GC138" i="23"/>
  <c r="FW138" i="23"/>
  <c r="FQ138" i="23"/>
  <c r="FK138" i="23"/>
  <c r="FE138" i="23"/>
  <c r="EY138" i="23"/>
  <c r="ES138" i="23"/>
  <c r="EM138" i="23"/>
  <c r="EG138" i="23"/>
  <c r="EA138" i="23"/>
  <c r="DU138" i="23"/>
  <c r="DO138" i="23"/>
  <c r="DI138" i="23"/>
  <c r="DC138" i="23"/>
  <c r="CW138" i="23"/>
  <c r="CQ138" i="23"/>
  <c r="CK138" i="23"/>
  <c r="CE138" i="23"/>
  <c r="BY138" i="23"/>
  <c r="BS138" i="23"/>
  <c r="BM138" i="23"/>
  <c r="BG138" i="23"/>
  <c r="BA138" i="23"/>
  <c r="AU138" i="23"/>
  <c r="AO138" i="23"/>
  <c r="GC137" i="23"/>
  <c r="FW137" i="23"/>
  <c r="FQ137" i="23"/>
  <c r="FK137" i="23"/>
  <c r="FE137" i="23"/>
  <c r="EY137" i="23"/>
  <c r="ES137" i="23"/>
  <c r="EM137" i="23"/>
  <c r="EG137" i="23"/>
  <c r="EA137" i="23"/>
  <c r="DU137" i="23"/>
  <c r="DO137" i="23"/>
  <c r="DI137" i="23"/>
  <c r="DC137" i="23"/>
  <c r="CW137" i="23"/>
  <c r="CQ137" i="23"/>
  <c r="CK137" i="23"/>
  <c r="CE137" i="23"/>
  <c r="BY137" i="23"/>
  <c r="BS137" i="23"/>
  <c r="BM137" i="23"/>
  <c r="BG137" i="23"/>
  <c r="BA137" i="23"/>
  <c r="AU137" i="23"/>
  <c r="AO137" i="23"/>
  <c r="GC135" i="23"/>
  <c r="FW135" i="23"/>
  <c r="FQ135" i="23"/>
  <c r="FK135" i="23"/>
  <c r="FE135" i="23"/>
  <c r="EY135" i="23"/>
  <c r="ES135" i="23"/>
  <c r="EM135" i="23"/>
  <c r="EG135" i="23"/>
  <c r="EA135" i="23"/>
  <c r="DU135" i="23"/>
  <c r="DO135" i="23"/>
  <c r="DI135" i="23"/>
  <c r="DC135" i="23"/>
  <c r="CW135" i="23"/>
  <c r="CQ135" i="23"/>
  <c r="CK135" i="23"/>
  <c r="CE135" i="23"/>
  <c r="BY135" i="23"/>
  <c r="BS135" i="23"/>
  <c r="BM135" i="23"/>
  <c r="BG135" i="23"/>
  <c r="BA135" i="23"/>
  <c r="AU135" i="23"/>
  <c r="AO135" i="23"/>
  <c r="GC131" i="23"/>
  <c r="FW131" i="23"/>
  <c r="FQ131" i="23"/>
  <c r="FK131" i="23"/>
  <c r="FE131" i="23"/>
  <c r="EY131" i="23"/>
  <c r="ES131" i="23"/>
  <c r="EM131" i="23"/>
  <c r="EG131" i="23"/>
  <c r="EA131" i="23"/>
  <c r="DU131" i="23"/>
  <c r="DO131" i="23"/>
  <c r="DI131" i="23"/>
  <c r="DC131" i="23"/>
  <c r="CW131" i="23"/>
  <c r="CQ131" i="23"/>
  <c r="CK131" i="23"/>
  <c r="CE131" i="23"/>
  <c r="BY131" i="23"/>
  <c r="BS131" i="23"/>
  <c r="BM131" i="23"/>
  <c r="BG131" i="23"/>
  <c r="BA131" i="23"/>
  <c r="AU131" i="23"/>
  <c r="AO131" i="23"/>
  <c r="GC129" i="23"/>
  <c r="FW129" i="23"/>
  <c r="FQ129" i="23"/>
  <c r="FK129" i="23"/>
  <c r="FE129" i="23"/>
  <c r="EY129" i="23"/>
  <c r="ES129" i="23"/>
  <c r="EM129" i="23"/>
  <c r="EG129" i="23"/>
  <c r="EA129" i="23"/>
  <c r="DU129" i="23"/>
  <c r="DO129" i="23"/>
  <c r="DI129" i="23"/>
  <c r="DC129" i="23"/>
  <c r="CW129" i="23"/>
  <c r="CQ129" i="23"/>
  <c r="CK129" i="23"/>
  <c r="CE129" i="23"/>
  <c r="BY129" i="23"/>
  <c r="BS129" i="23"/>
  <c r="BM129" i="23"/>
  <c r="BG129" i="23"/>
  <c r="BA129" i="23"/>
  <c r="AU129" i="23"/>
  <c r="AO129" i="23"/>
  <c r="GC128" i="23"/>
  <c r="FW128" i="23"/>
  <c r="FQ128" i="23"/>
  <c r="FK128" i="23"/>
  <c r="FE128" i="23"/>
  <c r="EY128" i="23"/>
  <c r="ES128" i="23"/>
  <c r="EM128" i="23"/>
  <c r="EG128" i="23"/>
  <c r="EA128" i="23"/>
  <c r="DU128" i="23"/>
  <c r="DO128" i="23"/>
  <c r="DI128" i="23"/>
  <c r="DC128" i="23"/>
  <c r="CW128" i="23"/>
  <c r="CQ128" i="23"/>
  <c r="CK128" i="23"/>
  <c r="CE128" i="23"/>
  <c r="BY128" i="23"/>
  <c r="BS128" i="23"/>
  <c r="BM128" i="23"/>
  <c r="BG128" i="23"/>
  <c r="BA128" i="23"/>
  <c r="AU128" i="23"/>
  <c r="AO128" i="23"/>
  <c r="GC126" i="23"/>
  <c r="FW126" i="23"/>
  <c r="FQ126" i="23"/>
  <c r="FK126" i="23"/>
  <c r="FE126" i="23"/>
  <c r="EY126" i="23"/>
  <c r="ES126" i="23"/>
  <c r="EM126" i="23"/>
  <c r="EG126" i="23"/>
  <c r="EA126" i="23"/>
  <c r="DU126" i="23"/>
  <c r="DO126" i="23"/>
  <c r="DI126" i="23"/>
  <c r="DC126" i="23"/>
  <c r="CW126" i="23"/>
  <c r="CQ126" i="23"/>
  <c r="CK126" i="23"/>
  <c r="CE126" i="23"/>
  <c r="BY126" i="23"/>
  <c r="BS126" i="23"/>
  <c r="BM126" i="23"/>
  <c r="BG126" i="23"/>
  <c r="BA126" i="23"/>
  <c r="AU126" i="23"/>
  <c r="AO126" i="23"/>
  <c r="GC125" i="23"/>
  <c r="FW125" i="23"/>
  <c r="FQ125" i="23"/>
  <c r="FK125" i="23"/>
  <c r="FE125" i="23"/>
  <c r="EY125" i="23"/>
  <c r="ES125" i="23"/>
  <c r="EM125" i="23"/>
  <c r="EG125" i="23"/>
  <c r="EA125" i="23"/>
  <c r="DU125" i="23"/>
  <c r="DO125" i="23"/>
  <c r="DI125" i="23"/>
  <c r="DC125" i="23"/>
  <c r="CW125" i="23"/>
  <c r="CQ125" i="23"/>
  <c r="CK125" i="23"/>
  <c r="CE125" i="23"/>
  <c r="BY125" i="23"/>
  <c r="BS125" i="23"/>
  <c r="BM125" i="23"/>
  <c r="BG125" i="23"/>
  <c r="BA125" i="23"/>
  <c r="AU125" i="23"/>
  <c r="AO125" i="23"/>
  <c r="GC124" i="23"/>
  <c r="FW124" i="23"/>
  <c r="FQ124" i="23"/>
  <c r="FK124" i="23"/>
  <c r="FE124" i="23"/>
  <c r="EY124" i="23"/>
  <c r="ES124" i="23"/>
  <c r="EM124" i="23"/>
  <c r="EG124" i="23"/>
  <c r="EA124" i="23"/>
  <c r="DU124" i="23"/>
  <c r="DO124" i="23"/>
  <c r="DI124" i="23"/>
  <c r="DC124" i="23"/>
  <c r="CW124" i="23"/>
  <c r="CQ124" i="23"/>
  <c r="CK124" i="23"/>
  <c r="CE124" i="23"/>
  <c r="BY124" i="23"/>
  <c r="BS124" i="23"/>
  <c r="BM124" i="23"/>
  <c r="BG124" i="23"/>
  <c r="BA124" i="23"/>
  <c r="AU124" i="23"/>
  <c r="AO124" i="23"/>
  <c r="GC123" i="23"/>
  <c r="FW123" i="23"/>
  <c r="FQ123" i="23"/>
  <c r="FK123" i="23"/>
  <c r="FE123" i="23"/>
  <c r="EY123" i="23"/>
  <c r="ES123" i="23"/>
  <c r="EM123" i="23"/>
  <c r="EG123" i="23"/>
  <c r="EA123" i="23"/>
  <c r="DU123" i="23"/>
  <c r="DO123" i="23"/>
  <c r="DI123" i="23"/>
  <c r="DC123" i="23"/>
  <c r="CW123" i="23"/>
  <c r="CQ123" i="23"/>
  <c r="CK123" i="23"/>
  <c r="CE123" i="23"/>
  <c r="BY123" i="23"/>
  <c r="BS123" i="23"/>
  <c r="BM123" i="23"/>
  <c r="BG123" i="23"/>
  <c r="BA123" i="23"/>
  <c r="AU123" i="23"/>
  <c r="AO123" i="23"/>
  <c r="GC118" i="23"/>
  <c r="FW118" i="23"/>
  <c r="FQ118" i="23"/>
  <c r="FK118" i="23"/>
  <c r="FE118" i="23"/>
  <c r="EY118" i="23"/>
  <c r="ES118" i="23"/>
  <c r="EM118" i="23"/>
  <c r="EG118" i="23"/>
  <c r="EA118" i="23"/>
  <c r="DU118" i="23"/>
  <c r="DO118" i="23"/>
  <c r="DI118" i="23"/>
  <c r="DC118" i="23"/>
  <c r="CW118" i="23"/>
  <c r="CQ118" i="23"/>
  <c r="CK118" i="23"/>
  <c r="CE118" i="23"/>
  <c r="BY118" i="23"/>
  <c r="BS118" i="23"/>
  <c r="BM118" i="23"/>
  <c r="BG118" i="23"/>
  <c r="BA118" i="23"/>
  <c r="AU118" i="23"/>
  <c r="AO118" i="23"/>
  <c r="GC117" i="23"/>
  <c r="FW117" i="23"/>
  <c r="FQ117" i="23"/>
  <c r="FK117" i="23"/>
  <c r="FE117" i="23"/>
  <c r="EY117" i="23"/>
  <c r="ES117" i="23"/>
  <c r="EM117" i="23"/>
  <c r="EG117" i="23"/>
  <c r="EA117" i="23"/>
  <c r="DU117" i="23"/>
  <c r="DO117" i="23"/>
  <c r="DI117" i="23"/>
  <c r="DC117" i="23"/>
  <c r="CW117" i="23"/>
  <c r="CQ117" i="23"/>
  <c r="CK117" i="23"/>
  <c r="CE117" i="23"/>
  <c r="BY117" i="23"/>
  <c r="BS117" i="23"/>
  <c r="BM117" i="23"/>
  <c r="BG117" i="23"/>
  <c r="BA117" i="23"/>
  <c r="AU117" i="23"/>
  <c r="AO117" i="23"/>
  <c r="GC116" i="23"/>
  <c r="FW116" i="23"/>
  <c r="FQ116" i="23"/>
  <c r="FK116" i="23"/>
  <c r="FE116" i="23"/>
  <c r="EY116" i="23"/>
  <c r="ES116" i="23"/>
  <c r="EM116" i="23"/>
  <c r="EG116" i="23"/>
  <c r="EA116" i="23"/>
  <c r="DU116" i="23"/>
  <c r="DO116" i="23"/>
  <c r="DI116" i="23"/>
  <c r="DC116" i="23"/>
  <c r="CW116" i="23"/>
  <c r="CQ116" i="23"/>
  <c r="CK116" i="23"/>
  <c r="CE116" i="23"/>
  <c r="BY116" i="23"/>
  <c r="BS116" i="23"/>
  <c r="BM116" i="23"/>
  <c r="BG116" i="23"/>
  <c r="BA116" i="23"/>
  <c r="AU116" i="23"/>
  <c r="AO116" i="23"/>
  <c r="GC114" i="23"/>
  <c r="FW114" i="23"/>
  <c r="FQ114" i="23"/>
  <c r="FK114" i="23"/>
  <c r="FE114" i="23"/>
  <c r="EY114" i="23"/>
  <c r="ES114" i="23"/>
  <c r="EM114" i="23"/>
  <c r="EG114" i="23"/>
  <c r="EA114" i="23"/>
  <c r="DU114" i="23"/>
  <c r="DO114" i="23"/>
  <c r="DI114" i="23"/>
  <c r="DC114" i="23"/>
  <c r="CW114" i="23"/>
  <c r="CQ114" i="23"/>
  <c r="CK114" i="23"/>
  <c r="CE114" i="23"/>
  <c r="BY114" i="23"/>
  <c r="BS114" i="23"/>
  <c r="BM114" i="23"/>
  <c r="BG114" i="23"/>
  <c r="BA114" i="23"/>
  <c r="AU114" i="23"/>
  <c r="AO114" i="23"/>
  <c r="GC111" i="23"/>
  <c r="FW111" i="23"/>
  <c r="FQ111" i="23"/>
  <c r="FK111" i="23"/>
  <c r="FE111" i="23"/>
  <c r="EY111" i="23"/>
  <c r="ES111" i="23"/>
  <c r="EM111" i="23"/>
  <c r="EG111" i="23"/>
  <c r="EA111" i="23"/>
  <c r="DU111" i="23"/>
  <c r="DO111" i="23"/>
  <c r="DI111" i="23"/>
  <c r="DC111" i="23"/>
  <c r="CW111" i="23"/>
  <c r="CQ111" i="23"/>
  <c r="CK111" i="23"/>
  <c r="CE111" i="23"/>
  <c r="BY111" i="23"/>
  <c r="BS111" i="23"/>
  <c r="BM111" i="23"/>
  <c r="BG111" i="23"/>
  <c r="BA111" i="23"/>
  <c r="AU111" i="23"/>
  <c r="AO111" i="23"/>
  <c r="GC108" i="23"/>
  <c r="FW108" i="23"/>
  <c r="FQ108" i="23"/>
  <c r="FK108" i="23"/>
  <c r="FE108" i="23"/>
  <c r="EY108" i="23"/>
  <c r="ES108" i="23"/>
  <c r="EM108" i="23"/>
  <c r="EG108" i="23"/>
  <c r="EA108" i="23"/>
  <c r="DU108" i="23"/>
  <c r="DO108" i="23"/>
  <c r="DI108" i="23"/>
  <c r="DC108" i="23"/>
  <c r="CW108" i="23"/>
  <c r="CQ108" i="23"/>
  <c r="CK108" i="23"/>
  <c r="CE108" i="23"/>
  <c r="BY108" i="23"/>
  <c r="BS108" i="23"/>
  <c r="BM108" i="23"/>
  <c r="BG108" i="23"/>
  <c r="BA108" i="23"/>
  <c r="AU108" i="23"/>
  <c r="AO108" i="23"/>
  <c r="GC107" i="23"/>
  <c r="FW107" i="23"/>
  <c r="FQ107" i="23"/>
  <c r="FK107" i="23"/>
  <c r="FE107" i="23"/>
  <c r="EY107" i="23"/>
  <c r="ES107" i="23"/>
  <c r="EM107" i="23"/>
  <c r="EG107" i="23"/>
  <c r="EA107" i="23"/>
  <c r="DU107" i="23"/>
  <c r="DO107" i="23"/>
  <c r="DI107" i="23"/>
  <c r="DC107" i="23"/>
  <c r="CW107" i="23"/>
  <c r="CQ107" i="23"/>
  <c r="CK107" i="23"/>
  <c r="CE107" i="23"/>
  <c r="BY107" i="23"/>
  <c r="BS107" i="23"/>
  <c r="BM107" i="23"/>
  <c r="BG107" i="23"/>
  <c r="BA107" i="23"/>
  <c r="AU107" i="23"/>
  <c r="AO107" i="23"/>
  <c r="GC106" i="23"/>
  <c r="FW106" i="23"/>
  <c r="FQ106" i="23"/>
  <c r="FK106" i="23"/>
  <c r="FE106" i="23"/>
  <c r="EY106" i="23"/>
  <c r="ES106" i="23"/>
  <c r="EM106" i="23"/>
  <c r="EG106" i="23"/>
  <c r="EA106" i="23"/>
  <c r="DU106" i="23"/>
  <c r="DO106" i="23"/>
  <c r="DI106" i="23"/>
  <c r="DC106" i="23"/>
  <c r="CW106" i="23"/>
  <c r="CQ106" i="23"/>
  <c r="CK106" i="23"/>
  <c r="CE106" i="23"/>
  <c r="BY106" i="23"/>
  <c r="BS106" i="23"/>
  <c r="BM106" i="23"/>
  <c r="BG106" i="23"/>
  <c r="BA106" i="23"/>
  <c r="AU106" i="23"/>
  <c r="AO106" i="23"/>
  <c r="GC105" i="23"/>
  <c r="FW105" i="23"/>
  <c r="FQ105" i="23"/>
  <c r="FK105" i="23"/>
  <c r="FE105" i="23"/>
  <c r="EY105" i="23"/>
  <c r="ES105" i="23"/>
  <c r="EM105" i="23"/>
  <c r="EG105" i="23"/>
  <c r="EA105" i="23"/>
  <c r="DU105" i="23"/>
  <c r="DO105" i="23"/>
  <c r="DI105" i="23"/>
  <c r="DC105" i="23"/>
  <c r="CW105" i="23"/>
  <c r="CQ105" i="23"/>
  <c r="CK105" i="23"/>
  <c r="CE105" i="23"/>
  <c r="BY105" i="23"/>
  <c r="BS105" i="23"/>
  <c r="BM105" i="23"/>
  <c r="BG105" i="23"/>
  <c r="BA105" i="23"/>
  <c r="AU105" i="23"/>
  <c r="AO105" i="23"/>
  <c r="GC104" i="23"/>
  <c r="FW104" i="23"/>
  <c r="FQ104" i="23"/>
  <c r="FK104" i="23"/>
  <c r="FE104" i="23"/>
  <c r="EY104" i="23"/>
  <c r="ES104" i="23"/>
  <c r="EM104" i="23"/>
  <c r="EG104" i="23"/>
  <c r="EA104" i="23"/>
  <c r="DU104" i="23"/>
  <c r="DO104" i="23"/>
  <c r="DI104" i="23"/>
  <c r="DC104" i="23"/>
  <c r="CW104" i="23"/>
  <c r="CQ104" i="23"/>
  <c r="CK104" i="23"/>
  <c r="CE104" i="23"/>
  <c r="BY104" i="23"/>
  <c r="BS104" i="23"/>
  <c r="BM104" i="23"/>
  <c r="BG104" i="23"/>
  <c r="BA104" i="23"/>
  <c r="AU104" i="23"/>
  <c r="AO104" i="23"/>
  <c r="GC103" i="23"/>
  <c r="FW103" i="23"/>
  <c r="FQ103" i="23"/>
  <c r="FK103" i="23"/>
  <c r="FE103" i="23"/>
  <c r="EY103" i="23"/>
  <c r="ES103" i="23"/>
  <c r="EM103" i="23"/>
  <c r="EG103" i="23"/>
  <c r="EA103" i="23"/>
  <c r="DU103" i="23"/>
  <c r="DO103" i="23"/>
  <c r="DI103" i="23"/>
  <c r="DC103" i="23"/>
  <c r="CW103" i="23"/>
  <c r="CQ103" i="23"/>
  <c r="CK103" i="23"/>
  <c r="CE103" i="23"/>
  <c r="BY103" i="23"/>
  <c r="BS103" i="23"/>
  <c r="BM103" i="23"/>
  <c r="BG103" i="23"/>
  <c r="BA103" i="23"/>
  <c r="AU103" i="23"/>
  <c r="AO103" i="23"/>
  <c r="GC101" i="23"/>
  <c r="FW101" i="23"/>
  <c r="FQ101" i="23"/>
  <c r="FK101" i="23"/>
  <c r="FE101" i="23"/>
  <c r="EY101" i="23"/>
  <c r="ES101" i="23"/>
  <c r="EM101" i="23"/>
  <c r="EG101" i="23"/>
  <c r="EA101" i="23"/>
  <c r="DU101" i="23"/>
  <c r="DO101" i="23"/>
  <c r="DI101" i="23"/>
  <c r="DC101" i="23"/>
  <c r="CW101" i="23"/>
  <c r="CQ101" i="23"/>
  <c r="CK101" i="23"/>
  <c r="CE101" i="23"/>
  <c r="BY101" i="23"/>
  <c r="BS101" i="23"/>
  <c r="BM101" i="23"/>
  <c r="BG101" i="23"/>
  <c r="BA101" i="23"/>
  <c r="AU101" i="23"/>
  <c r="AO101" i="23"/>
  <c r="GC99" i="23"/>
  <c r="FW99" i="23"/>
  <c r="FQ99" i="23"/>
  <c r="FK99" i="23"/>
  <c r="FE99" i="23"/>
  <c r="EY99" i="23"/>
  <c r="ES99" i="23"/>
  <c r="EM99" i="23"/>
  <c r="EG99" i="23"/>
  <c r="EA99" i="23"/>
  <c r="DU99" i="23"/>
  <c r="DO99" i="23"/>
  <c r="DI99" i="23"/>
  <c r="DC99" i="23"/>
  <c r="CW99" i="23"/>
  <c r="CQ99" i="23"/>
  <c r="CK99" i="23"/>
  <c r="CE99" i="23"/>
  <c r="BY99" i="23"/>
  <c r="BS99" i="23"/>
  <c r="BM99" i="23"/>
  <c r="BG99" i="23"/>
  <c r="BA99" i="23"/>
  <c r="AU99" i="23"/>
  <c r="AO99" i="23"/>
  <c r="GC98" i="23"/>
  <c r="FW98" i="23"/>
  <c r="FQ98" i="23"/>
  <c r="FK98" i="23"/>
  <c r="FE98" i="23"/>
  <c r="EY98" i="23"/>
  <c r="ES98" i="23"/>
  <c r="EM98" i="23"/>
  <c r="EG98" i="23"/>
  <c r="EA98" i="23"/>
  <c r="DU98" i="23"/>
  <c r="DO98" i="23"/>
  <c r="DI98" i="23"/>
  <c r="DC98" i="23"/>
  <c r="CW98" i="23"/>
  <c r="CQ98" i="23"/>
  <c r="CK98" i="23"/>
  <c r="CE98" i="23"/>
  <c r="BY98" i="23"/>
  <c r="BS98" i="23"/>
  <c r="BM98" i="23"/>
  <c r="BG98" i="23"/>
  <c r="BA98" i="23"/>
  <c r="AU98" i="23"/>
  <c r="AO98" i="23"/>
  <c r="GC96" i="23"/>
  <c r="FW96" i="23"/>
  <c r="FQ96" i="23"/>
  <c r="FK96" i="23"/>
  <c r="FE96" i="23"/>
  <c r="EY96" i="23"/>
  <c r="ES96" i="23"/>
  <c r="EM96" i="23"/>
  <c r="EG96" i="23"/>
  <c r="EA96" i="23"/>
  <c r="DU96" i="23"/>
  <c r="DO96" i="23"/>
  <c r="DI96" i="23"/>
  <c r="DC96" i="23"/>
  <c r="CW96" i="23"/>
  <c r="CQ96" i="23"/>
  <c r="CK96" i="23"/>
  <c r="CE96" i="23"/>
  <c r="BY96" i="23"/>
  <c r="BS96" i="23"/>
  <c r="BM96" i="23"/>
  <c r="BG96" i="23"/>
  <c r="BA96" i="23"/>
  <c r="AU96" i="23"/>
  <c r="AO96" i="23"/>
  <c r="GC95" i="23"/>
  <c r="FW95" i="23"/>
  <c r="FQ95" i="23"/>
  <c r="FK95" i="23"/>
  <c r="FE95" i="23"/>
  <c r="EY95" i="23"/>
  <c r="ES95" i="23"/>
  <c r="EM95" i="23"/>
  <c r="EG95" i="23"/>
  <c r="EA95" i="23"/>
  <c r="DU95" i="23"/>
  <c r="DO95" i="23"/>
  <c r="DI95" i="23"/>
  <c r="DC95" i="23"/>
  <c r="CW95" i="23"/>
  <c r="CQ95" i="23"/>
  <c r="CK95" i="23"/>
  <c r="CE95" i="23"/>
  <c r="BY95" i="23"/>
  <c r="BS95" i="23"/>
  <c r="BM95" i="23"/>
  <c r="BG95" i="23"/>
  <c r="BA95" i="23"/>
  <c r="AU95" i="23"/>
  <c r="AO95" i="23"/>
  <c r="GC94" i="23"/>
  <c r="FW94" i="23"/>
  <c r="FQ94" i="23"/>
  <c r="FK94" i="23"/>
  <c r="FE94" i="23"/>
  <c r="EY94" i="23"/>
  <c r="ES94" i="23"/>
  <c r="EM94" i="23"/>
  <c r="EG94" i="23"/>
  <c r="EA94" i="23"/>
  <c r="DU94" i="23"/>
  <c r="DO94" i="23"/>
  <c r="DI94" i="23"/>
  <c r="DC94" i="23"/>
  <c r="CW94" i="23"/>
  <c r="CQ94" i="23"/>
  <c r="CK94" i="23"/>
  <c r="CE94" i="23"/>
  <c r="BY94" i="23"/>
  <c r="BS94" i="23"/>
  <c r="BM94" i="23"/>
  <c r="BG94" i="23"/>
  <c r="BA94" i="23"/>
  <c r="AU94" i="23"/>
  <c r="AO94" i="23"/>
  <c r="GC93" i="23"/>
  <c r="FW93" i="23"/>
  <c r="FQ93" i="23"/>
  <c r="FK93" i="23"/>
  <c r="FE93" i="23"/>
  <c r="EY93" i="23"/>
  <c r="ES93" i="23"/>
  <c r="EM93" i="23"/>
  <c r="EG93" i="23"/>
  <c r="EA93" i="23"/>
  <c r="DU93" i="23"/>
  <c r="DO93" i="23"/>
  <c r="DI93" i="23"/>
  <c r="DC93" i="23"/>
  <c r="CW93" i="23"/>
  <c r="CQ93" i="23"/>
  <c r="CK93" i="23"/>
  <c r="CE93" i="23"/>
  <c r="BY93" i="23"/>
  <c r="BS93" i="23"/>
  <c r="BM93" i="23"/>
  <c r="BG93" i="23"/>
  <c r="BA93" i="23"/>
  <c r="AU93" i="23"/>
  <c r="AO93" i="23"/>
  <c r="GC88" i="23"/>
  <c r="FW88" i="23"/>
  <c r="FQ88" i="23"/>
  <c r="FK88" i="23"/>
  <c r="FE88" i="23"/>
  <c r="EY88" i="23"/>
  <c r="ES88" i="23"/>
  <c r="EM88" i="23"/>
  <c r="EG88" i="23"/>
  <c r="EA88" i="23"/>
  <c r="DU88" i="23"/>
  <c r="DO88" i="23"/>
  <c r="DI88" i="23"/>
  <c r="DC88" i="23"/>
  <c r="CW88" i="23"/>
  <c r="CQ88" i="23"/>
  <c r="CK88" i="23"/>
  <c r="CE88" i="23"/>
  <c r="BY88" i="23"/>
  <c r="BS88" i="23"/>
  <c r="BM88" i="23"/>
  <c r="BG88" i="23"/>
  <c r="BA88" i="23"/>
  <c r="AU88" i="23"/>
  <c r="AO88" i="23"/>
  <c r="GC87" i="23"/>
  <c r="FW87" i="23"/>
  <c r="FQ87" i="23"/>
  <c r="FK87" i="23"/>
  <c r="FE87" i="23"/>
  <c r="EY87" i="23"/>
  <c r="ES87" i="23"/>
  <c r="EM87" i="23"/>
  <c r="EG87" i="23"/>
  <c r="EA87" i="23"/>
  <c r="DU87" i="23"/>
  <c r="DO87" i="23"/>
  <c r="DI87" i="23"/>
  <c r="DC87" i="23"/>
  <c r="CW87" i="23"/>
  <c r="CQ87" i="23"/>
  <c r="CK87" i="23"/>
  <c r="CE87" i="23"/>
  <c r="BY87" i="23"/>
  <c r="BS87" i="23"/>
  <c r="BM87" i="23"/>
  <c r="BG87" i="23"/>
  <c r="BA87" i="23"/>
  <c r="AU87" i="23"/>
  <c r="AO87" i="23"/>
  <c r="GC86" i="23"/>
  <c r="FW86" i="23"/>
  <c r="FQ86" i="23"/>
  <c r="FK86" i="23"/>
  <c r="FE86" i="23"/>
  <c r="EY86" i="23"/>
  <c r="ES86" i="23"/>
  <c r="EM86" i="23"/>
  <c r="EG86" i="23"/>
  <c r="EA86" i="23"/>
  <c r="DU86" i="23"/>
  <c r="DO86" i="23"/>
  <c r="DI86" i="23"/>
  <c r="DC86" i="23"/>
  <c r="CW86" i="23"/>
  <c r="CQ86" i="23"/>
  <c r="CK86" i="23"/>
  <c r="CE86" i="23"/>
  <c r="BY86" i="23"/>
  <c r="BS86" i="23"/>
  <c r="BM86" i="23"/>
  <c r="BG86" i="23"/>
  <c r="BA86" i="23"/>
  <c r="AU86" i="23"/>
  <c r="AO86" i="23"/>
  <c r="GC85" i="23"/>
  <c r="FW85" i="23"/>
  <c r="FQ85" i="23"/>
  <c r="FK85" i="23"/>
  <c r="FE85" i="23"/>
  <c r="EY85" i="23"/>
  <c r="ES85" i="23"/>
  <c r="EM85" i="23"/>
  <c r="EG85" i="23"/>
  <c r="EA85" i="23"/>
  <c r="DU85" i="23"/>
  <c r="DO85" i="23"/>
  <c r="DI85" i="23"/>
  <c r="DC85" i="23"/>
  <c r="CW85" i="23"/>
  <c r="CQ85" i="23"/>
  <c r="CK85" i="23"/>
  <c r="CE85" i="23"/>
  <c r="BY85" i="23"/>
  <c r="BS85" i="23"/>
  <c r="BM85" i="23"/>
  <c r="BG85" i="23"/>
  <c r="BA85" i="23"/>
  <c r="AU85" i="23"/>
  <c r="AO85" i="23"/>
  <c r="GC84" i="23"/>
  <c r="FW84" i="23"/>
  <c r="FQ84" i="23"/>
  <c r="FK84" i="23"/>
  <c r="FE84" i="23"/>
  <c r="EY84" i="23"/>
  <c r="ES84" i="23"/>
  <c r="EM84" i="23"/>
  <c r="EG84" i="23"/>
  <c r="EA84" i="23"/>
  <c r="DU84" i="23"/>
  <c r="DO84" i="23"/>
  <c r="DI84" i="23"/>
  <c r="DC84" i="23"/>
  <c r="CW84" i="23"/>
  <c r="CQ84" i="23"/>
  <c r="CK84" i="23"/>
  <c r="CE84" i="23"/>
  <c r="BY84" i="23"/>
  <c r="BS84" i="23"/>
  <c r="BM84" i="23"/>
  <c r="BG84" i="23"/>
  <c r="BA84" i="23"/>
  <c r="AU84" i="23"/>
  <c r="AO84" i="23"/>
  <c r="GC81" i="23"/>
  <c r="FW81" i="23"/>
  <c r="FQ81" i="23"/>
  <c r="FK81" i="23"/>
  <c r="FE81" i="23"/>
  <c r="EY81" i="23"/>
  <c r="ES81" i="23"/>
  <c r="EM81" i="23"/>
  <c r="EG81" i="23"/>
  <c r="EA81" i="23"/>
  <c r="DU81" i="23"/>
  <c r="DO81" i="23"/>
  <c r="DI81" i="23"/>
  <c r="DC81" i="23"/>
  <c r="CW81" i="23"/>
  <c r="CQ81" i="23"/>
  <c r="CK81" i="23"/>
  <c r="CE81" i="23"/>
  <c r="BY81" i="23"/>
  <c r="BS81" i="23"/>
  <c r="BM81" i="23"/>
  <c r="BG81" i="23"/>
  <c r="BA81" i="23"/>
  <c r="AU81" i="23"/>
  <c r="AO81" i="23"/>
  <c r="GC79" i="23"/>
  <c r="FW79" i="23"/>
  <c r="FQ79" i="23"/>
  <c r="FK79" i="23"/>
  <c r="FE79" i="23"/>
  <c r="EY79" i="23"/>
  <c r="ES79" i="23"/>
  <c r="EM79" i="23"/>
  <c r="EG79" i="23"/>
  <c r="EA79" i="23"/>
  <c r="DU79" i="23"/>
  <c r="DO79" i="23"/>
  <c r="DI79" i="23"/>
  <c r="DC79" i="23"/>
  <c r="CW79" i="23"/>
  <c r="CQ79" i="23"/>
  <c r="CK79" i="23"/>
  <c r="CE79" i="23"/>
  <c r="BY79" i="23"/>
  <c r="BS79" i="23"/>
  <c r="BM79" i="23"/>
  <c r="BG79" i="23"/>
  <c r="BA79" i="23"/>
  <c r="AU79" i="23"/>
  <c r="AO79" i="23"/>
  <c r="GC78" i="23"/>
  <c r="FW78" i="23"/>
  <c r="FQ78" i="23"/>
  <c r="FK78" i="23"/>
  <c r="FE78" i="23"/>
  <c r="EY78" i="23"/>
  <c r="ES78" i="23"/>
  <c r="EM78" i="23"/>
  <c r="EG78" i="23"/>
  <c r="EA78" i="23"/>
  <c r="DU78" i="23"/>
  <c r="DO78" i="23"/>
  <c r="DI78" i="23"/>
  <c r="DC78" i="23"/>
  <c r="CW78" i="23"/>
  <c r="CQ78" i="23"/>
  <c r="CK78" i="23"/>
  <c r="CE78" i="23"/>
  <c r="BY78" i="23"/>
  <c r="BS78" i="23"/>
  <c r="BM78" i="23"/>
  <c r="BG78" i="23"/>
  <c r="BA78" i="23"/>
  <c r="AU78" i="23"/>
  <c r="AO78" i="23"/>
  <c r="GC77" i="23"/>
  <c r="FW77" i="23"/>
  <c r="FQ77" i="23"/>
  <c r="FK77" i="23"/>
  <c r="FE77" i="23"/>
  <c r="EY77" i="23"/>
  <c r="ES77" i="23"/>
  <c r="EM77" i="23"/>
  <c r="EG77" i="23"/>
  <c r="EA77" i="23"/>
  <c r="DU77" i="23"/>
  <c r="DO77" i="23"/>
  <c r="DI77" i="23"/>
  <c r="DC77" i="23"/>
  <c r="CW77" i="23"/>
  <c r="CQ77" i="23"/>
  <c r="CK77" i="23"/>
  <c r="CE77" i="23"/>
  <c r="BY77" i="23"/>
  <c r="BS77" i="23"/>
  <c r="BM77" i="23"/>
  <c r="BG77" i="23"/>
  <c r="BA77" i="23"/>
  <c r="AU77" i="23"/>
  <c r="AO77" i="23"/>
  <c r="GC76" i="23"/>
  <c r="FW76" i="23"/>
  <c r="FQ76" i="23"/>
  <c r="FK76" i="23"/>
  <c r="FE76" i="23"/>
  <c r="EY76" i="23"/>
  <c r="ES76" i="23"/>
  <c r="EM76" i="23"/>
  <c r="EG76" i="23"/>
  <c r="EA76" i="23"/>
  <c r="DU76" i="23"/>
  <c r="DO76" i="23"/>
  <c r="DI76" i="23"/>
  <c r="DC76" i="23"/>
  <c r="CW76" i="23"/>
  <c r="CQ76" i="23"/>
  <c r="CK76" i="23"/>
  <c r="CE76" i="23"/>
  <c r="BY76" i="23"/>
  <c r="BS76" i="23"/>
  <c r="BM76" i="23"/>
  <c r="BG76" i="23"/>
  <c r="BA76" i="23"/>
  <c r="AU76" i="23"/>
  <c r="AO76" i="23"/>
  <c r="GC75" i="23"/>
  <c r="FW75" i="23"/>
  <c r="FQ75" i="23"/>
  <c r="FK75" i="23"/>
  <c r="FE75" i="23"/>
  <c r="EY75" i="23"/>
  <c r="ES75" i="23"/>
  <c r="EM75" i="23"/>
  <c r="EG75" i="23"/>
  <c r="EA75" i="23"/>
  <c r="DU75" i="23"/>
  <c r="DO75" i="23"/>
  <c r="DI75" i="23"/>
  <c r="DC75" i="23"/>
  <c r="CW75" i="23"/>
  <c r="CQ75" i="23"/>
  <c r="CK75" i="23"/>
  <c r="CE75" i="23"/>
  <c r="BY75" i="23"/>
  <c r="BS75" i="23"/>
  <c r="BM75" i="23"/>
  <c r="BG75" i="23"/>
  <c r="BA75" i="23"/>
  <c r="AU75" i="23"/>
  <c r="AO75" i="23"/>
  <c r="GC74" i="23"/>
  <c r="FW74" i="23"/>
  <c r="FQ74" i="23"/>
  <c r="FK74" i="23"/>
  <c r="FE74" i="23"/>
  <c r="EY74" i="23"/>
  <c r="ES74" i="23"/>
  <c r="EM74" i="23"/>
  <c r="EG74" i="23"/>
  <c r="EA74" i="23"/>
  <c r="DU74" i="23"/>
  <c r="DO74" i="23"/>
  <c r="DI74" i="23"/>
  <c r="DC74" i="23"/>
  <c r="CW74" i="23"/>
  <c r="CQ74" i="23"/>
  <c r="CK74" i="23"/>
  <c r="CE74" i="23"/>
  <c r="BY74" i="23"/>
  <c r="BS74" i="23"/>
  <c r="BM74" i="23"/>
  <c r="BG74" i="23"/>
  <c r="BA74" i="23"/>
  <c r="AU74" i="23"/>
  <c r="AO74" i="23"/>
  <c r="GC73" i="23"/>
  <c r="FW73" i="23"/>
  <c r="FQ73" i="23"/>
  <c r="FK73" i="23"/>
  <c r="FE73" i="23"/>
  <c r="EY73" i="23"/>
  <c r="ES73" i="23"/>
  <c r="EM73" i="23"/>
  <c r="EG73" i="23"/>
  <c r="EA73" i="23"/>
  <c r="DU73" i="23"/>
  <c r="DO73" i="23"/>
  <c r="DI73" i="23"/>
  <c r="DC73" i="23"/>
  <c r="CW73" i="23"/>
  <c r="CQ73" i="23"/>
  <c r="CK73" i="23"/>
  <c r="CE73" i="23"/>
  <c r="BY73" i="23"/>
  <c r="BS73" i="23"/>
  <c r="BM73" i="23"/>
  <c r="BG73" i="23"/>
  <c r="BA73" i="23"/>
  <c r="AU73" i="23"/>
  <c r="AO73" i="23"/>
  <c r="GC71" i="23"/>
  <c r="FW71" i="23"/>
  <c r="FQ71" i="23"/>
  <c r="FK71" i="23"/>
  <c r="FE71" i="23"/>
  <c r="EY71" i="23"/>
  <c r="ES71" i="23"/>
  <c r="EM71" i="23"/>
  <c r="EG71" i="23"/>
  <c r="EA71" i="23"/>
  <c r="DU71" i="23"/>
  <c r="DO71" i="23"/>
  <c r="DI71" i="23"/>
  <c r="DC71" i="23"/>
  <c r="CW71" i="23"/>
  <c r="CQ71" i="23"/>
  <c r="CK71" i="23"/>
  <c r="CE71" i="23"/>
  <c r="BY71" i="23"/>
  <c r="BS71" i="23"/>
  <c r="BM71" i="23"/>
  <c r="BG71" i="23"/>
  <c r="BA71" i="23"/>
  <c r="AU71" i="23"/>
  <c r="AO71" i="23"/>
  <c r="GC69" i="23"/>
  <c r="FW69" i="23"/>
  <c r="FQ69" i="23"/>
  <c r="FK69" i="23"/>
  <c r="FE69" i="23"/>
  <c r="EY69" i="23"/>
  <c r="ES69" i="23"/>
  <c r="EM69" i="23"/>
  <c r="EG69" i="23"/>
  <c r="EA69" i="23"/>
  <c r="DU69" i="23"/>
  <c r="DO69" i="23"/>
  <c r="DI69" i="23"/>
  <c r="DC69" i="23"/>
  <c r="CW69" i="23"/>
  <c r="CQ69" i="23"/>
  <c r="CK69" i="23"/>
  <c r="CE69" i="23"/>
  <c r="BY69" i="23"/>
  <c r="BS69" i="23"/>
  <c r="BM69" i="23"/>
  <c r="BG69" i="23"/>
  <c r="BA69" i="23"/>
  <c r="AU69" i="23"/>
  <c r="AO69" i="23"/>
  <c r="GC66" i="23"/>
  <c r="FW66" i="23"/>
  <c r="FQ66" i="23"/>
  <c r="FK66" i="23"/>
  <c r="DM66" i="23"/>
  <c r="DI66" i="23"/>
  <c r="DC66" i="23"/>
  <c r="CW66" i="23"/>
  <c r="CQ66" i="23"/>
  <c r="CK66" i="23"/>
  <c r="CE66" i="23"/>
  <c r="BY66" i="23"/>
  <c r="BQ66" i="23"/>
  <c r="BK66" i="23"/>
  <c r="BA66" i="23"/>
  <c r="AU66" i="23"/>
  <c r="AO66" i="23"/>
  <c r="GC65" i="23"/>
  <c r="FW65" i="23"/>
  <c r="FQ65" i="23"/>
  <c r="FK65" i="23"/>
  <c r="DM65" i="23"/>
  <c r="DI65" i="23"/>
  <c r="DC65" i="23"/>
  <c r="CW65" i="23"/>
  <c r="CQ65" i="23"/>
  <c r="CK65" i="23"/>
  <c r="CE65" i="23"/>
  <c r="BY65" i="23"/>
  <c r="BK65" i="23"/>
  <c r="BA65" i="23"/>
  <c r="AU65" i="23"/>
  <c r="AO65" i="23"/>
  <c r="GC64" i="23"/>
  <c r="FW64" i="23"/>
  <c r="FQ64" i="23"/>
  <c r="FK64" i="23"/>
  <c r="DM64" i="23"/>
  <c r="DI64" i="23"/>
  <c r="DC64" i="23"/>
  <c r="CW64" i="23"/>
  <c r="CQ64" i="23"/>
  <c r="CK64" i="23"/>
  <c r="CE64" i="23"/>
  <c r="BY64" i="23"/>
  <c r="BA64" i="23"/>
  <c r="AU64" i="23"/>
  <c r="AO64" i="23"/>
  <c r="GC63" i="23"/>
  <c r="FW63" i="23"/>
  <c r="FQ63" i="23"/>
  <c r="FK63" i="23"/>
  <c r="DM63" i="23"/>
  <c r="DI63" i="23"/>
  <c r="DC63" i="23"/>
  <c r="CW63" i="23"/>
  <c r="CQ63" i="23"/>
  <c r="CK63" i="23"/>
  <c r="CE63" i="23"/>
  <c r="BY63" i="23"/>
  <c r="BA63" i="23"/>
  <c r="AU63" i="23"/>
  <c r="AO63" i="23"/>
  <c r="DM62" i="23"/>
  <c r="BQ62" i="23"/>
  <c r="DM61" i="23"/>
  <c r="BQ61" i="23"/>
  <c r="DM60" i="23"/>
  <c r="BQ60" i="23"/>
  <c r="DM59" i="23"/>
  <c r="BQ59" i="23"/>
  <c r="GC58" i="23"/>
  <c r="FW58" i="23"/>
  <c r="FQ58" i="23"/>
  <c r="FK58" i="23"/>
  <c r="FE58" i="23"/>
  <c r="EY58" i="23"/>
  <c r="ES58" i="23"/>
  <c r="EM58" i="23"/>
  <c r="EG58" i="23"/>
  <c r="EA58" i="23"/>
  <c r="DU58" i="23"/>
  <c r="DO58" i="23"/>
  <c r="DM58" i="23"/>
  <c r="DI58" i="23"/>
  <c r="DC58" i="23"/>
  <c r="CW58" i="23"/>
  <c r="CQ58" i="23"/>
  <c r="CK58" i="23"/>
  <c r="CE58" i="23"/>
  <c r="BY58" i="23"/>
  <c r="BS58" i="23"/>
  <c r="BM58" i="23"/>
  <c r="BK58" i="23"/>
  <c r="BA58" i="23"/>
  <c r="AU58" i="23"/>
  <c r="AO58" i="23"/>
  <c r="GC57" i="23"/>
  <c r="FW57" i="23"/>
  <c r="FQ57" i="23"/>
  <c r="FK57" i="23"/>
  <c r="DM57" i="23"/>
  <c r="DI57" i="23"/>
  <c r="DC57" i="23"/>
  <c r="CW57" i="23"/>
  <c r="CQ57" i="23"/>
  <c r="CK57" i="23"/>
  <c r="CE57" i="23"/>
  <c r="BY57" i="23"/>
  <c r="BQ57" i="23"/>
  <c r="BK57" i="23"/>
  <c r="BA57" i="23"/>
  <c r="AU57" i="23"/>
  <c r="AO57" i="23"/>
  <c r="BQ56" i="23"/>
  <c r="BK56" i="23"/>
  <c r="BA56" i="23"/>
  <c r="AU56" i="23"/>
  <c r="AO56" i="23"/>
  <c r="GC55" i="23"/>
  <c r="FW55" i="23"/>
  <c r="FQ55" i="23"/>
  <c r="FK55" i="23"/>
  <c r="DM55" i="23"/>
  <c r="DI55" i="23"/>
  <c r="DC55" i="23"/>
  <c r="CW55" i="23"/>
  <c r="CQ55" i="23"/>
  <c r="CK55" i="23"/>
  <c r="CE55" i="23"/>
  <c r="BY55" i="23"/>
  <c r="BA55" i="23"/>
  <c r="AO55" i="23"/>
  <c r="BA54" i="23"/>
  <c r="AU54" i="23"/>
  <c r="AO54" i="23"/>
  <c r="BQ51" i="23"/>
  <c r="BA51" i="23"/>
  <c r="AU51" i="23"/>
  <c r="AO51" i="23"/>
  <c r="BA49" i="23"/>
  <c r="AO49" i="23"/>
  <c r="GC48" i="23"/>
  <c r="FW48" i="23"/>
  <c r="FQ48" i="23"/>
  <c r="FK48" i="23"/>
  <c r="DM48" i="23"/>
  <c r="DI48" i="23"/>
  <c r="DC48" i="23"/>
  <c r="CW48" i="23"/>
  <c r="CQ48" i="23"/>
  <c r="CK48" i="23"/>
  <c r="CE48" i="23"/>
  <c r="BY48" i="23"/>
  <c r="BQ48" i="23"/>
  <c r="BK48" i="23"/>
  <c r="BG48" i="23"/>
  <c r="BA48" i="23"/>
  <c r="AU48" i="23"/>
  <c r="AO48" i="23"/>
  <c r="GC47" i="23"/>
  <c r="FW47" i="23"/>
  <c r="FQ47" i="23"/>
  <c r="FK47" i="23"/>
  <c r="DM47" i="23"/>
  <c r="DI47" i="23"/>
  <c r="DC47" i="23"/>
  <c r="CW47" i="23"/>
  <c r="CQ47" i="23"/>
  <c r="CK47" i="23"/>
  <c r="CE47" i="23"/>
  <c r="BY47" i="23"/>
  <c r="BQ47" i="23"/>
  <c r="BK47" i="23"/>
  <c r="BA47" i="23"/>
  <c r="AU47" i="23"/>
  <c r="AO47" i="23"/>
  <c r="BQ46" i="23"/>
  <c r="BK46" i="23"/>
  <c r="BA46" i="23"/>
  <c r="AU46" i="23"/>
  <c r="AO46" i="23"/>
  <c r="GC45" i="23"/>
  <c r="FW45" i="23"/>
  <c r="FQ45" i="23"/>
  <c r="FK45" i="23"/>
  <c r="DM45" i="23"/>
  <c r="DI45" i="23"/>
  <c r="DC45" i="23"/>
  <c r="CW45" i="23"/>
  <c r="CQ45" i="23"/>
  <c r="CK45" i="23"/>
  <c r="CE45" i="23"/>
  <c r="BY45" i="23"/>
  <c r="BQ45" i="23"/>
  <c r="BK45" i="23"/>
  <c r="BA45" i="23"/>
  <c r="AU45" i="23"/>
  <c r="AO45" i="23"/>
  <c r="BQ44" i="23"/>
  <c r="BK44" i="23"/>
  <c r="BA44" i="23"/>
  <c r="AU44" i="23"/>
  <c r="AO44" i="23"/>
  <c r="BQ43" i="23"/>
  <c r="BK43" i="23"/>
  <c r="BA43" i="23"/>
  <c r="AU43" i="23"/>
  <c r="AO43" i="23"/>
  <c r="GC41" i="23"/>
  <c r="FW41" i="23"/>
  <c r="FQ41" i="23"/>
  <c r="FK41" i="23"/>
  <c r="DM41" i="23"/>
  <c r="DI41" i="23"/>
  <c r="DC41" i="23"/>
  <c r="CW41" i="23"/>
  <c r="CQ41" i="23"/>
  <c r="CK41" i="23"/>
  <c r="CE41" i="23"/>
  <c r="BY41" i="23"/>
  <c r="BQ41" i="23"/>
  <c r="BK41" i="23"/>
  <c r="BA41" i="23"/>
  <c r="AU41" i="23"/>
  <c r="AO41" i="23"/>
  <c r="GC39" i="23"/>
  <c r="FW39" i="23"/>
  <c r="FQ39" i="23"/>
  <c r="FK39" i="23"/>
  <c r="FE39" i="23"/>
  <c r="EY39" i="23"/>
  <c r="ES39" i="23"/>
  <c r="EM39" i="23"/>
  <c r="EG39" i="23"/>
  <c r="EA39" i="23"/>
  <c r="DU39" i="23"/>
  <c r="DO39" i="23"/>
  <c r="DM39" i="23"/>
  <c r="DI39" i="23"/>
  <c r="DC39" i="23"/>
  <c r="CW39" i="23"/>
  <c r="CQ39" i="23"/>
  <c r="CK39" i="23"/>
  <c r="CE39" i="23"/>
  <c r="BY39" i="23"/>
  <c r="BS39" i="23"/>
  <c r="BM39" i="23"/>
  <c r="BG39" i="23"/>
  <c r="BA39" i="23"/>
  <c r="AU39" i="23"/>
  <c r="AO39" i="23"/>
  <c r="GC38" i="23"/>
  <c r="FW38" i="23"/>
  <c r="FQ38" i="23"/>
  <c r="FK38" i="23"/>
  <c r="DM38" i="23"/>
  <c r="DI38" i="23"/>
  <c r="DC38" i="23"/>
  <c r="CW38" i="23"/>
  <c r="CQ38" i="23"/>
  <c r="CK38" i="23"/>
  <c r="CE38" i="23"/>
  <c r="BY38" i="23"/>
  <c r="BK38" i="23"/>
  <c r="BG38" i="23"/>
  <c r="BA38" i="23"/>
  <c r="AU38" i="23"/>
  <c r="AO38" i="23"/>
  <c r="DM37" i="23"/>
  <c r="GC36" i="23"/>
  <c r="FW36" i="23"/>
  <c r="FQ36" i="23"/>
  <c r="FK36" i="23"/>
  <c r="FE36" i="23"/>
  <c r="EY36" i="23"/>
  <c r="ES36" i="23"/>
  <c r="EM36" i="23"/>
  <c r="EG36" i="23"/>
  <c r="EA36" i="23"/>
  <c r="DU36" i="23"/>
  <c r="DO36" i="23"/>
  <c r="DI36" i="23"/>
  <c r="DC36" i="23"/>
  <c r="CW36" i="23"/>
  <c r="CQ36" i="23"/>
  <c r="CK36" i="23"/>
  <c r="CE36" i="23"/>
  <c r="BY36" i="23"/>
  <c r="BS36" i="23"/>
  <c r="BM36" i="23"/>
  <c r="BG36" i="23"/>
  <c r="BA36" i="23"/>
  <c r="AU36" i="23"/>
  <c r="AO36" i="23"/>
  <c r="GC35" i="23"/>
  <c r="FW35" i="23"/>
  <c r="FQ35" i="23"/>
  <c r="FK35" i="23"/>
  <c r="FE35" i="23"/>
  <c r="EY35" i="23"/>
  <c r="ES35" i="23"/>
  <c r="EM35" i="23"/>
  <c r="EG35" i="23"/>
  <c r="EA35" i="23"/>
  <c r="DU35" i="23"/>
  <c r="DO35" i="23"/>
  <c r="DI35" i="23"/>
  <c r="DC35" i="23"/>
  <c r="CW35" i="23"/>
  <c r="CQ35" i="23"/>
  <c r="CK35" i="23"/>
  <c r="CE35" i="23"/>
  <c r="BY35" i="23"/>
  <c r="BS35" i="23"/>
  <c r="BM35" i="23"/>
  <c r="BG35" i="23"/>
  <c r="BA35" i="23"/>
  <c r="AU35" i="23"/>
  <c r="AO35" i="23"/>
  <c r="GC34" i="23"/>
  <c r="FW34" i="23"/>
  <c r="FQ34" i="23"/>
  <c r="FK34" i="23"/>
  <c r="FE34" i="23"/>
  <c r="EY34" i="23"/>
  <c r="ES34" i="23"/>
  <c r="EM34" i="23"/>
  <c r="EG34" i="23"/>
  <c r="EA34" i="23"/>
  <c r="DU34" i="23"/>
  <c r="DO34" i="23"/>
  <c r="DI34" i="23"/>
  <c r="DC34" i="23"/>
  <c r="CW34" i="23"/>
  <c r="CQ34" i="23"/>
  <c r="CK34" i="23"/>
  <c r="CE34" i="23"/>
  <c r="BY34" i="23"/>
  <c r="BS34" i="23"/>
  <c r="BM34" i="23"/>
  <c r="BG34" i="23"/>
  <c r="BA34" i="23"/>
  <c r="AU34" i="23"/>
  <c r="AO34" i="23"/>
  <c r="GC33" i="23"/>
  <c r="FW33" i="23"/>
  <c r="FQ33" i="23"/>
  <c r="FK33" i="23"/>
  <c r="FE33" i="23"/>
  <c r="EY33" i="23"/>
  <c r="ES33" i="23"/>
  <c r="EM33" i="23"/>
  <c r="EG33" i="23"/>
  <c r="EA33" i="23"/>
  <c r="DU33" i="23"/>
  <c r="DO33" i="23"/>
  <c r="DI33" i="23"/>
  <c r="DC33" i="23"/>
  <c r="CW33" i="23"/>
  <c r="CQ33" i="23"/>
  <c r="CK33" i="23"/>
  <c r="CE33" i="23"/>
  <c r="BY33" i="23"/>
  <c r="BS33" i="23"/>
  <c r="BM33" i="23"/>
  <c r="BG33" i="23"/>
  <c r="BA33" i="23"/>
  <c r="AU33" i="23"/>
  <c r="AO33" i="23"/>
  <c r="GC28" i="23"/>
  <c r="GC24" i="23"/>
  <c r="FW24" i="23"/>
  <c r="FQ24" i="23"/>
  <c r="FK24" i="23"/>
  <c r="FE24" i="23"/>
  <c r="EY24" i="23"/>
  <c r="ES24" i="23"/>
  <c r="EM24" i="23"/>
  <c r="EG24" i="23"/>
  <c r="EA24" i="23"/>
  <c r="DU24" i="23"/>
  <c r="DO24" i="23"/>
  <c r="DI24" i="23"/>
  <c r="DC24" i="23"/>
  <c r="CW24" i="23"/>
  <c r="CQ24" i="23"/>
  <c r="CK24" i="23"/>
  <c r="CE24" i="23"/>
  <c r="BY24" i="23"/>
  <c r="BS24" i="23"/>
  <c r="BM24" i="23"/>
  <c r="BG24" i="23"/>
  <c r="BA24" i="23"/>
  <c r="AU24" i="23"/>
  <c r="AO24" i="23"/>
  <c r="GC23" i="23"/>
  <c r="FW23" i="23"/>
  <c r="FQ23" i="23"/>
  <c r="FK23" i="23"/>
  <c r="FE23" i="23"/>
  <c r="EY23" i="23"/>
  <c r="ES23" i="23"/>
  <c r="EM23" i="23"/>
  <c r="EG23" i="23"/>
  <c r="EA23" i="23"/>
  <c r="DU23" i="23"/>
  <c r="DO23" i="23"/>
  <c r="DI23" i="23"/>
  <c r="DC23" i="23"/>
  <c r="CW23" i="23"/>
  <c r="CQ23" i="23"/>
  <c r="CK23" i="23"/>
  <c r="CE23" i="23"/>
  <c r="BY23" i="23"/>
  <c r="BS23" i="23"/>
  <c r="BM23" i="23"/>
  <c r="BG23" i="23"/>
  <c r="BA23" i="23"/>
  <c r="AU23" i="23"/>
  <c r="AO23" i="23"/>
  <c r="GC22" i="23"/>
  <c r="FW22" i="23"/>
  <c r="FQ22" i="23"/>
  <c r="FK22" i="23"/>
  <c r="FE22" i="23"/>
  <c r="EY22" i="23"/>
  <c r="ES22" i="23"/>
  <c r="EM22" i="23"/>
  <c r="EG22" i="23"/>
  <c r="EA22" i="23"/>
  <c r="DU22" i="23"/>
  <c r="DO22" i="23"/>
  <c r="DI22" i="23"/>
  <c r="DC22" i="23"/>
  <c r="CW22" i="23"/>
  <c r="CQ22" i="23"/>
  <c r="CK22" i="23"/>
  <c r="CE22" i="23"/>
  <c r="BY22" i="23"/>
  <c r="BS22" i="23"/>
  <c r="BM22" i="23"/>
  <c r="BG22" i="23"/>
  <c r="BA22" i="23"/>
  <c r="AU22" i="23"/>
  <c r="AO22" i="23"/>
  <c r="GC21" i="23"/>
  <c r="FW21" i="23"/>
  <c r="FQ21" i="23"/>
  <c r="FK21" i="23"/>
  <c r="FE21" i="23"/>
  <c r="EY21" i="23"/>
  <c r="ES21" i="23"/>
  <c r="EM21" i="23"/>
  <c r="EG21" i="23"/>
  <c r="EA21" i="23"/>
  <c r="DU21" i="23"/>
  <c r="DO21" i="23"/>
  <c r="DI21" i="23"/>
  <c r="DC21" i="23"/>
  <c r="CW21" i="23"/>
  <c r="CQ21" i="23"/>
  <c r="CK21" i="23"/>
  <c r="CE21" i="23"/>
  <c r="BY21" i="23"/>
  <c r="BS21" i="23"/>
  <c r="BM21" i="23"/>
  <c r="BG21" i="23"/>
  <c r="BA21" i="23"/>
  <c r="AU21" i="23"/>
  <c r="AO21" i="23"/>
  <c r="GA11" i="23"/>
  <c r="FU11" i="23"/>
  <c r="FO11" i="23"/>
  <c r="FI11" i="23"/>
  <c r="FC11" i="23"/>
  <c r="EW11" i="23"/>
  <c r="EQ11" i="23"/>
  <c r="EK11" i="23"/>
  <c r="EE11" i="23"/>
  <c r="DY11" i="23"/>
  <c r="DS11" i="23"/>
  <c r="DM11" i="23"/>
  <c r="DG11" i="23"/>
  <c r="DA11" i="23"/>
  <c r="CU11" i="23"/>
  <c r="CO11" i="23"/>
  <c r="CI11" i="23"/>
  <c r="CC11" i="23"/>
  <c r="BW11" i="23"/>
  <c r="BQ11" i="23"/>
  <c r="BK11" i="23"/>
  <c r="BE11" i="23"/>
  <c r="AY11" i="23"/>
  <c r="AS11" i="23"/>
  <c r="AM11" i="23"/>
  <c r="GC10" i="23"/>
  <c r="FW10" i="23"/>
  <c r="FQ10" i="23"/>
  <c r="FK10" i="23"/>
  <c r="FE10" i="23"/>
  <c r="EY10" i="23"/>
  <c r="ES10" i="23"/>
  <c r="EM10" i="23"/>
  <c r="EG10" i="23"/>
  <c r="EA10" i="23"/>
  <c r="DU10" i="23"/>
  <c r="DO10" i="23"/>
  <c r="DI10" i="23"/>
  <c r="DC10" i="23"/>
  <c r="CW10" i="23"/>
  <c r="CQ10" i="23"/>
  <c r="CK10" i="23"/>
  <c r="CE10" i="23"/>
  <c r="BY10" i="23"/>
  <c r="BS10" i="23"/>
  <c r="BM10" i="23"/>
  <c r="BG10" i="23"/>
  <c r="BA10" i="23"/>
  <c r="AU10" i="23"/>
  <c r="AO10" i="23"/>
  <c r="GC9" i="23"/>
  <c r="FW9" i="23"/>
  <c r="FQ9" i="23"/>
  <c r="FK9" i="23"/>
  <c r="FE9" i="23"/>
  <c r="EY9" i="23"/>
  <c r="ES9" i="23"/>
  <c r="EM9" i="23"/>
  <c r="EG9" i="23"/>
  <c r="EA9" i="23"/>
  <c r="DU9" i="23"/>
  <c r="DO9" i="23"/>
  <c r="DI9" i="23"/>
  <c r="DC9" i="23"/>
  <c r="CW9" i="23"/>
  <c r="CQ9" i="23"/>
  <c r="CK9" i="23"/>
  <c r="CE9" i="23"/>
  <c r="BY9" i="23"/>
  <c r="BS9" i="23"/>
  <c r="BM9" i="23"/>
  <c r="BG9" i="23"/>
  <c r="BA9" i="23"/>
  <c r="AU9" i="23"/>
  <c r="AO9" i="23"/>
  <c r="GC8" i="23"/>
  <c r="GA8" i="23"/>
  <c r="FW8" i="23"/>
  <c r="FU8" i="23"/>
  <c r="FQ8" i="23"/>
  <c r="FO8" i="23"/>
  <c r="FK8" i="23"/>
  <c r="FI8" i="23"/>
  <c r="FE8" i="23"/>
  <c r="FC8" i="23"/>
  <c r="EY8" i="23"/>
  <c r="EW8" i="23"/>
  <c r="ES8" i="23"/>
  <c r="EQ8" i="23"/>
  <c r="EM8" i="23"/>
  <c r="EK8" i="23"/>
  <c r="EG8" i="23"/>
  <c r="EE8" i="23"/>
  <c r="EA8" i="23"/>
  <c r="DY8" i="23"/>
  <c r="DU8" i="23"/>
  <c r="DS8" i="23"/>
  <c r="DO8" i="23"/>
  <c r="DM8" i="23"/>
  <c r="DI8" i="23"/>
  <c r="DG8" i="23"/>
  <c r="DC8" i="23"/>
  <c r="DA8" i="23"/>
  <c r="CW8" i="23"/>
  <c r="CU8" i="23"/>
  <c r="CQ8" i="23"/>
  <c r="CO8" i="23"/>
  <c r="CK8" i="23"/>
  <c r="CI8" i="23"/>
  <c r="CE8" i="23"/>
  <c r="CC8" i="23"/>
  <c r="BY8" i="23"/>
  <c r="BW8" i="23"/>
  <c r="BS8" i="23"/>
  <c r="BQ8" i="23"/>
  <c r="BM8" i="23"/>
  <c r="BK8" i="23"/>
  <c r="BG8" i="23"/>
  <c r="BE8" i="23"/>
  <c r="BA8" i="23"/>
  <c r="AY8" i="23"/>
  <c r="AU8" i="23"/>
  <c r="AS8" i="23"/>
  <c r="AO8" i="23"/>
  <c r="AM8" i="23"/>
  <c r="FZ456" i="23"/>
  <c r="GA456" i="23" s="1"/>
  <c r="FZ455" i="23"/>
  <c r="GA455" i="23"/>
  <c r="FZ436" i="23"/>
  <c r="GA436" i="23" s="1"/>
  <c r="FZ435" i="23"/>
  <c r="GA435" i="23"/>
  <c r="FZ427" i="23"/>
  <c r="GA427" i="23" s="1"/>
  <c r="FZ426" i="23"/>
  <c r="GA426" i="23"/>
  <c r="FZ425" i="23"/>
  <c r="GA425" i="23" s="1"/>
  <c r="FZ406" i="23"/>
  <c r="GA406" i="23"/>
  <c r="FZ405" i="23"/>
  <c r="GA405" i="23" s="1"/>
  <c r="FZ397" i="23"/>
  <c r="GA397" i="23"/>
  <c r="FZ396" i="23"/>
  <c r="GA396" i="23" s="1"/>
  <c r="FZ395" i="23"/>
  <c r="GA395" i="23"/>
  <c r="FZ376" i="23"/>
  <c r="GA376" i="23" s="1"/>
  <c r="FZ375" i="23"/>
  <c r="GA375" i="23"/>
  <c r="FZ367" i="23"/>
  <c r="GA367" i="23" s="1"/>
  <c r="FZ366" i="23"/>
  <c r="GA366" i="23"/>
  <c r="FZ365" i="23"/>
  <c r="GA365" i="23" s="1"/>
  <c r="FZ346" i="23"/>
  <c r="GA346" i="23"/>
  <c r="FZ345" i="23"/>
  <c r="GA345" i="23" s="1"/>
  <c r="FZ337" i="23"/>
  <c r="GA337" i="23"/>
  <c r="FZ336" i="23"/>
  <c r="GA336" i="23" s="1"/>
  <c r="FZ335" i="23"/>
  <c r="GA335" i="23"/>
  <c r="FZ316" i="23"/>
  <c r="GA316" i="23" s="1"/>
  <c r="FZ315" i="23"/>
  <c r="GA315" i="23"/>
  <c r="FZ307" i="23"/>
  <c r="GA307" i="23" s="1"/>
  <c r="FZ306" i="23"/>
  <c r="GA306" i="23"/>
  <c r="FZ305" i="23"/>
  <c r="GA305" i="23" s="1"/>
  <c r="FZ286" i="23"/>
  <c r="GA286" i="23"/>
  <c r="FZ285" i="23"/>
  <c r="GA285" i="23" s="1"/>
  <c r="FZ277" i="23"/>
  <c r="GA277" i="23"/>
  <c r="FZ276" i="23"/>
  <c r="GA276" i="23" s="1"/>
  <c r="FZ275" i="23"/>
  <c r="GA275" i="23"/>
  <c r="FZ256" i="23"/>
  <c r="GA256" i="23" s="1"/>
  <c r="FZ255" i="23"/>
  <c r="GA255" i="23"/>
  <c r="FZ247" i="23"/>
  <c r="GA247" i="23" s="1"/>
  <c r="FZ246" i="23"/>
  <c r="GA246" i="23"/>
  <c r="FZ245" i="23"/>
  <c r="GA245" i="23" s="1"/>
  <c r="FZ226" i="23"/>
  <c r="GA226" i="23"/>
  <c r="FZ225" i="23"/>
  <c r="GA225" i="23" s="1"/>
  <c r="FZ217" i="23"/>
  <c r="GA217" i="23"/>
  <c r="FZ216" i="23"/>
  <c r="GA216" i="23" s="1"/>
  <c r="FZ215" i="23"/>
  <c r="GA215" i="23"/>
  <c r="FZ196" i="23"/>
  <c r="GA196" i="23" s="1"/>
  <c r="FZ195" i="23"/>
  <c r="GA195" i="23"/>
  <c r="FZ187" i="23"/>
  <c r="GA187" i="23" s="1"/>
  <c r="FZ186" i="23"/>
  <c r="GA186" i="23"/>
  <c r="FZ185" i="23"/>
  <c r="GA185" i="23" s="1"/>
  <c r="FZ166" i="23"/>
  <c r="GA166" i="23"/>
  <c r="FZ165" i="23"/>
  <c r="GA165" i="23" s="1"/>
  <c r="FZ157" i="23"/>
  <c r="GA157" i="23"/>
  <c r="FZ156" i="23"/>
  <c r="GA156" i="23" s="1"/>
  <c r="FZ155" i="23"/>
  <c r="GA155" i="23"/>
  <c r="FZ136" i="23"/>
  <c r="GA136" i="23" s="1"/>
  <c r="FZ135" i="23"/>
  <c r="GA135" i="23"/>
  <c r="FZ127" i="23"/>
  <c r="GA127" i="23" s="1"/>
  <c r="FZ126" i="23"/>
  <c r="GA126" i="23"/>
  <c r="FZ125" i="23"/>
  <c r="GA125" i="23" s="1"/>
  <c r="FZ106" i="23"/>
  <c r="GA106" i="23"/>
  <c r="FZ105" i="23"/>
  <c r="GA105" i="23" s="1"/>
  <c r="FZ97" i="23"/>
  <c r="GA97" i="23"/>
  <c r="FZ96" i="23"/>
  <c r="GA96" i="23" s="1"/>
  <c r="FZ95" i="23"/>
  <c r="GA95" i="23"/>
  <c r="FZ76" i="23"/>
  <c r="GA76" i="23" s="1"/>
  <c r="FZ75" i="23"/>
  <c r="GA75" i="23"/>
  <c r="FZ67" i="23"/>
  <c r="GA67" i="23" s="1"/>
  <c r="FZ66" i="23"/>
  <c r="GA66" i="23"/>
  <c r="FZ65" i="23"/>
  <c r="GA65" i="23" s="1"/>
  <c r="FZ46" i="23"/>
  <c r="GA46" i="23"/>
  <c r="FZ45" i="23"/>
  <c r="GA45" i="23" s="1"/>
  <c r="FZ37" i="23"/>
  <c r="GA37" i="23"/>
  <c r="FZ36" i="23"/>
  <c r="GA36" i="23" s="1"/>
  <c r="FZ35" i="23"/>
  <c r="GA35" i="23"/>
  <c r="GB32" i="23"/>
  <c r="GB31" i="23"/>
  <c r="GB30" i="23"/>
  <c r="GC30" i="23"/>
  <c r="GB29" i="23"/>
  <c r="GC29" i="23"/>
  <c r="GB28" i="23"/>
  <c r="FZ28" i="23"/>
  <c r="GA28" i="23"/>
  <c r="GB27" i="23"/>
  <c r="GB26" i="23"/>
  <c r="GC26" i="23"/>
  <c r="GB25" i="23"/>
  <c r="GC25" i="23"/>
  <c r="FZ23" i="23"/>
  <c r="GA23" i="23"/>
  <c r="FZ22" i="23"/>
  <c r="GA22" i="23"/>
  <c r="FZ21" i="23"/>
  <c r="GA21" i="23"/>
  <c r="GB20" i="23"/>
  <c r="GC20" i="23" s="1"/>
  <c r="FZ20" i="23"/>
  <c r="GA20" i="23" s="1"/>
  <c r="GB19" i="23"/>
  <c r="FZ19" i="23"/>
  <c r="GA19" i="23"/>
  <c r="GB18" i="23"/>
  <c r="FZ18" i="23"/>
  <c r="GA18" i="23"/>
  <c r="GB17" i="23"/>
  <c r="FZ17" i="23" s="1"/>
  <c r="GA17" i="23"/>
  <c r="GB16" i="23"/>
  <c r="GC16" i="23" s="1"/>
  <c r="FZ16" i="23"/>
  <c r="GA16" i="23" s="1"/>
  <c r="GB15" i="23"/>
  <c r="FZ15" i="23" s="1"/>
  <c r="GA15" i="23" s="1"/>
  <c r="GC15" i="23"/>
  <c r="GB14" i="23"/>
  <c r="FZ14" i="23"/>
  <c r="GA14" i="23"/>
  <c r="GB13" i="23"/>
  <c r="FZ13" i="23"/>
  <c r="GA13" i="23"/>
  <c r="GB12" i="23"/>
  <c r="GC12" i="23" s="1"/>
  <c r="GB11" i="23"/>
  <c r="GC11" i="23"/>
  <c r="FZ10" i="23"/>
  <c r="GA10" i="23" s="1"/>
  <c r="FZ9" i="23"/>
  <c r="GA9" i="23" s="1"/>
  <c r="FN456" i="23"/>
  <c r="FO456" i="23" s="1"/>
  <c r="FN455" i="23"/>
  <c r="FO455" i="23"/>
  <c r="FN436" i="23"/>
  <c r="FO436" i="23" s="1"/>
  <c r="FN435" i="23"/>
  <c r="FO435" i="23"/>
  <c r="FN427" i="23"/>
  <c r="FO427" i="23" s="1"/>
  <c r="FN426" i="23"/>
  <c r="FO426" i="23"/>
  <c r="FN425" i="23"/>
  <c r="FO425" i="23" s="1"/>
  <c r="FN406" i="23"/>
  <c r="FO406" i="23" s="1"/>
  <c r="FN405" i="23"/>
  <c r="FO405" i="23" s="1"/>
  <c r="FN397" i="23"/>
  <c r="FO397" i="23" s="1"/>
  <c r="FN396" i="23"/>
  <c r="FO396" i="23" s="1"/>
  <c r="FN395" i="23"/>
  <c r="FO395" i="23"/>
  <c r="FN376" i="23"/>
  <c r="FO376" i="23" s="1"/>
  <c r="FN375" i="23"/>
  <c r="FO375" i="23"/>
  <c r="FN367" i="23"/>
  <c r="FO367" i="23" s="1"/>
  <c r="FN366" i="23"/>
  <c r="FO366" i="23" s="1"/>
  <c r="FN365" i="23"/>
  <c r="FO365" i="23" s="1"/>
  <c r="FN346" i="23"/>
  <c r="FO346" i="23"/>
  <c r="FN345" i="23"/>
  <c r="FO345" i="23" s="1"/>
  <c r="FN337" i="23"/>
  <c r="FO337" i="23"/>
  <c r="FN336" i="23"/>
  <c r="FO336" i="23" s="1"/>
  <c r="FN335" i="23"/>
  <c r="FO335" i="23"/>
  <c r="FN316" i="23"/>
  <c r="FO316" i="23" s="1"/>
  <c r="FN315" i="23"/>
  <c r="FO315" i="23" s="1"/>
  <c r="FN307" i="23"/>
  <c r="FO307" i="23" s="1"/>
  <c r="FN306" i="23"/>
  <c r="FO306" i="23"/>
  <c r="FN305" i="23"/>
  <c r="FO305" i="23" s="1"/>
  <c r="FN286" i="23"/>
  <c r="FO286" i="23"/>
  <c r="FN285" i="23"/>
  <c r="FO285" i="23" s="1"/>
  <c r="FN277" i="23"/>
  <c r="FO277" i="23"/>
  <c r="FN276" i="23"/>
  <c r="FO276" i="23" s="1"/>
  <c r="FN275" i="23"/>
  <c r="FO275" i="23" s="1"/>
  <c r="FN256" i="23"/>
  <c r="FO256" i="23"/>
  <c r="FN255" i="23"/>
  <c r="FO255" i="23" s="1"/>
  <c r="FN247" i="23"/>
  <c r="FO247" i="23"/>
  <c r="FN246" i="23"/>
  <c r="FO246" i="23" s="1"/>
  <c r="FN245" i="23"/>
  <c r="FO245" i="23"/>
  <c r="FN226" i="23"/>
  <c r="FO226" i="23" s="1"/>
  <c r="FN225" i="23"/>
  <c r="FO225" i="23"/>
  <c r="FN217" i="23"/>
  <c r="FO217" i="23" s="1"/>
  <c r="FN216" i="23"/>
  <c r="FO216" i="23"/>
  <c r="FN215" i="23"/>
  <c r="FO215" i="23" s="1"/>
  <c r="FN196" i="23"/>
  <c r="FO196" i="23"/>
  <c r="FN195" i="23"/>
  <c r="FO195" i="23" s="1"/>
  <c r="FN187" i="23"/>
  <c r="FO187" i="23"/>
  <c r="FN186" i="23"/>
  <c r="FO186" i="23" s="1"/>
  <c r="FN185" i="23"/>
  <c r="FO185" i="23"/>
  <c r="FN166" i="23"/>
  <c r="FO166" i="23" s="1"/>
  <c r="FN165" i="23"/>
  <c r="FO165" i="23"/>
  <c r="FN157" i="23"/>
  <c r="FO157" i="23" s="1"/>
  <c r="FN156" i="23"/>
  <c r="FO156" i="23"/>
  <c r="FN155" i="23"/>
  <c r="FO155" i="23" s="1"/>
  <c r="FN136" i="23"/>
  <c r="FO136" i="23"/>
  <c r="FN135" i="23"/>
  <c r="FO135" i="23" s="1"/>
  <c r="FN127" i="23"/>
  <c r="FO127" i="23"/>
  <c r="FN126" i="23"/>
  <c r="FO126" i="23" s="1"/>
  <c r="FN125" i="23"/>
  <c r="FO125" i="23"/>
  <c r="FN106" i="23"/>
  <c r="FO106" i="23" s="1"/>
  <c r="FN105" i="23"/>
  <c r="FO105" i="23"/>
  <c r="FN97" i="23"/>
  <c r="FO97" i="23" s="1"/>
  <c r="FN96" i="23"/>
  <c r="FO96" i="23"/>
  <c r="FN95" i="23"/>
  <c r="FO95" i="23" s="1"/>
  <c r="FN76" i="23"/>
  <c r="FO76" i="23"/>
  <c r="FN75" i="23"/>
  <c r="FO75" i="23" s="1"/>
  <c r="FN67" i="23"/>
  <c r="FO67" i="23"/>
  <c r="FN66" i="23"/>
  <c r="FO66" i="23" s="1"/>
  <c r="FN65" i="23"/>
  <c r="FO65" i="23"/>
  <c r="FN46" i="23"/>
  <c r="FO46" i="23" s="1"/>
  <c r="FN45" i="23"/>
  <c r="FO45" i="23"/>
  <c r="FN37" i="23"/>
  <c r="FO37" i="23" s="1"/>
  <c r="FN36" i="23"/>
  <c r="FO36" i="23"/>
  <c r="FN35" i="23"/>
  <c r="FO35" i="23" s="1"/>
  <c r="FP32" i="23"/>
  <c r="FQ32" i="23"/>
  <c r="FP31" i="23"/>
  <c r="FQ31" i="23" s="1"/>
  <c r="FP30" i="23"/>
  <c r="FQ30" i="23"/>
  <c r="FP29" i="23"/>
  <c r="FQ29" i="23" s="1"/>
  <c r="FP28" i="23"/>
  <c r="FQ28" i="23"/>
  <c r="FP27" i="23"/>
  <c r="FQ27" i="23" s="1"/>
  <c r="FP26" i="23"/>
  <c r="FQ26" i="23"/>
  <c r="FN26" i="23"/>
  <c r="FO26" i="23" s="1"/>
  <c r="FP25" i="23"/>
  <c r="FQ25" i="23"/>
  <c r="FN23" i="23"/>
  <c r="FO23" i="23" s="1"/>
  <c r="FN22" i="23"/>
  <c r="FO22" i="23"/>
  <c r="FN21" i="23"/>
  <c r="FO21" i="23" s="1"/>
  <c r="FP20" i="23"/>
  <c r="FQ20" i="23"/>
  <c r="FN20" i="23"/>
  <c r="FO20" i="23" s="1"/>
  <c r="FP19" i="23"/>
  <c r="FN19" i="23"/>
  <c r="FO19" i="23"/>
  <c r="FP18" i="23"/>
  <c r="FQ18" i="23"/>
  <c r="FP17" i="23"/>
  <c r="FN17" i="23"/>
  <c r="FO17" i="23" s="1"/>
  <c r="FP16" i="23"/>
  <c r="FN16" i="23"/>
  <c r="FO16" i="23"/>
  <c r="FP15" i="23"/>
  <c r="FQ15" i="23"/>
  <c r="FP14" i="23"/>
  <c r="FQ14" i="23"/>
  <c r="FP13" i="23"/>
  <c r="FQ13" i="23"/>
  <c r="FN13" i="23"/>
  <c r="FO13" i="23"/>
  <c r="FP12" i="23"/>
  <c r="FQ12" i="23"/>
  <c r="FP11" i="23"/>
  <c r="FQ11" i="23"/>
  <c r="FN10" i="23"/>
  <c r="FO10" i="23"/>
  <c r="FN9" i="23"/>
  <c r="FO9" i="23"/>
  <c r="B37" i="21"/>
  <c r="B35" i="21"/>
  <c r="FT66" i="23"/>
  <c r="FU66" i="23"/>
  <c r="FT65" i="23"/>
  <c r="FU65" i="23"/>
  <c r="FT46" i="23"/>
  <c r="FU46" i="23"/>
  <c r="FT45" i="23"/>
  <c r="FU45" i="23"/>
  <c r="FT37" i="23"/>
  <c r="FU37" i="23"/>
  <c r="FT456" i="23"/>
  <c r="FU456" i="23"/>
  <c r="FT455" i="23"/>
  <c r="FU455" i="23"/>
  <c r="FT436" i="23"/>
  <c r="FU436" i="23"/>
  <c r="FT435" i="23"/>
  <c r="FU435" i="23"/>
  <c r="FT427" i="23"/>
  <c r="FU427" i="23"/>
  <c r="FT426" i="23"/>
  <c r="FU426" i="23"/>
  <c r="FT425" i="23"/>
  <c r="FU425" i="23"/>
  <c r="FT406" i="23"/>
  <c r="FU406" i="23"/>
  <c r="FT405" i="23"/>
  <c r="FU405" i="23"/>
  <c r="FT397" i="23"/>
  <c r="FU397" i="23"/>
  <c r="FT396" i="23"/>
  <c r="FU396" i="23"/>
  <c r="FT395" i="23"/>
  <c r="FU395" i="23"/>
  <c r="FT376" i="23"/>
  <c r="FU376" i="23"/>
  <c r="FT375" i="23"/>
  <c r="FU375" i="23"/>
  <c r="FT367" i="23"/>
  <c r="FU367" i="23"/>
  <c r="FT366" i="23"/>
  <c r="FU366" i="23"/>
  <c r="FT365" i="23"/>
  <c r="FU365" i="23"/>
  <c r="FT346" i="23"/>
  <c r="FU346" i="23"/>
  <c r="FT345" i="23"/>
  <c r="FU345" i="23"/>
  <c r="FT337" i="23"/>
  <c r="FU337" i="23"/>
  <c r="FT336" i="23"/>
  <c r="FU336" i="23"/>
  <c r="FT335" i="23"/>
  <c r="FU335" i="23"/>
  <c r="FT316" i="23"/>
  <c r="FU316" i="23"/>
  <c r="FT315" i="23"/>
  <c r="FU315" i="23"/>
  <c r="FT307" i="23"/>
  <c r="FU307" i="23"/>
  <c r="FT306" i="23"/>
  <c r="FU306" i="23"/>
  <c r="FT305" i="23"/>
  <c r="FU305" i="23"/>
  <c r="FT286" i="23"/>
  <c r="FU286" i="23"/>
  <c r="FT285" i="23"/>
  <c r="FU285" i="23"/>
  <c r="FT277" i="23"/>
  <c r="FU277" i="23"/>
  <c r="FT276" i="23"/>
  <c r="FU276" i="23"/>
  <c r="FT275" i="23"/>
  <c r="FU275" i="23"/>
  <c r="FT256" i="23"/>
  <c r="FU256" i="23"/>
  <c r="FT255" i="23"/>
  <c r="FU255" i="23"/>
  <c r="FT247" i="23"/>
  <c r="FU247" i="23"/>
  <c r="FT246" i="23"/>
  <c r="FU246" i="23"/>
  <c r="FT245" i="23"/>
  <c r="FU245" i="23"/>
  <c r="FT226" i="23"/>
  <c r="FU226" i="23"/>
  <c r="FT225" i="23"/>
  <c r="FU225" i="23"/>
  <c r="FT217" i="23"/>
  <c r="FU217" i="23"/>
  <c r="FT216" i="23"/>
  <c r="FU216" i="23"/>
  <c r="FT215" i="23"/>
  <c r="FU215" i="23"/>
  <c r="FT196" i="23"/>
  <c r="FU196" i="23"/>
  <c r="FT195" i="23"/>
  <c r="FU195" i="23"/>
  <c r="FT187" i="23"/>
  <c r="FU187" i="23"/>
  <c r="FT186" i="23"/>
  <c r="FU186" i="23"/>
  <c r="FT185" i="23"/>
  <c r="FU185" i="23"/>
  <c r="FT166" i="23"/>
  <c r="FU166" i="23"/>
  <c r="FT165" i="23"/>
  <c r="FU165" i="23"/>
  <c r="FT157" i="23"/>
  <c r="FU157" i="23"/>
  <c r="FT156" i="23"/>
  <c r="FU156" i="23"/>
  <c r="FT155" i="23"/>
  <c r="FU155" i="23"/>
  <c r="FT136" i="23"/>
  <c r="FU136" i="23"/>
  <c r="FT135" i="23"/>
  <c r="FU135" i="23"/>
  <c r="FT127" i="23"/>
  <c r="FU127" i="23"/>
  <c r="FT126" i="23"/>
  <c r="FU126" i="23"/>
  <c r="FT125" i="23"/>
  <c r="FU125" i="23"/>
  <c r="FT106" i="23"/>
  <c r="FU106" i="23"/>
  <c r="FT105" i="23"/>
  <c r="FU105" i="23"/>
  <c r="FT97" i="23"/>
  <c r="FU97" i="23"/>
  <c r="FT96" i="23"/>
  <c r="FU96" i="23"/>
  <c r="FT95" i="23"/>
  <c r="FU95" i="23"/>
  <c r="FT76" i="23"/>
  <c r="FU76" i="23"/>
  <c r="FT75" i="23"/>
  <c r="FU75" i="23"/>
  <c r="FT67" i="23"/>
  <c r="FU67" i="23"/>
  <c r="FT36" i="23"/>
  <c r="FU36" i="23"/>
  <c r="FT35" i="23"/>
  <c r="FU35" i="23"/>
  <c r="FV32" i="23"/>
  <c r="FW32" i="23"/>
  <c r="FV31" i="23"/>
  <c r="FW31" i="23"/>
  <c r="FT31" i="23"/>
  <c r="FU31" i="23"/>
  <c r="FV30" i="23"/>
  <c r="FW30" i="23"/>
  <c r="FV29" i="23"/>
  <c r="FW29" i="23"/>
  <c r="FV28" i="23"/>
  <c r="FW28" i="23"/>
  <c r="FV27" i="23"/>
  <c r="FT27" i="23" s="1"/>
  <c r="FU27" i="23" s="1"/>
  <c r="FW27" i="23"/>
  <c r="FV26" i="23"/>
  <c r="FT26" i="23" s="1"/>
  <c r="FU26" i="23" s="1"/>
  <c r="FW26" i="23"/>
  <c r="FV25" i="23"/>
  <c r="FW25" i="23"/>
  <c r="FT23" i="23"/>
  <c r="FU23" i="23"/>
  <c r="FT22" i="23"/>
  <c r="FU22" i="23"/>
  <c r="FT21" i="23"/>
  <c r="FU21" i="23"/>
  <c r="FV20" i="23"/>
  <c r="FT20" i="23"/>
  <c r="FU20" i="23" s="1"/>
  <c r="FV19" i="23"/>
  <c r="FW19" i="23"/>
  <c r="FV18" i="23"/>
  <c r="FT18" i="23" s="1"/>
  <c r="FU18" i="23" s="1"/>
  <c r="FV17" i="23"/>
  <c r="FT17" i="23" s="1"/>
  <c r="FU17" i="23" s="1"/>
  <c r="FW17" i="23"/>
  <c r="FV16" i="23"/>
  <c r="FT16" i="23" s="1"/>
  <c r="FU16" i="23" s="1"/>
  <c r="FV15" i="23"/>
  <c r="FW15" i="23"/>
  <c r="FV14" i="23"/>
  <c r="FT14" i="23" s="1"/>
  <c r="FU14" i="23" s="1"/>
  <c r="FV13" i="23"/>
  <c r="FT13" i="23" s="1"/>
  <c r="FU13" i="23" s="1"/>
  <c r="FW13" i="23"/>
  <c r="FV12" i="23"/>
  <c r="FT12" i="23"/>
  <c r="FU12" i="23" s="1"/>
  <c r="FV11" i="23"/>
  <c r="FW11" i="23"/>
  <c r="FT10" i="23"/>
  <c r="FU10" i="23" s="1"/>
  <c r="FT9" i="23"/>
  <c r="FU9" i="23" s="1"/>
  <c r="FH66" i="23"/>
  <c r="FI66" i="23" s="1"/>
  <c r="FH65" i="23"/>
  <c r="FI65" i="23" s="1"/>
  <c r="FH46" i="23"/>
  <c r="FI46" i="23" s="1"/>
  <c r="FH45" i="23"/>
  <c r="FI45" i="23"/>
  <c r="FH37" i="23"/>
  <c r="FI37" i="23" s="1"/>
  <c r="FH456" i="23"/>
  <c r="FI456" i="23"/>
  <c r="FH455" i="23"/>
  <c r="FI455" i="23" s="1"/>
  <c r="FH436" i="23"/>
  <c r="FI436" i="23" s="1"/>
  <c r="FH435" i="23"/>
  <c r="FI435" i="23" s="1"/>
  <c r="FH427" i="23"/>
  <c r="FI427" i="23"/>
  <c r="FH426" i="23"/>
  <c r="FI426" i="23" s="1"/>
  <c r="FH425" i="23"/>
  <c r="FI425" i="23"/>
  <c r="FH406" i="23"/>
  <c r="FI406" i="23" s="1"/>
  <c r="FH405" i="23"/>
  <c r="FI405" i="23"/>
  <c r="FH397" i="23"/>
  <c r="FI397" i="23" s="1"/>
  <c r="FH396" i="23"/>
  <c r="FI396" i="23" s="1"/>
  <c r="FH395" i="23"/>
  <c r="FI395" i="23" s="1"/>
  <c r="FH376" i="23"/>
  <c r="FI376" i="23"/>
  <c r="FH375" i="23"/>
  <c r="FI375" i="23" s="1"/>
  <c r="FH367" i="23"/>
  <c r="FI367" i="23"/>
  <c r="FH366" i="23"/>
  <c r="FI366" i="23" s="1"/>
  <c r="FH365" i="23"/>
  <c r="FI365" i="23"/>
  <c r="FH346" i="23"/>
  <c r="FI346" i="23" s="1"/>
  <c r="FH345" i="23"/>
  <c r="FI345" i="23" s="1"/>
  <c r="FH337" i="23"/>
  <c r="FI337" i="23" s="1"/>
  <c r="FH336" i="23"/>
  <c r="FI336" i="23"/>
  <c r="FH335" i="23"/>
  <c r="FI335" i="23" s="1"/>
  <c r="FH316" i="23"/>
  <c r="FI316" i="23" s="1"/>
  <c r="FH315" i="23"/>
  <c r="FI315" i="23" s="1"/>
  <c r="FH307" i="23"/>
  <c r="FI307" i="23"/>
  <c r="FH306" i="23"/>
  <c r="FI306" i="23" s="1"/>
  <c r="FH305" i="23"/>
  <c r="FI305" i="23" s="1"/>
  <c r="FH286" i="23"/>
  <c r="FI286" i="23" s="1"/>
  <c r="FH285" i="23"/>
  <c r="FI285" i="23" s="1"/>
  <c r="FH277" i="23"/>
  <c r="FI277" i="23" s="1"/>
  <c r="FH276" i="23"/>
  <c r="FI276" i="23"/>
  <c r="FH275" i="23"/>
  <c r="FI275" i="23" s="1"/>
  <c r="FH256" i="23"/>
  <c r="FI256" i="23"/>
  <c r="FH255" i="23"/>
  <c r="FI255" i="23" s="1"/>
  <c r="FH247" i="23"/>
  <c r="FI247" i="23" s="1"/>
  <c r="FH246" i="23"/>
  <c r="FI246" i="23" s="1"/>
  <c r="FH245" i="23"/>
  <c r="FI245" i="23"/>
  <c r="FH226" i="23"/>
  <c r="FI226" i="23" s="1"/>
  <c r="FH225" i="23"/>
  <c r="FI225" i="23"/>
  <c r="FH217" i="23"/>
  <c r="FI217" i="23" s="1"/>
  <c r="FH216" i="23"/>
  <c r="FI216" i="23"/>
  <c r="FH215" i="23"/>
  <c r="FI215" i="23" s="1"/>
  <c r="FH196" i="23"/>
  <c r="FI196" i="23" s="1"/>
  <c r="FH195" i="23"/>
  <c r="FI195" i="23" s="1"/>
  <c r="FH187" i="23"/>
  <c r="FI187" i="23"/>
  <c r="FH186" i="23"/>
  <c r="FI186" i="23" s="1"/>
  <c r="FH185" i="23"/>
  <c r="FI185" i="23"/>
  <c r="FH166" i="23"/>
  <c r="FI166" i="23" s="1"/>
  <c r="FH165" i="23"/>
  <c r="FI165" i="23"/>
  <c r="FH157" i="23"/>
  <c r="FI157" i="23" s="1"/>
  <c r="FH156" i="23"/>
  <c r="FI156" i="23" s="1"/>
  <c r="FH155" i="23"/>
  <c r="FI155" i="23" s="1"/>
  <c r="FH136" i="23"/>
  <c r="FI136" i="23"/>
  <c r="FH135" i="23"/>
  <c r="FI135" i="23" s="1"/>
  <c r="FH127" i="23"/>
  <c r="FI127" i="23" s="1"/>
  <c r="FH126" i="23"/>
  <c r="FI126" i="23" s="1"/>
  <c r="FH125" i="23"/>
  <c r="FI125" i="23"/>
  <c r="FH106" i="23"/>
  <c r="FI106" i="23" s="1"/>
  <c r="FH105" i="23"/>
  <c r="FI105" i="23" s="1"/>
  <c r="FH97" i="23"/>
  <c r="FI97" i="23" s="1"/>
  <c r="FH96" i="23"/>
  <c r="FI96" i="23" s="1"/>
  <c r="FH95" i="23"/>
  <c r="FI95" i="23" s="1"/>
  <c r="FH76" i="23"/>
  <c r="FI76" i="23"/>
  <c r="FH75" i="23"/>
  <c r="FI75" i="23" s="1"/>
  <c r="FH67" i="23"/>
  <c r="FI67" i="23"/>
  <c r="FH36" i="23"/>
  <c r="FI36" i="23" s="1"/>
  <c r="FH35" i="23"/>
  <c r="FI35" i="23" s="1"/>
  <c r="FJ32" i="23"/>
  <c r="FK32" i="23" s="1"/>
  <c r="FJ31" i="23"/>
  <c r="FK31" i="23"/>
  <c r="FJ30" i="23"/>
  <c r="FK30" i="23" s="1"/>
  <c r="FJ29" i="23"/>
  <c r="FK29" i="23"/>
  <c r="FJ28" i="23"/>
  <c r="FJ27" i="23"/>
  <c r="FK27" i="23" s="1"/>
  <c r="FJ26" i="23"/>
  <c r="FK26" i="23" s="1"/>
  <c r="FJ25" i="23"/>
  <c r="FK25" i="23" s="1"/>
  <c r="FH23" i="23"/>
  <c r="FI23" i="23"/>
  <c r="FH22" i="23"/>
  <c r="FI22" i="23"/>
  <c r="FH21" i="23"/>
  <c r="FI21" i="23"/>
  <c r="FJ20" i="23"/>
  <c r="FK20" i="23"/>
  <c r="FJ19" i="23"/>
  <c r="FK19" i="23"/>
  <c r="FJ18" i="23"/>
  <c r="FH18" i="23"/>
  <c r="FI18" i="23" s="1"/>
  <c r="FJ17" i="23"/>
  <c r="FH17" i="23" s="1"/>
  <c r="FI17" i="23"/>
  <c r="FJ16" i="23"/>
  <c r="FH16" i="23" s="1"/>
  <c r="FI16" i="23" s="1"/>
  <c r="FJ15" i="23"/>
  <c r="FJ14" i="23"/>
  <c r="FK14" i="23"/>
  <c r="FJ13" i="23"/>
  <c r="FH13" i="23"/>
  <c r="FI13" i="23"/>
  <c r="FJ12" i="23"/>
  <c r="FK12" i="23" s="1"/>
  <c r="FJ11" i="23"/>
  <c r="FK11" i="23"/>
  <c r="FH10" i="23"/>
  <c r="FI10" i="23" s="1"/>
  <c r="FH9" i="23"/>
  <c r="FI9" i="23" s="1"/>
  <c r="FB456" i="23"/>
  <c r="FC456" i="23" s="1"/>
  <c r="FB455" i="23"/>
  <c r="FC455" i="23"/>
  <c r="FB436" i="23"/>
  <c r="FC436" i="23" s="1"/>
  <c r="FB435" i="23"/>
  <c r="FC435" i="23"/>
  <c r="FB427" i="23"/>
  <c r="FC427" i="23" s="1"/>
  <c r="FB426" i="23"/>
  <c r="FC426" i="23"/>
  <c r="FB425" i="23"/>
  <c r="FC425" i="23" s="1"/>
  <c r="FB406" i="23"/>
  <c r="FC406" i="23" s="1"/>
  <c r="FB405" i="23"/>
  <c r="FC405" i="23" s="1"/>
  <c r="FB397" i="23"/>
  <c r="FC397" i="23"/>
  <c r="FB396" i="23"/>
  <c r="FC396" i="23" s="1"/>
  <c r="FB395" i="23"/>
  <c r="FC395" i="23"/>
  <c r="FB376" i="23"/>
  <c r="FC376" i="23" s="1"/>
  <c r="FB375" i="23"/>
  <c r="FC375" i="23"/>
  <c r="FB367" i="23"/>
  <c r="FC367" i="23" s="1"/>
  <c r="FB366" i="23"/>
  <c r="FC366" i="23" s="1"/>
  <c r="FB365" i="23"/>
  <c r="FC365" i="23" s="1"/>
  <c r="FB346" i="23"/>
  <c r="FC346" i="23"/>
  <c r="FB345" i="23"/>
  <c r="FC345" i="23" s="1"/>
  <c r="FB337" i="23"/>
  <c r="FC337" i="23"/>
  <c r="FB336" i="23"/>
  <c r="FC336" i="23" s="1"/>
  <c r="FB335" i="23"/>
  <c r="FC335" i="23"/>
  <c r="FB316" i="23"/>
  <c r="FC316" i="23" s="1"/>
  <c r="FB315" i="23"/>
  <c r="FC315" i="23" s="1"/>
  <c r="FB307" i="23"/>
  <c r="FC307" i="23" s="1"/>
  <c r="FB306" i="23"/>
  <c r="FC306" i="23"/>
  <c r="FB305" i="23"/>
  <c r="FC305" i="23" s="1"/>
  <c r="FB286" i="23"/>
  <c r="FC286" i="23"/>
  <c r="FB285" i="23"/>
  <c r="FC285" i="23" s="1"/>
  <c r="FB277" i="23"/>
  <c r="FC277" i="23"/>
  <c r="FB276" i="23"/>
  <c r="FC276" i="23" s="1"/>
  <c r="FB275" i="23"/>
  <c r="FC275" i="23" s="1"/>
  <c r="FB256" i="23"/>
  <c r="FC256" i="23" s="1"/>
  <c r="FB255" i="23"/>
  <c r="FC255" i="23"/>
  <c r="FB247" i="23"/>
  <c r="FC247" i="23" s="1"/>
  <c r="FB246" i="23"/>
  <c r="FC246" i="23"/>
  <c r="FB245" i="23"/>
  <c r="FC245" i="23" s="1"/>
  <c r="FB226" i="23"/>
  <c r="FC226" i="23"/>
  <c r="FB225" i="23"/>
  <c r="FC225" i="23" s="1"/>
  <c r="FB217" i="23"/>
  <c r="FC217" i="23" s="1"/>
  <c r="FB216" i="23"/>
  <c r="FC216" i="23" s="1"/>
  <c r="FB215" i="23"/>
  <c r="FC215" i="23"/>
  <c r="FB196" i="23"/>
  <c r="FC196" i="23" s="1"/>
  <c r="FB195" i="23"/>
  <c r="FC195" i="23"/>
  <c r="FB187" i="23"/>
  <c r="FC187" i="23" s="1"/>
  <c r="FB186" i="23"/>
  <c r="FC186" i="23"/>
  <c r="FB185" i="23"/>
  <c r="FC185" i="23" s="1"/>
  <c r="FB166" i="23"/>
  <c r="FC166" i="23" s="1"/>
  <c r="FB165" i="23"/>
  <c r="FC165" i="23" s="1"/>
  <c r="FB157" i="23"/>
  <c r="FC157" i="23"/>
  <c r="FB156" i="23"/>
  <c r="FC156" i="23" s="1"/>
  <c r="FB155" i="23"/>
  <c r="FC155" i="23"/>
  <c r="FB136" i="23"/>
  <c r="FC136" i="23" s="1"/>
  <c r="FB135" i="23"/>
  <c r="FC135" i="23"/>
  <c r="FB127" i="23"/>
  <c r="FC127" i="23" s="1"/>
  <c r="FB126" i="23"/>
  <c r="FC126" i="23" s="1"/>
  <c r="FB125" i="23"/>
  <c r="FC125" i="23" s="1"/>
  <c r="FB106" i="23"/>
  <c r="FC106" i="23"/>
  <c r="FB105" i="23"/>
  <c r="FC105" i="23" s="1"/>
  <c r="FB97" i="23"/>
  <c r="FC97" i="23"/>
  <c r="FB96" i="23"/>
  <c r="FC96" i="23" s="1"/>
  <c r="FB95" i="23"/>
  <c r="FC95" i="23"/>
  <c r="FB76" i="23"/>
  <c r="FC76" i="23" s="1"/>
  <c r="FB75" i="23"/>
  <c r="FC75" i="23" s="1"/>
  <c r="FB67" i="23"/>
  <c r="FC67" i="23" s="1"/>
  <c r="FB66" i="23"/>
  <c r="FC66" i="23"/>
  <c r="FB65" i="23"/>
  <c r="FC65" i="23" s="1"/>
  <c r="FB46" i="23"/>
  <c r="FB45" i="23"/>
  <c r="FC45" i="23"/>
  <c r="FB37" i="23"/>
  <c r="FC37" i="23"/>
  <c r="FB36" i="23"/>
  <c r="FC36" i="23"/>
  <c r="FB35" i="23"/>
  <c r="FC35" i="23"/>
  <c r="FD32" i="23"/>
  <c r="FB32" i="23" s="1"/>
  <c r="FC32" i="23" s="1"/>
  <c r="FE32" i="23"/>
  <c r="FD31" i="23"/>
  <c r="FE31" i="23"/>
  <c r="FD30" i="23"/>
  <c r="FE30" i="23"/>
  <c r="FD29" i="23"/>
  <c r="FE29" i="23"/>
  <c r="FD28" i="23"/>
  <c r="FE28" i="23"/>
  <c r="FB28" i="23"/>
  <c r="FC28" i="23"/>
  <c r="FD27" i="23"/>
  <c r="FE27" i="23"/>
  <c r="FD26" i="23"/>
  <c r="FD25" i="23"/>
  <c r="FE25" i="23" s="1"/>
  <c r="FB25" i="23"/>
  <c r="FC25" i="23" s="1"/>
  <c r="FB23" i="23"/>
  <c r="FC23" i="23" s="1"/>
  <c r="FB22" i="23"/>
  <c r="FC22" i="23"/>
  <c r="FB21" i="23"/>
  <c r="FC21" i="23" s="1"/>
  <c r="FD20" i="23"/>
  <c r="FB20" i="23"/>
  <c r="FC20" i="23"/>
  <c r="FD19" i="23"/>
  <c r="FB19" i="23"/>
  <c r="FC19" i="23"/>
  <c r="FD18" i="23"/>
  <c r="FD17" i="23"/>
  <c r="FB17" i="23" s="1"/>
  <c r="FC17" i="23"/>
  <c r="FD16" i="23"/>
  <c r="FB16" i="23"/>
  <c r="FC16" i="23" s="1"/>
  <c r="FD15" i="23"/>
  <c r="FB15" i="23" s="1"/>
  <c r="FC15" i="23" s="1"/>
  <c r="FE15" i="23"/>
  <c r="FD14" i="23"/>
  <c r="FE14" i="23"/>
  <c r="FB14" i="23"/>
  <c r="FC14" i="23" s="1"/>
  <c r="FD13" i="23"/>
  <c r="FB13" i="23"/>
  <c r="FC13" i="23"/>
  <c r="FD12" i="23"/>
  <c r="FB12" i="23"/>
  <c r="FC12" i="23"/>
  <c r="FD11" i="23"/>
  <c r="FE11" i="23" s="1"/>
  <c r="FB10" i="23"/>
  <c r="FC10" i="23" s="1"/>
  <c r="FB9" i="23"/>
  <c r="FC9" i="23" s="1"/>
  <c r="EV456" i="23"/>
  <c r="EW456" i="23"/>
  <c r="EV455" i="23"/>
  <c r="EW455" i="23" s="1"/>
  <c r="EV436" i="23"/>
  <c r="EW436" i="23"/>
  <c r="EV435" i="23"/>
  <c r="EW435" i="23" s="1"/>
  <c r="EV427" i="23"/>
  <c r="EW427" i="23"/>
  <c r="EV426" i="23"/>
  <c r="EW426" i="23" s="1"/>
  <c r="EV425" i="23"/>
  <c r="EW425" i="23" s="1"/>
  <c r="EV406" i="23"/>
  <c r="EW406" i="23" s="1"/>
  <c r="EV405" i="23"/>
  <c r="EW405" i="23"/>
  <c r="EV397" i="23"/>
  <c r="EW397" i="23" s="1"/>
  <c r="EV396" i="23"/>
  <c r="EW396" i="23"/>
  <c r="EV395" i="23"/>
  <c r="EW395" i="23" s="1"/>
  <c r="EV376" i="23"/>
  <c r="EW376" i="23"/>
  <c r="EV375" i="23"/>
  <c r="EW375" i="23" s="1"/>
  <c r="EV367" i="23"/>
  <c r="EW367" i="23" s="1"/>
  <c r="EV366" i="23"/>
  <c r="EW366" i="23" s="1"/>
  <c r="EV365" i="23"/>
  <c r="EW365" i="23"/>
  <c r="EV346" i="23"/>
  <c r="EW346" i="23" s="1"/>
  <c r="EV345" i="23"/>
  <c r="EW345" i="23"/>
  <c r="EV337" i="23"/>
  <c r="EW337" i="23" s="1"/>
  <c r="EV336" i="23"/>
  <c r="EW336" i="23"/>
  <c r="EV335" i="23"/>
  <c r="EW335" i="23" s="1"/>
  <c r="EV316" i="23"/>
  <c r="EW316" i="23" s="1"/>
  <c r="EV315" i="23"/>
  <c r="EW315" i="23" s="1"/>
  <c r="EV307" i="23"/>
  <c r="EW307" i="23"/>
  <c r="EV306" i="23"/>
  <c r="EW306" i="23" s="1"/>
  <c r="EV305" i="23"/>
  <c r="EW305" i="23"/>
  <c r="EV286" i="23"/>
  <c r="EW286" i="23" s="1"/>
  <c r="EV285" i="23"/>
  <c r="EW285" i="23"/>
  <c r="EV277" i="23"/>
  <c r="EW277" i="23" s="1"/>
  <c r="EV276" i="23"/>
  <c r="EW276" i="23" s="1"/>
  <c r="EV275" i="23"/>
  <c r="EW275" i="23" s="1"/>
  <c r="EV256" i="23"/>
  <c r="EW256" i="23"/>
  <c r="EV255" i="23"/>
  <c r="EW255" i="23" s="1"/>
  <c r="EV247" i="23"/>
  <c r="EW247" i="23"/>
  <c r="EV246" i="23"/>
  <c r="EW246" i="23" s="1"/>
  <c r="EV245" i="23"/>
  <c r="EW245" i="23"/>
  <c r="EV226" i="23"/>
  <c r="EW226" i="23" s="1"/>
  <c r="EV225" i="23"/>
  <c r="EW225" i="23" s="1"/>
  <c r="EV217" i="23"/>
  <c r="EW217" i="23" s="1"/>
  <c r="EV216" i="23"/>
  <c r="EW216" i="23"/>
  <c r="EV215" i="23"/>
  <c r="EW215" i="23" s="1"/>
  <c r="EV196" i="23"/>
  <c r="EW196" i="23"/>
  <c r="EV195" i="23"/>
  <c r="EW195" i="23" s="1"/>
  <c r="EV187" i="23"/>
  <c r="EW187" i="23"/>
  <c r="EV186" i="23"/>
  <c r="EW186" i="23"/>
  <c r="EV185" i="23"/>
  <c r="EW185" i="23"/>
  <c r="EV166" i="23"/>
  <c r="EW166" i="23"/>
  <c r="EV165" i="23"/>
  <c r="EW165" i="23"/>
  <c r="EV157" i="23"/>
  <c r="EW157" i="23"/>
  <c r="EV156" i="23"/>
  <c r="EW156" i="23"/>
  <c r="EV155" i="23"/>
  <c r="EW155" i="23"/>
  <c r="EV136" i="23"/>
  <c r="EW136" i="23"/>
  <c r="EV135" i="23"/>
  <c r="EW135" i="23"/>
  <c r="EV127" i="23"/>
  <c r="EW127" i="23"/>
  <c r="EV126" i="23"/>
  <c r="EW126" i="23"/>
  <c r="EV125" i="23"/>
  <c r="EW125" i="23"/>
  <c r="EV106" i="23"/>
  <c r="EW106" i="23"/>
  <c r="EV105" i="23"/>
  <c r="EW105" i="23"/>
  <c r="EV97" i="23"/>
  <c r="EW97" i="23"/>
  <c r="EV96" i="23"/>
  <c r="EW96" i="23"/>
  <c r="EV95" i="23"/>
  <c r="EW95" i="23"/>
  <c r="EV76" i="23"/>
  <c r="EW76" i="23"/>
  <c r="EV75" i="23"/>
  <c r="EW75" i="23"/>
  <c r="EV67" i="23"/>
  <c r="EW67" i="23"/>
  <c r="EV66" i="23"/>
  <c r="EW66" i="23"/>
  <c r="EV65" i="23"/>
  <c r="EW65" i="23"/>
  <c r="EV46" i="23"/>
  <c r="EV45" i="23"/>
  <c r="EW45" i="23" s="1"/>
  <c r="EV37" i="23"/>
  <c r="EW37" i="23"/>
  <c r="EV36" i="23"/>
  <c r="EW36" i="23" s="1"/>
  <c r="EV35" i="23"/>
  <c r="EW35" i="23"/>
  <c r="EX32" i="23"/>
  <c r="EY32" i="23" s="1"/>
  <c r="EX31" i="23"/>
  <c r="EY31" i="23"/>
  <c r="EX30" i="23"/>
  <c r="EY30" i="23" s="1"/>
  <c r="EX29" i="23"/>
  <c r="EY29" i="23"/>
  <c r="EX28" i="23"/>
  <c r="EY28" i="23" s="1"/>
  <c r="EX27" i="23"/>
  <c r="EY27" i="23"/>
  <c r="EX26" i="23"/>
  <c r="EY26" i="23" s="1"/>
  <c r="EX25" i="23"/>
  <c r="EY25" i="23"/>
  <c r="EV23" i="23"/>
  <c r="EW23" i="23" s="1"/>
  <c r="EV22" i="23"/>
  <c r="EW22" i="23"/>
  <c r="EV21" i="23"/>
  <c r="EW21" i="23" s="1"/>
  <c r="EX20" i="23"/>
  <c r="EV20" i="23"/>
  <c r="EW20" i="23"/>
  <c r="EX19" i="23"/>
  <c r="EV19" i="23"/>
  <c r="EW19" i="23"/>
  <c r="EX18" i="23"/>
  <c r="EV18" i="23" s="1"/>
  <c r="EW18" i="23" s="1"/>
  <c r="EX17" i="23"/>
  <c r="EV17" i="23" s="1"/>
  <c r="EW17" i="23" s="1"/>
  <c r="EX16" i="23"/>
  <c r="EV16" i="23"/>
  <c r="EW16" i="23" s="1"/>
  <c r="EX15" i="23"/>
  <c r="EY15" i="23"/>
  <c r="EX14" i="23"/>
  <c r="EV14" i="23" s="1"/>
  <c r="EW14" i="23" s="1"/>
  <c r="EX13" i="23"/>
  <c r="EX12" i="23"/>
  <c r="EY12" i="23" s="1"/>
  <c r="EX11" i="23"/>
  <c r="EY11" i="23"/>
  <c r="EV10" i="23"/>
  <c r="EW10" i="23" s="1"/>
  <c r="EV9" i="23"/>
  <c r="EW9" i="23"/>
  <c r="EP456" i="23"/>
  <c r="EQ456" i="23" s="1"/>
  <c r="EP455" i="23"/>
  <c r="EQ455" i="23"/>
  <c r="EP436" i="23"/>
  <c r="EQ436" i="23" s="1"/>
  <c r="EP435" i="23"/>
  <c r="EQ435" i="23"/>
  <c r="EP427" i="23"/>
  <c r="EQ427" i="23" s="1"/>
  <c r="EP426" i="23"/>
  <c r="EQ426" i="23"/>
  <c r="EP425" i="23"/>
  <c r="EQ425" i="23" s="1"/>
  <c r="EP406" i="23"/>
  <c r="EQ406" i="23"/>
  <c r="EP405" i="23"/>
  <c r="EQ405" i="23" s="1"/>
  <c r="EP397" i="23"/>
  <c r="EQ397" i="23"/>
  <c r="EP396" i="23"/>
  <c r="EQ396" i="23" s="1"/>
  <c r="EP395" i="23"/>
  <c r="EQ395" i="23"/>
  <c r="EP376" i="23"/>
  <c r="EQ376" i="23" s="1"/>
  <c r="EP375" i="23"/>
  <c r="EQ375" i="23"/>
  <c r="EP367" i="23"/>
  <c r="EQ367" i="23" s="1"/>
  <c r="EP366" i="23"/>
  <c r="EQ366" i="23"/>
  <c r="EP365" i="23"/>
  <c r="EQ365" i="23" s="1"/>
  <c r="EP346" i="23"/>
  <c r="EQ346" i="23"/>
  <c r="EP345" i="23"/>
  <c r="EQ345" i="23" s="1"/>
  <c r="EP337" i="23"/>
  <c r="EQ337" i="23"/>
  <c r="EP336" i="23"/>
  <c r="EQ336" i="23" s="1"/>
  <c r="EP335" i="23"/>
  <c r="EQ335" i="23"/>
  <c r="EP316" i="23"/>
  <c r="EQ316" i="23" s="1"/>
  <c r="EP315" i="23"/>
  <c r="EQ315" i="23"/>
  <c r="EP307" i="23"/>
  <c r="EQ307" i="23" s="1"/>
  <c r="EP306" i="23"/>
  <c r="EQ306" i="23"/>
  <c r="EP305" i="23"/>
  <c r="EQ305" i="23" s="1"/>
  <c r="EP286" i="23"/>
  <c r="EQ286" i="23"/>
  <c r="EP285" i="23"/>
  <c r="EQ285" i="23" s="1"/>
  <c r="EP277" i="23"/>
  <c r="EQ277" i="23"/>
  <c r="EP276" i="23"/>
  <c r="EQ276" i="23" s="1"/>
  <c r="EP275" i="23"/>
  <c r="EQ275" i="23"/>
  <c r="EP256" i="23"/>
  <c r="EQ256" i="23" s="1"/>
  <c r="EP255" i="23"/>
  <c r="EQ255" i="23"/>
  <c r="EP247" i="23"/>
  <c r="EQ247" i="23" s="1"/>
  <c r="EP246" i="23"/>
  <c r="EQ246" i="23"/>
  <c r="EP245" i="23"/>
  <c r="EQ245" i="23" s="1"/>
  <c r="EP226" i="23"/>
  <c r="EQ226" i="23"/>
  <c r="EP225" i="23"/>
  <c r="EQ225" i="23" s="1"/>
  <c r="EP217" i="23"/>
  <c r="EQ217" i="23"/>
  <c r="EP216" i="23"/>
  <c r="EQ216" i="23" s="1"/>
  <c r="EP215" i="23"/>
  <c r="EQ215" i="23"/>
  <c r="EP196" i="23"/>
  <c r="EQ196" i="23" s="1"/>
  <c r="EP195" i="23"/>
  <c r="EQ195" i="23"/>
  <c r="EP187" i="23"/>
  <c r="EQ187" i="23" s="1"/>
  <c r="EP186" i="23"/>
  <c r="EQ186" i="23"/>
  <c r="EP185" i="23"/>
  <c r="EQ185" i="23" s="1"/>
  <c r="EP166" i="23"/>
  <c r="EQ166" i="23"/>
  <c r="EP165" i="23"/>
  <c r="EQ165" i="23" s="1"/>
  <c r="EP157" i="23"/>
  <c r="EQ157" i="23"/>
  <c r="EP156" i="23"/>
  <c r="EQ156" i="23" s="1"/>
  <c r="EP155" i="23"/>
  <c r="EQ155" i="23"/>
  <c r="EP136" i="23"/>
  <c r="EQ136" i="23" s="1"/>
  <c r="EP135" i="23"/>
  <c r="EQ135" i="23"/>
  <c r="EP127" i="23"/>
  <c r="EQ127" i="23" s="1"/>
  <c r="EP126" i="23"/>
  <c r="EQ126" i="23"/>
  <c r="EP125" i="23"/>
  <c r="EQ125" i="23" s="1"/>
  <c r="EP106" i="23"/>
  <c r="EQ106" i="23"/>
  <c r="EP105" i="23"/>
  <c r="EQ105" i="23" s="1"/>
  <c r="EP97" i="23"/>
  <c r="EQ97" i="23"/>
  <c r="EP96" i="23"/>
  <c r="EQ96" i="23" s="1"/>
  <c r="EP95" i="23"/>
  <c r="EQ95" i="23"/>
  <c r="EP76" i="23"/>
  <c r="EQ76" i="23" s="1"/>
  <c r="EP75" i="23"/>
  <c r="EQ75" i="23"/>
  <c r="EP67" i="23"/>
  <c r="EQ67" i="23" s="1"/>
  <c r="EP66" i="23"/>
  <c r="EQ66" i="23"/>
  <c r="EP65" i="23"/>
  <c r="EQ65" i="23" s="1"/>
  <c r="EP46" i="23"/>
  <c r="EP45" i="23"/>
  <c r="EQ45" i="23"/>
  <c r="EP37" i="23"/>
  <c r="EQ37" i="23"/>
  <c r="EP36" i="23"/>
  <c r="EQ36" i="23"/>
  <c r="EP35" i="23"/>
  <c r="EQ35" i="23"/>
  <c r="ER32" i="23"/>
  <c r="EP32" i="23" s="1"/>
  <c r="EQ32" i="23" s="1"/>
  <c r="ES32" i="23"/>
  <c r="ER31" i="23"/>
  <c r="ES31" i="23"/>
  <c r="ER30" i="23"/>
  <c r="ES30" i="23"/>
  <c r="ER29" i="23"/>
  <c r="ES29" i="23"/>
  <c r="ER28" i="23"/>
  <c r="ER27" i="23"/>
  <c r="ES27" i="23"/>
  <c r="EP27" i="23"/>
  <c r="EQ27" i="23" s="1"/>
  <c r="ER26" i="23"/>
  <c r="ES26" i="23"/>
  <c r="EP26" i="23"/>
  <c r="EQ26" i="23" s="1"/>
  <c r="ER25" i="23"/>
  <c r="ES25" i="23"/>
  <c r="EP23" i="23"/>
  <c r="EQ23" i="23" s="1"/>
  <c r="EP22" i="23"/>
  <c r="EQ22" i="23"/>
  <c r="EP21" i="23"/>
  <c r="EQ21" i="23" s="1"/>
  <c r="ER20" i="23"/>
  <c r="ES20" i="23"/>
  <c r="ER19" i="23"/>
  <c r="EP19" i="23" s="1"/>
  <c r="EQ19" i="23" s="1"/>
  <c r="ER18" i="23"/>
  <c r="EP18" i="23"/>
  <c r="EQ18" i="23" s="1"/>
  <c r="ER17" i="23"/>
  <c r="EP17" i="23"/>
  <c r="EQ17" i="23" s="1"/>
  <c r="ER16" i="23"/>
  <c r="ES16" i="23"/>
  <c r="EP16" i="23"/>
  <c r="EQ16" i="23" s="1"/>
  <c r="ER15" i="23"/>
  <c r="ES15" i="23"/>
  <c r="ER14" i="23"/>
  <c r="EP14" i="23" s="1"/>
  <c r="EQ14" i="23" s="1"/>
  <c r="ER13" i="23"/>
  <c r="EP13" i="23"/>
  <c r="EQ13" i="23"/>
  <c r="ER12" i="23"/>
  <c r="ES12" i="23"/>
  <c r="ER11" i="23"/>
  <c r="ES11" i="23"/>
  <c r="EP10" i="23"/>
  <c r="EQ10" i="23"/>
  <c r="EP9" i="23"/>
  <c r="EQ9" i="23"/>
  <c r="EJ456" i="23"/>
  <c r="EK456" i="23"/>
  <c r="EJ455" i="23"/>
  <c r="EK455" i="23"/>
  <c r="EJ436" i="23"/>
  <c r="EK436" i="23"/>
  <c r="EJ435" i="23"/>
  <c r="EK435" i="23"/>
  <c r="EJ427" i="23"/>
  <c r="EK427" i="23"/>
  <c r="EJ426" i="23"/>
  <c r="EK426" i="23"/>
  <c r="EJ425" i="23"/>
  <c r="EK425" i="23"/>
  <c r="EJ406" i="23"/>
  <c r="EK406" i="23"/>
  <c r="EJ405" i="23"/>
  <c r="EK405" i="23"/>
  <c r="EJ397" i="23"/>
  <c r="EK397" i="23"/>
  <c r="EJ396" i="23"/>
  <c r="EK396" i="23"/>
  <c r="EJ395" i="23"/>
  <c r="EK395" i="23"/>
  <c r="EJ376" i="23"/>
  <c r="EK376" i="23"/>
  <c r="EJ375" i="23"/>
  <c r="EK375" i="23"/>
  <c r="EJ367" i="23"/>
  <c r="EK367" i="23"/>
  <c r="EJ366" i="23"/>
  <c r="EK366" i="23"/>
  <c r="EJ365" i="23"/>
  <c r="EK365" i="23"/>
  <c r="EJ346" i="23"/>
  <c r="EK346" i="23"/>
  <c r="EJ345" i="23"/>
  <c r="EK345" i="23"/>
  <c r="EJ337" i="23"/>
  <c r="EK337" i="23"/>
  <c r="EJ336" i="23"/>
  <c r="EK336" i="23"/>
  <c r="EJ335" i="23"/>
  <c r="EK335" i="23"/>
  <c r="EJ316" i="23"/>
  <c r="EK316" i="23"/>
  <c r="EJ315" i="23"/>
  <c r="EK315" i="23"/>
  <c r="EJ307" i="23"/>
  <c r="EK307" i="23"/>
  <c r="EJ306" i="23"/>
  <c r="EK306" i="23"/>
  <c r="EJ305" i="23"/>
  <c r="EK305" i="23"/>
  <c r="EJ286" i="23"/>
  <c r="EK286" i="23"/>
  <c r="EJ285" i="23"/>
  <c r="EK285" i="23"/>
  <c r="EJ277" i="23"/>
  <c r="EK277" i="23"/>
  <c r="EJ276" i="23"/>
  <c r="EK276" i="23"/>
  <c r="EJ275" i="23"/>
  <c r="EK275" i="23"/>
  <c r="EJ256" i="23"/>
  <c r="EK256" i="23"/>
  <c r="EJ255" i="23"/>
  <c r="EK255" i="23"/>
  <c r="EJ247" i="23"/>
  <c r="EK247" i="23"/>
  <c r="EJ246" i="23"/>
  <c r="EK246" i="23"/>
  <c r="EJ245" i="23"/>
  <c r="EK245" i="23"/>
  <c r="EJ226" i="23"/>
  <c r="EK226" i="23"/>
  <c r="EJ225" i="23"/>
  <c r="EK225" i="23"/>
  <c r="EJ217" i="23"/>
  <c r="EK217" i="23"/>
  <c r="EJ216" i="23"/>
  <c r="EK216" i="23"/>
  <c r="EJ215" i="23"/>
  <c r="EK215" i="23"/>
  <c r="EJ196" i="23"/>
  <c r="EK196" i="23"/>
  <c r="EJ195" i="23"/>
  <c r="EK195" i="23"/>
  <c r="EJ187" i="23"/>
  <c r="EK187" i="23"/>
  <c r="EJ186" i="23"/>
  <c r="EK186" i="23"/>
  <c r="EJ185" i="23"/>
  <c r="EK185" i="23"/>
  <c r="EJ166" i="23"/>
  <c r="EK166" i="23"/>
  <c r="EJ165" i="23"/>
  <c r="EK165" i="23"/>
  <c r="EJ157" i="23"/>
  <c r="EK157" i="23"/>
  <c r="EJ156" i="23"/>
  <c r="EK156" i="23"/>
  <c r="EJ155" i="23"/>
  <c r="EK155" i="23"/>
  <c r="EJ136" i="23"/>
  <c r="EK136" i="23"/>
  <c r="EJ135" i="23"/>
  <c r="EK135" i="23"/>
  <c r="EJ127" i="23"/>
  <c r="EK127" i="23"/>
  <c r="EJ126" i="23"/>
  <c r="EK126" i="23"/>
  <c r="EJ125" i="23"/>
  <c r="EK125" i="23"/>
  <c r="EJ106" i="23"/>
  <c r="EK106" i="23"/>
  <c r="EJ105" i="23"/>
  <c r="EK105" i="23"/>
  <c r="EJ97" i="23"/>
  <c r="EK97" i="23"/>
  <c r="EJ96" i="23"/>
  <c r="EK96" i="23"/>
  <c r="EJ95" i="23"/>
  <c r="EK95" i="23"/>
  <c r="EJ76" i="23"/>
  <c r="EK76" i="23"/>
  <c r="EJ75" i="23"/>
  <c r="EK75" i="23"/>
  <c r="EJ67" i="23"/>
  <c r="EK67" i="23"/>
  <c r="EJ66" i="23"/>
  <c r="EK66" i="23"/>
  <c r="EJ65" i="23"/>
  <c r="EK65" i="23"/>
  <c r="EJ46" i="23"/>
  <c r="EJ45" i="23"/>
  <c r="EK45" i="23" s="1"/>
  <c r="EJ37" i="23"/>
  <c r="EK37" i="23"/>
  <c r="EJ36" i="23"/>
  <c r="EK36" i="23" s="1"/>
  <c r="EJ35" i="23"/>
  <c r="EK35" i="23"/>
  <c r="EL32" i="23"/>
  <c r="EM32" i="23" s="1"/>
  <c r="EL31" i="23"/>
  <c r="EL30" i="23"/>
  <c r="EM30" i="23" s="1"/>
  <c r="EL29" i="23"/>
  <c r="EM29" i="23"/>
  <c r="EL28" i="23"/>
  <c r="EM28" i="23" s="1"/>
  <c r="EL27" i="23"/>
  <c r="EM27" i="23"/>
  <c r="EL26" i="23"/>
  <c r="EM26" i="23" s="1"/>
  <c r="EL25" i="23"/>
  <c r="EM25" i="23"/>
  <c r="EJ23" i="23"/>
  <c r="EK23" i="23" s="1"/>
  <c r="EJ22" i="23"/>
  <c r="EK22" i="23"/>
  <c r="EJ21" i="23"/>
  <c r="EK21" i="23" s="1"/>
  <c r="EL20" i="23"/>
  <c r="EJ20" i="23"/>
  <c r="EK20" i="23"/>
  <c r="EL19" i="23"/>
  <c r="EM19" i="23" s="1"/>
  <c r="EL18" i="23"/>
  <c r="EJ18" i="23"/>
  <c r="EK18" i="23"/>
  <c r="EL17" i="23"/>
  <c r="EM17" i="23"/>
  <c r="EL16" i="23"/>
  <c r="EJ16" i="23"/>
  <c r="EK16" i="23" s="1"/>
  <c r="EL15" i="23"/>
  <c r="EM15" i="23"/>
  <c r="EL14" i="23"/>
  <c r="EJ14" i="23" s="1"/>
  <c r="EK14" i="23" s="1"/>
  <c r="EL13" i="23"/>
  <c r="EM13" i="23" s="1"/>
  <c r="EL12" i="23"/>
  <c r="EJ12" i="23"/>
  <c r="EK12" i="23"/>
  <c r="EL11" i="23"/>
  <c r="EM11" i="23" s="1"/>
  <c r="EJ10" i="23"/>
  <c r="EK10" i="23"/>
  <c r="EJ9" i="23"/>
  <c r="EK9" i="23" s="1"/>
  <c r="ED456" i="23"/>
  <c r="EE456" i="23"/>
  <c r="ED455" i="23"/>
  <c r="EE455" i="23" s="1"/>
  <c r="ED436" i="23"/>
  <c r="EE436" i="23"/>
  <c r="ED435" i="23"/>
  <c r="EE435" i="23" s="1"/>
  <c r="ED427" i="23"/>
  <c r="EE427" i="23"/>
  <c r="ED426" i="23"/>
  <c r="EE426" i="23" s="1"/>
  <c r="ED425" i="23"/>
  <c r="EE425" i="23"/>
  <c r="ED406" i="23"/>
  <c r="EE406" i="23" s="1"/>
  <c r="ED405" i="23"/>
  <c r="EE405" i="23"/>
  <c r="ED397" i="23"/>
  <c r="EE397" i="23" s="1"/>
  <c r="ED396" i="23"/>
  <c r="EE396" i="23"/>
  <c r="ED395" i="23"/>
  <c r="EE395" i="23" s="1"/>
  <c r="ED376" i="23"/>
  <c r="EE376" i="23"/>
  <c r="ED375" i="23"/>
  <c r="EE375" i="23" s="1"/>
  <c r="ED367" i="23"/>
  <c r="EE367" i="23"/>
  <c r="ED366" i="23"/>
  <c r="EE366" i="23" s="1"/>
  <c r="ED365" i="23"/>
  <c r="EE365" i="23"/>
  <c r="ED346" i="23"/>
  <c r="EE346" i="23" s="1"/>
  <c r="ED345" i="23"/>
  <c r="EE345" i="23"/>
  <c r="ED337" i="23"/>
  <c r="EE337" i="23" s="1"/>
  <c r="ED336" i="23"/>
  <c r="EE336" i="23"/>
  <c r="ED335" i="23"/>
  <c r="EE335" i="23" s="1"/>
  <c r="ED316" i="23"/>
  <c r="EE316" i="23"/>
  <c r="ED315" i="23"/>
  <c r="EE315" i="23" s="1"/>
  <c r="ED307" i="23"/>
  <c r="EE307" i="23"/>
  <c r="ED306" i="23"/>
  <c r="EE306" i="23" s="1"/>
  <c r="ED305" i="23"/>
  <c r="EE305" i="23"/>
  <c r="ED286" i="23"/>
  <c r="EE286" i="23" s="1"/>
  <c r="ED285" i="23"/>
  <c r="EE285" i="23"/>
  <c r="ED277" i="23"/>
  <c r="EE277" i="23" s="1"/>
  <c r="ED276" i="23"/>
  <c r="EE276" i="23"/>
  <c r="ED275" i="23"/>
  <c r="EE275" i="23" s="1"/>
  <c r="ED256" i="23"/>
  <c r="EE256" i="23"/>
  <c r="ED255" i="23"/>
  <c r="EE255" i="23" s="1"/>
  <c r="ED247" i="23"/>
  <c r="EE247" i="23"/>
  <c r="ED246" i="23"/>
  <c r="EE246" i="23" s="1"/>
  <c r="ED245" i="23"/>
  <c r="EE245" i="23"/>
  <c r="ED226" i="23"/>
  <c r="EE226" i="23" s="1"/>
  <c r="ED225" i="23"/>
  <c r="EE225" i="23"/>
  <c r="ED217" i="23"/>
  <c r="EE217" i="23" s="1"/>
  <c r="ED216" i="23"/>
  <c r="EE216" i="23"/>
  <c r="ED215" i="23"/>
  <c r="EE215" i="23" s="1"/>
  <c r="ED196" i="23"/>
  <c r="EE196" i="23"/>
  <c r="ED195" i="23"/>
  <c r="EE195" i="23" s="1"/>
  <c r="ED187" i="23"/>
  <c r="EE187" i="23"/>
  <c r="ED186" i="23"/>
  <c r="EE186" i="23" s="1"/>
  <c r="ED185" i="23"/>
  <c r="EE185" i="23"/>
  <c r="ED166" i="23"/>
  <c r="EE166" i="23" s="1"/>
  <c r="ED165" i="23"/>
  <c r="EE165" i="23"/>
  <c r="ED157" i="23"/>
  <c r="EE157" i="23" s="1"/>
  <c r="ED156" i="23"/>
  <c r="EE156" i="23"/>
  <c r="ED155" i="23"/>
  <c r="EE155" i="23" s="1"/>
  <c r="ED136" i="23"/>
  <c r="EE136" i="23"/>
  <c r="ED135" i="23"/>
  <c r="EE135" i="23" s="1"/>
  <c r="ED127" i="23"/>
  <c r="EE127" i="23"/>
  <c r="ED126" i="23"/>
  <c r="EE126" i="23" s="1"/>
  <c r="ED125" i="23"/>
  <c r="EE125" i="23"/>
  <c r="ED106" i="23"/>
  <c r="EE106" i="23" s="1"/>
  <c r="ED105" i="23"/>
  <c r="EE105" i="23"/>
  <c r="ED97" i="23"/>
  <c r="EE97" i="23" s="1"/>
  <c r="ED96" i="23"/>
  <c r="EE96" i="23"/>
  <c r="ED95" i="23"/>
  <c r="EE95" i="23" s="1"/>
  <c r="ED76" i="23"/>
  <c r="EE76" i="23"/>
  <c r="ED75" i="23"/>
  <c r="EE75" i="23" s="1"/>
  <c r="ED67" i="23"/>
  <c r="EE67" i="23"/>
  <c r="ED66" i="23"/>
  <c r="EE66" i="23" s="1"/>
  <c r="ED65" i="23"/>
  <c r="EE65" i="23"/>
  <c r="ED46" i="23"/>
  <c r="ED45" i="23"/>
  <c r="EE45" i="23"/>
  <c r="ED37" i="23"/>
  <c r="EE37" i="23"/>
  <c r="ED36" i="23"/>
  <c r="EE36" i="23"/>
  <c r="ED35" i="23"/>
  <c r="EE35" i="23"/>
  <c r="EF32" i="23"/>
  <c r="EG32" i="23"/>
  <c r="ED32" i="23"/>
  <c r="EE32" i="23"/>
  <c r="EF31" i="23"/>
  <c r="EG31" i="23"/>
  <c r="EF30" i="23"/>
  <c r="EG30" i="23"/>
  <c r="EF29" i="23"/>
  <c r="EG29" i="23"/>
  <c r="EF28" i="23"/>
  <c r="ED28" i="23" s="1"/>
  <c r="EE28" i="23" s="1"/>
  <c r="EG28" i="23"/>
  <c r="EF27" i="23"/>
  <c r="EG27" i="23"/>
  <c r="EF26" i="23"/>
  <c r="EG26" i="23"/>
  <c r="ED26" i="23"/>
  <c r="EE26" i="23"/>
  <c r="EF25" i="23"/>
  <c r="EG25" i="23"/>
  <c r="ED23" i="23"/>
  <c r="EE23" i="23"/>
  <c r="ED22" i="23"/>
  <c r="EE22" i="23"/>
  <c r="ED21" i="23"/>
  <c r="EE21" i="23"/>
  <c r="EF20" i="23"/>
  <c r="ED20" i="23"/>
  <c r="EE20" i="23"/>
  <c r="EF19" i="23"/>
  <c r="ED19" i="23" s="1"/>
  <c r="EE19" i="23" s="1"/>
  <c r="EF18" i="23"/>
  <c r="ED18" i="23" s="1"/>
  <c r="EE18" i="23" s="1"/>
  <c r="EG18" i="23"/>
  <c r="EF17" i="23"/>
  <c r="ED17" i="23"/>
  <c r="EE17" i="23" s="1"/>
  <c r="EF16" i="23"/>
  <c r="ED16" i="23"/>
  <c r="EE16" i="23" s="1"/>
  <c r="EF15" i="23"/>
  <c r="EG15" i="23"/>
  <c r="EF14" i="23"/>
  <c r="EG14" i="23" s="1"/>
  <c r="EF13" i="23"/>
  <c r="ED13" i="23"/>
  <c r="EE13" i="23"/>
  <c r="EF12" i="23"/>
  <c r="ED12" i="23" s="1"/>
  <c r="EE12" i="23" s="1"/>
  <c r="EF11" i="23"/>
  <c r="EG11" i="23" s="1"/>
  <c r="ED10" i="23"/>
  <c r="EE10" i="23"/>
  <c r="ED9" i="23"/>
  <c r="EE9" i="23" s="1"/>
  <c r="DX456" i="23"/>
  <c r="DY456" i="23"/>
  <c r="DX455" i="23"/>
  <c r="DY455" i="23" s="1"/>
  <c r="DX436" i="23"/>
  <c r="DY436" i="23"/>
  <c r="DX435" i="23"/>
  <c r="DY435" i="23" s="1"/>
  <c r="DX427" i="23"/>
  <c r="DY427" i="23"/>
  <c r="DX426" i="23"/>
  <c r="DY426" i="23" s="1"/>
  <c r="DX425" i="23"/>
  <c r="DY425" i="23"/>
  <c r="DX406" i="23"/>
  <c r="DY406" i="23" s="1"/>
  <c r="DX405" i="23"/>
  <c r="DY405" i="23"/>
  <c r="DX397" i="23"/>
  <c r="DY397" i="23" s="1"/>
  <c r="DX396" i="23"/>
  <c r="DY396" i="23"/>
  <c r="DX395" i="23"/>
  <c r="DY395" i="23" s="1"/>
  <c r="DX376" i="23"/>
  <c r="DY376" i="23"/>
  <c r="DX375" i="23"/>
  <c r="DY375" i="23" s="1"/>
  <c r="DX367" i="23"/>
  <c r="DY367" i="23"/>
  <c r="DX366" i="23"/>
  <c r="DY366" i="23" s="1"/>
  <c r="DX365" i="23"/>
  <c r="DY365" i="23"/>
  <c r="DX346" i="23"/>
  <c r="DY346" i="23" s="1"/>
  <c r="DX345" i="23"/>
  <c r="DY345" i="23"/>
  <c r="DX337" i="23"/>
  <c r="DY337" i="23" s="1"/>
  <c r="DX336" i="23"/>
  <c r="DY336" i="23"/>
  <c r="DX335" i="23"/>
  <c r="DY335" i="23" s="1"/>
  <c r="DX316" i="23"/>
  <c r="DY316" i="23"/>
  <c r="DX315" i="23"/>
  <c r="DY315" i="23" s="1"/>
  <c r="DX307" i="23"/>
  <c r="DY307" i="23"/>
  <c r="DX306" i="23"/>
  <c r="DY306" i="23" s="1"/>
  <c r="DX305" i="23"/>
  <c r="DY305" i="23"/>
  <c r="DX286" i="23"/>
  <c r="DY286" i="23" s="1"/>
  <c r="DX285" i="23"/>
  <c r="DY285" i="23"/>
  <c r="DX277" i="23"/>
  <c r="DY277" i="23" s="1"/>
  <c r="DX276" i="23"/>
  <c r="DY276" i="23"/>
  <c r="DX275" i="23"/>
  <c r="DY275" i="23" s="1"/>
  <c r="DX256" i="23"/>
  <c r="DY256" i="23"/>
  <c r="DX255" i="23"/>
  <c r="DY255" i="23" s="1"/>
  <c r="DX247" i="23"/>
  <c r="DY247" i="23"/>
  <c r="DX246" i="23"/>
  <c r="DY246" i="23" s="1"/>
  <c r="DX245" i="23"/>
  <c r="DY245" i="23"/>
  <c r="DX226" i="23"/>
  <c r="DY226" i="23" s="1"/>
  <c r="DX225" i="23"/>
  <c r="DY225" i="23"/>
  <c r="DX217" i="23"/>
  <c r="DY217" i="23" s="1"/>
  <c r="DX216" i="23"/>
  <c r="DY216" i="23"/>
  <c r="DX215" i="23"/>
  <c r="DY215" i="23" s="1"/>
  <c r="DX196" i="23"/>
  <c r="DY196" i="23"/>
  <c r="DX195" i="23"/>
  <c r="DY195" i="23" s="1"/>
  <c r="DX187" i="23"/>
  <c r="DY187" i="23"/>
  <c r="DX186" i="23"/>
  <c r="DY186" i="23" s="1"/>
  <c r="DX185" i="23"/>
  <c r="DY185" i="23"/>
  <c r="DX166" i="23"/>
  <c r="DY166" i="23" s="1"/>
  <c r="DX165" i="23"/>
  <c r="DY165" i="23"/>
  <c r="DX157" i="23"/>
  <c r="DY157" i="23" s="1"/>
  <c r="DX156" i="23"/>
  <c r="DY156" i="23"/>
  <c r="DX155" i="23"/>
  <c r="DY155" i="23" s="1"/>
  <c r="DX136" i="23"/>
  <c r="DY136" i="23"/>
  <c r="DX135" i="23"/>
  <c r="DY135" i="23" s="1"/>
  <c r="DX127" i="23"/>
  <c r="DY127" i="23"/>
  <c r="DX126" i="23"/>
  <c r="DY126" i="23" s="1"/>
  <c r="DX125" i="23"/>
  <c r="DY125" i="23"/>
  <c r="DX106" i="23"/>
  <c r="DY106" i="23" s="1"/>
  <c r="DX105" i="23"/>
  <c r="DY105" i="23"/>
  <c r="DX97" i="23"/>
  <c r="DY97" i="23" s="1"/>
  <c r="DX96" i="23"/>
  <c r="DY96" i="23"/>
  <c r="DX95" i="23"/>
  <c r="DY95" i="23" s="1"/>
  <c r="DX76" i="23"/>
  <c r="DY76" i="23"/>
  <c r="DX75" i="23"/>
  <c r="DY75" i="23" s="1"/>
  <c r="DX67" i="23"/>
  <c r="DY67" i="23"/>
  <c r="DX66" i="23"/>
  <c r="DY66" i="23" s="1"/>
  <c r="DX65" i="23"/>
  <c r="DY65" i="23"/>
  <c r="DX46" i="23"/>
  <c r="DX45" i="23"/>
  <c r="DY45" i="23" s="1"/>
  <c r="DX37" i="23"/>
  <c r="DY37" i="23"/>
  <c r="DX36" i="23"/>
  <c r="DY36" i="23" s="1"/>
  <c r="DX35" i="23"/>
  <c r="DY35" i="23"/>
  <c r="DZ32" i="23"/>
  <c r="EA32" i="23" s="1"/>
  <c r="DZ31" i="23"/>
  <c r="EA31" i="23"/>
  <c r="DZ30" i="23"/>
  <c r="EA30" i="23" s="1"/>
  <c r="DZ29" i="23"/>
  <c r="EA29" i="23"/>
  <c r="DZ28" i="23"/>
  <c r="EA28" i="23" s="1"/>
  <c r="DZ27" i="23"/>
  <c r="EA27" i="23"/>
  <c r="DZ26" i="23"/>
  <c r="EA26" i="23" s="1"/>
  <c r="DZ25" i="23"/>
  <c r="EA25" i="23"/>
  <c r="DX23" i="23"/>
  <c r="DY23" i="23" s="1"/>
  <c r="DX22" i="23"/>
  <c r="DY22" i="23"/>
  <c r="DX21" i="23"/>
  <c r="DY21" i="23" s="1"/>
  <c r="DZ20" i="23"/>
  <c r="EA20" i="23"/>
  <c r="DZ19" i="23"/>
  <c r="EA19" i="23" s="1"/>
  <c r="DZ18" i="23"/>
  <c r="EA18" i="23"/>
  <c r="DZ17" i="23"/>
  <c r="EA17" i="23" s="1"/>
  <c r="DZ16" i="23"/>
  <c r="EA16" i="23"/>
  <c r="DZ15" i="23"/>
  <c r="EA15" i="23" s="1"/>
  <c r="DZ14" i="23"/>
  <c r="EA14" i="23"/>
  <c r="DZ13" i="23"/>
  <c r="EA13" i="23" s="1"/>
  <c r="DZ12" i="23"/>
  <c r="EA12" i="23"/>
  <c r="DZ11" i="23"/>
  <c r="EA11" i="23" s="1"/>
  <c r="DX10" i="23"/>
  <c r="DY10" i="23"/>
  <c r="DX9" i="23"/>
  <c r="DY9" i="23" s="1"/>
  <c r="DR66" i="23"/>
  <c r="DS66" i="23"/>
  <c r="DR65" i="23"/>
  <c r="DS65" i="23" s="1"/>
  <c r="DR46" i="23"/>
  <c r="DR45" i="23"/>
  <c r="DS45" i="23"/>
  <c r="DR37" i="23"/>
  <c r="DS37" i="23"/>
  <c r="DR456" i="23"/>
  <c r="DS456" i="23"/>
  <c r="DR455" i="23"/>
  <c r="DS455" i="23"/>
  <c r="DR436" i="23"/>
  <c r="DS436" i="23"/>
  <c r="DR435" i="23"/>
  <c r="DS435" i="23"/>
  <c r="DR427" i="23"/>
  <c r="DS427" i="23"/>
  <c r="DR426" i="23"/>
  <c r="DS426" i="23"/>
  <c r="DR425" i="23"/>
  <c r="DS425" i="23"/>
  <c r="DR406" i="23"/>
  <c r="DS406" i="23"/>
  <c r="DR405" i="23"/>
  <c r="DS405" i="23"/>
  <c r="DR397" i="23"/>
  <c r="DS397" i="23"/>
  <c r="DR396" i="23"/>
  <c r="DS396" i="23"/>
  <c r="DR395" i="23"/>
  <c r="DS395" i="23"/>
  <c r="DR376" i="23"/>
  <c r="DS376" i="23"/>
  <c r="DR375" i="23"/>
  <c r="DS375" i="23"/>
  <c r="DR367" i="23"/>
  <c r="DS367" i="23"/>
  <c r="DR366" i="23"/>
  <c r="DS366" i="23"/>
  <c r="DR365" i="23"/>
  <c r="DS365" i="23"/>
  <c r="DR346" i="23"/>
  <c r="DS346" i="23"/>
  <c r="DR345" i="23"/>
  <c r="DS345" i="23"/>
  <c r="DR337" i="23"/>
  <c r="DS337" i="23"/>
  <c r="DR336" i="23"/>
  <c r="DS336" i="23"/>
  <c r="DR335" i="23"/>
  <c r="DS335" i="23"/>
  <c r="DR316" i="23"/>
  <c r="DS316" i="23"/>
  <c r="DR315" i="23"/>
  <c r="DS315" i="23"/>
  <c r="DR307" i="23"/>
  <c r="DS307" i="23"/>
  <c r="DR306" i="23"/>
  <c r="DS306" i="23"/>
  <c r="DR305" i="23"/>
  <c r="DS305" i="23"/>
  <c r="DR286" i="23"/>
  <c r="DS286" i="23"/>
  <c r="DR285" i="23"/>
  <c r="DS285" i="23"/>
  <c r="DR277" i="23"/>
  <c r="DS277" i="23"/>
  <c r="DR276" i="23"/>
  <c r="DS276" i="23"/>
  <c r="DR275" i="23"/>
  <c r="DS275" i="23"/>
  <c r="DR256" i="23"/>
  <c r="DS256" i="23"/>
  <c r="DR255" i="23"/>
  <c r="DS255" i="23"/>
  <c r="DR247" i="23"/>
  <c r="DS247" i="23"/>
  <c r="DR246" i="23"/>
  <c r="DS246" i="23"/>
  <c r="DR245" i="23"/>
  <c r="DS245" i="23"/>
  <c r="DR226" i="23"/>
  <c r="DS226" i="23"/>
  <c r="DR225" i="23"/>
  <c r="DS225" i="23"/>
  <c r="DR217" i="23"/>
  <c r="DS217" i="23"/>
  <c r="DR216" i="23"/>
  <c r="DS216" i="23"/>
  <c r="DR215" i="23"/>
  <c r="DS215" i="23"/>
  <c r="DR196" i="23"/>
  <c r="DS196" i="23"/>
  <c r="DR195" i="23"/>
  <c r="DS195" i="23"/>
  <c r="DR187" i="23"/>
  <c r="DS187" i="23"/>
  <c r="DR186" i="23"/>
  <c r="DS186" i="23"/>
  <c r="DR185" i="23"/>
  <c r="DS185" i="23"/>
  <c r="DR166" i="23"/>
  <c r="DS166" i="23"/>
  <c r="DR165" i="23"/>
  <c r="DS165" i="23"/>
  <c r="DR157" i="23"/>
  <c r="DS157" i="23"/>
  <c r="DR156" i="23"/>
  <c r="DS156" i="23"/>
  <c r="DR155" i="23"/>
  <c r="DS155" i="23"/>
  <c r="DR136" i="23"/>
  <c r="DS136" i="23"/>
  <c r="DR135" i="23"/>
  <c r="DS135" i="23"/>
  <c r="DR127" i="23"/>
  <c r="DS127" i="23"/>
  <c r="DR126" i="23"/>
  <c r="DS126" i="23"/>
  <c r="DR125" i="23"/>
  <c r="DS125" i="23"/>
  <c r="DR106" i="23"/>
  <c r="DS106" i="23"/>
  <c r="DR105" i="23"/>
  <c r="DS105" i="23"/>
  <c r="DR97" i="23"/>
  <c r="DS97" i="23"/>
  <c r="DR96" i="23"/>
  <c r="DS96" i="23"/>
  <c r="DR95" i="23"/>
  <c r="DS95" i="23"/>
  <c r="DR76" i="23"/>
  <c r="DS76" i="23"/>
  <c r="DR75" i="23"/>
  <c r="DS75" i="23"/>
  <c r="DR67" i="23"/>
  <c r="DS67" i="23"/>
  <c r="DR36" i="23"/>
  <c r="DS36" i="23"/>
  <c r="DR35" i="23"/>
  <c r="DS35" i="23"/>
  <c r="DT32" i="23"/>
  <c r="DU32" i="23"/>
  <c r="DT31" i="23"/>
  <c r="DU31" i="23"/>
  <c r="DT30" i="23"/>
  <c r="DU30" i="23"/>
  <c r="DT29" i="23"/>
  <c r="DU29" i="23"/>
  <c r="DT28" i="23"/>
  <c r="DU28" i="23"/>
  <c r="DT27" i="23"/>
  <c r="DU27" i="23"/>
  <c r="DT26" i="23"/>
  <c r="DU26" i="23"/>
  <c r="DR26" i="23"/>
  <c r="DS26" i="23"/>
  <c r="DT25" i="23"/>
  <c r="DR23" i="23"/>
  <c r="DS23" i="23" s="1"/>
  <c r="DR22" i="23"/>
  <c r="DS22" i="23" s="1"/>
  <c r="DR21" i="23"/>
  <c r="DS21" i="23"/>
  <c r="DT20" i="23"/>
  <c r="DU20" i="23" s="1"/>
  <c r="DT19" i="23"/>
  <c r="DU19" i="23" s="1"/>
  <c r="DT18" i="23"/>
  <c r="DT17" i="23"/>
  <c r="DR17" i="23"/>
  <c r="DS17" i="23" s="1"/>
  <c r="DU17" i="23"/>
  <c r="DT16" i="23"/>
  <c r="DU16" i="23"/>
  <c r="DT15" i="23"/>
  <c r="DU15" i="23"/>
  <c r="DT14" i="23"/>
  <c r="DU14" i="23"/>
  <c r="DR14" i="23"/>
  <c r="DS14" i="23"/>
  <c r="DT13" i="23"/>
  <c r="DU13" i="23"/>
  <c r="DR13" i="23"/>
  <c r="DS13" i="23"/>
  <c r="DT12" i="23"/>
  <c r="DU12" i="23"/>
  <c r="DT11" i="23"/>
  <c r="DU11" i="23"/>
  <c r="DR10" i="23"/>
  <c r="DS10" i="23"/>
  <c r="DR9" i="23"/>
  <c r="DS9" i="23"/>
  <c r="DL456" i="23"/>
  <c r="DM456" i="23"/>
  <c r="DL455" i="23"/>
  <c r="DM455" i="23"/>
  <c r="DL436" i="23"/>
  <c r="DM436" i="23"/>
  <c r="DL435" i="23"/>
  <c r="DM435" i="23"/>
  <c r="DL427" i="23"/>
  <c r="DM427" i="23"/>
  <c r="DL426" i="23"/>
  <c r="DM426" i="23"/>
  <c r="DL425" i="23"/>
  <c r="DM425" i="23"/>
  <c r="DL406" i="23"/>
  <c r="DM406" i="23"/>
  <c r="DL405" i="23"/>
  <c r="DM405" i="23"/>
  <c r="DL397" i="23"/>
  <c r="DM397" i="23"/>
  <c r="DL396" i="23"/>
  <c r="DM396" i="23"/>
  <c r="DL395" i="23"/>
  <c r="DM395" i="23"/>
  <c r="DL376" i="23"/>
  <c r="DM376" i="23"/>
  <c r="DL375" i="23"/>
  <c r="DM375" i="23"/>
  <c r="DL367" i="23"/>
  <c r="DM367" i="23"/>
  <c r="DL366" i="23"/>
  <c r="DM366" i="23"/>
  <c r="DL365" i="23"/>
  <c r="DM365" i="23"/>
  <c r="DL346" i="23"/>
  <c r="DM346" i="23"/>
  <c r="DL345" i="23"/>
  <c r="DM345" i="23"/>
  <c r="DL337" i="23"/>
  <c r="DM337" i="23"/>
  <c r="DL336" i="23"/>
  <c r="DM336" i="23"/>
  <c r="DL335" i="23"/>
  <c r="DM335" i="23"/>
  <c r="DL316" i="23"/>
  <c r="DM316" i="23"/>
  <c r="DL315" i="23"/>
  <c r="DM315" i="23"/>
  <c r="DL307" i="23"/>
  <c r="DM307" i="23"/>
  <c r="DL306" i="23"/>
  <c r="DM306" i="23"/>
  <c r="DL305" i="23"/>
  <c r="DM305" i="23"/>
  <c r="DL286" i="23"/>
  <c r="DM286" i="23"/>
  <c r="DL285" i="23"/>
  <c r="DM285" i="23"/>
  <c r="DL277" i="23"/>
  <c r="DM277" i="23"/>
  <c r="DL276" i="23"/>
  <c r="DM276" i="23"/>
  <c r="DL275" i="23"/>
  <c r="DM275" i="23"/>
  <c r="DL256" i="23"/>
  <c r="DM256" i="23"/>
  <c r="DL255" i="23"/>
  <c r="DM255" i="23"/>
  <c r="DL247" i="23"/>
  <c r="DM247" i="23"/>
  <c r="DL246" i="23"/>
  <c r="DM246" i="23"/>
  <c r="DL245" i="23"/>
  <c r="DM245" i="23"/>
  <c r="DL226" i="23"/>
  <c r="DM226" i="23"/>
  <c r="DL225" i="23"/>
  <c r="DM225" i="23"/>
  <c r="DL217" i="23"/>
  <c r="DM217" i="23"/>
  <c r="DL216" i="23"/>
  <c r="DM216" i="23"/>
  <c r="DL215" i="23"/>
  <c r="DM215" i="23"/>
  <c r="DL196" i="23"/>
  <c r="DM196" i="23"/>
  <c r="DL195" i="23"/>
  <c r="DM195" i="23"/>
  <c r="DL187" i="23"/>
  <c r="DM187" i="23"/>
  <c r="DL186" i="23"/>
  <c r="DM186" i="23"/>
  <c r="DL185" i="23"/>
  <c r="DM185" i="23"/>
  <c r="DL166" i="23"/>
  <c r="DM166" i="23"/>
  <c r="DL165" i="23"/>
  <c r="DM165" i="23"/>
  <c r="DL157" i="23"/>
  <c r="DM157" i="23"/>
  <c r="DL156" i="23"/>
  <c r="DM156" i="23"/>
  <c r="DL155" i="23"/>
  <c r="DM155" i="23"/>
  <c r="DL136" i="23"/>
  <c r="DM136" i="23"/>
  <c r="DL135" i="23"/>
  <c r="DM135" i="23"/>
  <c r="DL127" i="23"/>
  <c r="DM127" i="23"/>
  <c r="DL126" i="23"/>
  <c r="DM126" i="23"/>
  <c r="DL125" i="23"/>
  <c r="DM125" i="23"/>
  <c r="DL106" i="23"/>
  <c r="DM106" i="23"/>
  <c r="DL105" i="23"/>
  <c r="DM105" i="23"/>
  <c r="DL97" i="23"/>
  <c r="DM97" i="23"/>
  <c r="DL96" i="23"/>
  <c r="DM96" i="23"/>
  <c r="DL95" i="23"/>
  <c r="DM95" i="23"/>
  <c r="DL76" i="23"/>
  <c r="DM76" i="23"/>
  <c r="DL75" i="23"/>
  <c r="DM75" i="23"/>
  <c r="DL67" i="23"/>
  <c r="DM67" i="23"/>
  <c r="DL36" i="23"/>
  <c r="DM36" i="23"/>
  <c r="DL35" i="23"/>
  <c r="DM35" i="23"/>
  <c r="DN32" i="23"/>
  <c r="DO32" i="23"/>
  <c r="DN31" i="23"/>
  <c r="DN30" i="23"/>
  <c r="DO30" i="23" s="1"/>
  <c r="DN29" i="23"/>
  <c r="DO29" i="23" s="1"/>
  <c r="DN28" i="23"/>
  <c r="DO28" i="23"/>
  <c r="DN27" i="23"/>
  <c r="DO27" i="23" s="1"/>
  <c r="DL27" i="23"/>
  <c r="DM27" i="23" s="1"/>
  <c r="DN26" i="23"/>
  <c r="DO26" i="23" s="1"/>
  <c r="DN25" i="23"/>
  <c r="DL23" i="23"/>
  <c r="DM23" i="23"/>
  <c r="DL22" i="23"/>
  <c r="DM22" i="23" s="1"/>
  <c r="DL21" i="23"/>
  <c r="DM21" i="23"/>
  <c r="DN20" i="23"/>
  <c r="DL20" i="23" s="1"/>
  <c r="DM20" i="23" s="1"/>
  <c r="DN19" i="23"/>
  <c r="DL19" i="23" s="1"/>
  <c r="DM19" i="23" s="1"/>
  <c r="DN18" i="23"/>
  <c r="DL18" i="23"/>
  <c r="DM18" i="23" s="1"/>
  <c r="DN17" i="23"/>
  <c r="DO17" i="23" s="1"/>
  <c r="DN16" i="23"/>
  <c r="DL16" i="23"/>
  <c r="DM16" i="23" s="1"/>
  <c r="DN15" i="23"/>
  <c r="DO15" i="23"/>
  <c r="DL15" i="23"/>
  <c r="DM15" i="23" s="1"/>
  <c r="DN14" i="23"/>
  <c r="DL14" i="23"/>
  <c r="DM14" i="23"/>
  <c r="DN13" i="23"/>
  <c r="DO13" i="23" s="1"/>
  <c r="DN12" i="23"/>
  <c r="DL12" i="23" s="1"/>
  <c r="DM12" i="23" s="1"/>
  <c r="DN11" i="23"/>
  <c r="DO11" i="23"/>
  <c r="DL10" i="23"/>
  <c r="DM10" i="23"/>
  <c r="DL9" i="23"/>
  <c r="DM9" i="23"/>
  <c r="BP65" i="23"/>
  <c r="BP37" i="23"/>
  <c r="AL22" i="23"/>
  <c r="AM22" i="23"/>
  <c r="AL21" i="23"/>
  <c r="AM21" i="23"/>
  <c r="AN20" i="23"/>
  <c r="AO20" i="23"/>
  <c r="AL20" i="23"/>
  <c r="AM20" i="23"/>
  <c r="AN19" i="23"/>
  <c r="AO19" i="23"/>
  <c r="AN18" i="23"/>
  <c r="AO18" i="23"/>
  <c r="AN17" i="23"/>
  <c r="AO17" i="23"/>
  <c r="AN16" i="23"/>
  <c r="AO16" i="23"/>
  <c r="AN15" i="23"/>
  <c r="AO15" i="23"/>
  <c r="AN14" i="23"/>
  <c r="AN13" i="23"/>
  <c r="AO13" i="23" s="1"/>
  <c r="AN12" i="23"/>
  <c r="AO12" i="23"/>
  <c r="AN11" i="23"/>
  <c r="AO11" i="23" s="1"/>
  <c r="AL10" i="23"/>
  <c r="AM10" i="23" s="1"/>
  <c r="AL9" i="23"/>
  <c r="AM9" i="23" s="1"/>
  <c r="AR22" i="23"/>
  <c r="AS22" i="23"/>
  <c r="AR21" i="23"/>
  <c r="AS21" i="23" s="1"/>
  <c r="AT20" i="23"/>
  <c r="AU20" i="23" s="1"/>
  <c r="AR20" i="23"/>
  <c r="AS20" i="23" s="1"/>
  <c r="AT19" i="23"/>
  <c r="AU19" i="23"/>
  <c r="AT18" i="23"/>
  <c r="AR18" i="23" s="1"/>
  <c r="AS18" i="23"/>
  <c r="AT17" i="23"/>
  <c r="AU17" i="23"/>
  <c r="AT16" i="23"/>
  <c r="AR16" i="23"/>
  <c r="AS16" i="23" s="1"/>
  <c r="AU16" i="23"/>
  <c r="AT15" i="23"/>
  <c r="AU15" i="23"/>
  <c r="AT14" i="23"/>
  <c r="AT13" i="23"/>
  <c r="AU13" i="23" s="1"/>
  <c r="AT12" i="23"/>
  <c r="AU12" i="23"/>
  <c r="AR12" i="23"/>
  <c r="AS12" i="23" s="1"/>
  <c r="AT11" i="23"/>
  <c r="AU11" i="23" s="1"/>
  <c r="AR10" i="23"/>
  <c r="AS10" i="23" s="1"/>
  <c r="AR9" i="23"/>
  <c r="AS9" i="23"/>
  <c r="AX22" i="23"/>
  <c r="AY22" i="23" s="1"/>
  <c r="AX21" i="23"/>
  <c r="AY21" i="23" s="1"/>
  <c r="AZ20" i="23"/>
  <c r="BA20" i="23" s="1"/>
  <c r="AZ19" i="23"/>
  <c r="BA19" i="23"/>
  <c r="AZ18" i="23"/>
  <c r="BA18" i="23" s="1"/>
  <c r="AZ17" i="23"/>
  <c r="BA17" i="23" s="1"/>
  <c r="AZ16" i="23"/>
  <c r="BA16" i="23" s="1"/>
  <c r="AZ15" i="23"/>
  <c r="BA15" i="23"/>
  <c r="AZ14" i="23"/>
  <c r="BA14" i="23" s="1"/>
  <c r="AZ13" i="23"/>
  <c r="BA13" i="23" s="1"/>
  <c r="AZ12" i="23"/>
  <c r="BA12" i="23" s="1"/>
  <c r="AZ11" i="23"/>
  <c r="BA11" i="23"/>
  <c r="AX10" i="23"/>
  <c r="AY10" i="23" s="1"/>
  <c r="AX9" i="23"/>
  <c r="AY9" i="23" s="1"/>
  <c r="BD22" i="23"/>
  <c r="BE22" i="23" s="1"/>
  <c r="BD21" i="23"/>
  <c r="BE21" i="23"/>
  <c r="BF20" i="23"/>
  <c r="BG20" i="23" s="1"/>
  <c r="BF19" i="23"/>
  <c r="BG19" i="23" s="1"/>
  <c r="BF18" i="23"/>
  <c r="BG18" i="23" s="1"/>
  <c r="BF17" i="23"/>
  <c r="BG17" i="23" s="1"/>
  <c r="BF16" i="23"/>
  <c r="BG16" i="23" s="1"/>
  <c r="BF15" i="23"/>
  <c r="BG15" i="23" s="1"/>
  <c r="BF14" i="23"/>
  <c r="BG14" i="23" s="1"/>
  <c r="BF13" i="23"/>
  <c r="BG13" i="23" s="1"/>
  <c r="BF12" i="23"/>
  <c r="BG12" i="23" s="1"/>
  <c r="BF11" i="23"/>
  <c r="BG11" i="23" s="1"/>
  <c r="BD10" i="23"/>
  <c r="BE10" i="23" s="1"/>
  <c r="BD9" i="23"/>
  <c r="BE9" i="23" s="1"/>
  <c r="BJ37" i="23"/>
  <c r="DF66" i="23"/>
  <c r="DG66" i="23"/>
  <c r="DF65" i="23"/>
  <c r="DG65" i="23"/>
  <c r="DF46" i="23"/>
  <c r="DG46" i="23"/>
  <c r="DF45" i="23"/>
  <c r="DG45" i="23"/>
  <c r="DF37" i="23"/>
  <c r="DG37" i="23"/>
  <c r="DF456" i="23"/>
  <c r="DG456" i="23"/>
  <c r="DF455" i="23"/>
  <c r="DG455" i="23"/>
  <c r="DF436" i="23"/>
  <c r="DG436" i="23"/>
  <c r="DF435" i="23"/>
  <c r="DG435" i="23"/>
  <c r="DF427" i="23"/>
  <c r="DG427" i="23"/>
  <c r="DF426" i="23"/>
  <c r="DG426" i="23"/>
  <c r="DF425" i="23"/>
  <c r="DG425" i="23"/>
  <c r="DF406" i="23"/>
  <c r="DG406" i="23"/>
  <c r="DF405" i="23"/>
  <c r="DG405" i="23"/>
  <c r="DF397" i="23"/>
  <c r="DG397" i="23"/>
  <c r="DF396" i="23"/>
  <c r="DG396" i="23"/>
  <c r="DF395" i="23"/>
  <c r="DG395" i="23"/>
  <c r="DF376" i="23"/>
  <c r="DG376" i="23"/>
  <c r="DF375" i="23"/>
  <c r="DG375" i="23"/>
  <c r="DF367" i="23"/>
  <c r="DG367" i="23"/>
  <c r="DF366" i="23"/>
  <c r="DG366" i="23"/>
  <c r="DF365" i="23"/>
  <c r="DG365" i="23"/>
  <c r="DF346" i="23"/>
  <c r="DG346" i="23"/>
  <c r="DF345" i="23"/>
  <c r="DG345" i="23"/>
  <c r="DF337" i="23"/>
  <c r="DG337" i="23"/>
  <c r="DF336" i="23"/>
  <c r="DG336" i="23"/>
  <c r="DF335" i="23"/>
  <c r="DG335" i="23"/>
  <c r="DF316" i="23"/>
  <c r="DG316" i="23"/>
  <c r="DF315" i="23"/>
  <c r="DG315" i="23"/>
  <c r="DF307" i="23"/>
  <c r="DG307" i="23"/>
  <c r="DF306" i="23"/>
  <c r="DG306" i="23"/>
  <c r="DF305" i="23"/>
  <c r="DG305" i="23"/>
  <c r="DF286" i="23"/>
  <c r="DG286" i="23"/>
  <c r="DF285" i="23"/>
  <c r="DG285" i="23"/>
  <c r="DF277" i="23"/>
  <c r="DG277" i="23"/>
  <c r="DF276" i="23"/>
  <c r="DG276" i="23"/>
  <c r="DF275" i="23"/>
  <c r="DG275" i="23"/>
  <c r="DF256" i="23"/>
  <c r="DG256" i="23"/>
  <c r="DF255" i="23"/>
  <c r="DG255" i="23"/>
  <c r="DF247" i="23"/>
  <c r="DG247" i="23"/>
  <c r="DF246" i="23"/>
  <c r="DG246" i="23"/>
  <c r="DF245" i="23"/>
  <c r="DG245" i="23"/>
  <c r="DF226" i="23"/>
  <c r="DG226" i="23"/>
  <c r="DF225" i="23"/>
  <c r="DG225" i="23"/>
  <c r="DF217" i="23"/>
  <c r="DG217" i="23"/>
  <c r="DF216" i="23"/>
  <c r="DG216" i="23"/>
  <c r="DF215" i="23"/>
  <c r="DG215" i="23"/>
  <c r="DF196" i="23"/>
  <c r="DG196" i="23"/>
  <c r="DF195" i="23"/>
  <c r="DG195" i="23"/>
  <c r="DF187" i="23"/>
  <c r="DG187" i="23"/>
  <c r="DF186" i="23"/>
  <c r="DG186" i="23"/>
  <c r="DF185" i="23"/>
  <c r="DG185" i="23"/>
  <c r="DF166" i="23"/>
  <c r="DG166" i="23"/>
  <c r="DF165" i="23"/>
  <c r="DG165" i="23"/>
  <c r="DF157" i="23"/>
  <c r="DG157" i="23"/>
  <c r="DF156" i="23"/>
  <c r="DG156" i="23"/>
  <c r="DF155" i="23"/>
  <c r="DG155" i="23"/>
  <c r="DF136" i="23"/>
  <c r="DG136" i="23"/>
  <c r="DF135" i="23"/>
  <c r="DG135" i="23"/>
  <c r="DF127" i="23"/>
  <c r="DG127" i="23"/>
  <c r="DF126" i="23"/>
  <c r="DG126" i="23"/>
  <c r="DF125" i="23"/>
  <c r="DG125" i="23"/>
  <c r="DF106" i="23"/>
  <c r="DG106" i="23"/>
  <c r="DF105" i="23"/>
  <c r="DG105" i="23"/>
  <c r="DF97" i="23"/>
  <c r="DG97" i="23"/>
  <c r="DF96" i="23"/>
  <c r="DG96" i="23"/>
  <c r="DF95" i="23"/>
  <c r="DG95" i="23"/>
  <c r="DF76" i="23"/>
  <c r="DG76" i="23"/>
  <c r="DF75" i="23"/>
  <c r="DG75" i="23"/>
  <c r="DF67" i="23"/>
  <c r="DG67" i="23"/>
  <c r="DF36" i="23"/>
  <c r="DG36" i="23"/>
  <c r="DF35" i="23"/>
  <c r="DG35" i="23"/>
  <c r="DH32" i="23"/>
  <c r="DI32" i="23"/>
  <c r="DH31" i="23"/>
  <c r="DI31" i="23"/>
  <c r="DH30" i="23"/>
  <c r="DI30" i="23"/>
  <c r="DH29" i="23"/>
  <c r="DI29" i="23"/>
  <c r="DH28" i="23"/>
  <c r="DI28" i="23"/>
  <c r="DH27" i="23"/>
  <c r="DI27" i="23"/>
  <c r="DH26" i="23"/>
  <c r="DI26" i="23"/>
  <c r="DH25" i="23"/>
  <c r="DI25" i="23"/>
  <c r="DF23" i="23"/>
  <c r="DG23" i="23"/>
  <c r="DF22" i="23"/>
  <c r="DG22" i="23"/>
  <c r="DF21" i="23"/>
  <c r="DG21" i="23"/>
  <c r="DH20" i="23"/>
  <c r="DI20" i="23"/>
  <c r="DH19" i="23"/>
  <c r="DI19" i="23"/>
  <c r="DH18" i="23"/>
  <c r="DI18" i="23"/>
  <c r="DH17" i="23"/>
  <c r="DI17" i="23"/>
  <c r="DH16" i="23"/>
  <c r="DI16" i="23"/>
  <c r="DH15" i="23"/>
  <c r="DI15" i="23"/>
  <c r="DH14" i="23"/>
  <c r="DI14" i="23"/>
  <c r="DH13" i="23"/>
  <c r="DI13" i="23"/>
  <c r="DH12" i="23"/>
  <c r="DI12" i="23"/>
  <c r="DH11" i="23"/>
  <c r="DI11" i="23"/>
  <c r="DF10" i="23"/>
  <c r="DG10" i="23"/>
  <c r="DF9" i="23"/>
  <c r="DG9" i="23"/>
  <c r="CZ66" i="23"/>
  <c r="DA66" i="23"/>
  <c r="CZ65" i="23"/>
  <c r="DA65" i="23"/>
  <c r="CZ46" i="23"/>
  <c r="DA46" i="23"/>
  <c r="CZ45" i="23"/>
  <c r="DA45" i="23"/>
  <c r="CZ37" i="23"/>
  <c r="DA37" i="23"/>
  <c r="CZ456" i="23"/>
  <c r="DA456" i="23"/>
  <c r="CZ455" i="23"/>
  <c r="DA455" i="23"/>
  <c r="CZ436" i="23"/>
  <c r="DA436" i="23"/>
  <c r="CZ435" i="23"/>
  <c r="DA435" i="23"/>
  <c r="CZ427" i="23"/>
  <c r="DA427" i="23"/>
  <c r="CZ426" i="23"/>
  <c r="DA426" i="23"/>
  <c r="CZ425" i="23"/>
  <c r="DA425" i="23"/>
  <c r="CZ406" i="23"/>
  <c r="DA406" i="23"/>
  <c r="CZ405" i="23"/>
  <c r="DA405" i="23"/>
  <c r="CZ397" i="23"/>
  <c r="DA397" i="23"/>
  <c r="CZ396" i="23"/>
  <c r="DA396" i="23"/>
  <c r="CZ395" i="23"/>
  <c r="DA395" i="23"/>
  <c r="CZ376" i="23"/>
  <c r="DA376" i="23"/>
  <c r="CZ375" i="23"/>
  <c r="DA375" i="23"/>
  <c r="CZ367" i="23"/>
  <c r="DA367" i="23"/>
  <c r="CZ366" i="23"/>
  <c r="DA366" i="23"/>
  <c r="CZ365" i="23"/>
  <c r="DA365" i="23"/>
  <c r="CZ346" i="23"/>
  <c r="DA346" i="23"/>
  <c r="CZ345" i="23"/>
  <c r="DA345" i="23"/>
  <c r="CZ337" i="23"/>
  <c r="DA337" i="23"/>
  <c r="CZ336" i="23"/>
  <c r="DA336" i="23"/>
  <c r="CZ335" i="23"/>
  <c r="DA335" i="23"/>
  <c r="CZ316" i="23"/>
  <c r="DA316" i="23"/>
  <c r="CZ315" i="23"/>
  <c r="DA315" i="23"/>
  <c r="CZ307" i="23"/>
  <c r="DA307" i="23"/>
  <c r="CZ306" i="23"/>
  <c r="DA306" i="23"/>
  <c r="CZ305" i="23"/>
  <c r="DA305" i="23"/>
  <c r="CZ286" i="23"/>
  <c r="DA286" i="23"/>
  <c r="CZ285" i="23"/>
  <c r="DA285" i="23"/>
  <c r="CZ277" i="23"/>
  <c r="DA277" i="23"/>
  <c r="CZ276" i="23"/>
  <c r="DA276" i="23"/>
  <c r="CZ275" i="23"/>
  <c r="DA275" i="23"/>
  <c r="CZ256" i="23"/>
  <c r="DA256" i="23"/>
  <c r="CZ255" i="23"/>
  <c r="DA255" i="23"/>
  <c r="CZ247" i="23"/>
  <c r="DA247" i="23"/>
  <c r="CZ246" i="23"/>
  <c r="DA246" i="23"/>
  <c r="CZ245" i="23"/>
  <c r="DA245" i="23"/>
  <c r="CZ226" i="23"/>
  <c r="DA226" i="23"/>
  <c r="CZ225" i="23"/>
  <c r="DA225" i="23"/>
  <c r="CZ217" i="23"/>
  <c r="DA217" i="23"/>
  <c r="CZ216" i="23"/>
  <c r="DA216" i="23"/>
  <c r="CZ215" i="23"/>
  <c r="DA215" i="23"/>
  <c r="CZ196" i="23"/>
  <c r="DA196" i="23"/>
  <c r="CZ195" i="23"/>
  <c r="DA195" i="23"/>
  <c r="CZ187" i="23"/>
  <c r="DA187" i="23"/>
  <c r="CZ186" i="23"/>
  <c r="DA186" i="23"/>
  <c r="CZ185" i="23"/>
  <c r="DA185" i="23"/>
  <c r="CZ166" i="23"/>
  <c r="DA166" i="23"/>
  <c r="CZ165" i="23"/>
  <c r="DA165" i="23"/>
  <c r="CZ157" i="23"/>
  <c r="DA157" i="23"/>
  <c r="CZ156" i="23"/>
  <c r="DA156" i="23"/>
  <c r="CZ155" i="23"/>
  <c r="DA155" i="23"/>
  <c r="CZ136" i="23"/>
  <c r="DA136" i="23"/>
  <c r="CZ135" i="23"/>
  <c r="DA135" i="23"/>
  <c r="CZ127" i="23"/>
  <c r="DA127" i="23"/>
  <c r="CZ126" i="23"/>
  <c r="DA126" i="23"/>
  <c r="CZ125" i="23"/>
  <c r="DA125" i="23"/>
  <c r="CZ106" i="23"/>
  <c r="DA106" i="23"/>
  <c r="CZ105" i="23"/>
  <c r="DA105" i="23"/>
  <c r="CZ97" i="23"/>
  <c r="DA97" i="23"/>
  <c r="CZ96" i="23"/>
  <c r="DA96" i="23"/>
  <c r="CZ95" i="23"/>
  <c r="DA95" i="23"/>
  <c r="CZ76" i="23"/>
  <c r="DA76" i="23"/>
  <c r="CZ75" i="23"/>
  <c r="DA75" i="23"/>
  <c r="CZ67" i="23"/>
  <c r="DA67" i="23"/>
  <c r="CZ36" i="23"/>
  <c r="DA36" i="23"/>
  <c r="CZ35" i="23"/>
  <c r="DA35" i="23"/>
  <c r="DB32" i="23"/>
  <c r="DB31" i="23"/>
  <c r="DC31" i="23" s="1"/>
  <c r="DB30" i="23"/>
  <c r="DC30" i="23" s="1"/>
  <c r="DB29" i="23"/>
  <c r="DC29" i="23" s="1"/>
  <c r="DB28" i="23"/>
  <c r="DB27" i="23"/>
  <c r="CZ27" i="23" s="1"/>
  <c r="DC27" i="23"/>
  <c r="DA27" i="23"/>
  <c r="DB26" i="23"/>
  <c r="DC26" i="23"/>
  <c r="DB25" i="23"/>
  <c r="DC25" i="23"/>
  <c r="CZ23" i="23"/>
  <c r="DA23" i="23"/>
  <c r="CZ22" i="23"/>
  <c r="DA22" i="23"/>
  <c r="CZ21" i="23"/>
  <c r="DA21" i="23"/>
  <c r="DB20" i="23"/>
  <c r="CZ20" i="23"/>
  <c r="DA20" i="23" s="1"/>
  <c r="DB19" i="23"/>
  <c r="DC19" i="23" s="1"/>
  <c r="DB18" i="23"/>
  <c r="DC18" i="23" s="1"/>
  <c r="DB17" i="23"/>
  <c r="CZ17" i="23" s="1"/>
  <c r="DA17" i="23"/>
  <c r="DB16" i="23"/>
  <c r="CZ16" i="23"/>
  <c r="DA16" i="23" s="1"/>
  <c r="DB15" i="23"/>
  <c r="DB14" i="23"/>
  <c r="DC14" i="23" s="1"/>
  <c r="DB13" i="23"/>
  <c r="DC13" i="23" s="1"/>
  <c r="DB12" i="23"/>
  <c r="CZ12" i="23" s="1"/>
  <c r="DA12" i="23" s="1"/>
  <c r="DB11" i="23"/>
  <c r="DC11" i="23"/>
  <c r="CZ10" i="23"/>
  <c r="DA10" i="23"/>
  <c r="CZ9" i="23"/>
  <c r="DA9" i="23"/>
  <c r="CT66" i="23"/>
  <c r="CU66" i="23"/>
  <c r="CT65" i="23"/>
  <c r="CU65" i="23"/>
  <c r="CT46" i="23"/>
  <c r="CU46" i="23"/>
  <c r="CT45" i="23"/>
  <c r="CU45" i="23"/>
  <c r="CT37" i="23"/>
  <c r="CU37" i="23"/>
  <c r="CT456" i="23"/>
  <c r="CU456" i="23"/>
  <c r="CT455" i="23"/>
  <c r="CU455" i="23"/>
  <c r="CT436" i="23"/>
  <c r="CU436" i="23"/>
  <c r="CT435" i="23"/>
  <c r="CU435" i="23"/>
  <c r="CT427" i="23"/>
  <c r="CU427" i="23"/>
  <c r="CT426" i="23"/>
  <c r="CU426" i="23"/>
  <c r="CT425" i="23"/>
  <c r="CU425" i="23"/>
  <c r="CT406" i="23"/>
  <c r="CU406" i="23"/>
  <c r="CT405" i="23"/>
  <c r="CU405" i="23"/>
  <c r="CT397" i="23"/>
  <c r="CU397" i="23"/>
  <c r="CT396" i="23"/>
  <c r="CU396" i="23"/>
  <c r="CT395" i="23"/>
  <c r="CU395" i="23"/>
  <c r="CT376" i="23"/>
  <c r="CU376" i="23"/>
  <c r="CT375" i="23"/>
  <c r="CU375" i="23"/>
  <c r="CT367" i="23"/>
  <c r="CU367" i="23"/>
  <c r="CT366" i="23"/>
  <c r="CU366" i="23"/>
  <c r="CT365" i="23"/>
  <c r="CU365" i="23"/>
  <c r="CT346" i="23"/>
  <c r="CU346" i="23"/>
  <c r="CT345" i="23"/>
  <c r="CU345" i="23"/>
  <c r="CT337" i="23"/>
  <c r="CU337" i="23"/>
  <c r="CT336" i="23"/>
  <c r="CU336" i="23"/>
  <c r="CT335" i="23"/>
  <c r="CU335" i="23"/>
  <c r="CT316" i="23"/>
  <c r="CU316" i="23"/>
  <c r="CT315" i="23"/>
  <c r="CU315" i="23"/>
  <c r="CT307" i="23"/>
  <c r="CU307" i="23"/>
  <c r="CT306" i="23"/>
  <c r="CU306" i="23"/>
  <c r="CT305" i="23"/>
  <c r="CU305" i="23"/>
  <c r="CT286" i="23"/>
  <c r="CU286" i="23"/>
  <c r="CT285" i="23"/>
  <c r="CU285" i="23"/>
  <c r="CT277" i="23"/>
  <c r="CU277" i="23"/>
  <c r="CT276" i="23"/>
  <c r="CU276" i="23"/>
  <c r="CT275" i="23"/>
  <c r="CU275" i="23"/>
  <c r="CT256" i="23"/>
  <c r="CU256" i="23"/>
  <c r="CT255" i="23"/>
  <c r="CU255" i="23"/>
  <c r="CT247" i="23"/>
  <c r="CU247" i="23"/>
  <c r="CT246" i="23"/>
  <c r="CU246" i="23"/>
  <c r="CT245" i="23"/>
  <c r="CU245" i="23"/>
  <c r="CT226" i="23"/>
  <c r="CU226" i="23"/>
  <c r="CT225" i="23"/>
  <c r="CU225" i="23"/>
  <c r="CT217" i="23"/>
  <c r="CU217" i="23"/>
  <c r="CT216" i="23"/>
  <c r="CU216" i="23"/>
  <c r="CT215" i="23"/>
  <c r="CU215" i="23"/>
  <c r="CT196" i="23"/>
  <c r="CU196" i="23"/>
  <c r="CT195" i="23"/>
  <c r="CU195" i="23"/>
  <c r="CT187" i="23"/>
  <c r="CU187" i="23"/>
  <c r="CT186" i="23"/>
  <c r="CU186" i="23"/>
  <c r="CT185" i="23"/>
  <c r="CU185" i="23"/>
  <c r="CT166" i="23"/>
  <c r="CU166" i="23"/>
  <c r="CT165" i="23"/>
  <c r="CU165" i="23"/>
  <c r="CT157" i="23"/>
  <c r="CU157" i="23"/>
  <c r="CT156" i="23"/>
  <c r="CU156" i="23"/>
  <c r="CT155" i="23"/>
  <c r="CU155" i="23"/>
  <c r="CT136" i="23"/>
  <c r="CU136" i="23"/>
  <c r="CT135" i="23"/>
  <c r="CU135" i="23"/>
  <c r="CT127" i="23"/>
  <c r="CU127" i="23"/>
  <c r="CT126" i="23"/>
  <c r="CU126" i="23"/>
  <c r="CT125" i="23"/>
  <c r="CU125" i="23"/>
  <c r="CT106" i="23"/>
  <c r="CU106" i="23"/>
  <c r="CT105" i="23"/>
  <c r="CU105" i="23"/>
  <c r="CT97" i="23"/>
  <c r="CU97" i="23"/>
  <c r="CT96" i="23"/>
  <c r="CU96" i="23"/>
  <c r="CT95" i="23"/>
  <c r="CU95" i="23"/>
  <c r="CT76" i="23"/>
  <c r="CU76" i="23"/>
  <c r="CT75" i="23"/>
  <c r="CU75" i="23"/>
  <c r="CT67" i="23"/>
  <c r="CU67" i="23"/>
  <c r="CT36" i="23"/>
  <c r="CU36" i="23"/>
  <c r="CT35" i="23"/>
  <c r="CU35" i="23"/>
  <c r="CV32" i="23"/>
  <c r="CW32" i="23"/>
  <c r="CV31" i="23"/>
  <c r="CW31" i="23"/>
  <c r="CT31" i="23"/>
  <c r="CU31" i="23"/>
  <c r="CV30" i="23"/>
  <c r="CW30" i="23"/>
  <c r="CV29" i="23"/>
  <c r="CW29" i="23"/>
  <c r="CV28" i="23"/>
  <c r="CW28" i="23"/>
  <c r="CT28" i="23"/>
  <c r="CU28" i="23"/>
  <c r="CV27" i="23"/>
  <c r="CW27" i="23"/>
  <c r="CT27" i="23"/>
  <c r="CU27" i="23"/>
  <c r="CV26" i="23"/>
  <c r="CV25" i="23"/>
  <c r="CW25" i="23" s="1"/>
  <c r="CT23" i="23"/>
  <c r="CU23" i="23" s="1"/>
  <c r="CT22" i="23"/>
  <c r="CU22" i="23" s="1"/>
  <c r="CT21" i="23"/>
  <c r="CU21" i="23" s="1"/>
  <c r="CV20" i="23"/>
  <c r="CV19" i="23"/>
  <c r="CT19" i="23" s="1"/>
  <c r="CU19" i="23" s="1"/>
  <c r="CV18" i="23"/>
  <c r="CV17" i="23"/>
  <c r="CW17" i="23" s="1"/>
  <c r="CV16" i="23"/>
  <c r="CT16" i="23" s="1"/>
  <c r="CU16" i="23" s="1"/>
  <c r="CV15" i="23"/>
  <c r="CV14" i="23"/>
  <c r="CW14" i="23" s="1"/>
  <c r="CT14" i="23"/>
  <c r="CU14" i="23" s="1"/>
  <c r="CV13" i="23"/>
  <c r="CW13" i="23" s="1"/>
  <c r="CV12" i="23"/>
  <c r="CV11" i="23"/>
  <c r="CW11" i="23"/>
  <c r="CT10" i="23"/>
  <c r="CU10" i="23"/>
  <c r="CT9" i="23"/>
  <c r="CU9" i="23"/>
  <c r="CN66" i="23"/>
  <c r="CO66" i="23"/>
  <c r="CN65" i="23"/>
  <c r="CO65" i="23"/>
  <c r="CN46" i="23"/>
  <c r="CO46" i="23"/>
  <c r="CN45" i="23"/>
  <c r="CO45" i="23"/>
  <c r="CN37" i="23"/>
  <c r="CO37" i="23"/>
  <c r="CN456" i="23"/>
  <c r="CO456" i="23"/>
  <c r="CN455" i="23"/>
  <c r="CO455" i="23"/>
  <c r="CN436" i="23"/>
  <c r="CO436" i="23"/>
  <c r="CN435" i="23"/>
  <c r="CO435" i="23"/>
  <c r="CN427" i="23"/>
  <c r="CO427" i="23"/>
  <c r="CN426" i="23"/>
  <c r="CO426" i="23"/>
  <c r="CN425" i="23"/>
  <c r="CO425" i="23"/>
  <c r="CN406" i="23"/>
  <c r="CO406" i="23"/>
  <c r="CN405" i="23"/>
  <c r="CO405" i="23"/>
  <c r="CN397" i="23"/>
  <c r="CO397" i="23"/>
  <c r="CN396" i="23"/>
  <c r="CO396" i="23"/>
  <c r="CN395" i="23"/>
  <c r="CO395" i="23"/>
  <c r="CN376" i="23"/>
  <c r="CO376" i="23"/>
  <c r="CN375" i="23"/>
  <c r="CO375" i="23"/>
  <c r="CN367" i="23"/>
  <c r="CO367" i="23"/>
  <c r="CN366" i="23"/>
  <c r="CO366" i="23"/>
  <c r="CN365" i="23"/>
  <c r="CO365" i="23"/>
  <c r="CN346" i="23"/>
  <c r="CO346" i="23"/>
  <c r="CN345" i="23"/>
  <c r="CO345" i="23"/>
  <c r="CN337" i="23"/>
  <c r="CO337" i="23"/>
  <c r="CN336" i="23"/>
  <c r="CO336" i="23"/>
  <c r="CN335" i="23"/>
  <c r="CO335" i="23"/>
  <c r="CN316" i="23"/>
  <c r="CO316" i="23"/>
  <c r="CN315" i="23"/>
  <c r="CO315" i="23"/>
  <c r="CN307" i="23"/>
  <c r="CO307" i="23"/>
  <c r="CN306" i="23"/>
  <c r="CO306" i="23"/>
  <c r="CN305" i="23"/>
  <c r="CO305" i="23"/>
  <c r="CN286" i="23"/>
  <c r="CO286" i="23"/>
  <c r="CN285" i="23"/>
  <c r="CO285" i="23"/>
  <c r="CN277" i="23"/>
  <c r="CO277" i="23"/>
  <c r="CN276" i="23"/>
  <c r="CO276" i="23"/>
  <c r="CN275" i="23"/>
  <c r="CO275" i="23"/>
  <c r="CN256" i="23"/>
  <c r="CO256" i="23"/>
  <c r="CN255" i="23"/>
  <c r="CO255" i="23"/>
  <c r="CN247" i="23"/>
  <c r="CO247" i="23"/>
  <c r="CN246" i="23"/>
  <c r="CO246" i="23"/>
  <c r="CN245" i="23"/>
  <c r="CO245" i="23"/>
  <c r="CN226" i="23"/>
  <c r="CO226" i="23"/>
  <c r="CN225" i="23"/>
  <c r="CO225" i="23"/>
  <c r="CN217" i="23"/>
  <c r="CO217" i="23"/>
  <c r="CN216" i="23"/>
  <c r="CO216" i="23"/>
  <c r="CN215" i="23"/>
  <c r="CO215" i="23"/>
  <c r="CN196" i="23"/>
  <c r="CO196" i="23"/>
  <c r="CN195" i="23"/>
  <c r="CO195" i="23"/>
  <c r="CN187" i="23"/>
  <c r="CO187" i="23"/>
  <c r="CN186" i="23"/>
  <c r="CO186" i="23"/>
  <c r="CN185" i="23"/>
  <c r="CO185" i="23"/>
  <c r="CN166" i="23"/>
  <c r="CO166" i="23"/>
  <c r="CN165" i="23"/>
  <c r="CO165" i="23"/>
  <c r="CN157" i="23"/>
  <c r="CO157" i="23"/>
  <c r="CN156" i="23"/>
  <c r="CO156" i="23"/>
  <c r="CN155" i="23"/>
  <c r="CO155" i="23"/>
  <c r="CN136" i="23"/>
  <c r="CO136" i="23"/>
  <c r="CN135" i="23"/>
  <c r="CO135" i="23"/>
  <c r="CN127" i="23"/>
  <c r="CO127" i="23"/>
  <c r="CN126" i="23"/>
  <c r="CO126" i="23"/>
  <c r="CN125" i="23"/>
  <c r="CO125" i="23"/>
  <c r="CN106" i="23"/>
  <c r="CO106" i="23"/>
  <c r="CN105" i="23"/>
  <c r="CO105" i="23"/>
  <c r="CN97" i="23"/>
  <c r="CO97" i="23"/>
  <c r="CN96" i="23"/>
  <c r="CO96" i="23"/>
  <c r="CN95" i="23"/>
  <c r="CO95" i="23"/>
  <c r="CN76" i="23"/>
  <c r="CO76" i="23"/>
  <c r="CN75" i="23"/>
  <c r="CO75" i="23"/>
  <c r="CN67" i="23"/>
  <c r="CO67" i="23"/>
  <c r="CN36" i="23"/>
  <c r="CO36" i="23"/>
  <c r="CN35" i="23"/>
  <c r="CO35" i="23"/>
  <c r="CP32" i="23"/>
  <c r="CP31" i="23"/>
  <c r="CQ31" i="23" s="1"/>
  <c r="CP30" i="23"/>
  <c r="CQ30" i="23" s="1"/>
  <c r="CP29" i="23"/>
  <c r="CQ29" i="23" s="1"/>
  <c r="CP28" i="23"/>
  <c r="CP27" i="23"/>
  <c r="CQ27" i="23"/>
  <c r="CN27" i="23"/>
  <c r="CO27" i="23"/>
  <c r="CP26" i="23"/>
  <c r="CQ26" i="23"/>
  <c r="CP25" i="23"/>
  <c r="CN25" i="23" s="1"/>
  <c r="CO25" i="23" s="1"/>
  <c r="CQ25" i="23"/>
  <c r="CN23" i="23"/>
  <c r="CO23" i="23"/>
  <c r="CN22" i="23"/>
  <c r="CO22" i="23"/>
  <c r="CN21" i="23"/>
  <c r="CO21" i="23"/>
  <c r="CP20" i="23"/>
  <c r="CN20" i="23"/>
  <c r="CO20" i="23" s="1"/>
  <c r="CP19" i="23"/>
  <c r="CQ19" i="23" s="1"/>
  <c r="CN19" i="23"/>
  <c r="CO19" i="23" s="1"/>
  <c r="CP18" i="23"/>
  <c r="CN18" i="23" s="1"/>
  <c r="CO18" i="23"/>
  <c r="CP17" i="23"/>
  <c r="CN17" i="23" s="1"/>
  <c r="CO17" i="23" s="1"/>
  <c r="CQ17" i="23"/>
  <c r="CP16" i="23"/>
  <c r="CN16" i="23"/>
  <c r="CO16" i="23" s="1"/>
  <c r="CP15" i="23"/>
  <c r="CP14" i="23"/>
  <c r="CN14" i="23" s="1"/>
  <c r="CO14" i="23" s="1"/>
  <c r="CP13" i="23"/>
  <c r="CQ13" i="23"/>
  <c r="CP12" i="23"/>
  <c r="CN12" i="23"/>
  <c r="CO12" i="23" s="1"/>
  <c r="CP11" i="23"/>
  <c r="CQ11" i="23" s="1"/>
  <c r="CN10" i="23"/>
  <c r="CO10" i="23" s="1"/>
  <c r="CN9" i="23"/>
  <c r="CO9" i="23" s="1"/>
  <c r="CH66" i="23"/>
  <c r="CI66" i="23" s="1"/>
  <c r="CH65" i="23"/>
  <c r="CI65" i="23" s="1"/>
  <c r="CH46" i="23"/>
  <c r="CI46" i="23" s="1"/>
  <c r="CH45" i="23"/>
  <c r="CI45" i="23" s="1"/>
  <c r="CH37" i="23"/>
  <c r="CI37" i="23" s="1"/>
  <c r="CH456" i="23"/>
  <c r="CI456" i="23" s="1"/>
  <c r="CH455" i="23"/>
  <c r="CI455" i="23" s="1"/>
  <c r="CH436" i="23"/>
  <c r="CI436" i="23" s="1"/>
  <c r="CH435" i="23"/>
  <c r="CI435" i="23" s="1"/>
  <c r="CH427" i="23"/>
  <c r="CI427" i="23" s="1"/>
  <c r="CH426" i="23"/>
  <c r="CI426" i="23" s="1"/>
  <c r="CH425" i="23"/>
  <c r="CI425" i="23" s="1"/>
  <c r="CH406" i="23"/>
  <c r="CI406" i="23" s="1"/>
  <c r="CH405" i="23"/>
  <c r="CI405" i="23" s="1"/>
  <c r="CH397" i="23"/>
  <c r="CI397" i="23" s="1"/>
  <c r="CH396" i="23"/>
  <c r="CI396" i="23" s="1"/>
  <c r="CH395" i="23"/>
  <c r="CI395" i="23" s="1"/>
  <c r="CH376" i="23"/>
  <c r="CI376" i="23" s="1"/>
  <c r="CH375" i="23"/>
  <c r="CI375" i="23" s="1"/>
  <c r="CH367" i="23"/>
  <c r="CI367" i="23" s="1"/>
  <c r="CH366" i="23"/>
  <c r="CI366" i="23" s="1"/>
  <c r="CH365" i="23"/>
  <c r="CI365" i="23" s="1"/>
  <c r="CH346" i="23"/>
  <c r="CI346" i="23" s="1"/>
  <c r="CH345" i="23"/>
  <c r="CI345" i="23" s="1"/>
  <c r="CH337" i="23"/>
  <c r="CI337" i="23" s="1"/>
  <c r="CH336" i="23"/>
  <c r="CI336" i="23" s="1"/>
  <c r="CH335" i="23"/>
  <c r="CI335" i="23" s="1"/>
  <c r="CH316" i="23"/>
  <c r="CI316" i="23" s="1"/>
  <c r="CH315" i="23"/>
  <c r="CI315" i="23" s="1"/>
  <c r="CH307" i="23"/>
  <c r="CI307" i="23" s="1"/>
  <c r="CH306" i="23"/>
  <c r="CI306" i="23" s="1"/>
  <c r="CH305" i="23"/>
  <c r="CI305" i="23" s="1"/>
  <c r="CH286" i="23"/>
  <c r="CI286" i="23" s="1"/>
  <c r="CH285" i="23"/>
  <c r="CI285" i="23" s="1"/>
  <c r="CH277" i="23"/>
  <c r="CI277" i="23" s="1"/>
  <c r="CH276" i="23"/>
  <c r="CI276" i="23" s="1"/>
  <c r="CH275" i="23"/>
  <c r="CI275" i="23" s="1"/>
  <c r="CH256" i="23"/>
  <c r="CI256" i="23" s="1"/>
  <c r="CH255" i="23"/>
  <c r="CI255" i="23" s="1"/>
  <c r="CH247" i="23"/>
  <c r="CI247" i="23" s="1"/>
  <c r="CH246" i="23"/>
  <c r="CI246" i="23" s="1"/>
  <c r="CH245" i="23"/>
  <c r="CI245" i="23" s="1"/>
  <c r="CH226" i="23"/>
  <c r="CI226" i="23" s="1"/>
  <c r="CH225" i="23"/>
  <c r="CI225" i="23" s="1"/>
  <c r="CH217" i="23"/>
  <c r="CI217" i="23" s="1"/>
  <c r="CH216" i="23"/>
  <c r="CI216" i="23" s="1"/>
  <c r="CH215" i="23"/>
  <c r="CI215" i="23" s="1"/>
  <c r="CH196" i="23"/>
  <c r="CI196" i="23" s="1"/>
  <c r="CH195" i="23"/>
  <c r="CI195" i="23" s="1"/>
  <c r="CH187" i="23"/>
  <c r="CI187" i="23" s="1"/>
  <c r="CH186" i="23"/>
  <c r="CI186" i="23" s="1"/>
  <c r="CH185" i="23"/>
  <c r="CI185" i="23" s="1"/>
  <c r="CH166" i="23"/>
  <c r="CI166" i="23" s="1"/>
  <c r="CH165" i="23"/>
  <c r="CI165" i="23" s="1"/>
  <c r="CH157" i="23"/>
  <c r="CI157" i="23" s="1"/>
  <c r="CH156" i="23"/>
  <c r="CI156" i="23" s="1"/>
  <c r="CH155" i="23"/>
  <c r="CI155" i="23" s="1"/>
  <c r="CH136" i="23"/>
  <c r="CI136" i="23" s="1"/>
  <c r="CH135" i="23"/>
  <c r="CI135" i="23" s="1"/>
  <c r="CH127" i="23"/>
  <c r="CI127" i="23" s="1"/>
  <c r="CH126" i="23"/>
  <c r="CI126" i="23" s="1"/>
  <c r="CH125" i="23"/>
  <c r="CI125" i="23" s="1"/>
  <c r="CH106" i="23"/>
  <c r="CI106" i="23" s="1"/>
  <c r="CH105" i="23"/>
  <c r="CI105" i="23" s="1"/>
  <c r="CH97" i="23"/>
  <c r="CI97" i="23" s="1"/>
  <c r="CH96" i="23"/>
  <c r="CI96" i="23" s="1"/>
  <c r="CH95" i="23"/>
  <c r="CI95" i="23" s="1"/>
  <c r="CH76" i="23"/>
  <c r="CI76" i="23" s="1"/>
  <c r="CH75" i="23"/>
  <c r="CI75" i="23" s="1"/>
  <c r="CH67" i="23"/>
  <c r="CI67" i="23" s="1"/>
  <c r="CH36" i="23"/>
  <c r="CI36" i="23" s="1"/>
  <c r="CH35" i="23"/>
  <c r="CI35" i="23" s="1"/>
  <c r="CJ32" i="23"/>
  <c r="CK32" i="23" s="1"/>
  <c r="CH32" i="23"/>
  <c r="CI32" i="23" s="1"/>
  <c r="CJ31" i="23"/>
  <c r="CK31" i="23" s="1"/>
  <c r="CH31" i="23"/>
  <c r="CI31" i="23" s="1"/>
  <c r="CJ30" i="23"/>
  <c r="CK30" i="23" s="1"/>
  <c r="CJ29" i="23"/>
  <c r="CK29" i="23" s="1"/>
  <c r="CJ28" i="23"/>
  <c r="CK28" i="23" s="1"/>
  <c r="CJ27" i="23"/>
  <c r="CJ26" i="23"/>
  <c r="CJ25" i="23"/>
  <c r="CK25" i="23" s="1"/>
  <c r="CH23" i="23"/>
  <c r="CI23" i="23" s="1"/>
  <c r="CH22" i="23"/>
  <c r="CI22" i="23" s="1"/>
  <c r="CH21" i="23"/>
  <c r="CI21" i="23" s="1"/>
  <c r="CJ20" i="23"/>
  <c r="CJ19" i="23"/>
  <c r="CH19" i="23" s="1"/>
  <c r="CI19" i="23" s="1"/>
  <c r="CJ18" i="23"/>
  <c r="CK18" i="23"/>
  <c r="CJ17" i="23"/>
  <c r="CH17" i="23"/>
  <c r="CI17" i="23" s="1"/>
  <c r="CJ16" i="23"/>
  <c r="CJ15" i="23"/>
  <c r="CK15" i="23" s="1"/>
  <c r="CJ14" i="23"/>
  <c r="CK14" i="23" s="1"/>
  <c r="CJ13" i="23"/>
  <c r="CH13" i="23" s="1"/>
  <c r="CI13" i="23" s="1"/>
  <c r="CJ12" i="23"/>
  <c r="CK12" i="23"/>
  <c r="CH12" i="23"/>
  <c r="CI12" i="23"/>
  <c r="CJ11" i="23"/>
  <c r="CK11" i="23"/>
  <c r="CH10" i="23"/>
  <c r="CI10" i="23"/>
  <c r="CH9" i="23"/>
  <c r="CI9" i="23"/>
  <c r="CB66" i="23"/>
  <c r="CC66" i="23"/>
  <c r="CB65" i="23"/>
  <c r="CC65" i="23"/>
  <c r="CB46" i="23"/>
  <c r="CC46" i="23"/>
  <c r="CB45" i="23"/>
  <c r="CC45" i="23"/>
  <c r="CB37" i="23"/>
  <c r="CC37" i="23"/>
  <c r="CB456" i="23"/>
  <c r="CC456" i="23"/>
  <c r="CB455" i="23"/>
  <c r="CC455" i="23"/>
  <c r="CB436" i="23"/>
  <c r="CC436" i="23"/>
  <c r="CB435" i="23"/>
  <c r="CC435" i="23"/>
  <c r="CB427" i="23"/>
  <c r="CC427" i="23"/>
  <c r="CB426" i="23"/>
  <c r="CC426" i="23"/>
  <c r="CB425" i="23"/>
  <c r="CC425" i="23"/>
  <c r="CB406" i="23"/>
  <c r="CC406" i="23"/>
  <c r="CB405" i="23"/>
  <c r="CC405" i="23"/>
  <c r="CB397" i="23"/>
  <c r="CC397" i="23"/>
  <c r="CB396" i="23"/>
  <c r="CC396" i="23"/>
  <c r="CB395" i="23"/>
  <c r="CC395" i="23"/>
  <c r="CB376" i="23"/>
  <c r="CC376" i="23"/>
  <c r="CB375" i="23"/>
  <c r="CC375" i="23"/>
  <c r="CB367" i="23"/>
  <c r="CC367" i="23"/>
  <c r="CB366" i="23"/>
  <c r="CC366" i="23"/>
  <c r="CB365" i="23"/>
  <c r="CC365" i="23"/>
  <c r="CB346" i="23"/>
  <c r="CC346" i="23"/>
  <c r="CB345" i="23"/>
  <c r="CC345" i="23"/>
  <c r="CB337" i="23"/>
  <c r="CC337" i="23"/>
  <c r="CB336" i="23"/>
  <c r="CC336" i="23"/>
  <c r="CB335" i="23"/>
  <c r="CC335" i="23"/>
  <c r="CB316" i="23"/>
  <c r="CC316" i="23"/>
  <c r="CB315" i="23"/>
  <c r="CC315" i="23"/>
  <c r="CB307" i="23"/>
  <c r="CC307" i="23"/>
  <c r="CB306" i="23"/>
  <c r="CC306" i="23"/>
  <c r="CB305" i="23"/>
  <c r="CC305" i="23"/>
  <c r="CB286" i="23"/>
  <c r="CC286" i="23"/>
  <c r="CB285" i="23"/>
  <c r="CC285" i="23"/>
  <c r="CB277" i="23"/>
  <c r="CC277" i="23"/>
  <c r="CB276" i="23"/>
  <c r="CC276" i="23"/>
  <c r="CB275" i="23"/>
  <c r="CC275" i="23"/>
  <c r="CB256" i="23"/>
  <c r="CC256" i="23"/>
  <c r="CB255" i="23"/>
  <c r="CC255" i="23"/>
  <c r="CB247" i="23"/>
  <c r="CC247" i="23"/>
  <c r="CB246" i="23"/>
  <c r="CC246" i="23"/>
  <c r="CB245" i="23"/>
  <c r="CC245" i="23"/>
  <c r="CB226" i="23"/>
  <c r="CC226" i="23"/>
  <c r="CB225" i="23"/>
  <c r="CC225" i="23"/>
  <c r="CB217" i="23"/>
  <c r="CC217" i="23"/>
  <c r="CB216" i="23"/>
  <c r="CC216" i="23"/>
  <c r="CB215" i="23"/>
  <c r="CC215" i="23"/>
  <c r="CB196" i="23"/>
  <c r="CC196" i="23"/>
  <c r="CB195" i="23"/>
  <c r="CC195" i="23"/>
  <c r="CB187" i="23"/>
  <c r="CC187" i="23"/>
  <c r="CB186" i="23"/>
  <c r="CC186" i="23"/>
  <c r="CB185" i="23"/>
  <c r="CC185" i="23"/>
  <c r="CB166" i="23"/>
  <c r="CC166" i="23"/>
  <c r="CB165" i="23"/>
  <c r="CC165" i="23"/>
  <c r="CB157" i="23"/>
  <c r="CC157" i="23"/>
  <c r="CB156" i="23"/>
  <c r="CC156" i="23"/>
  <c r="CB155" i="23"/>
  <c r="CC155" i="23"/>
  <c r="CB136" i="23"/>
  <c r="CC136" i="23"/>
  <c r="CB135" i="23"/>
  <c r="CC135" i="23"/>
  <c r="CB127" i="23"/>
  <c r="CC127" i="23"/>
  <c r="CB126" i="23"/>
  <c r="CC126" i="23"/>
  <c r="CB125" i="23"/>
  <c r="CC125" i="23"/>
  <c r="CB106" i="23"/>
  <c r="CC106" i="23"/>
  <c r="CB105" i="23"/>
  <c r="CC105" i="23"/>
  <c r="CB97" i="23"/>
  <c r="CC97" i="23"/>
  <c r="CB96" i="23"/>
  <c r="CC96" i="23"/>
  <c r="CB95" i="23"/>
  <c r="CC95" i="23"/>
  <c r="CB76" i="23"/>
  <c r="CC76" i="23"/>
  <c r="CB75" i="23"/>
  <c r="CC75" i="23"/>
  <c r="CB67" i="23"/>
  <c r="CC67" i="23"/>
  <c r="CB36" i="23"/>
  <c r="CC36" i="23"/>
  <c r="CB35" i="23"/>
  <c r="CC35" i="23"/>
  <c r="CD32" i="23"/>
  <c r="CB32" i="23" s="1"/>
  <c r="CE32" i="23"/>
  <c r="CC32" i="23"/>
  <c r="CD31" i="23"/>
  <c r="CE31" i="23"/>
  <c r="CD30" i="23"/>
  <c r="CE30" i="23"/>
  <c r="CD29" i="23"/>
  <c r="CE29" i="23"/>
  <c r="CD28" i="23"/>
  <c r="CE28" i="23"/>
  <c r="CB28" i="23"/>
  <c r="CC28" i="23"/>
  <c r="CD27" i="23"/>
  <c r="CE27" i="23"/>
  <c r="CD26" i="23"/>
  <c r="CD25" i="23"/>
  <c r="CE25" i="23" s="1"/>
  <c r="CB25" i="23"/>
  <c r="CC25" i="23" s="1"/>
  <c r="CB23" i="23"/>
  <c r="CC23" i="23" s="1"/>
  <c r="CB22" i="23"/>
  <c r="CC22" i="23" s="1"/>
  <c r="CB21" i="23"/>
  <c r="CC21" i="23" s="1"/>
  <c r="CD20" i="23"/>
  <c r="CB20" i="23" s="1"/>
  <c r="CC20" i="23" s="1"/>
  <c r="CD19" i="23"/>
  <c r="CE19" i="23"/>
  <c r="CB19" i="23"/>
  <c r="CC19" i="23"/>
  <c r="CD18" i="23"/>
  <c r="CB18" i="23"/>
  <c r="CC18" i="23" s="1"/>
  <c r="CD17" i="23"/>
  <c r="CE17" i="23" s="1"/>
  <c r="CD16" i="23"/>
  <c r="CB16" i="23" s="1"/>
  <c r="CC16" i="23" s="1"/>
  <c r="CD15" i="23"/>
  <c r="CE15" i="23"/>
  <c r="CB15" i="23"/>
  <c r="CC15" i="23"/>
  <c r="CD14" i="23"/>
  <c r="CB14" i="23"/>
  <c r="CC14" i="23" s="1"/>
  <c r="CD13" i="23"/>
  <c r="CE13" i="23" s="1"/>
  <c r="CD12" i="23"/>
  <c r="CB12" i="23" s="1"/>
  <c r="CC12" i="23" s="1"/>
  <c r="CD11" i="23"/>
  <c r="CE11" i="23"/>
  <c r="CB10" i="23"/>
  <c r="CC10" i="23"/>
  <c r="CB9" i="23"/>
  <c r="CC9" i="23"/>
  <c r="BV66" i="23"/>
  <c r="BW66" i="23"/>
  <c r="BV65" i="23"/>
  <c r="BW65" i="23"/>
  <c r="BV46" i="23"/>
  <c r="BW46" i="23"/>
  <c r="BV45" i="23"/>
  <c r="BW45" i="23"/>
  <c r="BV37" i="23"/>
  <c r="BW37" i="23"/>
  <c r="BV456" i="23"/>
  <c r="BW456" i="23"/>
  <c r="BV455" i="23"/>
  <c r="BW455" i="23"/>
  <c r="BV436" i="23"/>
  <c r="BW436" i="23"/>
  <c r="BV435" i="23"/>
  <c r="BW435" i="23"/>
  <c r="BV427" i="23"/>
  <c r="BW427" i="23"/>
  <c r="BV426" i="23"/>
  <c r="BW426" i="23"/>
  <c r="BV425" i="23"/>
  <c r="BW425" i="23"/>
  <c r="BV406" i="23"/>
  <c r="BW406" i="23"/>
  <c r="BV405" i="23"/>
  <c r="BW405" i="23"/>
  <c r="BV397" i="23"/>
  <c r="BW397" i="23"/>
  <c r="BV396" i="23"/>
  <c r="BW396" i="23"/>
  <c r="BV395" i="23"/>
  <c r="BW395" i="23"/>
  <c r="BV376" i="23"/>
  <c r="BW376" i="23"/>
  <c r="BV375" i="23"/>
  <c r="BW375" i="23"/>
  <c r="BV367" i="23"/>
  <c r="BW367" i="23"/>
  <c r="BV366" i="23"/>
  <c r="BW366" i="23"/>
  <c r="BV365" i="23"/>
  <c r="BW365" i="23"/>
  <c r="BV346" i="23"/>
  <c r="BW346" i="23"/>
  <c r="BV345" i="23"/>
  <c r="BW345" i="23"/>
  <c r="BV337" i="23"/>
  <c r="BW337" i="23"/>
  <c r="BV336" i="23"/>
  <c r="BW336" i="23"/>
  <c r="BV335" i="23"/>
  <c r="BW335" i="23"/>
  <c r="BV316" i="23"/>
  <c r="BW316" i="23"/>
  <c r="BV315" i="23"/>
  <c r="BW315" i="23"/>
  <c r="BV307" i="23"/>
  <c r="BW307" i="23"/>
  <c r="BV306" i="23"/>
  <c r="BW306" i="23"/>
  <c r="BV305" i="23"/>
  <c r="BW305" i="23"/>
  <c r="BV286" i="23"/>
  <c r="BW286" i="23"/>
  <c r="BV285" i="23"/>
  <c r="BW285" i="23"/>
  <c r="BV277" i="23"/>
  <c r="BW277" i="23"/>
  <c r="BV276" i="23"/>
  <c r="BW276" i="23"/>
  <c r="BV275" i="23"/>
  <c r="BW275" i="23"/>
  <c r="BV256" i="23"/>
  <c r="BW256" i="23"/>
  <c r="BV255" i="23"/>
  <c r="BW255" i="23"/>
  <c r="BV247" i="23"/>
  <c r="BW247" i="23"/>
  <c r="BV246" i="23"/>
  <c r="BW246" i="23"/>
  <c r="BV245" i="23"/>
  <c r="BW245" i="23"/>
  <c r="BV226" i="23"/>
  <c r="BW226" i="23"/>
  <c r="BV225" i="23"/>
  <c r="BW225" i="23"/>
  <c r="BV217" i="23"/>
  <c r="BW217" i="23"/>
  <c r="BV216" i="23"/>
  <c r="BW216" i="23"/>
  <c r="BV215" i="23"/>
  <c r="BW215" i="23"/>
  <c r="BV196" i="23"/>
  <c r="BW196" i="23"/>
  <c r="BV195" i="23"/>
  <c r="BW195" i="23"/>
  <c r="BV187" i="23"/>
  <c r="BW187" i="23"/>
  <c r="BV186" i="23"/>
  <c r="BW186" i="23"/>
  <c r="BV185" i="23"/>
  <c r="BW185" i="23"/>
  <c r="BV166" i="23"/>
  <c r="BW166" i="23"/>
  <c r="BV165" i="23"/>
  <c r="BW165" i="23"/>
  <c r="BV157" i="23"/>
  <c r="BW157" i="23"/>
  <c r="BV156" i="23"/>
  <c r="BW156" i="23"/>
  <c r="BV155" i="23"/>
  <c r="BW155" i="23"/>
  <c r="BV136" i="23"/>
  <c r="BW136" i="23"/>
  <c r="BV135" i="23"/>
  <c r="BW135" i="23"/>
  <c r="BV127" i="23"/>
  <c r="BW127" i="23"/>
  <c r="BV126" i="23"/>
  <c r="BW126" i="23"/>
  <c r="BV125" i="23"/>
  <c r="BW125" i="23"/>
  <c r="BV106" i="23"/>
  <c r="BW106" i="23"/>
  <c r="BV105" i="23"/>
  <c r="BW105" i="23"/>
  <c r="BV97" i="23"/>
  <c r="BW97" i="23"/>
  <c r="BV96" i="23"/>
  <c r="BW96" i="23"/>
  <c r="BV95" i="23"/>
  <c r="BW95" i="23"/>
  <c r="BV76" i="23"/>
  <c r="BW76" i="23"/>
  <c r="BV75" i="23"/>
  <c r="BW75" i="23"/>
  <c r="BV67" i="23"/>
  <c r="BW67" i="23"/>
  <c r="BV36" i="23"/>
  <c r="BW36" i="23"/>
  <c r="BV35" i="23"/>
  <c r="BW35" i="23"/>
  <c r="BX32" i="23"/>
  <c r="BY32" i="23"/>
  <c r="BX31" i="23"/>
  <c r="BX30" i="23"/>
  <c r="BY30" i="23" s="1"/>
  <c r="BX29" i="23"/>
  <c r="BY29" i="23" s="1"/>
  <c r="BX28" i="23"/>
  <c r="BY28" i="23" s="1"/>
  <c r="BX27" i="23"/>
  <c r="BX26" i="23"/>
  <c r="BV26" i="23" s="1"/>
  <c r="BW26" i="23" s="1"/>
  <c r="BY26" i="23"/>
  <c r="BX25" i="23"/>
  <c r="BV25" i="23" s="1"/>
  <c r="BW25" i="23" s="1"/>
  <c r="BY25" i="23"/>
  <c r="BV23" i="23"/>
  <c r="BW23" i="23"/>
  <c r="BV22" i="23"/>
  <c r="BW22" i="23"/>
  <c r="BV21" i="23"/>
  <c r="BW21" i="23"/>
  <c r="BX20" i="23"/>
  <c r="BY20" i="23"/>
  <c r="BV20" i="23"/>
  <c r="BW20" i="23"/>
  <c r="BX19" i="23"/>
  <c r="BV19" i="23"/>
  <c r="BW19" i="23" s="1"/>
  <c r="BX18" i="23"/>
  <c r="BY18" i="23" s="1"/>
  <c r="BX17" i="23"/>
  <c r="BV17" i="23" s="1"/>
  <c r="BW17" i="23" s="1"/>
  <c r="BX16" i="23"/>
  <c r="BY16" i="23"/>
  <c r="BV16" i="23"/>
  <c r="BW16" i="23"/>
  <c r="BX15" i="23"/>
  <c r="BY15" i="23"/>
  <c r="BV15" i="23"/>
  <c r="BW15" i="23"/>
  <c r="BX14" i="23"/>
  <c r="BY14" i="23"/>
  <c r="BX13" i="23"/>
  <c r="BV13" i="23"/>
  <c r="BW13" i="23" s="1"/>
  <c r="BX12" i="23"/>
  <c r="BY12" i="23" s="1"/>
  <c r="BX11" i="23"/>
  <c r="BY11" i="23" s="1"/>
  <c r="BV10" i="23"/>
  <c r="BW10" i="23" s="1"/>
  <c r="BV9" i="23"/>
  <c r="BW9" i="23" s="1"/>
  <c r="BJ456" i="23"/>
  <c r="BK456" i="23" s="1"/>
  <c r="BJ455" i="23"/>
  <c r="BK455" i="23" s="1"/>
  <c r="BJ436" i="23"/>
  <c r="BK436" i="23" s="1"/>
  <c r="BJ435" i="23"/>
  <c r="BK435" i="23" s="1"/>
  <c r="BJ427" i="23"/>
  <c r="BK427" i="23" s="1"/>
  <c r="BJ426" i="23"/>
  <c r="BK426" i="23" s="1"/>
  <c r="BJ425" i="23"/>
  <c r="BK425" i="23" s="1"/>
  <c r="BJ406" i="23"/>
  <c r="BK406" i="23" s="1"/>
  <c r="BJ405" i="23"/>
  <c r="BK405" i="23" s="1"/>
  <c r="BJ397" i="23"/>
  <c r="BK397" i="23" s="1"/>
  <c r="BJ396" i="23"/>
  <c r="BK396" i="23" s="1"/>
  <c r="BJ395" i="23"/>
  <c r="BK395" i="23" s="1"/>
  <c r="BJ376" i="23"/>
  <c r="BK376" i="23" s="1"/>
  <c r="BJ375" i="23"/>
  <c r="BK375" i="23" s="1"/>
  <c r="BJ367" i="23"/>
  <c r="BK367" i="23" s="1"/>
  <c r="BJ366" i="23"/>
  <c r="BK366" i="23" s="1"/>
  <c r="BJ365" i="23"/>
  <c r="BK365" i="23" s="1"/>
  <c r="BJ346" i="23"/>
  <c r="BK346" i="23" s="1"/>
  <c r="BJ345" i="23"/>
  <c r="BK345" i="23" s="1"/>
  <c r="BJ337" i="23"/>
  <c r="BK337" i="23" s="1"/>
  <c r="BJ336" i="23"/>
  <c r="BK336" i="23" s="1"/>
  <c r="BJ335" i="23"/>
  <c r="BK335" i="23" s="1"/>
  <c r="BJ316" i="23"/>
  <c r="BK316" i="23" s="1"/>
  <c r="BJ315" i="23"/>
  <c r="BK315" i="23" s="1"/>
  <c r="BJ307" i="23"/>
  <c r="BK307" i="23" s="1"/>
  <c r="BJ306" i="23"/>
  <c r="BK306" i="23" s="1"/>
  <c r="BJ305" i="23"/>
  <c r="BK305" i="23" s="1"/>
  <c r="BJ286" i="23"/>
  <c r="BK286" i="23" s="1"/>
  <c r="BJ285" i="23"/>
  <c r="BK285" i="23" s="1"/>
  <c r="BJ277" i="23"/>
  <c r="BK277" i="23" s="1"/>
  <c r="BJ276" i="23"/>
  <c r="BK276" i="23" s="1"/>
  <c r="BJ275" i="23"/>
  <c r="BK275" i="23" s="1"/>
  <c r="BJ256" i="23"/>
  <c r="BK256" i="23" s="1"/>
  <c r="BJ255" i="23"/>
  <c r="BK255" i="23" s="1"/>
  <c r="BJ247" i="23"/>
  <c r="BK247" i="23" s="1"/>
  <c r="BJ246" i="23"/>
  <c r="BK246" i="23" s="1"/>
  <c r="BJ245" i="23"/>
  <c r="BK245" i="23" s="1"/>
  <c r="BJ226" i="23"/>
  <c r="BK226" i="23" s="1"/>
  <c r="BJ225" i="23"/>
  <c r="BK225" i="23" s="1"/>
  <c r="BJ217" i="23"/>
  <c r="BK217" i="23" s="1"/>
  <c r="BJ216" i="23"/>
  <c r="BK216" i="23" s="1"/>
  <c r="BJ215" i="23"/>
  <c r="BK215" i="23" s="1"/>
  <c r="BJ196" i="23"/>
  <c r="BK196" i="23" s="1"/>
  <c r="BJ195" i="23"/>
  <c r="BK195" i="23" s="1"/>
  <c r="BJ187" i="23"/>
  <c r="BK187" i="23" s="1"/>
  <c r="BJ186" i="23"/>
  <c r="BK186" i="23" s="1"/>
  <c r="BJ185" i="23"/>
  <c r="BK185" i="23" s="1"/>
  <c r="BJ166" i="23"/>
  <c r="BK166" i="23" s="1"/>
  <c r="BJ165" i="23"/>
  <c r="BK165" i="23" s="1"/>
  <c r="BJ157" i="23"/>
  <c r="BK157" i="23" s="1"/>
  <c r="BJ156" i="23"/>
  <c r="BK156" i="23" s="1"/>
  <c r="BJ155" i="23"/>
  <c r="BK155" i="23" s="1"/>
  <c r="BJ136" i="23"/>
  <c r="BK136" i="23" s="1"/>
  <c r="BJ135" i="23"/>
  <c r="BK135" i="23" s="1"/>
  <c r="BJ127" i="23"/>
  <c r="BK127" i="23" s="1"/>
  <c r="BJ126" i="23"/>
  <c r="BK126" i="23" s="1"/>
  <c r="BJ125" i="23"/>
  <c r="BK125" i="23" s="1"/>
  <c r="BJ106" i="23"/>
  <c r="BK106" i="23" s="1"/>
  <c r="BJ105" i="23"/>
  <c r="BK105" i="23" s="1"/>
  <c r="BJ97" i="23"/>
  <c r="BK97" i="23" s="1"/>
  <c r="BJ96" i="23"/>
  <c r="BK96" i="23" s="1"/>
  <c r="BJ95" i="23"/>
  <c r="BK95" i="23" s="1"/>
  <c r="BJ76" i="23"/>
  <c r="BK76" i="23" s="1"/>
  <c r="BJ75" i="23"/>
  <c r="BK75" i="23" s="1"/>
  <c r="BJ67" i="23"/>
  <c r="BK67" i="23" s="1"/>
  <c r="BJ36" i="23"/>
  <c r="BK36" i="23"/>
  <c r="BJ35" i="23"/>
  <c r="BK35" i="23" s="1"/>
  <c r="BL32" i="23"/>
  <c r="BL31" i="23"/>
  <c r="BM31" i="23"/>
  <c r="BL30" i="23"/>
  <c r="BM30" i="23"/>
  <c r="BL29" i="23"/>
  <c r="BM29" i="23"/>
  <c r="BL28" i="23"/>
  <c r="BM28" i="23"/>
  <c r="BJ28" i="23"/>
  <c r="BK28" i="23"/>
  <c r="BL27" i="23"/>
  <c r="BM27" i="23"/>
  <c r="BL26" i="23"/>
  <c r="BJ26" i="23" s="1"/>
  <c r="BM26" i="23"/>
  <c r="BK26" i="23"/>
  <c r="BL25" i="23"/>
  <c r="BM25" i="23" s="1"/>
  <c r="BJ23" i="23"/>
  <c r="BK23" i="23"/>
  <c r="BJ22" i="23"/>
  <c r="BK22" i="23" s="1"/>
  <c r="BJ21" i="23"/>
  <c r="BK21" i="23" s="1"/>
  <c r="BL20" i="23"/>
  <c r="BJ20" i="23" s="1"/>
  <c r="BK20" i="23" s="1"/>
  <c r="BL19" i="23"/>
  <c r="BM19" i="23" s="1"/>
  <c r="BL18" i="23"/>
  <c r="BM18" i="23"/>
  <c r="BJ18" i="23"/>
  <c r="BK18" i="23" s="1"/>
  <c r="BL17" i="23"/>
  <c r="BJ17" i="23"/>
  <c r="BK17" i="23" s="1"/>
  <c r="BL16" i="23"/>
  <c r="BM16" i="23" s="1"/>
  <c r="BL15" i="23"/>
  <c r="BM15" i="23" s="1"/>
  <c r="BL14" i="23"/>
  <c r="BM14" i="23" s="1"/>
  <c r="BL13" i="23"/>
  <c r="BJ13" i="23" s="1"/>
  <c r="BK13" i="23" s="1"/>
  <c r="BL12" i="23"/>
  <c r="BJ12" i="23"/>
  <c r="BK12" i="23" s="1"/>
  <c r="BL11" i="23"/>
  <c r="BM11" i="23" s="1"/>
  <c r="BJ10" i="23"/>
  <c r="BK10" i="23" s="1"/>
  <c r="BJ9" i="23"/>
  <c r="BK9" i="23" s="1"/>
  <c r="BD456" i="23"/>
  <c r="BE456" i="23" s="1"/>
  <c r="BD455" i="23"/>
  <c r="BE455" i="23" s="1"/>
  <c r="BD436" i="23"/>
  <c r="BE436" i="23" s="1"/>
  <c r="BD435" i="23"/>
  <c r="BE435" i="23" s="1"/>
  <c r="BD427" i="23"/>
  <c r="BE427" i="23" s="1"/>
  <c r="BD426" i="23"/>
  <c r="BE426" i="23" s="1"/>
  <c r="BD425" i="23"/>
  <c r="BE425" i="23" s="1"/>
  <c r="BD406" i="23"/>
  <c r="BE406" i="23" s="1"/>
  <c r="BD405" i="23"/>
  <c r="BE405" i="23" s="1"/>
  <c r="BD397" i="23"/>
  <c r="BE397" i="23" s="1"/>
  <c r="BD396" i="23"/>
  <c r="BE396" i="23" s="1"/>
  <c r="BD395" i="23"/>
  <c r="BE395" i="23" s="1"/>
  <c r="BD376" i="23"/>
  <c r="BE376" i="23" s="1"/>
  <c r="BD375" i="23"/>
  <c r="BE375" i="23" s="1"/>
  <c r="BD367" i="23"/>
  <c r="BE367" i="23" s="1"/>
  <c r="BD366" i="23"/>
  <c r="BE366" i="23" s="1"/>
  <c r="BD365" i="23"/>
  <c r="BE365" i="23" s="1"/>
  <c r="BD346" i="23"/>
  <c r="BE346" i="23" s="1"/>
  <c r="BD345" i="23"/>
  <c r="BE345" i="23" s="1"/>
  <c r="BD337" i="23"/>
  <c r="BE337" i="23" s="1"/>
  <c r="BD336" i="23"/>
  <c r="BE336" i="23" s="1"/>
  <c r="BD335" i="23"/>
  <c r="BE335" i="23" s="1"/>
  <c r="BD316" i="23"/>
  <c r="BE316" i="23" s="1"/>
  <c r="BD315" i="23"/>
  <c r="BE315" i="23" s="1"/>
  <c r="BD307" i="23"/>
  <c r="BE307" i="23" s="1"/>
  <c r="BD306" i="23"/>
  <c r="BE306" i="23" s="1"/>
  <c r="BD305" i="23"/>
  <c r="BE305" i="23" s="1"/>
  <c r="BD286" i="23"/>
  <c r="BE286" i="23" s="1"/>
  <c r="BD285" i="23"/>
  <c r="BE285" i="23" s="1"/>
  <c r="BD277" i="23"/>
  <c r="BE277" i="23" s="1"/>
  <c r="BD276" i="23"/>
  <c r="BE276" i="23" s="1"/>
  <c r="BD275" i="23"/>
  <c r="BE275" i="23" s="1"/>
  <c r="BD256" i="23"/>
  <c r="BE256" i="23" s="1"/>
  <c r="BD255" i="23"/>
  <c r="BE255" i="23" s="1"/>
  <c r="BD247" i="23"/>
  <c r="BE247" i="23" s="1"/>
  <c r="BD246" i="23"/>
  <c r="BE246" i="23" s="1"/>
  <c r="BD245" i="23"/>
  <c r="BE245" i="23" s="1"/>
  <c r="BD226" i="23"/>
  <c r="BE226" i="23" s="1"/>
  <c r="BD225" i="23"/>
  <c r="BE225" i="23" s="1"/>
  <c r="BD217" i="23"/>
  <c r="BE217" i="23" s="1"/>
  <c r="BD216" i="23"/>
  <c r="BE216" i="23" s="1"/>
  <c r="BD215" i="23"/>
  <c r="BE215" i="23" s="1"/>
  <c r="BD196" i="23"/>
  <c r="BE196" i="23" s="1"/>
  <c r="BD195" i="23"/>
  <c r="BE195" i="23" s="1"/>
  <c r="BD187" i="23"/>
  <c r="BE187" i="23" s="1"/>
  <c r="BD186" i="23"/>
  <c r="BE186" i="23" s="1"/>
  <c r="BD185" i="23"/>
  <c r="BE185" i="23" s="1"/>
  <c r="BD166" i="23"/>
  <c r="BE166" i="23" s="1"/>
  <c r="BD165" i="23"/>
  <c r="BE165" i="23" s="1"/>
  <c r="BD157" i="23"/>
  <c r="BE157" i="23" s="1"/>
  <c r="BD156" i="23"/>
  <c r="BE156" i="23" s="1"/>
  <c r="BD155" i="23"/>
  <c r="BE155" i="23" s="1"/>
  <c r="BD136" i="23"/>
  <c r="BE136" i="23" s="1"/>
  <c r="BD135" i="23"/>
  <c r="BE135" i="23" s="1"/>
  <c r="BD127" i="23"/>
  <c r="BE127" i="23" s="1"/>
  <c r="BD126" i="23"/>
  <c r="BE126" i="23" s="1"/>
  <c r="BD125" i="23"/>
  <c r="BE125" i="23" s="1"/>
  <c r="BD106" i="23"/>
  <c r="BE106" i="23" s="1"/>
  <c r="BD105" i="23"/>
  <c r="BE105" i="23" s="1"/>
  <c r="BD97" i="23"/>
  <c r="BE97" i="23" s="1"/>
  <c r="BD96" i="23"/>
  <c r="BE96" i="23" s="1"/>
  <c r="BD95" i="23"/>
  <c r="BE95" i="23" s="1"/>
  <c r="BD76" i="23"/>
  <c r="BE76" i="23" s="1"/>
  <c r="BD75" i="23"/>
  <c r="BE75" i="23" s="1"/>
  <c r="BD67" i="23"/>
  <c r="BE67" i="23" s="1"/>
  <c r="BD66" i="23"/>
  <c r="BE66" i="23" s="1"/>
  <c r="BD65" i="23"/>
  <c r="BE65" i="23" s="1"/>
  <c r="BD46" i="23"/>
  <c r="BE46" i="23" s="1"/>
  <c r="BD45" i="23"/>
  <c r="BE45" i="23" s="1"/>
  <c r="BD37" i="23"/>
  <c r="BE37" i="23" s="1"/>
  <c r="BD36" i="23"/>
  <c r="BE36" i="23" s="1"/>
  <c r="BD35" i="23"/>
  <c r="BE35" i="23" s="1"/>
  <c r="BF32" i="23"/>
  <c r="BG32" i="23" s="1"/>
  <c r="BF31" i="23"/>
  <c r="BG31" i="23" s="1"/>
  <c r="BF30" i="23"/>
  <c r="BG30" i="23" s="1"/>
  <c r="BF29" i="23"/>
  <c r="BG29" i="23" s="1"/>
  <c r="BF28" i="23"/>
  <c r="BG28" i="23" s="1"/>
  <c r="BF27" i="23"/>
  <c r="BG27" i="23" s="1"/>
  <c r="BF26" i="23"/>
  <c r="BG26" i="23" s="1"/>
  <c r="BF25" i="23"/>
  <c r="BG25" i="23" s="1"/>
  <c r="BD23" i="23"/>
  <c r="BE23" i="23" s="1"/>
  <c r="BP456" i="23"/>
  <c r="BQ456" i="23"/>
  <c r="BP455" i="23"/>
  <c r="BQ455" i="23" s="1"/>
  <c r="BP436" i="23"/>
  <c r="BQ436" i="23" s="1"/>
  <c r="BP435" i="23"/>
  <c r="BQ435" i="23" s="1"/>
  <c r="BP427" i="23"/>
  <c r="BQ427" i="23"/>
  <c r="BP426" i="23"/>
  <c r="BQ426" i="23" s="1"/>
  <c r="BP425" i="23"/>
  <c r="BQ425" i="23" s="1"/>
  <c r="BP406" i="23"/>
  <c r="BQ406" i="23" s="1"/>
  <c r="BP405" i="23"/>
  <c r="BQ405" i="23"/>
  <c r="BP397" i="23"/>
  <c r="BQ397" i="23" s="1"/>
  <c r="BP396" i="23"/>
  <c r="BQ396" i="23" s="1"/>
  <c r="BP395" i="23"/>
  <c r="BQ395" i="23" s="1"/>
  <c r="BP376" i="23"/>
  <c r="BQ376" i="23"/>
  <c r="BP375" i="23"/>
  <c r="BQ375" i="23" s="1"/>
  <c r="BP367" i="23"/>
  <c r="BQ367" i="23" s="1"/>
  <c r="BP366" i="23"/>
  <c r="BQ366" i="23" s="1"/>
  <c r="BP365" i="23"/>
  <c r="BQ365" i="23"/>
  <c r="BP346" i="23"/>
  <c r="BQ346" i="23" s="1"/>
  <c r="BP345" i="23"/>
  <c r="BQ345" i="23" s="1"/>
  <c r="BP337" i="23"/>
  <c r="BQ337" i="23" s="1"/>
  <c r="BP336" i="23"/>
  <c r="BQ336" i="23"/>
  <c r="BP335" i="23"/>
  <c r="BQ335" i="23" s="1"/>
  <c r="BP316" i="23"/>
  <c r="BQ316" i="23" s="1"/>
  <c r="BP315" i="23"/>
  <c r="BQ315" i="23" s="1"/>
  <c r="BP307" i="23"/>
  <c r="BQ307" i="23"/>
  <c r="BP306" i="23"/>
  <c r="BQ306" i="23" s="1"/>
  <c r="BP305" i="23"/>
  <c r="BQ305" i="23" s="1"/>
  <c r="BP286" i="23"/>
  <c r="BQ286" i="23" s="1"/>
  <c r="BP285" i="23"/>
  <c r="BQ285" i="23"/>
  <c r="BP277" i="23"/>
  <c r="BQ277" i="23" s="1"/>
  <c r="BP276" i="23"/>
  <c r="BQ276" i="23" s="1"/>
  <c r="BP275" i="23"/>
  <c r="BQ275" i="23" s="1"/>
  <c r="BP256" i="23"/>
  <c r="BQ256" i="23"/>
  <c r="BP255" i="23"/>
  <c r="BQ255" i="23" s="1"/>
  <c r="BP247" i="23"/>
  <c r="BQ247" i="23" s="1"/>
  <c r="BP246" i="23"/>
  <c r="BQ246" i="23" s="1"/>
  <c r="BP245" i="23"/>
  <c r="BQ245" i="23"/>
  <c r="BP226" i="23"/>
  <c r="BQ226" i="23" s="1"/>
  <c r="BP225" i="23"/>
  <c r="BQ225" i="23" s="1"/>
  <c r="BP217" i="23"/>
  <c r="BQ217" i="23" s="1"/>
  <c r="BP216" i="23"/>
  <c r="BQ216" i="23"/>
  <c r="BP215" i="23"/>
  <c r="BQ215" i="23" s="1"/>
  <c r="BP196" i="23"/>
  <c r="BQ196" i="23" s="1"/>
  <c r="BP195" i="23"/>
  <c r="BQ195" i="23" s="1"/>
  <c r="BP187" i="23"/>
  <c r="BQ187" i="23"/>
  <c r="BP186" i="23"/>
  <c r="BQ186" i="23" s="1"/>
  <c r="BP185" i="23"/>
  <c r="BQ185" i="23" s="1"/>
  <c r="BP166" i="23"/>
  <c r="BQ166" i="23" s="1"/>
  <c r="BP165" i="23"/>
  <c r="BQ165" i="23"/>
  <c r="BP157" i="23"/>
  <c r="BQ157" i="23" s="1"/>
  <c r="BP156" i="23"/>
  <c r="BQ156" i="23" s="1"/>
  <c r="BP155" i="23"/>
  <c r="BQ155" i="23" s="1"/>
  <c r="BP136" i="23"/>
  <c r="BQ136" i="23"/>
  <c r="BP135" i="23"/>
  <c r="BQ135" i="23" s="1"/>
  <c r="BP127" i="23"/>
  <c r="BQ127" i="23" s="1"/>
  <c r="BP126" i="23"/>
  <c r="BQ126" i="23" s="1"/>
  <c r="BP125" i="23"/>
  <c r="BQ125" i="23"/>
  <c r="BP106" i="23"/>
  <c r="BQ106" i="23" s="1"/>
  <c r="BP105" i="23"/>
  <c r="BQ105" i="23" s="1"/>
  <c r="BP97" i="23"/>
  <c r="BQ97" i="23" s="1"/>
  <c r="BP96" i="23"/>
  <c r="BQ96" i="23"/>
  <c r="BP95" i="23"/>
  <c r="BQ95" i="23" s="1"/>
  <c r="BP76" i="23"/>
  <c r="BQ76" i="23" s="1"/>
  <c r="BP75" i="23"/>
  <c r="BQ75" i="23" s="1"/>
  <c r="BP67" i="23"/>
  <c r="BQ67" i="23"/>
  <c r="BP36" i="23"/>
  <c r="BQ36" i="23" s="1"/>
  <c r="BP35" i="23"/>
  <c r="BQ35" i="23" s="1"/>
  <c r="BR32" i="23"/>
  <c r="BS32" i="23" s="1"/>
  <c r="BR31" i="23"/>
  <c r="BS31" i="23" s="1"/>
  <c r="BR30" i="23"/>
  <c r="BS30" i="23" s="1"/>
  <c r="BR29" i="23"/>
  <c r="BS29" i="23" s="1"/>
  <c r="BR28" i="23"/>
  <c r="BS28" i="23"/>
  <c r="BR27" i="23"/>
  <c r="BS27" i="23" s="1"/>
  <c r="BR26" i="23"/>
  <c r="BS26" i="23" s="1"/>
  <c r="BP26" i="23"/>
  <c r="BQ26" i="23" s="1"/>
  <c r="BR25" i="23"/>
  <c r="BS25" i="23"/>
  <c r="BP23" i="23"/>
  <c r="BQ23" i="23" s="1"/>
  <c r="BP22" i="23"/>
  <c r="BQ22" i="23" s="1"/>
  <c r="BP21" i="23"/>
  <c r="BQ21" i="23" s="1"/>
  <c r="BR20" i="23"/>
  <c r="BP20" i="23"/>
  <c r="BQ20" i="23" s="1"/>
  <c r="BR19" i="23"/>
  <c r="BS19" i="23"/>
  <c r="BR18" i="23"/>
  <c r="BP18" i="23" s="1"/>
  <c r="BQ18" i="23" s="1"/>
  <c r="BR17" i="23"/>
  <c r="BS17" i="23" s="1"/>
  <c r="BR16" i="23"/>
  <c r="BP16" i="23" s="1"/>
  <c r="BQ16" i="23" s="1"/>
  <c r="BR15" i="23"/>
  <c r="BS15" i="23" s="1"/>
  <c r="BR14" i="23"/>
  <c r="BP14" i="23"/>
  <c r="BQ14" i="23"/>
  <c r="BR13" i="23"/>
  <c r="BS13" i="23" s="1"/>
  <c r="BR12" i="23"/>
  <c r="BP12" i="23" s="1"/>
  <c r="BQ12" i="23" s="1"/>
  <c r="BR11" i="23"/>
  <c r="BS11" i="23"/>
  <c r="BP10" i="23"/>
  <c r="BQ10" i="23"/>
  <c r="BP9" i="23"/>
  <c r="BQ9" i="23"/>
  <c r="AX66" i="23"/>
  <c r="AY66" i="23"/>
  <c r="AX65" i="23"/>
  <c r="AY65" i="23"/>
  <c r="AX46" i="23"/>
  <c r="AY46" i="23"/>
  <c r="AX45" i="23"/>
  <c r="AY45" i="23"/>
  <c r="AX37" i="23"/>
  <c r="AY37" i="23"/>
  <c r="AX456" i="23"/>
  <c r="AY456" i="23"/>
  <c r="AX455" i="23"/>
  <c r="AY455" i="23"/>
  <c r="AX436" i="23"/>
  <c r="AY436" i="23"/>
  <c r="AX435" i="23"/>
  <c r="AY435" i="23"/>
  <c r="AX427" i="23"/>
  <c r="AY427" i="23"/>
  <c r="AX426" i="23"/>
  <c r="AY426" i="23"/>
  <c r="AX425" i="23"/>
  <c r="AY425" i="23"/>
  <c r="AX406" i="23"/>
  <c r="AY406" i="23"/>
  <c r="AX405" i="23"/>
  <c r="AY405" i="23"/>
  <c r="AX397" i="23"/>
  <c r="AY397" i="23"/>
  <c r="AX396" i="23"/>
  <c r="AY396" i="23"/>
  <c r="AX395" i="23"/>
  <c r="AY395" i="23"/>
  <c r="AX376" i="23"/>
  <c r="AY376" i="23"/>
  <c r="AX375" i="23"/>
  <c r="AY375" i="23" s="1"/>
  <c r="AX367" i="23"/>
  <c r="AY367" i="23"/>
  <c r="AX366" i="23"/>
  <c r="AY366" i="23" s="1"/>
  <c r="AX365" i="23"/>
  <c r="AY365" i="23"/>
  <c r="AX346" i="23"/>
  <c r="AY346" i="23" s="1"/>
  <c r="AX345" i="23"/>
  <c r="AY345" i="23"/>
  <c r="AX337" i="23"/>
  <c r="AY337" i="23" s="1"/>
  <c r="AX336" i="23"/>
  <c r="AY336" i="23"/>
  <c r="AX335" i="23"/>
  <c r="AY335" i="23" s="1"/>
  <c r="AX316" i="23"/>
  <c r="AY316" i="23"/>
  <c r="AX315" i="23"/>
  <c r="AY315" i="23" s="1"/>
  <c r="AX307" i="23"/>
  <c r="AY307" i="23"/>
  <c r="AX306" i="23"/>
  <c r="AY306" i="23" s="1"/>
  <c r="AX305" i="23"/>
  <c r="AY305" i="23"/>
  <c r="AX286" i="23"/>
  <c r="AY286" i="23" s="1"/>
  <c r="AX285" i="23"/>
  <c r="AY285" i="23"/>
  <c r="AX277" i="23"/>
  <c r="AY277" i="23" s="1"/>
  <c r="AX276" i="23"/>
  <c r="AY276" i="23"/>
  <c r="AX275" i="23"/>
  <c r="AY275" i="23" s="1"/>
  <c r="AX256" i="23"/>
  <c r="AY256" i="23"/>
  <c r="AX255" i="23"/>
  <c r="AY255" i="23" s="1"/>
  <c r="AX247" i="23"/>
  <c r="AY247" i="23"/>
  <c r="AX246" i="23"/>
  <c r="AY246" i="23" s="1"/>
  <c r="AX245" i="23"/>
  <c r="AY245" i="23"/>
  <c r="AX226" i="23"/>
  <c r="AY226" i="23" s="1"/>
  <c r="AX225" i="23"/>
  <c r="AY225" i="23"/>
  <c r="AX217" i="23"/>
  <c r="AY217" i="23" s="1"/>
  <c r="AX216" i="23"/>
  <c r="AY216" i="23"/>
  <c r="AX215" i="23"/>
  <c r="AY215" i="23" s="1"/>
  <c r="AX196" i="23"/>
  <c r="AY196" i="23"/>
  <c r="AX195" i="23"/>
  <c r="AY195" i="23" s="1"/>
  <c r="AX187" i="23"/>
  <c r="AY187" i="23"/>
  <c r="AX186" i="23"/>
  <c r="AY186" i="23" s="1"/>
  <c r="AX185" i="23"/>
  <c r="AY185" i="23"/>
  <c r="AX166" i="23"/>
  <c r="AY166" i="23" s="1"/>
  <c r="AX165" i="23"/>
  <c r="AY165" i="23"/>
  <c r="AX157" i="23"/>
  <c r="AY157" i="23" s="1"/>
  <c r="AX156" i="23"/>
  <c r="AY156" i="23"/>
  <c r="AX155" i="23"/>
  <c r="AY155" i="23" s="1"/>
  <c r="AX136" i="23"/>
  <c r="AY136" i="23"/>
  <c r="AX135" i="23"/>
  <c r="AY135" i="23" s="1"/>
  <c r="AX127" i="23"/>
  <c r="AY127" i="23"/>
  <c r="AX126" i="23"/>
  <c r="AY126" i="23" s="1"/>
  <c r="AX125" i="23"/>
  <c r="AY125" i="23"/>
  <c r="AX106" i="23"/>
  <c r="AY106" i="23" s="1"/>
  <c r="AX105" i="23"/>
  <c r="AY105" i="23"/>
  <c r="AX97" i="23"/>
  <c r="AY97" i="23" s="1"/>
  <c r="AX96" i="23"/>
  <c r="AY96" i="23"/>
  <c r="AX95" i="23"/>
  <c r="AY95" i="23" s="1"/>
  <c r="AX76" i="23"/>
  <c r="AY76" i="23"/>
  <c r="AX75" i="23"/>
  <c r="AY75" i="23" s="1"/>
  <c r="AX67" i="23"/>
  <c r="AY67" i="23"/>
  <c r="AX36" i="23"/>
  <c r="AY36" i="23" s="1"/>
  <c r="AX35" i="23"/>
  <c r="AY35" i="23"/>
  <c r="AZ32" i="23"/>
  <c r="BA32" i="23" s="1"/>
  <c r="AZ31" i="23"/>
  <c r="AX31" i="23" s="1"/>
  <c r="AY31" i="23" s="1"/>
  <c r="BA31" i="23"/>
  <c r="AZ30" i="23"/>
  <c r="BA30" i="23"/>
  <c r="AZ29" i="23"/>
  <c r="BA29" i="23" s="1"/>
  <c r="AZ28" i="23"/>
  <c r="BA28" i="23"/>
  <c r="AZ27" i="23"/>
  <c r="BA27" i="23" s="1"/>
  <c r="AX27" i="23"/>
  <c r="AY27" i="23"/>
  <c r="AZ26" i="23"/>
  <c r="AZ25" i="23"/>
  <c r="BA25" i="23"/>
  <c r="AX23" i="23"/>
  <c r="AY23" i="23" s="1"/>
  <c r="AR66" i="23"/>
  <c r="AS66" i="23"/>
  <c r="AR65" i="23"/>
  <c r="AS65" i="23" s="1"/>
  <c r="AR46" i="23"/>
  <c r="AS46" i="23"/>
  <c r="AR45" i="23"/>
  <c r="AS45" i="23" s="1"/>
  <c r="AR37" i="23"/>
  <c r="AS37" i="23"/>
  <c r="AL66" i="23"/>
  <c r="AM66" i="23" s="1"/>
  <c r="AL65" i="23"/>
  <c r="AM65" i="23"/>
  <c r="AL46" i="23"/>
  <c r="AM46" i="23" s="1"/>
  <c r="AL45" i="23"/>
  <c r="AM45" i="23"/>
  <c r="AL37" i="23"/>
  <c r="AM37" i="23" s="1"/>
  <c r="AR456" i="23"/>
  <c r="AS456" i="23"/>
  <c r="AR455" i="23"/>
  <c r="AS455" i="23" s="1"/>
  <c r="AR436" i="23"/>
  <c r="AS436" i="23"/>
  <c r="AR435" i="23"/>
  <c r="AS435" i="23" s="1"/>
  <c r="AR427" i="23"/>
  <c r="AS427" i="23"/>
  <c r="AR426" i="23"/>
  <c r="AS426" i="23" s="1"/>
  <c r="AR425" i="23"/>
  <c r="AS425" i="23"/>
  <c r="AR406" i="23"/>
  <c r="AS406" i="23" s="1"/>
  <c r="AR405" i="23"/>
  <c r="AS405" i="23"/>
  <c r="AR397" i="23"/>
  <c r="AS397" i="23" s="1"/>
  <c r="AR396" i="23"/>
  <c r="AS396" i="23"/>
  <c r="AR395" i="23"/>
  <c r="AS395" i="23" s="1"/>
  <c r="AR376" i="23"/>
  <c r="AS376" i="23"/>
  <c r="AR375" i="23"/>
  <c r="AS375" i="23" s="1"/>
  <c r="AR367" i="23"/>
  <c r="AS367" i="23"/>
  <c r="AR366" i="23"/>
  <c r="AS366" i="23" s="1"/>
  <c r="AR365" i="23"/>
  <c r="AS365" i="23"/>
  <c r="AR346" i="23"/>
  <c r="AS346" i="23" s="1"/>
  <c r="AR345" i="23"/>
  <c r="AS345" i="23"/>
  <c r="AR337" i="23"/>
  <c r="AS337" i="23" s="1"/>
  <c r="AR336" i="23"/>
  <c r="AS336" i="23"/>
  <c r="AR335" i="23"/>
  <c r="AS335" i="23" s="1"/>
  <c r="AR316" i="23"/>
  <c r="AS316" i="23"/>
  <c r="AR315" i="23"/>
  <c r="AS315" i="23" s="1"/>
  <c r="AR307" i="23"/>
  <c r="AS307" i="23"/>
  <c r="AR306" i="23"/>
  <c r="AS306" i="23" s="1"/>
  <c r="AR305" i="23"/>
  <c r="AS305" i="23"/>
  <c r="AR286" i="23"/>
  <c r="AS286" i="23" s="1"/>
  <c r="AR285" i="23"/>
  <c r="AS285" i="23"/>
  <c r="AR277" i="23"/>
  <c r="AS277" i="23" s="1"/>
  <c r="AR276" i="23"/>
  <c r="AS276" i="23"/>
  <c r="AR275" i="23"/>
  <c r="AS275" i="23" s="1"/>
  <c r="AR256" i="23"/>
  <c r="AS256" i="23"/>
  <c r="AR255" i="23"/>
  <c r="AS255" i="23" s="1"/>
  <c r="AR247" i="23"/>
  <c r="AS247" i="23"/>
  <c r="AR246" i="23"/>
  <c r="AS246" i="23" s="1"/>
  <c r="AR245" i="23"/>
  <c r="AS245" i="23"/>
  <c r="AR226" i="23"/>
  <c r="AS226" i="23" s="1"/>
  <c r="AR225" i="23"/>
  <c r="AS225" i="23"/>
  <c r="AR217" i="23"/>
  <c r="AS217" i="23" s="1"/>
  <c r="AR216" i="23"/>
  <c r="AS216" i="23"/>
  <c r="AR215" i="23"/>
  <c r="AS215" i="23" s="1"/>
  <c r="AR196" i="23"/>
  <c r="AS196" i="23"/>
  <c r="AR195" i="23"/>
  <c r="AS195" i="23" s="1"/>
  <c r="AR187" i="23"/>
  <c r="AS187" i="23"/>
  <c r="AR186" i="23"/>
  <c r="AS186" i="23" s="1"/>
  <c r="AR185" i="23"/>
  <c r="AS185" i="23"/>
  <c r="AR166" i="23"/>
  <c r="AS166" i="23" s="1"/>
  <c r="AR165" i="23"/>
  <c r="AS165" i="23"/>
  <c r="AR157" i="23"/>
  <c r="AS157" i="23" s="1"/>
  <c r="AR156" i="23"/>
  <c r="AS156" i="23"/>
  <c r="AR155" i="23"/>
  <c r="AS155" i="23" s="1"/>
  <c r="AR136" i="23"/>
  <c r="AS136" i="23"/>
  <c r="AR135" i="23"/>
  <c r="AS135" i="23" s="1"/>
  <c r="AR127" i="23"/>
  <c r="AS127" i="23"/>
  <c r="AR126" i="23"/>
  <c r="AS126" i="23" s="1"/>
  <c r="AR125" i="23"/>
  <c r="AS125" i="23"/>
  <c r="AR106" i="23"/>
  <c r="AS106" i="23" s="1"/>
  <c r="AR105" i="23"/>
  <c r="AS105" i="23"/>
  <c r="AR97" i="23"/>
  <c r="AS97" i="23" s="1"/>
  <c r="AR96" i="23"/>
  <c r="AS96" i="23"/>
  <c r="AR95" i="23"/>
  <c r="AS95" i="23" s="1"/>
  <c r="AR76" i="23"/>
  <c r="AS76" i="23"/>
  <c r="AR75" i="23"/>
  <c r="AS75" i="23" s="1"/>
  <c r="AR67" i="23"/>
  <c r="AS67" i="23"/>
  <c r="AR36" i="23"/>
  <c r="AS36" i="23" s="1"/>
  <c r="AR35" i="23"/>
  <c r="AS35" i="23"/>
  <c r="AT32" i="23"/>
  <c r="AU32" i="23" s="1"/>
  <c r="AT31" i="23"/>
  <c r="AU31" i="23"/>
  <c r="AT30" i="23"/>
  <c r="AU30" i="23" s="1"/>
  <c r="AT29" i="23"/>
  <c r="AU29" i="23"/>
  <c r="AT28" i="23"/>
  <c r="AU28" i="23" s="1"/>
  <c r="AT27" i="23"/>
  <c r="AU27" i="23"/>
  <c r="AT26" i="23"/>
  <c r="AT25" i="23"/>
  <c r="AU25" i="23"/>
  <c r="AR23" i="23"/>
  <c r="AS23" i="23"/>
  <c r="DC17" i="23"/>
  <c r="GC18" i="23"/>
  <c r="BM20" i="23"/>
  <c r="FE20" i="23"/>
  <c r="BM12" i="23"/>
  <c r="FK13" i="23"/>
  <c r="FQ16" i="23"/>
  <c r="ES18" i="23"/>
  <c r="DO19" i="23"/>
  <c r="EY19" i="23"/>
  <c r="CE12" i="23"/>
  <c r="CQ12" i="23"/>
  <c r="DC12" i="23"/>
  <c r="DO12" i="23"/>
  <c r="EM12" i="23"/>
  <c r="FW12" i="23"/>
  <c r="BM13" i="23"/>
  <c r="BY13" i="23"/>
  <c r="CK13" i="23"/>
  <c r="EG13" i="23"/>
  <c r="ES13" i="23"/>
  <c r="FE13" i="23"/>
  <c r="GC13" i="23"/>
  <c r="BS14" i="23"/>
  <c r="CE14" i="23"/>
  <c r="CQ14" i="23"/>
  <c r="DO14" i="23"/>
  <c r="EM14" i="23"/>
  <c r="EY14" i="23"/>
  <c r="FW14" i="23"/>
  <c r="BS16" i="23"/>
  <c r="CE16" i="23"/>
  <c r="CQ16" i="23"/>
  <c r="DC16" i="23"/>
  <c r="DO16" i="23"/>
  <c r="EM16" i="23"/>
  <c r="EY16" i="23"/>
  <c r="FK16" i="23"/>
  <c r="FW16" i="23"/>
  <c r="BM17" i="23"/>
  <c r="BY17" i="23"/>
  <c r="CK17" i="23"/>
  <c r="EG17" i="23"/>
  <c r="ES17" i="23"/>
  <c r="FE17" i="23"/>
  <c r="GC17" i="23"/>
  <c r="AU18" i="23"/>
  <c r="BS18" i="23"/>
  <c r="CE18" i="23"/>
  <c r="CQ18" i="23"/>
  <c r="DO18" i="23"/>
  <c r="EM18" i="23"/>
  <c r="EY18" i="23"/>
  <c r="FK18" i="23"/>
  <c r="FW18" i="23"/>
  <c r="BY19" i="23"/>
  <c r="CK19" i="23"/>
  <c r="CW19" i="23"/>
  <c r="EG19" i="23"/>
  <c r="ES19" i="23"/>
  <c r="FE19" i="23"/>
  <c r="FQ19" i="23"/>
  <c r="GC19" i="23"/>
  <c r="BS20" i="23"/>
  <c r="CE20" i="23"/>
  <c r="CQ20" i="23"/>
  <c r="DC20" i="23"/>
  <c r="DO20" i="23"/>
  <c r="EM20" i="23"/>
  <c r="EY20" i="23"/>
  <c r="FW20" i="23"/>
  <c r="EG12" i="23"/>
  <c r="FE12" i="23"/>
  <c r="ES14" i="23"/>
  <c r="GC14" i="23"/>
  <c r="CW16" i="23"/>
  <c r="EG16" i="23"/>
  <c r="FE16" i="23"/>
  <c r="FK17" i="23"/>
  <c r="EG20" i="23"/>
  <c r="AF16" i="23"/>
  <c r="AG16" i="23"/>
  <c r="AI16" i="23"/>
  <c r="AI18" i="23"/>
  <c r="AF18" i="23"/>
  <c r="AG18" i="23"/>
  <c r="AF27" i="23"/>
  <c r="AG27" i="23"/>
  <c r="AI27" i="23"/>
  <c r="AF14" i="23"/>
  <c r="AG14" i="23"/>
  <c r="AI15" i="23"/>
  <c r="BD25" i="23"/>
  <c r="BE25" i="23"/>
  <c r="BD27" i="23"/>
  <c r="BE27" i="23"/>
  <c r="BD31" i="23"/>
  <c r="BE31" i="23"/>
  <c r="BJ15" i="23"/>
  <c r="BK15" i="23"/>
  <c r="BJ19" i="23"/>
  <c r="BK19" i="23"/>
  <c r="BJ27" i="23"/>
  <c r="BK27" i="23"/>
  <c r="BJ31" i="23"/>
  <c r="BK31" i="23"/>
  <c r="BD26" i="23"/>
  <c r="BE26" i="23"/>
  <c r="BD28" i="23"/>
  <c r="BE28" i="23"/>
  <c r="BD32" i="23"/>
  <c r="BE32" i="23"/>
  <c r="BD12" i="23"/>
  <c r="BE12" i="23"/>
  <c r="BD16" i="23"/>
  <c r="BE16" i="23"/>
  <c r="BD20" i="23"/>
  <c r="BE20" i="23"/>
  <c r="AX14" i="23"/>
  <c r="AY14" i="23"/>
  <c r="AX18" i="23"/>
  <c r="AY18" i="23"/>
  <c r="EP31" i="23"/>
  <c r="EQ31" i="23"/>
  <c r="CT13" i="23"/>
  <c r="CU13" i="23"/>
  <c r="CT17" i="23"/>
  <c r="CU17" i="23"/>
  <c r="CT25" i="23"/>
  <c r="CU25" i="23"/>
  <c r="CT32" i="23"/>
  <c r="CU32" i="23"/>
  <c r="CZ14" i="23"/>
  <c r="DA14" i="23"/>
  <c r="CZ18" i="23"/>
  <c r="DA18" i="23"/>
  <c r="CZ26" i="23"/>
  <c r="DA26" i="23"/>
  <c r="DR28" i="23"/>
  <c r="DS28" i="23"/>
  <c r="BD14" i="23"/>
  <c r="BE14" i="23"/>
  <c r="BD18" i="23"/>
  <c r="BE18" i="23"/>
  <c r="AX12" i="23"/>
  <c r="AY12" i="23" s="1"/>
  <c r="AX16" i="23"/>
  <c r="AY16" i="23"/>
  <c r="AX20" i="23"/>
  <c r="AY20" i="23" s="1"/>
  <c r="EJ28" i="23"/>
  <c r="EK28" i="23"/>
  <c r="AR13" i="23"/>
  <c r="AS13" i="23" s="1"/>
  <c r="AR17" i="23"/>
  <c r="AS17" i="23"/>
  <c r="DR19" i="23"/>
  <c r="DS19" i="23" s="1"/>
  <c r="ED14" i="23"/>
  <c r="EE14" i="23"/>
  <c r="BD13" i="23"/>
  <c r="BE13" i="23" s="1"/>
  <c r="BD15" i="23"/>
  <c r="BE15" i="23"/>
  <c r="BD17" i="23"/>
  <c r="BE17" i="23" s="1"/>
  <c r="BD19" i="23"/>
  <c r="BE19" i="23"/>
  <c r="AX13" i="23"/>
  <c r="AY13" i="23" s="1"/>
  <c r="AX15" i="23"/>
  <c r="AY15" i="23"/>
  <c r="AX17" i="23"/>
  <c r="AY17" i="23" s="1"/>
  <c r="AX19" i="23"/>
  <c r="AY19" i="23"/>
  <c r="AR15" i="23"/>
  <c r="AS15" i="23" s="1"/>
  <c r="AR19" i="23"/>
  <c r="AS19" i="23"/>
  <c r="DR15" i="23"/>
  <c r="DS15" i="23" s="1"/>
  <c r="DR32" i="23"/>
  <c r="DS32" i="23"/>
  <c r="EJ17" i="23"/>
  <c r="EK17" i="23" s="1"/>
  <c r="ED31" i="23"/>
  <c r="EE31" i="23"/>
  <c r="ED25" i="23"/>
  <c r="EE25" i="23" s="1"/>
  <c r="EJ15" i="23"/>
  <c r="EK15" i="23"/>
  <c r="EJ26" i="23"/>
  <c r="EK26" i="23" s="1"/>
  <c r="EJ13" i="23"/>
  <c r="EK13" i="23"/>
  <c r="EJ32" i="23"/>
  <c r="EK32" i="23" s="1"/>
  <c r="EJ19" i="23"/>
  <c r="EK19" i="23"/>
  <c r="EP20" i="23"/>
  <c r="EQ20" i="23" s="1"/>
  <c r="EP25" i="23"/>
  <c r="EQ25" i="23"/>
  <c r="EP12" i="23"/>
  <c r="EQ12" i="23" s="1"/>
  <c r="FH26" i="23"/>
  <c r="FI26" i="23"/>
  <c r="FH14" i="23"/>
  <c r="FI14" i="23" s="1"/>
  <c r="FN12" i="23"/>
  <c r="FO12" i="23"/>
  <c r="FH20" i="23"/>
  <c r="FI20" i="23" s="1"/>
  <c r="FH12" i="23"/>
  <c r="FI12" i="23"/>
  <c r="FN15" i="23"/>
  <c r="FO15" i="23" s="1"/>
  <c r="FN32" i="23"/>
  <c r="FO32" i="23"/>
  <c r="EV12" i="23"/>
  <c r="EW12" i="23" s="1"/>
  <c r="EV15" i="23"/>
  <c r="EW15" i="23"/>
  <c r="EV25" i="23"/>
  <c r="EW25" i="23" s="1"/>
  <c r="EV26" i="23"/>
  <c r="EW26" i="23"/>
  <c r="EV27" i="23"/>
  <c r="EW27" i="23" s="1"/>
  <c r="EV28" i="23"/>
  <c r="EW28" i="23"/>
  <c r="EV31" i="23"/>
  <c r="EW31" i="23" s="1"/>
  <c r="EV32" i="23"/>
  <c r="EW32" i="23"/>
  <c r="DX13" i="23"/>
  <c r="DY13" i="23" s="1"/>
  <c r="DX15" i="23"/>
  <c r="DY15" i="23"/>
  <c r="DX17" i="23"/>
  <c r="DY17" i="23" s="1"/>
  <c r="DX19" i="23"/>
  <c r="DY19" i="23"/>
  <c r="DX26" i="23"/>
  <c r="DY26" i="23" s="1"/>
  <c r="DX28" i="23"/>
  <c r="DY28" i="23"/>
  <c r="DX32" i="23"/>
  <c r="DY32" i="23" s="1"/>
  <c r="DX12" i="23"/>
  <c r="DY12" i="23"/>
  <c r="DX14" i="23"/>
  <c r="DY14" i="23" s="1"/>
  <c r="DX16" i="23"/>
  <c r="DY16" i="23"/>
  <c r="DX18" i="23"/>
  <c r="DY18" i="23" s="1"/>
  <c r="DX20" i="23"/>
  <c r="DY20" i="23"/>
  <c r="DX25" i="23"/>
  <c r="DY25" i="23" s="1"/>
  <c r="DX27" i="23"/>
  <c r="DY27" i="23"/>
  <c r="DX31" i="23"/>
  <c r="DY31" i="23" s="1"/>
  <c r="DR12" i="23"/>
  <c r="DS12" i="23"/>
  <c r="DR16" i="23"/>
  <c r="DS16" i="23" s="1"/>
  <c r="DR20" i="23"/>
  <c r="DS20" i="23"/>
  <c r="DR27" i="23"/>
  <c r="DS27" i="23" s="1"/>
  <c r="DR31" i="23"/>
  <c r="DS31" i="23"/>
  <c r="DL28" i="23"/>
  <c r="DM28" i="23" s="1"/>
  <c r="DL13" i="23"/>
  <c r="DM13" i="23"/>
  <c r="DL32" i="23"/>
  <c r="DM32" i="23" s="1"/>
  <c r="DL17" i="23"/>
  <c r="DM17" i="23"/>
  <c r="AL12" i="23"/>
  <c r="AM12" i="23" s="1"/>
  <c r="AL13" i="23"/>
  <c r="AM13" i="23"/>
  <c r="AL15" i="23"/>
  <c r="AM15" i="23" s="1"/>
  <c r="AL16" i="23"/>
  <c r="AM16" i="23"/>
  <c r="AL17" i="23"/>
  <c r="AM17" i="23" s="1"/>
  <c r="AL18" i="23"/>
  <c r="AM18" i="23"/>
  <c r="AL19" i="23"/>
  <c r="AM19" i="23" s="1"/>
  <c r="DF13" i="23"/>
  <c r="DG13" i="23"/>
  <c r="DF17" i="23"/>
  <c r="DG17" i="23" s="1"/>
  <c r="DF26" i="23"/>
  <c r="DG26" i="23"/>
  <c r="DF28" i="23"/>
  <c r="DG28" i="23" s="1"/>
  <c r="DF32" i="23"/>
  <c r="DG32" i="23"/>
  <c r="DF15" i="23"/>
  <c r="DG15" i="23" s="1"/>
  <c r="DF19" i="23"/>
  <c r="DG19" i="23"/>
  <c r="DF12" i="23"/>
  <c r="DG12" i="23" s="1"/>
  <c r="DF14" i="23"/>
  <c r="DG14" i="23"/>
  <c r="DF16" i="23"/>
  <c r="DG16" i="23" s="1"/>
  <c r="DF18" i="23"/>
  <c r="DG18" i="23"/>
  <c r="DF20" i="23"/>
  <c r="DG20" i="23" s="1"/>
  <c r="DF25" i="23"/>
  <c r="DG25" i="23"/>
  <c r="DF27" i="23"/>
  <c r="DG27" i="23" s="1"/>
  <c r="DF31" i="23"/>
  <c r="DG31" i="23"/>
  <c r="BP25" i="23"/>
  <c r="BQ25" i="23" s="1"/>
  <c r="BP27" i="23"/>
  <c r="BQ27" i="23"/>
  <c r="BP28" i="23"/>
  <c r="BQ28" i="23" s="1"/>
  <c r="BP13" i="23"/>
  <c r="BQ13" i="23" s="1"/>
  <c r="BP15" i="23"/>
  <c r="BQ15" i="23" s="1"/>
  <c r="BP17" i="23"/>
  <c r="BQ17" i="23" s="1"/>
  <c r="BP19" i="23"/>
  <c r="BQ19" i="23" s="1"/>
  <c r="BP31" i="23"/>
  <c r="BQ31" i="23" s="1"/>
  <c r="AR32" i="23"/>
  <c r="AS32" i="23" s="1"/>
  <c r="AR25" i="23"/>
  <c r="AS25" i="23"/>
  <c r="AR27" i="23"/>
  <c r="AS27" i="23" s="1"/>
  <c r="AR31" i="23"/>
  <c r="AS31" i="23" s="1"/>
  <c r="B41" i="21"/>
  <c r="B48" i="21"/>
  <c r="AN32" i="23"/>
  <c r="AO32" i="23" s="1"/>
  <c r="AN31" i="23"/>
  <c r="AO31" i="23"/>
  <c r="AN30" i="23"/>
  <c r="AO30" i="23" s="1"/>
  <c r="AN29" i="23"/>
  <c r="AO29" i="23"/>
  <c r="AN28" i="23"/>
  <c r="AO28" i="23" s="1"/>
  <c r="AN27" i="23"/>
  <c r="AN26" i="23"/>
  <c r="AO26" i="23" s="1"/>
  <c r="AN25" i="23"/>
  <c r="AO25" i="23" s="1"/>
  <c r="B33" i="21"/>
  <c r="B32" i="21"/>
  <c r="B31" i="21"/>
  <c r="B30" i="21"/>
  <c r="B29" i="21"/>
  <c r="B27" i="21"/>
  <c r="B25" i="21"/>
  <c r="B24" i="21"/>
  <c r="B23" i="21"/>
  <c r="B22" i="21"/>
  <c r="B21" i="21"/>
  <c r="B36" i="21"/>
  <c r="B34" i="21"/>
  <c r="B28" i="21"/>
  <c r="B26" i="21"/>
  <c r="B20" i="21"/>
  <c r="B19" i="21"/>
  <c r="B18" i="21"/>
  <c r="B17" i="21"/>
  <c r="B16" i="21"/>
  <c r="B15" i="21"/>
  <c r="B14" i="21"/>
  <c r="B13" i="21"/>
  <c r="B38" i="21"/>
  <c r="B39" i="21"/>
  <c r="B40" i="21"/>
  <c r="B42" i="21"/>
  <c r="B43" i="21"/>
  <c r="B44" i="21"/>
  <c r="B45" i="21"/>
  <c r="B46" i="21"/>
  <c r="B47" i="21"/>
  <c r="B49" i="21"/>
  <c r="B50" i="21"/>
  <c r="B51" i="21"/>
  <c r="B52" i="21"/>
  <c r="B53" i="21"/>
  <c r="B54" i="21"/>
  <c r="B55" i="21"/>
  <c r="B56" i="21"/>
  <c r="B57" i="21"/>
  <c r="B58" i="21"/>
  <c r="B59" i="21"/>
  <c r="B60" i="21"/>
  <c r="B61" i="21"/>
  <c r="B63" i="21"/>
  <c r="B64" i="21"/>
  <c r="B65" i="21"/>
  <c r="B66" i="21"/>
  <c r="B67" i="21"/>
  <c r="B68" i="21"/>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R454" i="23"/>
  <c r="AF454" i="23"/>
  <c r="AG454" i="23" s="1"/>
  <c r="R453" i="23"/>
  <c r="R452" i="23"/>
  <c r="AF452" i="23"/>
  <c r="AG452" i="23" s="1"/>
  <c r="R451" i="23"/>
  <c r="R450" i="23"/>
  <c r="AF450" i="23"/>
  <c r="AG450" i="23" s="1"/>
  <c r="R449" i="23"/>
  <c r="R448" i="23"/>
  <c r="AF448" i="23"/>
  <c r="AG448" i="23" s="1"/>
  <c r="R447" i="23"/>
  <c r="R446" i="23"/>
  <c r="AF446" i="23"/>
  <c r="AG446" i="23" s="1"/>
  <c r="R445" i="23"/>
  <c r="AF445" i="23" s="1"/>
  <c r="AG445" i="23" s="1"/>
  <c r="R444" i="23"/>
  <c r="AF444" i="23" s="1"/>
  <c r="AG444" i="23" s="1"/>
  <c r="R443" i="23"/>
  <c r="AF443" i="23" s="1"/>
  <c r="AG443" i="23" s="1"/>
  <c r="R442" i="23"/>
  <c r="AF442" i="23"/>
  <c r="AG442" i="23" s="1"/>
  <c r="AL442" i="23"/>
  <c r="AM442" i="23" s="1"/>
  <c r="R441" i="23"/>
  <c r="AF441" i="23" s="1"/>
  <c r="AG441" i="23" s="1"/>
  <c r="R440" i="23"/>
  <c r="AF440" i="23"/>
  <c r="AG440" i="23" s="1"/>
  <c r="R439" i="23"/>
  <c r="AF439" i="23" s="1"/>
  <c r="AG439" i="23"/>
  <c r="R438" i="23"/>
  <c r="R437" i="23"/>
  <c r="AF437" i="23" s="1"/>
  <c r="AG437" i="23" s="1"/>
  <c r="R434" i="23"/>
  <c r="AF434" i="23" s="1"/>
  <c r="AG434" i="23" s="1"/>
  <c r="R433" i="23"/>
  <c r="R432" i="23"/>
  <c r="R431" i="23"/>
  <c r="R430" i="23"/>
  <c r="AF430" i="23"/>
  <c r="AG430" i="23" s="1"/>
  <c r="R429" i="23"/>
  <c r="AF429" i="23" s="1"/>
  <c r="AG429" i="23" s="1"/>
  <c r="R428" i="23"/>
  <c r="AF428" i="23" s="1"/>
  <c r="AG428" i="23" s="1"/>
  <c r="R424" i="23"/>
  <c r="R423" i="23"/>
  <c r="AF423" i="23" s="1"/>
  <c r="AG423" i="23" s="1"/>
  <c r="R422" i="23"/>
  <c r="AF422" i="23" s="1"/>
  <c r="AG422" i="23" s="1"/>
  <c r="R421" i="23"/>
  <c r="AF421" i="23"/>
  <c r="AG421" i="23" s="1"/>
  <c r="R420" i="23"/>
  <c r="R419" i="23"/>
  <c r="R418" i="23"/>
  <c r="AF418" i="23" s="1"/>
  <c r="AG418" i="23" s="1"/>
  <c r="R417" i="23"/>
  <c r="AF417" i="23"/>
  <c r="AG417" i="23" s="1"/>
  <c r="R416" i="23"/>
  <c r="R415" i="23"/>
  <c r="AF415" i="23"/>
  <c r="AG415" i="23" s="1"/>
  <c r="R414" i="23"/>
  <c r="AF414" i="23" s="1"/>
  <c r="AG414" i="23" s="1"/>
  <c r="R413" i="23"/>
  <c r="AF413" i="23"/>
  <c r="AG413" i="23" s="1"/>
  <c r="R412" i="23"/>
  <c r="AF412" i="23" s="1"/>
  <c r="AG412" i="23" s="1"/>
  <c r="R411" i="23"/>
  <c r="AF411" i="23"/>
  <c r="AG411" i="23" s="1"/>
  <c r="R410" i="23"/>
  <c r="R409" i="23"/>
  <c r="AF409" i="23"/>
  <c r="AG409" i="23" s="1"/>
  <c r="R408" i="23"/>
  <c r="AF408" i="23" s="1"/>
  <c r="AG408" i="23"/>
  <c r="R407" i="23"/>
  <c r="AF407" i="23"/>
  <c r="AG407" i="23" s="1"/>
  <c r="R404" i="23"/>
  <c r="AF404" i="23" s="1"/>
  <c r="AG404" i="23" s="1"/>
  <c r="R403" i="23"/>
  <c r="R402" i="23"/>
  <c r="R401" i="23"/>
  <c r="AF401" i="23"/>
  <c r="AG401" i="23" s="1"/>
  <c r="R400" i="23"/>
  <c r="AF400" i="23" s="1"/>
  <c r="AG400" i="23" s="1"/>
  <c r="R399" i="23"/>
  <c r="AF399" i="23"/>
  <c r="AG399" i="23" s="1"/>
  <c r="R398" i="23"/>
  <c r="R394" i="23"/>
  <c r="AF394" i="23"/>
  <c r="AG394" i="23" s="1"/>
  <c r="R393" i="23"/>
  <c r="AF393" i="23" s="1"/>
  <c r="AG393" i="23"/>
  <c r="R392" i="23"/>
  <c r="AF392" i="23"/>
  <c r="AG392" i="23" s="1"/>
  <c r="R391" i="23"/>
  <c r="AF391" i="23" s="1"/>
  <c r="AG391" i="23" s="1"/>
  <c r="R390" i="23"/>
  <c r="R389" i="23"/>
  <c r="R388" i="23"/>
  <c r="AF388" i="23"/>
  <c r="AG388" i="23" s="1"/>
  <c r="R387" i="23"/>
  <c r="AF387" i="23" s="1"/>
  <c r="AG387" i="23" s="1"/>
  <c r="R386" i="23"/>
  <c r="AF386" i="23"/>
  <c r="AG386" i="23" s="1"/>
  <c r="R385" i="23"/>
  <c r="AF385" i="23" s="1"/>
  <c r="AG385" i="23"/>
  <c r="R384" i="23"/>
  <c r="R383" i="23"/>
  <c r="R382" i="23"/>
  <c r="AF382" i="23"/>
  <c r="AG382" i="23" s="1"/>
  <c r="R381" i="23"/>
  <c r="AF381" i="23" s="1"/>
  <c r="AG381" i="23"/>
  <c r="R380" i="23"/>
  <c r="AF380" i="23"/>
  <c r="AG380" i="23" s="1"/>
  <c r="R379" i="23"/>
  <c r="AF379" i="23" s="1"/>
  <c r="AG379" i="23" s="1"/>
  <c r="R378" i="23"/>
  <c r="AF378" i="23"/>
  <c r="AG378" i="23" s="1"/>
  <c r="R377" i="23"/>
  <c r="AF377" i="23" s="1"/>
  <c r="AG377" i="23"/>
  <c r="R374" i="23"/>
  <c r="AF374" i="23"/>
  <c r="AG374" i="23" s="1"/>
  <c r="R373" i="23"/>
  <c r="AF373" i="23" s="1"/>
  <c r="AG373" i="23" s="1"/>
  <c r="R372" i="23"/>
  <c r="AF372" i="23"/>
  <c r="AG372" i="23" s="1"/>
  <c r="R371" i="23"/>
  <c r="AF371" i="23" s="1"/>
  <c r="AG371" i="23"/>
  <c r="R370" i="23"/>
  <c r="AF370" i="23"/>
  <c r="AG370" i="23" s="1"/>
  <c r="R369" i="23"/>
  <c r="R368" i="23"/>
  <c r="R364" i="23"/>
  <c r="AF364" i="23" s="1"/>
  <c r="AG364" i="23" s="1"/>
  <c r="R363" i="23"/>
  <c r="AF363" i="23"/>
  <c r="AG363" i="23" s="1"/>
  <c r="R362" i="23"/>
  <c r="R361" i="23"/>
  <c r="AF361" i="23"/>
  <c r="AG361" i="23" s="1"/>
  <c r="R360" i="23"/>
  <c r="R359" i="23"/>
  <c r="AF359" i="23"/>
  <c r="AG359" i="23" s="1"/>
  <c r="R358" i="23"/>
  <c r="R357" i="23"/>
  <c r="R356" i="23"/>
  <c r="AF356" i="23" s="1"/>
  <c r="AG356" i="23" s="1"/>
  <c r="R355" i="23"/>
  <c r="AF355" i="23"/>
  <c r="AG355" i="23" s="1"/>
  <c r="R354" i="23"/>
  <c r="AF354" i="23" s="1"/>
  <c r="AG354" i="23"/>
  <c r="R353" i="23"/>
  <c r="AF353" i="23"/>
  <c r="AG353" i="23" s="1"/>
  <c r="R352" i="23"/>
  <c r="AF352" i="23" s="1"/>
  <c r="AG352" i="23" s="1"/>
  <c r="R351" i="23"/>
  <c r="AF351" i="23"/>
  <c r="AG351" i="23" s="1"/>
  <c r="R350" i="23"/>
  <c r="AF350" i="23" s="1"/>
  <c r="AG350" i="23" s="1"/>
  <c r="R349" i="23"/>
  <c r="AF349" i="23"/>
  <c r="AG349" i="23" s="1"/>
  <c r="R348" i="23"/>
  <c r="AF348" i="23" s="1"/>
  <c r="AG348" i="23" s="1"/>
  <c r="R347" i="23"/>
  <c r="R344" i="23"/>
  <c r="AF344" i="23" s="1"/>
  <c r="AG344" i="23"/>
  <c r="R343" i="23"/>
  <c r="AF343" i="23"/>
  <c r="AG343" i="23" s="1"/>
  <c r="R342" i="23"/>
  <c r="AF342" i="23" s="1"/>
  <c r="AG342" i="23" s="1"/>
  <c r="R341" i="23"/>
  <c r="AF341" i="23"/>
  <c r="AG341" i="23" s="1"/>
  <c r="R340" i="23"/>
  <c r="AF340" i="23" s="1"/>
  <c r="AG340" i="23"/>
  <c r="R339" i="23"/>
  <c r="AF339" i="23"/>
  <c r="AG339" i="23" s="1"/>
  <c r="R338" i="23"/>
  <c r="R334" i="23"/>
  <c r="AF334" i="23"/>
  <c r="AG334" i="23" s="1"/>
  <c r="R333" i="23"/>
  <c r="AF333" i="23" s="1"/>
  <c r="AG333" i="23" s="1"/>
  <c r="R332" i="23"/>
  <c r="AF332" i="23"/>
  <c r="AG332" i="23" s="1"/>
  <c r="AL332" i="23"/>
  <c r="AM332" i="23" s="1"/>
  <c r="R331" i="23"/>
  <c r="R330" i="23"/>
  <c r="AF330" i="23"/>
  <c r="AG330" i="23" s="1"/>
  <c r="R329" i="23"/>
  <c r="R328" i="23"/>
  <c r="AF328" i="23"/>
  <c r="AG328" i="23" s="1"/>
  <c r="R327" i="23"/>
  <c r="R326" i="23"/>
  <c r="AF326" i="23"/>
  <c r="AG326" i="23" s="1"/>
  <c r="R325" i="23"/>
  <c r="AF325" i="23" s="1"/>
  <c r="AG325" i="23" s="1"/>
  <c r="R324" i="23"/>
  <c r="AF324" i="23"/>
  <c r="AG324" i="23" s="1"/>
  <c r="R323" i="23"/>
  <c r="R322" i="23"/>
  <c r="AF322" i="23"/>
  <c r="AG322" i="23" s="1"/>
  <c r="R321" i="23"/>
  <c r="AF321" i="23" s="1"/>
  <c r="AG321" i="23" s="1"/>
  <c r="R320" i="23"/>
  <c r="AF320" i="23"/>
  <c r="AG320" i="23" s="1"/>
  <c r="R319" i="23"/>
  <c r="R318" i="23"/>
  <c r="AF318" i="23"/>
  <c r="AG318" i="23" s="1"/>
  <c r="R317" i="23"/>
  <c r="AF317" i="23" s="1"/>
  <c r="AG317" i="23" s="1"/>
  <c r="R314" i="23"/>
  <c r="AF314" i="23"/>
  <c r="AG314" i="23" s="1"/>
  <c r="R313" i="23"/>
  <c r="AF313" i="23" s="1"/>
  <c r="AG313" i="23"/>
  <c r="R312" i="23"/>
  <c r="R311" i="23"/>
  <c r="AF311" i="23" s="1"/>
  <c r="AG311" i="23"/>
  <c r="R310" i="23"/>
  <c r="AF310" i="23"/>
  <c r="AG310" i="23" s="1"/>
  <c r="R309" i="23"/>
  <c r="AF309" i="23" s="1"/>
  <c r="AG309" i="23" s="1"/>
  <c r="R308" i="23"/>
  <c r="AF308" i="23"/>
  <c r="AG308" i="23" s="1"/>
  <c r="R304" i="23"/>
  <c r="AF304" i="23" s="1"/>
  <c r="AG304" i="23" s="1"/>
  <c r="R303" i="23"/>
  <c r="AF303" i="23"/>
  <c r="AG303" i="23" s="1"/>
  <c r="R302" i="23"/>
  <c r="R301" i="23"/>
  <c r="AF301" i="23"/>
  <c r="AG301" i="23" s="1"/>
  <c r="R300" i="23"/>
  <c r="AF300" i="23" s="1"/>
  <c r="AG300" i="23" s="1"/>
  <c r="R299" i="23"/>
  <c r="AF299" i="23"/>
  <c r="AG299" i="23" s="1"/>
  <c r="AL299" i="23"/>
  <c r="AM299" i="23" s="1"/>
  <c r="R298" i="23"/>
  <c r="AF298" i="23" s="1"/>
  <c r="AG298" i="23" s="1"/>
  <c r="R297" i="23"/>
  <c r="AF297" i="23"/>
  <c r="AG297" i="23" s="1"/>
  <c r="R296" i="23"/>
  <c r="AF296" i="23" s="1"/>
  <c r="AG296" i="23"/>
  <c r="R295" i="23"/>
  <c r="AF295" i="23"/>
  <c r="AG295" i="23" s="1"/>
  <c r="R294" i="23"/>
  <c r="R293" i="23"/>
  <c r="AF293" i="23"/>
  <c r="AG293" i="23" s="1"/>
  <c r="R292" i="23"/>
  <c r="AF292" i="23" s="1"/>
  <c r="AG292" i="23" s="1"/>
  <c r="R291" i="23"/>
  <c r="AF291" i="23"/>
  <c r="AG291" i="23" s="1"/>
  <c r="AL291" i="23"/>
  <c r="AM291" i="23" s="1"/>
  <c r="R290" i="23"/>
  <c r="AF290" i="23" s="1"/>
  <c r="AG290" i="23" s="1"/>
  <c r="R289" i="23"/>
  <c r="R288" i="23"/>
  <c r="AF288" i="23" s="1"/>
  <c r="AG288" i="23" s="1"/>
  <c r="R287" i="23"/>
  <c r="AF287" i="23"/>
  <c r="AG287" i="23" s="1"/>
  <c r="R284" i="23"/>
  <c r="R283" i="23"/>
  <c r="AF283" i="23"/>
  <c r="AG283" i="23" s="1"/>
  <c r="R282" i="23"/>
  <c r="AF282" i="23" s="1"/>
  <c r="AG282" i="23" s="1"/>
  <c r="R281" i="23"/>
  <c r="AF281" i="23"/>
  <c r="AG281" i="23" s="1"/>
  <c r="R280" i="23"/>
  <c r="AF280" i="23" s="1"/>
  <c r="AG280" i="23" s="1"/>
  <c r="R279" i="23"/>
  <c r="AF279" i="23"/>
  <c r="AG279" i="23" s="1"/>
  <c r="R278" i="23"/>
  <c r="AF278" i="23" s="1"/>
  <c r="AG278" i="23" s="1"/>
  <c r="R274" i="23"/>
  <c r="AF274" i="23"/>
  <c r="AG274" i="23" s="1"/>
  <c r="R273" i="23"/>
  <c r="AF273" i="23" s="1"/>
  <c r="AG273" i="23" s="1"/>
  <c r="R272" i="23"/>
  <c r="R271" i="23"/>
  <c r="AF271" i="23" s="1"/>
  <c r="AG271" i="23" s="1"/>
  <c r="R270" i="23"/>
  <c r="AF270" i="23"/>
  <c r="AG270" i="23" s="1"/>
  <c r="R269" i="23"/>
  <c r="AF269" i="23" s="1"/>
  <c r="AG269" i="23" s="1"/>
  <c r="R268" i="23"/>
  <c r="R267" i="23"/>
  <c r="R266" i="23"/>
  <c r="AF266" i="23"/>
  <c r="AG266" i="23" s="1"/>
  <c r="AL266" i="23"/>
  <c r="AM266" i="23" s="1"/>
  <c r="R265" i="23"/>
  <c r="AF265" i="23" s="1"/>
  <c r="AG265" i="23" s="1"/>
  <c r="R264" i="23"/>
  <c r="AF264" i="23"/>
  <c r="AG264" i="23" s="1"/>
  <c r="R263" i="23"/>
  <c r="R262" i="23"/>
  <c r="AF262" i="23"/>
  <c r="AG262" i="23" s="1"/>
  <c r="R261" i="23"/>
  <c r="R260" i="23"/>
  <c r="AF260" i="23"/>
  <c r="AG260" i="23" s="1"/>
  <c r="R259" i="23"/>
  <c r="R258" i="23"/>
  <c r="AF258" i="23"/>
  <c r="AG258" i="23" s="1"/>
  <c r="R257" i="23"/>
  <c r="AF257" i="23" s="1"/>
  <c r="AG257" i="23" s="1"/>
  <c r="R254" i="23"/>
  <c r="AF254" i="23"/>
  <c r="AG254" i="23" s="1"/>
  <c r="R253" i="23"/>
  <c r="AF253" i="23" s="1"/>
  <c r="AG253" i="23" s="1"/>
  <c r="R252" i="23"/>
  <c r="AF252" i="23"/>
  <c r="AG252" i="23" s="1"/>
  <c r="AL252" i="23"/>
  <c r="AM252" i="23" s="1"/>
  <c r="R251" i="23"/>
  <c r="AF251" i="23" s="1"/>
  <c r="AG251" i="23"/>
  <c r="R250" i="23"/>
  <c r="AF250" i="23"/>
  <c r="AG250" i="23" s="1"/>
  <c r="R249" i="23"/>
  <c r="AF249" i="23" s="1"/>
  <c r="AG249" i="23"/>
  <c r="R248" i="23"/>
  <c r="AF248" i="23"/>
  <c r="AG248" i="23" s="1"/>
  <c r="R244" i="23"/>
  <c r="R243" i="23"/>
  <c r="R242" i="23"/>
  <c r="AF242" i="23" s="1"/>
  <c r="AG242" i="23" s="1"/>
  <c r="R241" i="23"/>
  <c r="AF241" i="23"/>
  <c r="AG241" i="23" s="1"/>
  <c r="R240" i="23"/>
  <c r="AF240" i="23" s="1"/>
  <c r="AG240" i="23" s="1"/>
  <c r="R239" i="23"/>
  <c r="AF239" i="23"/>
  <c r="AG239" i="23" s="1"/>
  <c r="R238" i="23"/>
  <c r="R237" i="23"/>
  <c r="AF237" i="23"/>
  <c r="AG237" i="23" s="1"/>
  <c r="R236" i="23"/>
  <c r="AF236" i="23" s="1"/>
  <c r="AG236" i="23"/>
  <c r="R235" i="23"/>
  <c r="AF235" i="23"/>
  <c r="AG235" i="23" s="1"/>
  <c r="R234" i="23"/>
  <c r="AF234" i="23" s="1"/>
  <c r="AG234" i="23"/>
  <c r="R233" i="23"/>
  <c r="AF233" i="23"/>
  <c r="AG233" i="23" s="1"/>
  <c r="R232" i="23"/>
  <c r="AF232" i="23" s="1"/>
  <c r="AG232" i="23"/>
  <c r="R231" i="23"/>
  <c r="AF231" i="23"/>
  <c r="AG231" i="23" s="1"/>
  <c r="R230" i="23"/>
  <c r="AF230" i="23" s="1"/>
  <c r="AG230" i="23"/>
  <c r="R229" i="23"/>
  <c r="AF229" i="23"/>
  <c r="AG229" i="23" s="1"/>
  <c r="R228" i="23"/>
  <c r="R227" i="23"/>
  <c r="R224" i="23"/>
  <c r="AF224" i="23" s="1"/>
  <c r="AG224" i="23" s="1"/>
  <c r="R223" i="23"/>
  <c r="AF223" i="23"/>
  <c r="AG223" i="23" s="1"/>
  <c r="R222" i="23"/>
  <c r="AF222" i="23" s="1"/>
  <c r="AG222" i="23" s="1"/>
  <c r="R221" i="23"/>
  <c r="AF221" i="23"/>
  <c r="AG221" i="23" s="1"/>
  <c r="R220" i="23"/>
  <c r="AF220" i="23" s="1"/>
  <c r="AG220" i="23" s="1"/>
  <c r="R219" i="23"/>
  <c r="AF219" i="23"/>
  <c r="AG219" i="23" s="1"/>
  <c r="AL219" i="23"/>
  <c r="AM219" i="23" s="1"/>
  <c r="R218" i="23"/>
  <c r="R214" i="23"/>
  <c r="AF214" i="23"/>
  <c r="AG214" i="23" s="1"/>
  <c r="R213" i="23"/>
  <c r="AF213" i="23" s="1"/>
  <c r="AG213" i="23" s="1"/>
  <c r="R212" i="23"/>
  <c r="AF212" i="23"/>
  <c r="AG212" i="23" s="1"/>
  <c r="R211" i="23"/>
  <c r="AF211" i="23" s="1"/>
  <c r="AG211" i="23" s="1"/>
  <c r="R210" i="23"/>
  <c r="AF210" i="23"/>
  <c r="AG210" i="23" s="1"/>
  <c r="R209" i="23"/>
  <c r="AF209" i="23" s="1"/>
  <c r="AG209" i="23" s="1"/>
  <c r="R208" i="23"/>
  <c r="AF208" i="23"/>
  <c r="AG208" i="23" s="1"/>
  <c r="R207" i="23"/>
  <c r="AF207" i="23" s="1"/>
  <c r="AG207" i="23" s="1"/>
  <c r="R206" i="23"/>
  <c r="AF206" i="23"/>
  <c r="AG206" i="23" s="1"/>
  <c r="R205" i="23"/>
  <c r="R204" i="23"/>
  <c r="AF204" i="23"/>
  <c r="AG204" i="23" s="1"/>
  <c r="R203" i="23"/>
  <c r="R202" i="23"/>
  <c r="AF202" i="23"/>
  <c r="AG202" i="23" s="1"/>
  <c r="R201" i="23"/>
  <c r="AF201" i="23" s="1"/>
  <c r="AG201" i="23"/>
  <c r="R200" i="23"/>
  <c r="AF200" i="23"/>
  <c r="AG200" i="23" s="1"/>
  <c r="R199" i="23"/>
  <c r="AF199" i="23" s="1"/>
  <c r="AG199" i="23"/>
  <c r="R198" i="23"/>
  <c r="AF198" i="23"/>
  <c r="AG198" i="23" s="1"/>
  <c r="R197" i="23"/>
  <c r="AF197" i="23" s="1"/>
  <c r="AG197" i="23"/>
  <c r="R194" i="23"/>
  <c r="AF194" i="23"/>
  <c r="AG194" i="23" s="1"/>
  <c r="R193" i="23"/>
  <c r="R192" i="23"/>
  <c r="R191" i="23"/>
  <c r="AF191" i="23" s="1"/>
  <c r="AG191" i="23"/>
  <c r="R190" i="23"/>
  <c r="AF190" i="23"/>
  <c r="AG190" i="23" s="1"/>
  <c r="R189" i="23"/>
  <c r="AF189" i="23" s="1"/>
  <c r="AG189" i="23"/>
  <c r="R188" i="23"/>
  <c r="R184" i="23"/>
  <c r="R183" i="23"/>
  <c r="AF183" i="23"/>
  <c r="AG183" i="23" s="1"/>
  <c r="AL183" i="23"/>
  <c r="AM183" i="23" s="1"/>
  <c r="R182" i="23"/>
  <c r="AF182" i="23" s="1"/>
  <c r="AG182" i="23" s="1"/>
  <c r="R181" i="23"/>
  <c r="AF181" i="23"/>
  <c r="AG181" i="23" s="1"/>
  <c r="R180" i="23"/>
  <c r="AF180" i="23" s="1"/>
  <c r="AG180" i="23" s="1"/>
  <c r="R179" i="23"/>
  <c r="AF179" i="23"/>
  <c r="AG179" i="23" s="1"/>
  <c r="R178" i="23"/>
  <c r="R177" i="23"/>
  <c r="AF177" i="23"/>
  <c r="AG177" i="23" s="1"/>
  <c r="R176" i="23"/>
  <c r="AF176" i="23" s="1"/>
  <c r="AG176" i="23"/>
  <c r="R175" i="23"/>
  <c r="AF175" i="23"/>
  <c r="AG175" i="23" s="1"/>
  <c r="R174" i="23"/>
  <c r="AF174" i="23" s="1"/>
  <c r="AG174" i="23"/>
  <c r="R173" i="23"/>
  <c r="AF173" i="23"/>
  <c r="AG173" i="23" s="1"/>
  <c r="R172" i="23"/>
  <c r="AF172" i="23" s="1"/>
  <c r="AG172" i="23"/>
  <c r="R171" i="23"/>
  <c r="AF171" i="23"/>
  <c r="AG171" i="23" s="1"/>
  <c r="R170" i="23"/>
  <c r="R169" i="23"/>
  <c r="AF169" i="23"/>
  <c r="AG169" i="23" s="1"/>
  <c r="R168" i="23"/>
  <c r="AF168" i="23" s="1"/>
  <c r="AG168" i="23" s="1"/>
  <c r="R167" i="23"/>
  <c r="AF167" i="23"/>
  <c r="AG167" i="23" s="1"/>
  <c r="R164" i="23"/>
  <c r="AF164" i="23" s="1"/>
  <c r="AG164" i="23" s="1"/>
  <c r="R163" i="23"/>
  <c r="AF163" i="23"/>
  <c r="AG163" i="23" s="1"/>
  <c r="R162" i="23"/>
  <c r="AF162" i="23" s="1"/>
  <c r="AG162" i="23" s="1"/>
  <c r="R161" i="23"/>
  <c r="AF161" i="23"/>
  <c r="AG161" i="23" s="1"/>
  <c r="R160" i="23"/>
  <c r="AF160" i="23" s="1"/>
  <c r="AG160" i="23" s="1"/>
  <c r="R159" i="23"/>
  <c r="AF159" i="23"/>
  <c r="AG159" i="23" s="1"/>
  <c r="R158" i="23"/>
  <c r="R154" i="23"/>
  <c r="AF154" i="23"/>
  <c r="AG154" i="23" s="1"/>
  <c r="R153" i="23"/>
  <c r="R152" i="23"/>
  <c r="R151" i="23"/>
  <c r="R150" i="23"/>
  <c r="AF150" i="23"/>
  <c r="AG150" i="23" s="1"/>
  <c r="AL150" i="23"/>
  <c r="AM150" i="23" s="1"/>
  <c r="R149" i="23"/>
  <c r="R148" i="23"/>
  <c r="AF148" i="23"/>
  <c r="AG148" i="23" s="1"/>
  <c r="R147" i="23"/>
  <c r="AF147" i="23" s="1"/>
  <c r="AG147" i="23" s="1"/>
  <c r="R146" i="23"/>
  <c r="AF146" i="23"/>
  <c r="AG146" i="23" s="1"/>
  <c r="R145" i="23"/>
  <c r="R144" i="23"/>
  <c r="AF144" i="23"/>
  <c r="AG144" i="23" s="1"/>
  <c r="R143" i="23"/>
  <c r="AF143" i="23" s="1"/>
  <c r="AG143" i="23"/>
  <c r="R142" i="23"/>
  <c r="AF142" i="23"/>
  <c r="AG142" i="23" s="1"/>
  <c r="R141" i="23"/>
  <c r="AF141" i="23" s="1"/>
  <c r="AG141" i="23"/>
  <c r="R140" i="23"/>
  <c r="AF140" i="23"/>
  <c r="AG140" i="23" s="1"/>
  <c r="R139" i="23"/>
  <c r="R138" i="23"/>
  <c r="AF138" i="23"/>
  <c r="AG138" i="23" s="1"/>
  <c r="AL138" i="23"/>
  <c r="AM138" i="23" s="1"/>
  <c r="R137" i="23"/>
  <c r="R134" i="23"/>
  <c r="AF134" i="23"/>
  <c r="AG134" i="23" s="1"/>
  <c r="R133" i="23"/>
  <c r="R132" i="23"/>
  <c r="AF132" i="23"/>
  <c r="AG132" i="23" s="1"/>
  <c r="R131" i="23"/>
  <c r="AF131" i="23" s="1"/>
  <c r="AG131" i="23"/>
  <c r="R130" i="23"/>
  <c r="AF130" i="23"/>
  <c r="AG130" i="23" s="1"/>
  <c r="R129" i="23"/>
  <c r="R128" i="23"/>
  <c r="AF128" i="23"/>
  <c r="AG128" i="23" s="1"/>
  <c r="R124" i="23"/>
  <c r="AF124" i="23" s="1"/>
  <c r="AG124" i="23" s="1"/>
  <c r="R123" i="23"/>
  <c r="AF123" i="23"/>
  <c r="AG123" i="23" s="1"/>
  <c r="R122" i="23"/>
  <c r="AF122" i="23" s="1"/>
  <c r="AG122" i="23" s="1"/>
  <c r="R121" i="23"/>
  <c r="AF121" i="23"/>
  <c r="AG121" i="23" s="1"/>
  <c r="R120" i="23"/>
  <c r="R119" i="23"/>
  <c r="AF119" i="23"/>
  <c r="AG119" i="23" s="1"/>
  <c r="R118" i="23"/>
  <c r="R117" i="23"/>
  <c r="AF117" i="23"/>
  <c r="AG117" i="23" s="1"/>
  <c r="R116" i="23"/>
  <c r="AF116" i="23" s="1"/>
  <c r="AG116" i="23" s="1"/>
  <c r="R115" i="23"/>
  <c r="AF115" i="23"/>
  <c r="AG115" i="23" s="1"/>
  <c r="R114" i="23"/>
  <c r="AF114" i="23" s="1"/>
  <c r="AG114" i="23" s="1"/>
  <c r="R113" i="23"/>
  <c r="AF113" i="23"/>
  <c r="AG113" i="23" s="1"/>
  <c r="AL113" i="23"/>
  <c r="AM113" i="23" s="1"/>
  <c r="R112" i="23"/>
  <c r="AF112" i="23" s="1"/>
  <c r="AG112" i="23"/>
  <c r="R111" i="23"/>
  <c r="AF111" i="23"/>
  <c r="AG111" i="23" s="1"/>
  <c r="R110" i="23"/>
  <c r="AF110" i="23" s="1"/>
  <c r="AG110" i="23" s="1"/>
  <c r="R109" i="23"/>
  <c r="AF109" i="23"/>
  <c r="AG109" i="23" s="1"/>
  <c r="R108" i="23"/>
  <c r="R107" i="23"/>
  <c r="AF107" i="23"/>
  <c r="AG107" i="23" s="1"/>
  <c r="R104" i="23"/>
  <c r="R103" i="23"/>
  <c r="AF103" i="23"/>
  <c r="AG103" i="23" s="1"/>
  <c r="R102" i="23"/>
  <c r="R101" i="23"/>
  <c r="AF101" i="23"/>
  <c r="AG101" i="23" s="1"/>
  <c r="R100" i="23"/>
  <c r="R99" i="23"/>
  <c r="AF99" i="23"/>
  <c r="AG99" i="23" s="1"/>
  <c r="R98" i="23"/>
  <c r="AF98" i="23" s="1"/>
  <c r="AG98" i="23" s="1"/>
  <c r="AL456" i="23"/>
  <c r="AM456" i="23"/>
  <c r="AL455" i="23"/>
  <c r="AM455" i="23"/>
  <c r="AL436" i="23"/>
  <c r="AM436" i="23"/>
  <c r="AL435" i="23"/>
  <c r="AM435" i="23"/>
  <c r="AL427" i="23"/>
  <c r="AM427" i="23"/>
  <c r="AL426" i="23"/>
  <c r="AM426" i="23"/>
  <c r="AL425" i="23"/>
  <c r="AM425" i="23"/>
  <c r="AL406" i="23"/>
  <c r="AM406" i="23"/>
  <c r="AL405" i="23"/>
  <c r="AM405" i="23"/>
  <c r="AL397" i="23"/>
  <c r="AM397" i="23"/>
  <c r="AL396" i="23"/>
  <c r="AM396" i="23"/>
  <c r="AL395" i="23"/>
  <c r="AM395" i="23"/>
  <c r="AL376" i="23"/>
  <c r="AM376" i="23"/>
  <c r="AL375" i="23"/>
  <c r="AM375" i="23"/>
  <c r="AL367" i="23"/>
  <c r="AM367" i="23"/>
  <c r="AL366" i="23"/>
  <c r="AM366" i="23"/>
  <c r="AL365" i="23"/>
  <c r="AM365" i="23"/>
  <c r="AL346" i="23"/>
  <c r="AM346" i="23"/>
  <c r="AL345" i="23"/>
  <c r="AM345" i="23"/>
  <c r="AL337" i="23"/>
  <c r="AM337" i="23"/>
  <c r="AL336" i="23"/>
  <c r="AM336" i="23"/>
  <c r="AL335" i="23"/>
  <c r="AM335" i="23"/>
  <c r="AL316" i="23"/>
  <c r="AM316" i="23"/>
  <c r="AL315" i="23"/>
  <c r="AM315" i="23"/>
  <c r="AL307" i="23"/>
  <c r="AM307" i="23"/>
  <c r="AL306" i="23"/>
  <c r="AM306" i="23"/>
  <c r="AL305" i="23"/>
  <c r="AM305" i="23"/>
  <c r="AL286" i="23"/>
  <c r="AM286" i="23"/>
  <c r="AL285" i="23"/>
  <c r="AM285" i="23"/>
  <c r="AL277" i="23"/>
  <c r="AM277" i="23"/>
  <c r="AL276" i="23"/>
  <c r="AM276" i="23"/>
  <c r="AL275" i="23"/>
  <c r="AM275" i="23"/>
  <c r="AL256" i="23"/>
  <c r="AM256" i="23"/>
  <c r="AL255" i="23"/>
  <c r="AM255" i="23"/>
  <c r="AL247" i="23"/>
  <c r="AM247" i="23"/>
  <c r="AL246" i="23"/>
  <c r="AM246" i="23"/>
  <c r="AL245" i="23"/>
  <c r="AM245" i="23"/>
  <c r="AL226" i="23"/>
  <c r="AM226" i="23"/>
  <c r="AL225" i="23"/>
  <c r="AM225" i="23"/>
  <c r="AL217" i="23"/>
  <c r="AM217" i="23"/>
  <c r="AL216" i="23"/>
  <c r="AM216" i="23"/>
  <c r="AL215" i="23"/>
  <c r="AM215" i="23"/>
  <c r="AL196" i="23"/>
  <c r="AM196" i="23"/>
  <c r="AL195" i="23"/>
  <c r="AM195" i="23"/>
  <c r="AL187" i="23"/>
  <c r="AM187" i="23"/>
  <c r="AL186" i="23"/>
  <c r="AM186" i="23"/>
  <c r="AL185" i="23"/>
  <c r="AM185" i="23"/>
  <c r="AL166" i="23"/>
  <c r="AM166" i="23"/>
  <c r="AL165" i="23"/>
  <c r="AM165" i="23"/>
  <c r="AL157" i="23"/>
  <c r="AM157" i="23"/>
  <c r="AL156" i="23"/>
  <c r="AM156" i="23"/>
  <c r="AL155" i="23"/>
  <c r="AM155" i="23"/>
  <c r="AL136" i="23"/>
  <c r="AM136" i="23"/>
  <c r="AL135" i="23"/>
  <c r="AM135" i="23"/>
  <c r="AL127" i="23"/>
  <c r="AM127" i="23"/>
  <c r="AL126" i="23"/>
  <c r="AM126" i="23"/>
  <c r="AL125" i="23"/>
  <c r="AM125" i="23"/>
  <c r="AL106" i="23"/>
  <c r="AM106" i="23"/>
  <c r="AL105" i="23"/>
  <c r="AM105" i="23"/>
  <c r="AL97" i="23"/>
  <c r="AM97" i="23"/>
  <c r="AL96" i="23"/>
  <c r="AM96" i="23"/>
  <c r="AL95" i="23"/>
  <c r="AM95" i="23"/>
  <c r="AL76" i="23"/>
  <c r="AM76" i="23"/>
  <c r="AL75" i="23"/>
  <c r="AM75" i="23"/>
  <c r="AL67" i="23"/>
  <c r="AM67" i="23"/>
  <c r="AL36" i="23"/>
  <c r="AM36" i="23"/>
  <c r="AL35" i="23"/>
  <c r="AM35" i="23"/>
  <c r="AL23" i="23"/>
  <c r="AM23" i="23"/>
  <c r="W456" i="23"/>
  <c r="W428" i="23"/>
  <c r="W427" i="23"/>
  <c r="W426" i="23"/>
  <c r="W398" i="23"/>
  <c r="W397" i="23"/>
  <c r="W396" i="23"/>
  <c r="W368" i="23"/>
  <c r="W367" i="23"/>
  <c r="W366" i="23"/>
  <c r="W338" i="23"/>
  <c r="W337" i="23"/>
  <c r="W336" i="23"/>
  <c r="W308" i="23"/>
  <c r="W307" i="23"/>
  <c r="W306" i="23"/>
  <c r="W278" i="23"/>
  <c r="W277" i="23"/>
  <c r="W276" i="23"/>
  <c r="W248" i="23"/>
  <c r="W247" i="23"/>
  <c r="W246" i="23"/>
  <c r="W218" i="23"/>
  <c r="W217" i="23"/>
  <c r="R94" i="23"/>
  <c r="AL94" i="23" s="1"/>
  <c r="AM94" i="23" s="1"/>
  <c r="AF94" i="23"/>
  <c r="AG94" i="23" s="1"/>
  <c r="R93" i="23"/>
  <c r="AF93" i="23" s="1"/>
  <c r="AG93" i="23"/>
  <c r="R92" i="23"/>
  <c r="AF92" i="23"/>
  <c r="AG92" i="23" s="1"/>
  <c r="R91" i="23"/>
  <c r="AF91" i="23"/>
  <c r="AG91" i="23" s="1"/>
  <c r="R90" i="23"/>
  <c r="AF90" i="23"/>
  <c r="AG90" i="23"/>
  <c r="R89" i="23"/>
  <c r="AF89" i="23" s="1"/>
  <c r="AG89" i="23"/>
  <c r="R88" i="23"/>
  <c r="AF88" i="23"/>
  <c r="AG88" i="23" s="1"/>
  <c r="R87" i="23"/>
  <c r="R86" i="23"/>
  <c r="AF86" i="23" s="1"/>
  <c r="AG86" i="23" s="1"/>
  <c r="AL86" i="23"/>
  <c r="AM86" i="23" s="1"/>
  <c r="R85" i="23"/>
  <c r="R84" i="23"/>
  <c r="AF84" i="23"/>
  <c r="AG84" i="23" s="1"/>
  <c r="R83" i="23"/>
  <c r="AF83" i="23" s="1"/>
  <c r="AG83" i="23" s="1"/>
  <c r="R82" i="23"/>
  <c r="AF82" i="23" s="1"/>
  <c r="AG82" i="23" s="1"/>
  <c r="R81" i="23"/>
  <c r="R80" i="23"/>
  <c r="AF80" i="23"/>
  <c r="AG80" i="23" s="1"/>
  <c r="R79" i="23"/>
  <c r="AF79" i="23"/>
  <c r="AG79" i="23" s="1"/>
  <c r="R78" i="23"/>
  <c r="AF78" i="23"/>
  <c r="AG78" i="23"/>
  <c r="R77" i="23"/>
  <c r="R74" i="23"/>
  <c r="AF74" i="23"/>
  <c r="AG74" i="23"/>
  <c r="R73" i="23"/>
  <c r="R72" i="23"/>
  <c r="AF72" i="23"/>
  <c r="AG72" i="23"/>
  <c r="R71" i="23"/>
  <c r="AF71" i="23" s="1"/>
  <c r="AG71" i="23"/>
  <c r="R70" i="23"/>
  <c r="R69" i="23"/>
  <c r="AF69" i="23" s="1"/>
  <c r="AG69" i="23" s="1"/>
  <c r="R68" i="23"/>
  <c r="AF68" i="23" s="1"/>
  <c r="AG68" i="23" s="1"/>
  <c r="R59" i="23"/>
  <c r="AF59" i="23" s="1"/>
  <c r="AG59" i="23" s="1"/>
  <c r="R58" i="23"/>
  <c r="AF58" i="23"/>
  <c r="AG58" i="23" s="1"/>
  <c r="R57" i="23"/>
  <c r="AF57" i="23" s="1"/>
  <c r="AG57" i="23" s="1"/>
  <c r="R56" i="23"/>
  <c r="AF56" i="23" s="1"/>
  <c r="AG56" i="23" s="1"/>
  <c r="R55" i="23"/>
  <c r="AF55" i="23" s="1"/>
  <c r="AG55" i="23" s="1"/>
  <c r="R54" i="23"/>
  <c r="AF54" i="23"/>
  <c r="AG54" i="23" s="1"/>
  <c r="R53" i="23"/>
  <c r="AF53" i="23" s="1"/>
  <c r="AG53" i="23" s="1"/>
  <c r="R52" i="23"/>
  <c r="AF52" i="23" s="1"/>
  <c r="AG52" i="23" s="1"/>
  <c r="R51" i="23"/>
  <c r="AF51" i="23" s="1"/>
  <c r="AG51" i="23" s="1"/>
  <c r="R50" i="23"/>
  <c r="AF50" i="23"/>
  <c r="AG50" i="23" s="1"/>
  <c r="R49" i="23"/>
  <c r="AF49" i="23" s="1"/>
  <c r="AG49" i="23" s="1"/>
  <c r="R48" i="23"/>
  <c r="AF48" i="23" s="1"/>
  <c r="AG48" i="23" s="1"/>
  <c r="R47" i="23"/>
  <c r="AF47" i="23" s="1"/>
  <c r="AG47" i="23" s="1"/>
  <c r="R44" i="23"/>
  <c r="AF44" i="23"/>
  <c r="AG44" i="23" s="1"/>
  <c r="R43" i="23"/>
  <c r="AF43" i="23" s="1"/>
  <c r="AG43" i="23" s="1"/>
  <c r="R42" i="23"/>
  <c r="AF42" i="23" s="1"/>
  <c r="AG42" i="23" s="1"/>
  <c r="R41" i="23"/>
  <c r="AF41" i="23" s="1"/>
  <c r="AG41" i="23" s="1"/>
  <c r="R40" i="23"/>
  <c r="AF40" i="23"/>
  <c r="AG40" i="23" s="1"/>
  <c r="R39" i="23"/>
  <c r="AF39" i="23" s="1"/>
  <c r="AG39" i="23" s="1"/>
  <c r="R38" i="23"/>
  <c r="AF38" i="23" s="1"/>
  <c r="AG38" i="23" s="1"/>
  <c r="B36" i="23"/>
  <c r="B35" i="23"/>
  <c r="R34" i="23"/>
  <c r="B34" i="23"/>
  <c r="R33" i="23"/>
  <c r="AF33" i="23" s="1"/>
  <c r="AG33" i="23" s="1"/>
  <c r="B33" i="23"/>
  <c r="B32" i="23"/>
  <c r="B31" i="23"/>
  <c r="R30" i="23"/>
  <c r="B30" i="23"/>
  <c r="R29" i="23"/>
  <c r="AF29" i="23" s="1"/>
  <c r="AG29" i="23" s="1"/>
  <c r="B29" i="23"/>
  <c r="B28" i="23"/>
  <c r="B27" i="23"/>
  <c r="B26" i="23"/>
  <c r="P25" i="23"/>
  <c r="P26" i="23"/>
  <c r="P27" i="23" s="1"/>
  <c r="P28" i="23" s="1"/>
  <c r="P29" i="23" s="1"/>
  <c r="P30" i="23" s="1"/>
  <c r="P31" i="23" s="1"/>
  <c r="P32" i="23" s="1"/>
  <c r="P33" i="23" s="1"/>
  <c r="P34" i="23" s="1"/>
  <c r="P35" i="23" s="1"/>
  <c r="P36" i="23" s="1"/>
  <c r="P38" i="23" s="1"/>
  <c r="P39" i="23" s="1"/>
  <c r="P40" i="23" s="1"/>
  <c r="P41" i="23" s="1"/>
  <c r="P42" i="23" s="1"/>
  <c r="P43" i="23" s="1"/>
  <c r="P44" i="23" s="1"/>
  <c r="P45" i="23" s="1"/>
  <c r="P46" i="23" s="1"/>
  <c r="P47" i="23" s="1"/>
  <c r="P48" i="23" s="1"/>
  <c r="P49" i="23" s="1"/>
  <c r="P50" i="23" s="1"/>
  <c r="P51" i="23" s="1"/>
  <c r="P52" i="23" s="1"/>
  <c r="P53" i="23" s="1"/>
  <c r="P54" i="23" s="1"/>
  <c r="P55" i="23" s="1"/>
  <c r="P56" i="23" s="1"/>
  <c r="P57" i="23" s="1"/>
  <c r="P58" i="23" s="1"/>
  <c r="P59" i="23" s="1"/>
  <c r="P60" i="23" s="1"/>
  <c r="P61" i="23" s="1"/>
  <c r="P62" i="23" s="1"/>
  <c r="P63" i="23" s="1"/>
  <c r="P64" i="23" s="1"/>
  <c r="P65" i="23" s="1"/>
  <c r="P66" i="23" s="1"/>
  <c r="P68" i="23" s="1"/>
  <c r="P69" i="23" s="1"/>
  <c r="P70" i="23" s="1"/>
  <c r="P71" i="23" s="1"/>
  <c r="P72" i="23" s="1"/>
  <c r="P73" i="23" s="1"/>
  <c r="P74" i="23" s="1"/>
  <c r="P75" i="23" s="1"/>
  <c r="P76" i="23" s="1"/>
  <c r="P77" i="23" s="1"/>
  <c r="P78" i="23" s="1"/>
  <c r="P79" i="23" s="1"/>
  <c r="P80" i="23" s="1"/>
  <c r="P81" i="23" s="1"/>
  <c r="P82" i="23" s="1"/>
  <c r="P83" i="23" s="1"/>
  <c r="P84" i="23" s="1"/>
  <c r="P85" i="23" s="1"/>
  <c r="P86" i="23" s="1"/>
  <c r="P87" i="23" s="1"/>
  <c r="P88" i="23" s="1"/>
  <c r="P89" i="23" s="1"/>
  <c r="P90" i="23" s="1"/>
  <c r="P91" i="23" s="1"/>
  <c r="P92" i="23" s="1"/>
  <c r="P93" i="23" s="1"/>
  <c r="P94" i="23" s="1"/>
  <c r="P95" i="23" s="1"/>
  <c r="P96" i="23" s="1"/>
  <c r="P98" i="23" s="1"/>
  <c r="P99" i="23" s="1"/>
  <c r="P100" i="23" s="1"/>
  <c r="P101" i="23" s="1"/>
  <c r="P102" i="23" s="1"/>
  <c r="P103" i="23" s="1"/>
  <c r="P104" i="23" s="1"/>
  <c r="P105" i="23" s="1"/>
  <c r="P106" i="23" s="1"/>
  <c r="P107" i="23" s="1"/>
  <c r="P108" i="23" s="1"/>
  <c r="P109" i="23" s="1"/>
  <c r="P110" i="23" s="1"/>
  <c r="P111" i="23" s="1"/>
  <c r="P112" i="23" s="1"/>
  <c r="P113" i="23" s="1"/>
  <c r="P114" i="23" s="1"/>
  <c r="P115" i="23" s="1"/>
  <c r="P116" i="23" s="1"/>
  <c r="P117" i="23" s="1"/>
  <c r="P118" i="23" s="1"/>
  <c r="P119" i="23" s="1"/>
  <c r="P120" i="23" s="1"/>
  <c r="P121" i="23" s="1"/>
  <c r="P122" i="23" s="1"/>
  <c r="P123" i="23" s="1"/>
  <c r="P124" i="23" s="1"/>
  <c r="P125" i="23" s="1"/>
  <c r="P126" i="23" s="1"/>
  <c r="P128" i="23" s="1"/>
  <c r="P129" i="23" s="1"/>
  <c r="P130" i="23" s="1"/>
  <c r="P131" i="23" s="1"/>
  <c r="P132" i="23" s="1"/>
  <c r="P133" i="23" s="1"/>
  <c r="P134" i="23" s="1"/>
  <c r="P135" i="23" s="1"/>
  <c r="P136" i="23" s="1"/>
  <c r="P137" i="23" s="1"/>
  <c r="P138" i="23" s="1"/>
  <c r="P139" i="23" s="1"/>
  <c r="P140" i="23" s="1"/>
  <c r="P141" i="23" s="1"/>
  <c r="P142" i="23" s="1"/>
  <c r="P143" i="23" s="1"/>
  <c r="P144" i="23" s="1"/>
  <c r="P145" i="23" s="1"/>
  <c r="P146" i="23" s="1"/>
  <c r="P147" i="23" s="1"/>
  <c r="P148" i="23" s="1"/>
  <c r="P149" i="23" s="1"/>
  <c r="P150" i="23" s="1"/>
  <c r="P151" i="23" s="1"/>
  <c r="P152" i="23" s="1"/>
  <c r="P153" i="23" s="1"/>
  <c r="P154" i="23" s="1"/>
  <c r="P155" i="23" s="1"/>
  <c r="P156" i="23" s="1"/>
  <c r="P158" i="23" s="1"/>
  <c r="P159" i="23" s="1"/>
  <c r="P160" i="23" s="1"/>
  <c r="P161" i="23" s="1"/>
  <c r="P162" i="23" s="1"/>
  <c r="P163" i="23" s="1"/>
  <c r="P164" i="23" s="1"/>
  <c r="P165" i="23" s="1"/>
  <c r="P166" i="23" s="1"/>
  <c r="P167" i="23" s="1"/>
  <c r="P168" i="23" s="1"/>
  <c r="P169" i="23" s="1"/>
  <c r="P170" i="23" s="1"/>
  <c r="P171" i="23" s="1"/>
  <c r="P172" i="23" s="1"/>
  <c r="P173" i="23" s="1"/>
  <c r="P174" i="23" s="1"/>
  <c r="P175" i="23" s="1"/>
  <c r="P176" i="23" s="1"/>
  <c r="P177" i="23" s="1"/>
  <c r="P178" i="23" s="1"/>
  <c r="P179" i="23" s="1"/>
  <c r="P180" i="23" s="1"/>
  <c r="P181" i="23" s="1"/>
  <c r="P182" i="23" s="1"/>
  <c r="P183" i="23" s="1"/>
  <c r="P184" i="23" s="1"/>
  <c r="P185" i="23" s="1"/>
  <c r="P186" i="23" s="1"/>
  <c r="P188" i="23" s="1"/>
  <c r="P189" i="23" s="1"/>
  <c r="P190" i="23" s="1"/>
  <c r="P191" i="23" s="1"/>
  <c r="P192" i="23" s="1"/>
  <c r="P193" i="23" s="1"/>
  <c r="P194" i="23" s="1"/>
  <c r="P195" i="23" s="1"/>
  <c r="P196" i="23" s="1"/>
  <c r="P197" i="23" s="1"/>
  <c r="P198" i="23" s="1"/>
  <c r="P199" i="23" s="1"/>
  <c r="P200" i="23" s="1"/>
  <c r="P201" i="23" s="1"/>
  <c r="P202" i="23" s="1"/>
  <c r="P203" i="23" s="1"/>
  <c r="P204" i="23" s="1"/>
  <c r="P205" i="23" s="1"/>
  <c r="P206" i="23" s="1"/>
  <c r="P207" i="23" s="1"/>
  <c r="P208" i="23" s="1"/>
  <c r="P209" i="23" s="1"/>
  <c r="P210" i="23" s="1"/>
  <c r="P211" i="23" s="1"/>
  <c r="P212" i="23" s="1"/>
  <c r="P213" i="23" s="1"/>
  <c r="P214" i="23" s="1"/>
  <c r="P215" i="23" s="1"/>
  <c r="P216" i="23" s="1"/>
  <c r="P218" i="23" s="1"/>
  <c r="P219" i="23" s="1"/>
  <c r="P220" i="23" s="1"/>
  <c r="P221" i="23" s="1"/>
  <c r="P222" i="23" s="1"/>
  <c r="P223" i="23" s="1"/>
  <c r="P224" i="23" s="1"/>
  <c r="P225" i="23" s="1"/>
  <c r="P226" i="23" s="1"/>
  <c r="P227" i="23" s="1"/>
  <c r="P228" i="23" s="1"/>
  <c r="P229" i="23" s="1"/>
  <c r="P230" i="23" s="1"/>
  <c r="P231" i="23" s="1"/>
  <c r="P232" i="23" s="1"/>
  <c r="P233" i="23" s="1"/>
  <c r="P234" i="23" s="1"/>
  <c r="P235" i="23" s="1"/>
  <c r="P236" i="23" s="1"/>
  <c r="P237" i="23" s="1"/>
  <c r="P238" i="23" s="1"/>
  <c r="P239" i="23" s="1"/>
  <c r="P240" i="23" s="1"/>
  <c r="P241" i="23" s="1"/>
  <c r="P242" i="23" s="1"/>
  <c r="P243" i="23" s="1"/>
  <c r="P244" i="23" s="1"/>
  <c r="P245" i="23" s="1"/>
  <c r="P246" i="23" s="1"/>
  <c r="P248" i="23" s="1"/>
  <c r="P249" i="23" s="1"/>
  <c r="P250" i="23" s="1"/>
  <c r="P251" i="23" s="1"/>
  <c r="P252" i="23" s="1"/>
  <c r="P253" i="23" s="1"/>
  <c r="P254" i="23" s="1"/>
  <c r="P255" i="23" s="1"/>
  <c r="P256" i="23" s="1"/>
  <c r="P257" i="23" s="1"/>
  <c r="P258" i="23" s="1"/>
  <c r="P259" i="23" s="1"/>
  <c r="P260" i="23" s="1"/>
  <c r="P261" i="23" s="1"/>
  <c r="P262" i="23" s="1"/>
  <c r="P263" i="23" s="1"/>
  <c r="P264" i="23" s="1"/>
  <c r="P265" i="23" s="1"/>
  <c r="P266" i="23" s="1"/>
  <c r="P267" i="23" s="1"/>
  <c r="P268" i="23" s="1"/>
  <c r="P269" i="23" s="1"/>
  <c r="P270" i="23" s="1"/>
  <c r="P271" i="23" s="1"/>
  <c r="P272" i="23" s="1"/>
  <c r="P273" i="23" s="1"/>
  <c r="P274" i="23" s="1"/>
  <c r="P275" i="23" s="1"/>
  <c r="P276" i="23" s="1"/>
  <c r="P278" i="23" s="1"/>
  <c r="P279" i="23" s="1"/>
  <c r="P280" i="23" s="1"/>
  <c r="P281" i="23" s="1"/>
  <c r="P282" i="23" s="1"/>
  <c r="P283" i="23" s="1"/>
  <c r="P284" i="23" s="1"/>
  <c r="P285" i="23" s="1"/>
  <c r="P286" i="23" s="1"/>
  <c r="P287" i="23" s="1"/>
  <c r="P288" i="23" s="1"/>
  <c r="P289" i="23" s="1"/>
  <c r="P290" i="23" s="1"/>
  <c r="P291" i="23" s="1"/>
  <c r="P292" i="23" s="1"/>
  <c r="P293" i="23" s="1"/>
  <c r="P294" i="23" s="1"/>
  <c r="P295" i="23" s="1"/>
  <c r="P296" i="23" s="1"/>
  <c r="P297" i="23" s="1"/>
  <c r="P298" i="23" s="1"/>
  <c r="P299" i="23" s="1"/>
  <c r="P300" i="23" s="1"/>
  <c r="P301" i="23" s="1"/>
  <c r="P302" i="23" s="1"/>
  <c r="P303" i="23" s="1"/>
  <c r="P304" i="23" s="1"/>
  <c r="P305" i="23" s="1"/>
  <c r="P306" i="23" s="1"/>
  <c r="P308" i="23" s="1"/>
  <c r="P309" i="23" s="1"/>
  <c r="P310" i="23" s="1"/>
  <c r="P311" i="23" s="1"/>
  <c r="P312" i="23" s="1"/>
  <c r="P313" i="23" s="1"/>
  <c r="P314" i="23" s="1"/>
  <c r="P315" i="23" s="1"/>
  <c r="P316" i="23" s="1"/>
  <c r="P317" i="23" s="1"/>
  <c r="P318" i="23" s="1"/>
  <c r="P319" i="23" s="1"/>
  <c r="P320" i="23" s="1"/>
  <c r="P321" i="23" s="1"/>
  <c r="P322" i="23" s="1"/>
  <c r="P323" i="23" s="1"/>
  <c r="P324" i="23" s="1"/>
  <c r="P325" i="23" s="1"/>
  <c r="P326" i="23" s="1"/>
  <c r="P327" i="23" s="1"/>
  <c r="P328" i="23" s="1"/>
  <c r="P329" i="23" s="1"/>
  <c r="P330" i="23" s="1"/>
  <c r="P331" i="23" s="1"/>
  <c r="P332" i="23" s="1"/>
  <c r="P333" i="23" s="1"/>
  <c r="P334" i="23" s="1"/>
  <c r="P335" i="23" s="1"/>
  <c r="P336" i="23" s="1"/>
  <c r="P338" i="23" s="1"/>
  <c r="P339" i="23" s="1"/>
  <c r="P340" i="23" s="1"/>
  <c r="P341" i="23" s="1"/>
  <c r="P342" i="23" s="1"/>
  <c r="P343" i="23" s="1"/>
  <c r="P344" i="23" s="1"/>
  <c r="P345" i="23" s="1"/>
  <c r="P346" i="23" s="1"/>
  <c r="P347" i="23" s="1"/>
  <c r="P348" i="23" s="1"/>
  <c r="P349" i="23" s="1"/>
  <c r="P350" i="23" s="1"/>
  <c r="P351" i="23" s="1"/>
  <c r="P352" i="23" s="1"/>
  <c r="P353" i="23" s="1"/>
  <c r="P354" i="23" s="1"/>
  <c r="P355" i="23" s="1"/>
  <c r="P356" i="23" s="1"/>
  <c r="P357" i="23" s="1"/>
  <c r="P358" i="23" s="1"/>
  <c r="P359" i="23" s="1"/>
  <c r="P360" i="23" s="1"/>
  <c r="P361" i="23" s="1"/>
  <c r="P362" i="23" s="1"/>
  <c r="P363" i="23" s="1"/>
  <c r="P364" i="23" s="1"/>
  <c r="P365" i="23" s="1"/>
  <c r="P366" i="23" s="1"/>
  <c r="P368" i="23" s="1"/>
  <c r="P369" i="23" s="1"/>
  <c r="P370" i="23" s="1"/>
  <c r="P371" i="23" s="1"/>
  <c r="P372" i="23" s="1"/>
  <c r="P373" i="23" s="1"/>
  <c r="P374" i="23" s="1"/>
  <c r="P375" i="23" s="1"/>
  <c r="P376" i="23" s="1"/>
  <c r="P377" i="23" s="1"/>
  <c r="P378" i="23" s="1"/>
  <c r="P379" i="23" s="1"/>
  <c r="P380" i="23" s="1"/>
  <c r="P381" i="23" s="1"/>
  <c r="P382" i="23" s="1"/>
  <c r="P383" i="23" s="1"/>
  <c r="P384" i="23" s="1"/>
  <c r="P385" i="23" s="1"/>
  <c r="P386" i="23" s="1"/>
  <c r="P387" i="23" s="1"/>
  <c r="P388" i="23" s="1"/>
  <c r="P389" i="23" s="1"/>
  <c r="P390" i="23" s="1"/>
  <c r="P391" i="23" s="1"/>
  <c r="P392" i="23" s="1"/>
  <c r="P393" i="23" s="1"/>
  <c r="P394" i="23" s="1"/>
  <c r="P395" i="23" s="1"/>
  <c r="P396" i="23" s="1"/>
  <c r="P398" i="23" s="1"/>
  <c r="P399" i="23" s="1"/>
  <c r="P400" i="23" s="1"/>
  <c r="P401" i="23" s="1"/>
  <c r="P402" i="23" s="1"/>
  <c r="P403" i="23" s="1"/>
  <c r="P404" i="23" s="1"/>
  <c r="P405" i="23" s="1"/>
  <c r="P406" i="23" s="1"/>
  <c r="P407" i="23" s="1"/>
  <c r="P408" i="23" s="1"/>
  <c r="P409" i="23" s="1"/>
  <c r="P410" i="23" s="1"/>
  <c r="P411" i="23" s="1"/>
  <c r="P412" i="23" s="1"/>
  <c r="P413" i="23" s="1"/>
  <c r="P414" i="23" s="1"/>
  <c r="P415" i="23" s="1"/>
  <c r="P416" i="23" s="1"/>
  <c r="P417" i="23" s="1"/>
  <c r="P418" i="23" s="1"/>
  <c r="P419" i="23" s="1"/>
  <c r="P420" i="23" s="1"/>
  <c r="P421" i="23" s="1"/>
  <c r="P422" i="23" s="1"/>
  <c r="P423" i="23" s="1"/>
  <c r="P424" i="23" s="1"/>
  <c r="P425" i="23" s="1"/>
  <c r="P426" i="23" s="1"/>
  <c r="P428" i="23" s="1"/>
  <c r="P429" i="23" s="1"/>
  <c r="P430" i="23" s="1"/>
  <c r="P431" i="23" s="1"/>
  <c r="P432" i="23" s="1"/>
  <c r="P433" i="23" s="1"/>
  <c r="P434" i="23" s="1"/>
  <c r="P435" i="23" s="1"/>
  <c r="P436" i="23" s="1"/>
  <c r="P437" i="23" s="1"/>
  <c r="P438" i="23" s="1"/>
  <c r="P439" i="23" s="1"/>
  <c r="P440" i="23" s="1"/>
  <c r="P441" i="23" s="1"/>
  <c r="P442" i="23" s="1"/>
  <c r="P443" i="23" s="1"/>
  <c r="P444" i="23" s="1"/>
  <c r="P445" i="23" s="1"/>
  <c r="P446" i="23" s="1"/>
  <c r="P447" i="23" s="1"/>
  <c r="P448" i="23" s="1"/>
  <c r="P449" i="23" s="1"/>
  <c r="P450" i="23" s="1"/>
  <c r="P451" i="23" s="1"/>
  <c r="P452" i="23" s="1"/>
  <c r="P453" i="23" s="1"/>
  <c r="P454" i="23" s="1"/>
  <c r="P455" i="23" s="1"/>
  <c r="P456" i="23" s="1"/>
  <c r="B25" i="23"/>
  <c r="R24" i="23"/>
  <c r="B24" i="23"/>
  <c r="B23" i="23"/>
  <c r="W216" i="23"/>
  <c r="W188" i="23"/>
  <c r="W187" i="23"/>
  <c r="W186" i="23"/>
  <c r="W158" i="23"/>
  <c r="W157" i="23"/>
  <c r="W156" i="23"/>
  <c r="W128" i="23"/>
  <c r="W127" i="23"/>
  <c r="W126" i="23"/>
  <c r="W98" i="23"/>
  <c r="W97" i="23"/>
  <c r="W96" i="23"/>
  <c r="W68" i="23"/>
  <c r="W67" i="23"/>
  <c r="W66" i="23"/>
  <c r="R64" i="23"/>
  <c r="AF64" i="23" s="1"/>
  <c r="AG64" i="23" s="1"/>
  <c r="R63" i="23"/>
  <c r="AF63" i="23"/>
  <c r="AG63" i="23" s="1"/>
  <c r="R62" i="23"/>
  <c r="CH62" i="23" s="1"/>
  <c r="CI62" i="23" s="1"/>
  <c r="R61" i="23"/>
  <c r="AF61" i="23"/>
  <c r="AG61" i="23" s="1"/>
  <c r="R60" i="23"/>
  <c r="AF60" i="23" s="1"/>
  <c r="AG60" i="23" s="1"/>
  <c r="W38" i="23"/>
  <c r="W37" i="23"/>
  <c r="W36" i="23"/>
  <c r="W35" i="23"/>
  <c r="W34" i="23"/>
  <c r="W33" i="23"/>
  <c r="W22" i="23"/>
  <c r="W21" i="23"/>
  <c r="W18" i="23"/>
  <c r="W17" i="23"/>
  <c r="W16" i="23"/>
  <c r="W15" i="23"/>
  <c r="W14" i="23"/>
  <c r="W13" i="23"/>
  <c r="W12" i="23"/>
  <c r="W11" i="23"/>
  <c r="W10" i="23"/>
  <c r="W9" i="23"/>
  <c r="W8" i="23"/>
  <c r="AL98" i="23"/>
  <c r="AM98" i="23" s="1"/>
  <c r="AL116" i="23"/>
  <c r="AM116" i="23" s="1"/>
  <c r="AL199" i="23"/>
  <c r="AM199" i="23" s="1"/>
  <c r="AL131" i="23"/>
  <c r="AM131" i="23" s="1"/>
  <c r="AL160" i="23"/>
  <c r="AM160" i="23" s="1"/>
  <c r="AL211" i="23"/>
  <c r="AM211" i="23" s="1"/>
  <c r="AL293" i="23"/>
  <c r="AM293" i="23" s="1"/>
  <c r="AL297" i="23"/>
  <c r="AM297" i="23" s="1"/>
  <c r="AL301" i="23"/>
  <c r="AM301" i="23" s="1"/>
  <c r="AL314" i="23"/>
  <c r="AM314" i="23" s="1"/>
  <c r="AL374" i="23"/>
  <c r="AM374" i="23" s="1"/>
  <c r="AL309" i="23"/>
  <c r="AM309" i="23" s="1"/>
  <c r="AL164" i="23"/>
  <c r="AM164" i="23" s="1"/>
  <c r="AL174" i="23"/>
  <c r="AM174" i="23" s="1"/>
  <c r="AL182" i="23"/>
  <c r="AM182" i="23" s="1"/>
  <c r="AL254" i="23"/>
  <c r="AM254" i="23" s="1"/>
  <c r="AL290" i="23"/>
  <c r="AM290" i="23" s="1"/>
  <c r="AL298" i="23"/>
  <c r="AM298" i="23" s="1"/>
  <c r="AL313" i="23"/>
  <c r="AM313" i="23" s="1"/>
  <c r="AL370" i="23"/>
  <c r="AM370" i="23" s="1"/>
  <c r="AL233" i="23"/>
  <c r="AM233" i="23" s="1"/>
  <c r="AL112" i="23"/>
  <c r="AM112" i="23" s="1"/>
  <c r="AL189" i="23"/>
  <c r="AM189" i="23" s="1"/>
  <c r="AL207" i="23"/>
  <c r="AM207" i="23" s="1"/>
  <c r="AL237" i="23"/>
  <c r="AM237" i="23" s="1"/>
  <c r="AL342" i="23"/>
  <c r="AM342" i="23" s="1"/>
  <c r="AL372" i="23"/>
  <c r="AM372" i="23" s="1"/>
  <c r="AL385" i="23"/>
  <c r="AM385" i="23" s="1"/>
  <c r="AL450" i="23"/>
  <c r="AM450" i="23" s="1"/>
  <c r="AL399" i="23"/>
  <c r="AM399" i="23" s="1"/>
  <c r="AL429" i="23"/>
  <c r="AM429" i="23" s="1"/>
  <c r="AL440" i="23"/>
  <c r="AM440" i="23" s="1"/>
  <c r="AL101" i="23"/>
  <c r="AM101" i="23" s="1"/>
  <c r="AL142" i="23"/>
  <c r="AM142" i="23" s="1"/>
  <c r="AL167" i="23"/>
  <c r="AM167" i="23" s="1"/>
  <c r="AL194" i="23"/>
  <c r="AM194" i="23" s="1"/>
  <c r="AL240" i="23"/>
  <c r="AM240" i="23" s="1"/>
  <c r="AL273" i="23"/>
  <c r="AM273" i="23" s="1"/>
  <c r="AL281" i="23"/>
  <c r="AM281" i="23" s="1"/>
  <c r="AL283" i="23"/>
  <c r="AM283" i="23" s="1"/>
  <c r="AL322" i="23"/>
  <c r="AM322" i="23" s="1"/>
  <c r="AL330" i="23"/>
  <c r="AM330" i="23" s="1"/>
  <c r="AL353" i="23"/>
  <c r="AM353" i="23" s="1"/>
  <c r="AL361" i="23"/>
  <c r="AM361" i="23" s="1"/>
  <c r="AL363" i="23"/>
  <c r="AM363" i="23" s="1"/>
  <c r="AL378" i="23"/>
  <c r="AM378" i="23" s="1"/>
  <c r="AL382" i="23"/>
  <c r="AM382" i="23" s="1"/>
  <c r="AL386" i="23"/>
  <c r="AM386" i="23" s="1"/>
  <c r="AL394" i="23"/>
  <c r="AM394" i="23" s="1"/>
  <c r="AL407" i="23"/>
  <c r="AM407" i="23" s="1"/>
  <c r="AL409" i="23"/>
  <c r="AM409" i="23" s="1"/>
  <c r="AL413" i="23"/>
  <c r="AM413" i="23" s="1"/>
  <c r="AL417" i="23"/>
  <c r="AM417" i="23" s="1"/>
  <c r="AL421" i="23"/>
  <c r="AM421" i="23" s="1"/>
  <c r="AL443" i="23"/>
  <c r="AM443" i="23" s="1"/>
  <c r="AL103" i="23"/>
  <c r="AM103" i="23" s="1"/>
  <c r="AL132" i="23"/>
  <c r="AM132" i="23" s="1"/>
  <c r="AL181" i="23"/>
  <c r="AM181" i="23" s="1"/>
  <c r="AL190" i="23"/>
  <c r="AM190" i="23" s="1"/>
  <c r="AL260" i="23"/>
  <c r="AM260" i="23" s="1"/>
  <c r="AL280" i="23"/>
  <c r="AM280" i="23" s="1"/>
  <c r="AL308" i="23"/>
  <c r="AM308" i="23" s="1"/>
  <c r="AL318" i="23"/>
  <c r="AM318" i="23" s="1"/>
  <c r="AL326" i="23"/>
  <c r="AM326" i="23" s="1"/>
  <c r="AL348" i="23"/>
  <c r="AM348" i="23" s="1"/>
  <c r="AL380" i="23"/>
  <c r="AM380" i="23" s="1"/>
  <c r="AL388" i="23"/>
  <c r="AM388" i="23" s="1"/>
  <c r="AL392" i="23"/>
  <c r="AM392" i="23" s="1"/>
  <c r="AL418" i="23"/>
  <c r="AM418" i="23" s="1"/>
  <c r="AL430" i="23"/>
  <c r="AM430" i="23" s="1"/>
  <c r="AL434" i="23"/>
  <c r="AM434" i="23" s="1"/>
  <c r="AL264" i="23"/>
  <c r="AM264" i="23" s="1"/>
  <c r="AL251" i="23"/>
  <c r="AM251" i="23" s="1"/>
  <c r="AL236" i="23"/>
  <c r="AM236" i="23" s="1"/>
  <c r="AL234" i="23"/>
  <c r="AM234" i="23" s="1"/>
  <c r="AL448" i="23"/>
  <c r="AM448" i="23" s="1"/>
  <c r="AL122" i="23"/>
  <c r="AM122" i="23" s="1"/>
  <c r="AL114" i="23"/>
  <c r="AM114" i="23" s="1"/>
  <c r="AL143" i="23"/>
  <c r="AM143" i="23" s="1"/>
  <c r="AL110" i="23"/>
  <c r="AM110" i="23" s="1"/>
  <c r="AL92" i="23"/>
  <c r="AM92" i="23" s="1"/>
  <c r="AL83" i="23"/>
  <c r="AM83" i="23" s="1"/>
  <c r="AL93" i="23"/>
  <c r="AM93" i="23" s="1"/>
  <c r="AL412" i="23"/>
  <c r="AM412" i="23" s="1"/>
  <c r="AL444" i="23"/>
  <c r="AM444" i="23" s="1"/>
  <c r="AL249" i="23"/>
  <c r="AM249" i="23" s="1"/>
  <c r="AL147" i="23"/>
  <c r="AM147" i="23" s="1"/>
  <c r="AL33" i="23"/>
  <c r="AM33" i="23" s="1"/>
  <c r="AL408" i="23"/>
  <c r="AM408" i="23" s="1"/>
  <c r="AL214" i="23"/>
  <c r="AM214" i="23" s="1"/>
  <c r="AL198" i="23"/>
  <c r="AM198" i="23" s="1"/>
  <c r="AL177" i="23"/>
  <c r="AM177" i="23" s="1"/>
  <c r="AL340" i="23"/>
  <c r="AM340" i="23" s="1"/>
  <c r="AL333" i="23"/>
  <c r="AM333" i="23" s="1"/>
  <c r="AL445" i="23"/>
  <c r="AM445" i="23" s="1"/>
  <c r="AL221" i="23"/>
  <c r="AM221" i="23" s="1"/>
  <c r="AL202" i="23"/>
  <c r="AM202" i="23" s="1"/>
  <c r="AL231" i="23"/>
  <c r="AM231" i="23" s="1"/>
  <c r="AL439" i="23"/>
  <c r="AM439" i="23" s="1"/>
  <c r="AL242" i="23"/>
  <c r="AM242" i="23" s="1"/>
  <c r="AL173" i="23"/>
  <c r="AM173" i="23" s="1"/>
  <c r="AL111" i="23"/>
  <c r="AM111" i="23" s="1"/>
  <c r="AL235" i="23"/>
  <c r="AM235" i="23" s="1"/>
  <c r="AL354" i="23"/>
  <c r="AM354" i="23" s="1"/>
  <c r="AL206" i="23"/>
  <c r="AM206" i="23" s="1"/>
  <c r="AL169" i="23"/>
  <c r="AM169" i="23" s="1"/>
  <c r="AL271" i="23"/>
  <c r="AM271" i="23" s="1"/>
  <c r="AL210" i="23"/>
  <c r="AM210" i="23" s="1"/>
  <c r="AL163" i="23"/>
  <c r="AM163" i="23" s="1"/>
  <c r="AL344" i="23"/>
  <c r="AM344" i="23" s="1"/>
  <c r="AL278" i="23"/>
  <c r="AM278" i="23" s="1"/>
  <c r="AL69" i="23"/>
  <c r="AM69" i="23" s="1"/>
  <c r="AL88" i="23"/>
  <c r="AM88" i="23" s="1"/>
  <c r="AL89" i="23"/>
  <c r="AM89" i="23" s="1"/>
  <c r="AL232" i="23"/>
  <c r="AM232" i="23" s="1"/>
  <c r="AL26" i="23"/>
  <c r="AM26" i="23" s="1"/>
  <c r="FZ62" i="23"/>
  <c r="GA62" i="23" s="1"/>
  <c r="FN62" i="23"/>
  <c r="FO62" i="23" s="1"/>
  <c r="FT62" i="23"/>
  <c r="FU62" i="23" s="1"/>
  <c r="FH62" i="23"/>
  <c r="FI62" i="23" s="1"/>
  <c r="FB62" i="23"/>
  <c r="FC62" i="23" s="1"/>
  <c r="EV62" i="23"/>
  <c r="EW62" i="23" s="1"/>
  <c r="EP62" i="23"/>
  <c r="EQ62" i="23" s="1"/>
  <c r="EJ62" i="23"/>
  <c r="EK62" i="23" s="1"/>
  <c r="DR62" i="23"/>
  <c r="DS62" i="23" s="1"/>
  <c r="DX62" i="23"/>
  <c r="DY62" i="23" s="1"/>
  <c r="ED62" i="23"/>
  <c r="EE62" i="23" s="1"/>
  <c r="CZ62" i="23"/>
  <c r="DA62" i="23" s="1"/>
  <c r="CT62" i="23"/>
  <c r="CU62" i="23" s="1"/>
  <c r="DF62" i="23"/>
  <c r="DG62" i="23" s="1"/>
  <c r="CN62" i="23"/>
  <c r="CO62" i="23" s="1"/>
  <c r="BJ62" i="23"/>
  <c r="EV42" i="23"/>
  <c r="FH42" i="23"/>
  <c r="FI42" i="23" s="1"/>
  <c r="EJ42" i="23"/>
  <c r="DX42" i="23"/>
  <c r="BJ42" i="23"/>
  <c r="CH42" i="23"/>
  <c r="CI42" i="23" s="1"/>
  <c r="CT42" i="23"/>
  <c r="CU42" i="23" s="1"/>
  <c r="CN42" i="23"/>
  <c r="CO42" i="23" s="1"/>
  <c r="BV42" i="23"/>
  <c r="BW42" i="23" s="1"/>
  <c r="CB42" i="23"/>
  <c r="CC42" i="23" s="1"/>
  <c r="BD42" i="23"/>
  <c r="BE42" i="23" s="1"/>
  <c r="FN56" i="23"/>
  <c r="FO56" i="23" s="1"/>
  <c r="FT56" i="23"/>
  <c r="FU56" i="23" s="1"/>
  <c r="FZ56" i="23"/>
  <c r="GA56" i="23" s="1"/>
  <c r="FH56" i="23"/>
  <c r="FI56" i="23" s="1"/>
  <c r="FB56" i="23"/>
  <c r="EV56" i="23"/>
  <c r="EP56" i="23"/>
  <c r="DR56" i="23"/>
  <c r="DX56" i="23"/>
  <c r="EJ56" i="23"/>
  <c r="CZ56" i="23"/>
  <c r="DA56" i="23" s="1"/>
  <c r="DF56" i="23"/>
  <c r="DG56" i="23" s="1"/>
  <c r="CT56" i="23"/>
  <c r="CU56" i="23" s="1"/>
  <c r="CN56" i="23"/>
  <c r="CO56" i="23" s="1"/>
  <c r="ED56" i="23"/>
  <c r="CH56" i="23"/>
  <c r="CI56" i="23"/>
  <c r="CB56" i="23"/>
  <c r="CC56" i="23"/>
  <c r="BD56" i="23"/>
  <c r="BE56" i="23"/>
  <c r="BV56" i="23"/>
  <c r="BW56" i="23"/>
  <c r="FZ78" i="23"/>
  <c r="GA78" i="23"/>
  <c r="FN78" i="23"/>
  <c r="FO78" i="23"/>
  <c r="FB78" i="23"/>
  <c r="FC78" i="23"/>
  <c r="FT78" i="23"/>
  <c r="FU78" i="23"/>
  <c r="FH78" i="23"/>
  <c r="FI78" i="23"/>
  <c r="EV78" i="23"/>
  <c r="EW78" i="23"/>
  <c r="ED78" i="23"/>
  <c r="EE78" i="23"/>
  <c r="DX78" i="23"/>
  <c r="DY78" i="23"/>
  <c r="DR78" i="23"/>
  <c r="DS78" i="23"/>
  <c r="EJ78" i="23"/>
  <c r="EK78" i="23"/>
  <c r="EP78" i="23"/>
  <c r="EQ78" i="23"/>
  <c r="DL78" i="23"/>
  <c r="DM78" i="23"/>
  <c r="DF78" i="23"/>
  <c r="DG78" i="23"/>
  <c r="CZ78" i="23"/>
  <c r="DA78" i="23"/>
  <c r="CT78" i="23"/>
  <c r="CU78" i="23"/>
  <c r="CN78" i="23"/>
  <c r="CO78" i="23"/>
  <c r="CH78" i="23"/>
  <c r="CI78" i="23"/>
  <c r="BV78" i="23"/>
  <c r="BW78" i="23"/>
  <c r="BJ78" i="23"/>
  <c r="BK78" i="23"/>
  <c r="CB78" i="23"/>
  <c r="CC78" i="23"/>
  <c r="BD78" i="23"/>
  <c r="BE78" i="23"/>
  <c r="FN90" i="23"/>
  <c r="FO90" i="23"/>
  <c r="FZ90" i="23"/>
  <c r="GA90" i="23"/>
  <c r="FT90" i="23"/>
  <c r="FU90" i="23"/>
  <c r="FH90" i="23"/>
  <c r="FI90" i="23"/>
  <c r="EV90" i="23"/>
  <c r="EW90" i="23"/>
  <c r="EP90" i="23"/>
  <c r="EQ90" i="23"/>
  <c r="ED90" i="23"/>
  <c r="EE90" i="23"/>
  <c r="DR90" i="23"/>
  <c r="DS90" i="23"/>
  <c r="FB90" i="23"/>
  <c r="FC90" i="23"/>
  <c r="DX90" i="23"/>
  <c r="DY90" i="23"/>
  <c r="EJ90" i="23"/>
  <c r="EK90" i="23"/>
  <c r="DF90" i="23"/>
  <c r="DG90" i="23"/>
  <c r="CT90" i="23"/>
  <c r="CU90" i="23"/>
  <c r="CN90" i="23"/>
  <c r="CO90" i="23"/>
  <c r="DL90" i="23"/>
  <c r="DM90" i="23"/>
  <c r="CZ90" i="23"/>
  <c r="DA90" i="23"/>
  <c r="CH90" i="23"/>
  <c r="CI90" i="23"/>
  <c r="CB90" i="23"/>
  <c r="CC90" i="23"/>
  <c r="BD90" i="23"/>
  <c r="BE90" i="23"/>
  <c r="BV90" i="23"/>
  <c r="BW90" i="23"/>
  <c r="BJ90" i="23"/>
  <c r="BK90" i="23"/>
  <c r="FZ99" i="23"/>
  <c r="GA99" i="23"/>
  <c r="FN99" i="23"/>
  <c r="FO99" i="23"/>
  <c r="FH99" i="23"/>
  <c r="FI99" i="23"/>
  <c r="FB99" i="23"/>
  <c r="FC99" i="23"/>
  <c r="EP99" i="23"/>
  <c r="EQ99" i="23"/>
  <c r="FT99" i="23"/>
  <c r="FU99" i="23"/>
  <c r="EV99" i="23"/>
  <c r="EW99" i="23"/>
  <c r="DR99" i="23"/>
  <c r="DS99" i="23"/>
  <c r="DX99" i="23"/>
  <c r="DY99" i="23"/>
  <c r="EJ99" i="23"/>
  <c r="EK99" i="23"/>
  <c r="ED99" i="23"/>
  <c r="EE99" i="23"/>
  <c r="DL99" i="23"/>
  <c r="DM99" i="23"/>
  <c r="CZ99" i="23"/>
  <c r="DA99" i="23"/>
  <c r="CT99" i="23"/>
  <c r="CU99" i="23"/>
  <c r="CN99" i="23"/>
  <c r="CO99" i="23"/>
  <c r="CH99" i="23"/>
  <c r="CI99" i="23"/>
  <c r="DF99" i="23"/>
  <c r="DG99" i="23"/>
  <c r="CB99" i="23"/>
  <c r="CC99" i="23"/>
  <c r="BD99" i="23"/>
  <c r="BE99" i="23"/>
  <c r="BV99" i="23"/>
  <c r="BW99" i="23"/>
  <c r="BJ99" i="23"/>
  <c r="BK99" i="23"/>
  <c r="FN109" i="23"/>
  <c r="FO109" i="23"/>
  <c r="FZ109" i="23"/>
  <c r="GA109" i="23"/>
  <c r="FT109" i="23"/>
  <c r="FU109" i="23"/>
  <c r="EV109" i="23"/>
  <c r="EW109" i="23"/>
  <c r="EJ109" i="23"/>
  <c r="EK109" i="23"/>
  <c r="FH109" i="23"/>
  <c r="FI109" i="23"/>
  <c r="FB109" i="23"/>
  <c r="FC109" i="23"/>
  <c r="DR109" i="23"/>
  <c r="DS109" i="23"/>
  <c r="EP109" i="23"/>
  <c r="EQ109" i="23"/>
  <c r="ED109" i="23"/>
  <c r="EE109" i="23"/>
  <c r="DX109" i="23"/>
  <c r="DY109" i="23"/>
  <c r="DF109" i="23"/>
  <c r="DG109" i="23"/>
  <c r="CN109" i="23"/>
  <c r="CO109" i="23"/>
  <c r="CZ109" i="23"/>
  <c r="DA109" i="23"/>
  <c r="CT109" i="23"/>
  <c r="CU109" i="23"/>
  <c r="DL109" i="23"/>
  <c r="DM109" i="23"/>
  <c r="BV109" i="23"/>
  <c r="BW109" i="23"/>
  <c r="BJ109" i="23"/>
  <c r="BK109" i="23"/>
  <c r="CH109" i="23"/>
  <c r="CI109" i="23"/>
  <c r="CB109" i="23"/>
  <c r="CC109" i="23"/>
  <c r="BD109" i="23"/>
  <c r="BE109" i="23"/>
  <c r="FZ117" i="23"/>
  <c r="GA117" i="23"/>
  <c r="FN117" i="23"/>
  <c r="FO117" i="23"/>
  <c r="FH117" i="23"/>
  <c r="FI117" i="23"/>
  <c r="EV117" i="23"/>
  <c r="EW117" i="23"/>
  <c r="DX117" i="23"/>
  <c r="DY117" i="23"/>
  <c r="EP117" i="23"/>
  <c r="EQ117" i="23"/>
  <c r="EJ117" i="23"/>
  <c r="EK117" i="23"/>
  <c r="DR117" i="23"/>
  <c r="DS117" i="23"/>
  <c r="FB117" i="23"/>
  <c r="FC117" i="23"/>
  <c r="FT117" i="23"/>
  <c r="FU117" i="23"/>
  <c r="ED117" i="23"/>
  <c r="EE117" i="23"/>
  <c r="DF117" i="23"/>
  <c r="DG117" i="23"/>
  <c r="DL117" i="23"/>
  <c r="DM117" i="23"/>
  <c r="CT117" i="23"/>
  <c r="CU117" i="23"/>
  <c r="CN117" i="23"/>
  <c r="CO117" i="23"/>
  <c r="CH117" i="23"/>
  <c r="CI117" i="23"/>
  <c r="CZ117" i="23"/>
  <c r="DA117" i="23"/>
  <c r="BV117" i="23"/>
  <c r="BW117" i="23"/>
  <c r="CB117" i="23"/>
  <c r="CC117" i="23"/>
  <c r="BJ117" i="23"/>
  <c r="BK117" i="23"/>
  <c r="BD117" i="23"/>
  <c r="BE117" i="23"/>
  <c r="FZ128" i="23"/>
  <c r="GA128" i="23"/>
  <c r="FN128" i="23"/>
  <c r="FO128" i="23"/>
  <c r="FT128" i="23"/>
  <c r="FU128" i="23"/>
  <c r="FB128" i="23"/>
  <c r="FC128" i="23"/>
  <c r="EV128" i="23"/>
  <c r="EW128" i="23"/>
  <c r="FH128" i="23"/>
  <c r="FI128" i="23"/>
  <c r="EP128" i="23"/>
  <c r="EQ128" i="23"/>
  <c r="ED128" i="23"/>
  <c r="EE128" i="23"/>
  <c r="DX128" i="23"/>
  <c r="DY128" i="23"/>
  <c r="EJ128" i="23"/>
  <c r="EK128" i="23"/>
  <c r="DR128" i="23"/>
  <c r="DS128" i="23"/>
  <c r="DL128" i="23"/>
  <c r="DM128" i="23"/>
  <c r="CZ128" i="23"/>
  <c r="DA128" i="23"/>
  <c r="CT128" i="23"/>
  <c r="CU128" i="23"/>
  <c r="CN128" i="23"/>
  <c r="CO128" i="23"/>
  <c r="CH128" i="23"/>
  <c r="CI128" i="23"/>
  <c r="DF128" i="23"/>
  <c r="DG128" i="23"/>
  <c r="CB128" i="23"/>
  <c r="CC128" i="23"/>
  <c r="BV128" i="23"/>
  <c r="BW128" i="23"/>
  <c r="BJ128" i="23"/>
  <c r="BK128" i="23"/>
  <c r="BD128" i="23"/>
  <c r="BE128" i="23"/>
  <c r="FN142" i="23"/>
  <c r="FO142" i="23"/>
  <c r="FZ142" i="23"/>
  <c r="GA142" i="23"/>
  <c r="FT142" i="23"/>
  <c r="FU142" i="23"/>
  <c r="FB142" i="23"/>
  <c r="FC142" i="23"/>
  <c r="FH142" i="23"/>
  <c r="FI142" i="23"/>
  <c r="EV142" i="23"/>
  <c r="EW142" i="23"/>
  <c r="EP142" i="23"/>
  <c r="EQ142" i="23"/>
  <c r="ED142" i="23"/>
  <c r="EE142" i="23"/>
  <c r="DR142" i="23"/>
  <c r="DS142" i="23"/>
  <c r="EJ142" i="23"/>
  <c r="EK142" i="23"/>
  <c r="DL142" i="23"/>
  <c r="DM142" i="23"/>
  <c r="DX142" i="23"/>
  <c r="DY142" i="23"/>
  <c r="DF142" i="23"/>
  <c r="DG142" i="23"/>
  <c r="CZ142" i="23"/>
  <c r="DA142" i="23"/>
  <c r="CT142" i="23"/>
  <c r="CU142" i="23"/>
  <c r="CN142" i="23"/>
  <c r="CO142" i="23"/>
  <c r="BD142" i="23"/>
  <c r="BE142" i="23"/>
  <c r="CH142" i="23"/>
  <c r="CI142" i="23"/>
  <c r="CB142" i="23"/>
  <c r="CC142" i="23"/>
  <c r="BJ142" i="23"/>
  <c r="BK142" i="23"/>
  <c r="BV142" i="23"/>
  <c r="BW142" i="23"/>
  <c r="FZ154" i="23"/>
  <c r="GA154" i="23"/>
  <c r="FN154" i="23"/>
  <c r="FO154" i="23"/>
  <c r="FT154" i="23"/>
  <c r="FU154" i="23"/>
  <c r="FH154" i="23"/>
  <c r="FI154" i="23"/>
  <c r="FB154" i="23"/>
  <c r="FC154" i="23"/>
  <c r="EP154" i="23"/>
  <c r="EQ154" i="23"/>
  <c r="EV154" i="23"/>
  <c r="EW154" i="23"/>
  <c r="ED154" i="23"/>
  <c r="EE154" i="23"/>
  <c r="DX154" i="23"/>
  <c r="DY154" i="23"/>
  <c r="DR154" i="23"/>
  <c r="DS154" i="23"/>
  <c r="EJ154" i="23"/>
  <c r="EK154" i="23"/>
  <c r="DF154" i="23"/>
  <c r="DG154" i="23"/>
  <c r="CZ154" i="23"/>
  <c r="DA154" i="23"/>
  <c r="CN154" i="23"/>
  <c r="CO154" i="23"/>
  <c r="DL154" i="23"/>
  <c r="DM154" i="23"/>
  <c r="CT154" i="23"/>
  <c r="CU154" i="23"/>
  <c r="BV154" i="23"/>
  <c r="BW154" i="23"/>
  <c r="BD154" i="23"/>
  <c r="BE154" i="23"/>
  <c r="CB154" i="23"/>
  <c r="CC154" i="23"/>
  <c r="CH154" i="23"/>
  <c r="CI154" i="23"/>
  <c r="BJ154" i="23"/>
  <c r="BK154" i="23"/>
  <c r="FZ175" i="23"/>
  <c r="GA175" i="23"/>
  <c r="FN175" i="23"/>
  <c r="FO175" i="23"/>
  <c r="FB175" i="23"/>
  <c r="FC175" i="23"/>
  <c r="FT175" i="23"/>
  <c r="FU175" i="23"/>
  <c r="FH175" i="23"/>
  <c r="FI175" i="23"/>
  <c r="EV175" i="23"/>
  <c r="EW175" i="23"/>
  <c r="EJ175" i="23"/>
  <c r="EK175" i="23"/>
  <c r="EP175" i="23"/>
  <c r="EQ175" i="23"/>
  <c r="ED175" i="23"/>
  <c r="EE175" i="23"/>
  <c r="DX175" i="23"/>
  <c r="DY175" i="23"/>
  <c r="DR175" i="23"/>
  <c r="DS175" i="23"/>
  <c r="DL175" i="23"/>
  <c r="DM175" i="23"/>
  <c r="DF175" i="23"/>
  <c r="DG175" i="23"/>
  <c r="CZ175" i="23"/>
  <c r="DA175" i="23"/>
  <c r="CN175" i="23"/>
  <c r="CO175" i="23"/>
  <c r="CT175" i="23"/>
  <c r="CU175" i="23"/>
  <c r="CH175" i="23"/>
  <c r="CI175" i="23"/>
  <c r="BD175" i="23"/>
  <c r="BE175" i="23"/>
  <c r="BV175" i="23"/>
  <c r="BW175" i="23"/>
  <c r="CB175" i="23"/>
  <c r="CC175" i="23"/>
  <c r="BJ175" i="23"/>
  <c r="BK175" i="23"/>
  <c r="FZ190" i="23"/>
  <c r="GA190" i="23"/>
  <c r="FH190" i="23"/>
  <c r="FI190" i="23"/>
  <c r="FB190" i="23"/>
  <c r="FC190" i="23"/>
  <c r="EV190" i="23"/>
  <c r="EW190" i="23"/>
  <c r="FT190" i="23"/>
  <c r="FU190" i="23"/>
  <c r="EP190" i="23"/>
  <c r="EQ190" i="23"/>
  <c r="FN190" i="23"/>
  <c r="FO190" i="23"/>
  <c r="ED190" i="23"/>
  <c r="EE190" i="23"/>
  <c r="EJ190" i="23"/>
  <c r="EK190" i="23"/>
  <c r="DX190" i="23"/>
  <c r="DY190" i="23"/>
  <c r="DL190" i="23"/>
  <c r="DM190" i="23"/>
  <c r="DR190" i="23"/>
  <c r="DS190" i="23"/>
  <c r="CH190" i="23"/>
  <c r="CI190" i="23"/>
  <c r="CT190" i="23"/>
  <c r="CU190" i="23"/>
  <c r="DF190" i="23"/>
  <c r="DG190" i="23"/>
  <c r="CN190" i="23"/>
  <c r="CO190" i="23"/>
  <c r="CZ190" i="23"/>
  <c r="DA190" i="23"/>
  <c r="BD190" i="23"/>
  <c r="BE190" i="23"/>
  <c r="CB190" i="23"/>
  <c r="CC190" i="23"/>
  <c r="BV190" i="23"/>
  <c r="BW190" i="23"/>
  <c r="BJ190" i="23"/>
  <c r="BK190" i="23"/>
  <c r="FZ204" i="23"/>
  <c r="GA204" i="23"/>
  <c r="FN204" i="23"/>
  <c r="FO204" i="23"/>
  <c r="FT204" i="23"/>
  <c r="FU204" i="23"/>
  <c r="FH204" i="23"/>
  <c r="FI204" i="23"/>
  <c r="FB204" i="23"/>
  <c r="FC204" i="23"/>
  <c r="EP204" i="23"/>
  <c r="EQ204" i="23"/>
  <c r="EV204" i="23"/>
  <c r="EW204" i="23"/>
  <c r="DX204" i="23"/>
  <c r="DY204" i="23"/>
  <c r="DR204" i="23"/>
  <c r="DS204" i="23"/>
  <c r="EJ204" i="23"/>
  <c r="EK204" i="23"/>
  <c r="ED204" i="23"/>
  <c r="EE204" i="23"/>
  <c r="DF204" i="23"/>
  <c r="DG204" i="23"/>
  <c r="CT204" i="23"/>
  <c r="CU204" i="23"/>
  <c r="DL204" i="23"/>
  <c r="DM204" i="23"/>
  <c r="CZ204" i="23"/>
  <c r="DA204" i="23"/>
  <c r="CN204" i="23"/>
  <c r="CO204" i="23"/>
  <c r="CH204" i="23"/>
  <c r="CI204" i="23"/>
  <c r="CB204" i="23"/>
  <c r="CC204" i="23"/>
  <c r="BJ204" i="23"/>
  <c r="BK204" i="23"/>
  <c r="BD204" i="23"/>
  <c r="BE204" i="23"/>
  <c r="BV204" i="23"/>
  <c r="BW204" i="23"/>
  <c r="FZ212" i="23"/>
  <c r="GA212" i="23"/>
  <c r="FN212" i="23"/>
  <c r="FO212" i="23"/>
  <c r="FT212" i="23"/>
  <c r="FU212" i="23"/>
  <c r="FH212" i="23"/>
  <c r="FI212" i="23"/>
  <c r="EV212" i="23"/>
  <c r="EW212" i="23"/>
  <c r="EP212" i="23"/>
  <c r="EQ212" i="23"/>
  <c r="FB212" i="23"/>
  <c r="FC212" i="23"/>
  <c r="DR212" i="23"/>
  <c r="DS212" i="23"/>
  <c r="DX212" i="23"/>
  <c r="DY212" i="23"/>
  <c r="ED212" i="23"/>
  <c r="EE212" i="23"/>
  <c r="DL212" i="23"/>
  <c r="DM212" i="23"/>
  <c r="EJ212" i="23"/>
  <c r="EK212" i="23"/>
  <c r="DF212" i="23"/>
  <c r="DG212" i="23"/>
  <c r="CT212" i="23"/>
  <c r="CU212" i="23"/>
  <c r="CN212" i="23"/>
  <c r="CO212" i="23"/>
  <c r="CH212" i="23"/>
  <c r="CI212" i="23"/>
  <c r="CZ212" i="23"/>
  <c r="DA212" i="23"/>
  <c r="CB212" i="23"/>
  <c r="CC212" i="23"/>
  <c r="BJ212" i="23"/>
  <c r="BK212" i="23"/>
  <c r="BD212" i="23"/>
  <c r="BE212" i="23"/>
  <c r="BV212" i="23"/>
  <c r="BW212" i="23"/>
  <c r="FZ233" i="23"/>
  <c r="GA233" i="23"/>
  <c r="FN233" i="23"/>
  <c r="FO233" i="23"/>
  <c r="FT233" i="23"/>
  <c r="FU233" i="23"/>
  <c r="FH233" i="23"/>
  <c r="FI233" i="23"/>
  <c r="EV233" i="23"/>
  <c r="EW233" i="23"/>
  <c r="FB233" i="23"/>
  <c r="FC233" i="23"/>
  <c r="EJ233" i="23"/>
  <c r="EK233" i="23"/>
  <c r="EP233" i="23"/>
  <c r="EQ233" i="23"/>
  <c r="DR233" i="23"/>
  <c r="DS233" i="23"/>
  <c r="ED233" i="23"/>
  <c r="EE233" i="23"/>
  <c r="DX233" i="23"/>
  <c r="DY233" i="23" s="1"/>
  <c r="DL233" i="23"/>
  <c r="DM233" i="23"/>
  <c r="CZ233" i="23"/>
  <c r="DA233" i="23" s="1"/>
  <c r="CT233" i="23"/>
  <c r="CU233" i="23"/>
  <c r="CH233" i="23"/>
  <c r="CI233" i="23" s="1"/>
  <c r="DF233" i="23"/>
  <c r="DG233" i="23"/>
  <c r="CN233" i="23"/>
  <c r="CO233" i="23" s="1"/>
  <c r="BJ233" i="23"/>
  <c r="BK233" i="23"/>
  <c r="BD233" i="23"/>
  <c r="BE233" i="23" s="1"/>
  <c r="BV233" i="23"/>
  <c r="BW233" i="23"/>
  <c r="CB233" i="23"/>
  <c r="CC233" i="23" s="1"/>
  <c r="AL241" i="23"/>
  <c r="AM241" i="23"/>
  <c r="FZ241" i="23"/>
  <c r="GA241" i="23" s="1"/>
  <c r="FN241" i="23"/>
  <c r="FO241" i="23"/>
  <c r="FH241" i="23"/>
  <c r="FI241" i="23" s="1"/>
  <c r="FB241" i="23"/>
  <c r="FC241" i="23"/>
  <c r="EV241" i="23"/>
  <c r="EW241" i="23" s="1"/>
  <c r="FT241" i="23"/>
  <c r="FU241" i="23"/>
  <c r="EJ241" i="23"/>
  <c r="EK241" i="23" s="1"/>
  <c r="DX241" i="23"/>
  <c r="DY241" i="23"/>
  <c r="DR241" i="23"/>
  <c r="DS241" i="23" s="1"/>
  <c r="EP241" i="23"/>
  <c r="EQ241" i="23"/>
  <c r="ED241" i="23"/>
  <c r="EE241" i="23" s="1"/>
  <c r="DF241" i="23"/>
  <c r="DG241" i="23"/>
  <c r="DL241" i="23"/>
  <c r="DM241" i="23" s="1"/>
  <c r="CZ241" i="23"/>
  <c r="DA241" i="23"/>
  <c r="CT241" i="23"/>
  <c r="CU241" i="23" s="1"/>
  <c r="CN241" i="23"/>
  <c r="CO241" i="23"/>
  <c r="CB241" i="23"/>
  <c r="CC241" i="23" s="1"/>
  <c r="BJ241" i="23"/>
  <c r="BK241" i="23"/>
  <c r="BD241" i="23"/>
  <c r="BE241" i="23" s="1"/>
  <c r="CH241" i="23"/>
  <c r="CI241" i="23"/>
  <c r="BV241" i="23"/>
  <c r="BW241" i="23" s="1"/>
  <c r="FN258" i="23"/>
  <c r="FO258" i="23"/>
  <c r="FT258" i="23"/>
  <c r="FU258" i="23" s="1"/>
  <c r="FZ258" i="23"/>
  <c r="GA258" i="23"/>
  <c r="FB258" i="23"/>
  <c r="FC258" i="23" s="1"/>
  <c r="EP258" i="23"/>
  <c r="EQ258" i="23"/>
  <c r="FH258" i="23"/>
  <c r="FI258" i="23" s="1"/>
  <c r="EV258" i="23"/>
  <c r="EW258" i="23"/>
  <c r="EJ258" i="23"/>
  <c r="EK258" i="23" s="1"/>
  <c r="ED258" i="23"/>
  <c r="EE258" i="23"/>
  <c r="DX258" i="23"/>
  <c r="DY258" i="23" s="1"/>
  <c r="DL258" i="23"/>
  <c r="DM258" i="23"/>
  <c r="CZ258" i="23"/>
  <c r="DA258" i="23" s="1"/>
  <c r="DR258" i="23"/>
  <c r="DS258" i="23"/>
  <c r="DF258" i="23"/>
  <c r="DG258" i="23" s="1"/>
  <c r="CT258" i="23"/>
  <c r="CU258" i="23"/>
  <c r="CN258" i="23"/>
  <c r="CO258" i="23" s="1"/>
  <c r="CH258" i="23"/>
  <c r="CI258" i="23"/>
  <c r="BD258" i="23"/>
  <c r="BE258" i="23" s="1"/>
  <c r="BV258" i="23"/>
  <c r="BW258" i="23"/>
  <c r="CB258" i="23"/>
  <c r="CC258" i="23" s="1"/>
  <c r="BJ258" i="23"/>
  <c r="BK258" i="23"/>
  <c r="FZ270" i="23"/>
  <c r="GA270" i="23" s="1"/>
  <c r="FN270" i="23"/>
  <c r="FO270" i="23"/>
  <c r="FT270" i="23"/>
  <c r="FU270" i="23" s="1"/>
  <c r="FH270" i="23"/>
  <c r="FI270" i="23"/>
  <c r="EP270" i="23"/>
  <c r="EQ270" i="23" s="1"/>
  <c r="FB270" i="23"/>
  <c r="FC270" i="23"/>
  <c r="EV270" i="23"/>
  <c r="EW270" i="23" s="1"/>
  <c r="EJ270" i="23"/>
  <c r="EK270" i="23"/>
  <c r="ED270" i="23"/>
  <c r="EE270" i="23" s="1"/>
  <c r="DR270" i="23"/>
  <c r="DS270" i="23"/>
  <c r="DX270" i="23"/>
  <c r="DY270" i="23" s="1"/>
  <c r="CN270" i="23"/>
  <c r="CO270" i="23"/>
  <c r="CZ270" i="23"/>
  <c r="DA270" i="23" s="1"/>
  <c r="DL270" i="23"/>
  <c r="DM270" i="23"/>
  <c r="CT270" i="23"/>
  <c r="CU270" i="23" s="1"/>
  <c r="CH270" i="23"/>
  <c r="CI270" i="23"/>
  <c r="DF270" i="23"/>
  <c r="DG270" i="23" s="1"/>
  <c r="CB270" i="23"/>
  <c r="CC270" i="23"/>
  <c r="BJ270" i="23"/>
  <c r="BK270" i="23" s="1"/>
  <c r="BD270" i="23"/>
  <c r="BE270" i="23"/>
  <c r="BV270" i="23"/>
  <c r="BW270" i="23" s="1"/>
  <c r="FN287" i="23"/>
  <c r="FO287" i="23"/>
  <c r="FZ287" i="23"/>
  <c r="GA287" i="23" s="1"/>
  <c r="FH287" i="23"/>
  <c r="FI287" i="23"/>
  <c r="FT287" i="23"/>
  <c r="FU287" i="23" s="1"/>
  <c r="EV287" i="23"/>
  <c r="EW287" i="23"/>
  <c r="EP287" i="23"/>
  <c r="EQ287" i="23" s="1"/>
  <c r="FB287" i="23"/>
  <c r="FC287" i="23"/>
  <c r="EJ287" i="23"/>
  <c r="EK287" i="23" s="1"/>
  <c r="ED287" i="23"/>
  <c r="EE287" i="23"/>
  <c r="DX287" i="23"/>
  <c r="DY287" i="23" s="1"/>
  <c r="DR287" i="23"/>
  <c r="DS287" i="23"/>
  <c r="DF287" i="23"/>
  <c r="DG287" i="23" s="1"/>
  <c r="DL287" i="23"/>
  <c r="DM287" i="23"/>
  <c r="CZ287" i="23"/>
  <c r="DA287" i="23" s="1"/>
  <c r="CT287" i="23"/>
  <c r="CU287" i="23"/>
  <c r="CN287" i="23"/>
  <c r="CO287" i="23" s="1"/>
  <c r="CH287" i="23"/>
  <c r="CI287" i="23"/>
  <c r="BD287" i="23"/>
  <c r="BE287" i="23" s="1"/>
  <c r="BV287" i="23"/>
  <c r="BW287" i="23"/>
  <c r="BJ287" i="23"/>
  <c r="BK287" i="23" s="1"/>
  <c r="CB287" i="23"/>
  <c r="CC287" i="23"/>
  <c r="FN295" i="23"/>
  <c r="FO295" i="23" s="1"/>
  <c r="FZ295" i="23"/>
  <c r="GA295" i="23"/>
  <c r="FT295" i="23"/>
  <c r="FU295" i="23" s="1"/>
  <c r="FB295" i="23"/>
  <c r="FC295" i="23"/>
  <c r="EP295" i="23"/>
  <c r="EQ295" i="23" s="1"/>
  <c r="FH295" i="23"/>
  <c r="FI295" i="23"/>
  <c r="EJ295" i="23"/>
  <c r="EK295" i="23" s="1"/>
  <c r="DR295" i="23"/>
  <c r="DS295" i="23"/>
  <c r="EV295" i="23"/>
  <c r="EW295" i="23" s="1"/>
  <c r="DX295" i="23"/>
  <c r="DY295" i="23"/>
  <c r="CZ295" i="23"/>
  <c r="DA295" i="23" s="1"/>
  <c r="ED295" i="23"/>
  <c r="EE295" i="23"/>
  <c r="CT295" i="23"/>
  <c r="CU295" i="23" s="1"/>
  <c r="CN295" i="23"/>
  <c r="CO295" i="23"/>
  <c r="DL295" i="23"/>
  <c r="DM295" i="23" s="1"/>
  <c r="DF295" i="23"/>
  <c r="DG295" i="23"/>
  <c r="CH295" i="23"/>
  <c r="CI295" i="23" s="1"/>
  <c r="BV295" i="23"/>
  <c r="BW295" i="23"/>
  <c r="CB295" i="23"/>
  <c r="CC295" i="23" s="1"/>
  <c r="BJ295" i="23"/>
  <c r="BK295" i="23"/>
  <c r="BD295" i="23"/>
  <c r="BE295" i="23" s="1"/>
  <c r="FZ310" i="23"/>
  <c r="GA310" i="23"/>
  <c r="FN310" i="23"/>
  <c r="FO310" i="23" s="1"/>
  <c r="FT310" i="23"/>
  <c r="FU310" i="23"/>
  <c r="FH310" i="23"/>
  <c r="FI310" i="23" s="1"/>
  <c r="EV310" i="23"/>
  <c r="EW310" i="23"/>
  <c r="EP310" i="23"/>
  <c r="EQ310" i="23" s="1"/>
  <c r="DR310" i="23"/>
  <c r="DS310" i="23"/>
  <c r="FB310" i="23"/>
  <c r="FC310" i="23" s="1"/>
  <c r="ED310" i="23"/>
  <c r="EE310" i="23"/>
  <c r="EJ310" i="23"/>
  <c r="EK310" i="23" s="1"/>
  <c r="DF310" i="23"/>
  <c r="DG310" i="23"/>
  <c r="CZ310" i="23"/>
  <c r="DA310" i="23" s="1"/>
  <c r="DX310" i="23"/>
  <c r="DY310" i="23"/>
  <c r="DL310" i="23"/>
  <c r="DM310" i="23" s="1"/>
  <c r="CT310" i="23"/>
  <c r="CU310" i="23"/>
  <c r="CH310" i="23"/>
  <c r="CI310" i="23" s="1"/>
  <c r="CN310" i="23"/>
  <c r="CO310" i="23"/>
  <c r="BV310" i="23"/>
  <c r="BW310" i="23" s="1"/>
  <c r="BJ310" i="23"/>
  <c r="BK310" i="23"/>
  <c r="CB310" i="23"/>
  <c r="CC310" i="23" s="1"/>
  <c r="BD310" i="23"/>
  <c r="BE310" i="23"/>
  <c r="FZ324" i="23"/>
  <c r="GA324" i="23" s="1"/>
  <c r="FN324" i="23"/>
  <c r="FO324" i="23"/>
  <c r="FT324" i="23"/>
  <c r="FU324" i="23" s="1"/>
  <c r="FB324" i="23"/>
  <c r="FC324" i="23"/>
  <c r="FH324" i="23"/>
  <c r="FI324" i="23" s="1"/>
  <c r="EV324" i="23"/>
  <c r="EW324" i="23"/>
  <c r="EP324" i="23"/>
  <c r="EQ324" i="23" s="1"/>
  <c r="DX324" i="23"/>
  <c r="DY324" i="23"/>
  <c r="ED324" i="23"/>
  <c r="EE324" i="23" s="1"/>
  <c r="DR324" i="23"/>
  <c r="DS324" i="23"/>
  <c r="DF324" i="23"/>
  <c r="DG324" i="23" s="1"/>
  <c r="DL324" i="23"/>
  <c r="DM324" i="23"/>
  <c r="CZ324" i="23"/>
  <c r="DA324" i="23" s="1"/>
  <c r="EJ324" i="23"/>
  <c r="EK324" i="23"/>
  <c r="CN324" i="23"/>
  <c r="CO324" i="23" s="1"/>
  <c r="CT324" i="23"/>
  <c r="CU324" i="23"/>
  <c r="CH324" i="23"/>
  <c r="CI324" i="23" s="1"/>
  <c r="CB324" i="23"/>
  <c r="CC324" i="23"/>
  <c r="BV324" i="23"/>
  <c r="BW324" i="23" s="1"/>
  <c r="BD324" i="23"/>
  <c r="BE324" i="23"/>
  <c r="BJ324" i="23"/>
  <c r="BK324" i="23" s="1"/>
  <c r="FZ339" i="23"/>
  <c r="GA339" i="23"/>
  <c r="FN339" i="23"/>
  <c r="FO339" i="23" s="1"/>
  <c r="FT339" i="23"/>
  <c r="FU339" i="23"/>
  <c r="FB339" i="23"/>
  <c r="FC339" i="23" s="1"/>
  <c r="EV339" i="23"/>
  <c r="EW339" i="23"/>
  <c r="EP339" i="23"/>
  <c r="EQ339" i="23" s="1"/>
  <c r="FH339" i="23"/>
  <c r="FI339" i="23"/>
  <c r="EJ339" i="23"/>
  <c r="EK339" i="23" s="1"/>
  <c r="DR339" i="23"/>
  <c r="DS339" i="23"/>
  <c r="ED339" i="23"/>
  <c r="EE339" i="23" s="1"/>
  <c r="DX339" i="23"/>
  <c r="DY339" i="23"/>
  <c r="DL339" i="23"/>
  <c r="DM339" i="23" s="1"/>
  <c r="DF339" i="23"/>
  <c r="DG339" i="23"/>
  <c r="CZ339" i="23"/>
  <c r="DA339" i="23" s="1"/>
  <c r="CH339" i="23"/>
  <c r="CI339" i="23"/>
  <c r="CB339" i="23"/>
  <c r="CC339" i="23" s="1"/>
  <c r="CT339" i="23"/>
  <c r="CU339" i="23"/>
  <c r="CN339" i="23"/>
  <c r="CO339" i="23" s="1"/>
  <c r="BJ339" i="23"/>
  <c r="BK339" i="23"/>
  <c r="BV339" i="23"/>
  <c r="BW339" i="23" s="1"/>
  <c r="BD339" i="23"/>
  <c r="BE339" i="23"/>
  <c r="FZ352" i="23"/>
  <c r="GA352" i="23" s="1"/>
  <c r="FT352" i="23"/>
  <c r="FU352" i="23"/>
  <c r="FN352" i="23"/>
  <c r="FO352" i="23" s="1"/>
  <c r="FH352" i="23"/>
  <c r="FI352" i="23"/>
  <c r="EV352" i="23"/>
  <c r="EW352" i="23" s="1"/>
  <c r="FB352" i="23"/>
  <c r="FC352" i="23"/>
  <c r="EJ352" i="23"/>
  <c r="EK352" i="23" s="1"/>
  <c r="ED352" i="23"/>
  <c r="EE352" i="23"/>
  <c r="DX352" i="23"/>
  <c r="DY352" i="23" s="1"/>
  <c r="DR352" i="23"/>
  <c r="DS352" i="23"/>
  <c r="EP352" i="23"/>
  <c r="EQ352" i="23" s="1"/>
  <c r="DF352" i="23"/>
  <c r="DG352" i="23"/>
  <c r="DL352" i="23"/>
  <c r="DM352" i="23" s="1"/>
  <c r="CZ352" i="23"/>
  <c r="DA352" i="23"/>
  <c r="CH352" i="23"/>
  <c r="CI352" i="23" s="1"/>
  <c r="CT352" i="23"/>
  <c r="CU352" i="23"/>
  <c r="CN352" i="23"/>
  <c r="CO352" i="23" s="1"/>
  <c r="CB352" i="23"/>
  <c r="CC352" i="23"/>
  <c r="BD352" i="23"/>
  <c r="BE352" i="23" s="1"/>
  <c r="BV352" i="23"/>
  <c r="BW352" i="23"/>
  <c r="BJ352" i="23"/>
  <c r="BK352" i="23" s="1"/>
  <c r="FZ360" i="23"/>
  <c r="GA360" i="23"/>
  <c r="FN360" i="23"/>
  <c r="FO360" i="23" s="1"/>
  <c r="FH360" i="23"/>
  <c r="FI360" i="23"/>
  <c r="EP360" i="23"/>
  <c r="EQ360" i="23" s="1"/>
  <c r="FT360" i="23"/>
  <c r="FU360" i="23"/>
  <c r="FB360" i="23"/>
  <c r="FC360" i="23" s="1"/>
  <c r="EV360" i="23"/>
  <c r="EW360" i="23"/>
  <c r="EJ360" i="23"/>
  <c r="EK360" i="23" s="1"/>
  <c r="ED360" i="23"/>
  <c r="EE360" i="23"/>
  <c r="DX360" i="23"/>
  <c r="DY360" i="23" s="1"/>
  <c r="CZ360" i="23"/>
  <c r="DA360" i="23"/>
  <c r="DR360" i="23"/>
  <c r="DS360" i="23" s="1"/>
  <c r="DF360" i="23"/>
  <c r="DG360" i="23"/>
  <c r="DL360" i="23"/>
  <c r="DM360" i="23" s="1"/>
  <c r="CN360" i="23"/>
  <c r="CO360" i="23"/>
  <c r="CT360" i="23"/>
  <c r="CU360" i="23" s="1"/>
  <c r="CH360" i="23"/>
  <c r="CI360" i="23"/>
  <c r="BV360" i="23"/>
  <c r="BW360" i="23" s="1"/>
  <c r="CB360" i="23"/>
  <c r="CC360" i="23"/>
  <c r="BJ360" i="23"/>
  <c r="BK360" i="23" s="1"/>
  <c r="BD360" i="23"/>
  <c r="BE360" i="23"/>
  <c r="FZ377" i="23"/>
  <c r="GA377" i="23" s="1"/>
  <c r="FN377" i="23"/>
  <c r="FO377" i="23"/>
  <c r="FT377" i="23"/>
  <c r="FU377" i="23" s="1"/>
  <c r="EV377" i="23"/>
  <c r="EW377" i="23"/>
  <c r="FB377" i="23"/>
  <c r="FC377" i="23" s="1"/>
  <c r="FH377" i="23"/>
  <c r="FI377" i="23"/>
  <c r="EP377" i="23"/>
  <c r="EQ377" i="23" s="1"/>
  <c r="EJ377" i="23"/>
  <c r="EK377" i="23"/>
  <c r="DR377" i="23"/>
  <c r="DS377" i="23" s="1"/>
  <c r="ED377" i="23"/>
  <c r="EE377" i="23"/>
  <c r="CZ377" i="23"/>
  <c r="DA377" i="23" s="1"/>
  <c r="DX377" i="23"/>
  <c r="DY377" i="23"/>
  <c r="DF377" i="23"/>
  <c r="DG377" i="23" s="1"/>
  <c r="CN377" i="23"/>
  <c r="CO377" i="23"/>
  <c r="DL377" i="23"/>
  <c r="DM377" i="23" s="1"/>
  <c r="CT377" i="23"/>
  <c r="CU377" i="23"/>
  <c r="CB377" i="23"/>
  <c r="CC377" i="23" s="1"/>
  <c r="BV377" i="23"/>
  <c r="BW377" i="23"/>
  <c r="CH377" i="23"/>
  <c r="CI377" i="23" s="1"/>
  <c r="BJ377" i="23"/>
  <c r="BK377" i="23"/>
  <c r="BD377" i="23"/>
  <c r="BE377" i="23" s="1"/>
  <c r="FZ385" i="23"/>
  <c r="GA385" i="23"/>
  <c r="FN385" i="23"/>
  <c r="FO385" i="23" s="1"/>
  <c r="FT385" i="23"/>
  <c r="FU385" i="23"/>
  <c r="FH385" i="23"/>
  <c r="FI385" i="23" s="1"/>
  <c r="FB385" i="23"/>
  <c r="FC385" i="23"/>
  <c r="EP385" i="23"/>
  <c r="EQ385" i="23" s="1"/>
  <c r="EV385" i="23"/>
  <c r="EW385" i="23" s="1"/>
  <c r="DX385" i="23"/>
  <c r="DY385" i="23" s="1"/>
  <c r="DR385" i="23"/>
  <c r="DS385" i="23" s="1"/>
  <c r="EJ385" i="23"/>
  <c r="EK385" i="23" s="1"/>
  <c r="ED385" i="23"/>
  <c r="EE385" i="23" s="1"/>
  <c r="DL385" i="23"/>
  <c r="DM385" i="23" s="1"/>
  <c r="DF385" i="23"/>
  <c r="DG385" i="23" s="1"/>
  <c r="CZ385" i="23"/>
  <c r="DA385" i="23" s="1"/>
  <c r="CT385" i="23"/>
  <c r="CU385" i="23" s="1"/>
  <c r="CN385" i="23"/>
  <c r="CO385" i="23" s="1"/>
  <c r="CH385" i="23"/>
  <c r="CI385" i="23" s="1"/>
  <c r="CB385" i="23"/>
  <c r="CC385" i="23" s="1"/>
  <c r="BD385" i="23"/>
  <c r="BE385" i="23" s="1"/>
  <c r="BJ385" i="23"/>
  <c r="BK385" i="23" s="1"/>
  <c r="BV385" i="23"/>
  <c r="BW385" i="23" s="1"/>
  <c r="FZ400" i="23"/>
  <c r="GA400" i="23" s="1"/>
  <c r="FN400" i="23"/>
  <c r="FO400" i="23" s="1"/>
  <c r="FT400" i="23"/>
  <c r="FU400" i="23" s="1"/>
  <c r="EV400" i="23"/>
  <c r="EW400" i="23" s="1"/>
  <c r="FB400" i="23"/>
  <c r="FC400" i="23" s="1"/>
  <c r="FH400" i="23"/>
  <c r="FI400" i="23" s="1"/>
  <c r="EJ400" i="23"/>
  <c r="EK400" i="23" s="1"/>
  <c r="DX400" i="23"/>
  <c r="DY400" i="23" s="1"/>
  <c r="EP400" i="23"/>
  <c r="EQ400" i="23" s="1"/>
  <c r="ED400" i="23"/>
  <c r="EE400" i="23" s="1"/>
  <c r="DR400" i="23"/>
  <c r="DS400" i="23" s="1"/>
  <c r="DL400" i="23"/>
  <c r="DM400" i="23" s="1"/>
  <c r="DF400" i="23"/>
  <c r="DG400" i="23" s="1"/>
  <c r="CZ400" i="23"/>
  <c r="DA400" i="23" s="1"/>
  <c r="CT400" i="23"/>
  <c r="CU400" i="23" s="1"/>
  <c r="CN400" i="23"/>
  <c r="CO400" i="23" s="1"/>
  <c r="CH400" i="23"/>
  <c r="CI400" i="23" s="1"/>
  <c r="BJ400" i="23"/>
  <c r="BK400" i="23" s="1"/>
  <c r="BV400" i="23"/>
  <c r="BW400" i="23" s="1"/>
  <c r="BD400" i="23"/>
  <c r="BE400" i="23" s="1"/>
  <c r="CB400" i="23"/>
  <c r="CC400" i="23" s="1"/>
  <c r="FZ414" i="23"/>
  <c r="GA414" i="23" s="1"/>
  <c r="FN414" i="23"/>
  <c r="FO414" i="23" s="1"/>
  <c r="FT414" i="23"/>
  <c r="FU414" i="23" s="1"/>
  <c r="FH414" i="23"/>
  <c r="FI414" i="23" s="1"/>
  <c r="EP414" i="23"/>
  <c r="EQ414" i="23" s="1"/>
  <c r="FB414" i="23"/>
  <c r="FC414" i="23" s="1"/>
  <c r="EJ414" i="23"/>
  <c r="EK414" i="23" s="1"/>
  <c r="EV414" i="23"/>
  <c r="EW414" i="23" s="1"/>
  <c r="DL414" i="23"/>
  <c r="DM414" i="23" s="1"/>
  <c r="DX414" i="23"/>
  <c r="DY414" i="23" s="1"/>
  <c r="ED414" i="23"/>
  <c r="EE414" i="23" s="1"/>
  <c r="DR414" i="23"/>
  <c r="DS414" i="23" s="1"/>
  <c r="DF414" i="23"/>
  <c r="DG414" i="23" s="1"/>
  <c r="CH414" i="23"/>
  <c r="CI414" i="23" s="1"/>
  <c r="CB414" i="23"/>
  <c r="CC414" i="23" s="1"/>
  <c r="CZ414" i="23"/>
  <c r="DA414" i="23" s="1"/>
  <c r="CT414" i="23"/>
  <c r="CU414" i="23" s="1"/>
  <c r="CN414" i="23"/>
  <c r="CO414" i="23" s="1"/>
  <c r="BV414" i="23"/>
  <c r="BW414" i="23" s="1"/>
  <c r="BD414" i="23"/>
  <c r="BE414" i="23" s="1"/>
  <c r="BJ414" i="23"/>
  <c r="BK414" i="23" s="1"/>
  <c r="FZ428" i="23"/>
  <c r="GA428" i="23" s="1"/>
  <c r="FT428" i="23"/>
  <c r="FU428" i="23" s="1"/>
  <c r="FN428" i="23"/>
  <c r="FO428" i="23" s="1"/>
  <c r="FH428" i="23"/>
  <c r="FI428" i="23" s="1"/>
  <c r="EV428" i="23"/>
  <c r="EW428" i="23" s="1"/>
  <c r="FB428" i="23"/>
  <c r="FC428" i="23" s="1"/>
  <c r="EJ428" i="23"/>
  <c r="EK428" i="23" s="1"/>
  <c r="DR428" i="23"/>
  <c r="DS428" i="23" s="1"/>
  <c r="DL428" i="23"/>
  <c r="DM428" i="23" s="1"/>
  <c r="EP428" i="23"/>
  <c r="EQ428" i="23" s="1"/>
  <c r="ED428" i="23"/>
  <c r="EE428" i="23" s="1"/>
  <c r="DX428" i="23"/>
  <c r="DY428" i="23" s="1"/>
  <c r="DF428" i="23"/>
  <c r="DG428" i="23" s="1"/>
  <c r="CZ428" i="23"/>
  <c r="DA428" i="23" s="1"/>
  <c r="CT428" i="23"/>
  <c r="CU428" i="23" s="1"/>
  <c r="CN428" i="23"/>
  <c r="CO428" i="23" s="1"/>
  <c r="BV428" i="23"/>
  <c r="BW428" i="23" s="1"/>
  <c r="CH428" i="23"/>
  <c r="CI428" i="23" s="1"/>
  <c r="CB428" i="23"/>
  <c r="CC428" i="23" s="1"/>
  <c r="BJ428" i="23"/>
  <c r="BK428" i="23" s="1"/>
  <c r="BD428" i="23"/>
  <c r="BE428" i="23" s="1"/>
  <c r="FZ446" i="23"/>
  <c r="GA446" i="23" s="1"/>
  <c r="FT446" i="23"/>
  <c r="FU446" i="23" s="1"/>
  <c r="FN446" i="23"/>
  <c r="FO446" i="23" s="1"/>
  <c r="FH446" i="23"/>
  <c r="FI446" i="23" s="1"/>
  <c r="FB446" i="23"/>
  <c r="FC446" i="23" s="1"/>
  <c r="EJ446" i="23"/>
  <c r="EK446" i="23" s="1"/>
  <c r="EV446" i="23"/>
  <c r="EW446" i="23" s="1"/>
  <c r="ED446" i="23"/>
  <c r="EE446" i="23" s="1"/>
  <c r="EP446" i="23"/>
  <c r="EQ446" i="23" s="1"/>
  <c r="DX446" i="23"/>
  <c r="DY446" i="23" s="1"/>
  <c r="DR446" i="23"/>
  <c r="DS446" i="23" s="1"/>
  <c r="DL446" i="23"/>
  <c r="DM446" i="23" s="1"/>
  <c r="CZ446" i="23"/>
  <c r="DA446" i="23" s="1"/>
  <c r="DF446" i="23"/>
  <c r="DG446" i="23" s="1"/>
  <c r="CN446" i="23"/>
  <c r="CO446" i="23" s="1"/>
  <c r="CT446" i="23"/>
  <c r="CU446" i="23" s="1"/>
  <c r="CH446" i="23"/>
  <c r="CI446" i="23" s="1"/>
  <c r="BV446" i="23"/>
  <c r="BW446" i="23" s="1"/>
  <c r="CB446" i="23"/>
  <c r="CC446" i="23" s="1"/>
  <c r="BJ446" i="23"/>
  <c r="BK446" i="23" s="1"/>
  <c r="BD446" i="23"/>
  <c r="BE446" i="23" s="1"/>
  <c r="AL78" i="23"/>
  <c r="AM78" i="23" s="1"/>
  <c r="AL90" i="23"/>
  <c r="AM90" i="23" s="1"/>
  <c r="AL339" i="23"/>
  <c r="AM339" i="23" s="1"/>
  <c r="AL428" i="23"/>
  <c r="AM428" i="23" s="1"/>
  <c r="AL270" i="23"/>
  <c r="AM270" i="23" s="1"/>
  <c r="AL204" i="23"/>
  <c r="AM204" i="23" s="1"/>
  <c r="AL109" i="23"/>
  <c r="AM109" i="23" s="1"/>
  <c r="AL310" i="23"/>
  <c r="AM310" i="23" s="1"/>
  <c r="FZ61" i="23"/>
  <c r="GA61" i="23" s="1"/>
  <c r="FT61" i="23"/>
  <c r="FU61" i="23" s="1"/>
  <c r="FH61" i="23"/>
  <c r="FI61" i="23" s="1"/>
  <c r="FN61" i="23"/>
  <c r="FO61" i="23" s="1"/>
  <c r="FB61" i="23"/>
  <c r="FC61" i="23" s="1"/>
  <c r="EV61" i="23"/>
  <c r="EW61" i="23" s="1"/>
  <c r="EJ61" i="23"/>
  <c r="EK61" i="23" s="1"/>
  <c r="DX61" i="23"/>
  <c r="DY61" i="23" s="1"/>
  <c r="DR61" i="23"/>
  <c r="DS61" i="23" s="1"/>
  <c r="EP61" i="23"/>
  <c r="EQ61" i="23" s="1"/>
  <c r="ED61" i="23"/>
  <c r="EE61" i="23" s="1"/>
  <c r="BJ61" i="23"/>
  <c r="DF61" i="23"/>
  <c r="DG61" i="23"/>
  <c r="CT61" i="23"/>
  <c r="CU61" i="23"/>
  <c r="CN61" i="23"/>
  <c r="CO61" i="23"/>
  <c r="CB61" i="23"/>
  <c r="CC61" i="23"/>
  <c r="CZ61" i="23"/>
  <c r="DA61" i="23"/>
  <c r="CH61" i="23"/>
  <c r="CI61" i="23"/>
  <c r="BV61" i="23"/>
  <c r="BW61" i="23"/>
  <c r="BD61" i="23"/>
  <c r="BE61" i="23"/>
  <c r="DR30" i="23"/>
  <c r="DS30" i="23"/>
  <c r="CZ30" i="23"/>
  <c r="DA30" i="23"/>
  <c r="BJ30" i="23"/>
  <c r="BK30" i="23"/>
  <c r="ED30" i="23"/>
  <c r="EE30" i="23"/>
  <c r="FH30" i="23"/>
  <c r="FI30" i="23"/>
  <c r="FZ30" i="23"/>
  <c r="GA30" i="23"/>
  <c r="CB30" i="23"/>
  <c r="CC30" i="23"/>
  <c r="CH30" i="23"/>
  <c r="CI30" i="23"/>
  <c r="DL30" i="23"/>
  <c r="DM30" i="23"/>
  <c r="FT30" i="23"/>
  <c r="FU30" i="23"/>
  <c r="CT30" i="23"/>
  <c r="CU30" i="23"/>
  <c r="CN30" i="23"/>
  <c r="CO30" i="23"/>
  <c r="FN30" i="23"/>
  <c r="FO30" i="23"/>
  <c r="DX30" i="23"/>
  <c r="DY30" i="23"/>
  <c r="BD30" i="23"/>
  <c r="BE30" i="23"/>
  <c r="BV30" i="23"/>
  <c r="BW30" i="23"/>
  <c r="EJ30" i="23"/>
  <c r="EK30" i="23"/>
  <c r="EP30" i="23"/>
  <c r="EQ30" i="23"/>
  <c r="FB30" i="23"/>
  <c r="FC30" i="23"/>
  <c r="EV30" i="23"/>
  <c r="EW30" i="23"/>
  <c r="DF30" i="23"/>
  <c r="DG30" i="23"/>
  <c r="FZ33" i="23"/>
  <c r="GA33" i="23"/>
  <c r="FN33" i="23"/>
  <c r="FO33" i="23" s="1"/>
  <c r="FT33" i="23"/>
  <c r="FU33" i="23"/>
  <c r="FB33" i="23"/>
  <c r="FC33" i="23" s="1"/>
  <c r="FH33" i="23"/>
  <c r="FI33" i="23"/>
  <c r="EP33" i="23"/>
  <c r="EQ33" i="23" s="1"/>
  <c r="EV33" i="23"/>
  <c r="EW33" i="23"/>
  <c r="EJ33" i="23"/>
  <c r="EK33" i="23" s="1"/>
  <c r="DR33" i="23"/>
  <c r="DS33" i="23"/>
  <c r="ED33" i="23"/>
  <c r="EE33" i="23" s="1"/>
  <c r="DF33" i="23"/>
  <c r="DG33" i="23"/>
  <c r="CH33" i="23"/>
  <c r="CI33" i="23" s="1"/>
  <c r="DL33" i="23"/>
  <c r="DM33" i="23"/>
  <c r="CZ33" i="23"/>
  <c r="DA33" i="23" s="1"/>
  <c r="DX33" i="23"/>
  <c r="DY33" i="23"/>
  <c r="CT33" i="23"/>
  <c r="CU33" i="23" s="1"/>
  <c r="CN33" i="23"/>
  <c r="CO33" i="23"/>
  <c r="BJ33" i="23"/>
  <c r="BK33" i="23" s="1"/>
  <c r="CB33" i="23"/>
  <c r="CC33" i="23"/>
  <c r="BV33" i="23"/>
  <c r="BW33" i="23" s="1"/>
  <c r="BD33" i="23"/>
  <c r="BE33" i="23"/>
  <c r="FZ41" i="23"/>
  <c r="GA41" i="23" s="1"/>
  <c r="FN41" i="23"/>
  <c r="FO41" i="23"/>
  <c r="FH41" i="23"/>
  <c r="FI41" i="23" s="1"/>
  <c r="FT41" i="23"/>
  <c r="FU41" i="23"/>
  <c r="FB41" i="23"/>
  <c r="FC41" i="23" s="1"/>
  <c r="EV41" i="23"/>
  <c r="EW41" i="23"/>
  <c r="EP41" i="23"/>
  <c r="EQ41" i="23" s="1"/>
  <c r="ED41" i="23"/>
  <c r="EE41" i="23"/>
  <c r="DR41" i="23"/>
  <c r="DS41" i="23" s="1"/>
  <c r="EJ41" i="23"/>
  <c r="EK41" i="23"/>
  <c r="DX41" i="23"/>
  <c r="DY41" i="23" s="1"/>
  <c r="CZ41" i="23"/>
  <c r="DA41" i="23"/>
  <c r="DF41" i="23"/>
  <c r="DG41" i="23" s="1"/>
  <c r="CT41" i="23"/>
  <c r="CU41" i="23"/>
  <c r="CN41" i="23"/>
  <c r="CO41" i="23" s="1"/>
  <c r="CH41" i="23"/>
  <c r="CI41" i="23"/>
  <c r="CB41" i="23"/>
  <c r="CC41" i="23" s="1"/>
  <c r="BD41" i="23"/>
  <c r="BE41" i="23"/>
  <c r="BV41" i="23"/>
  <c r="BW41" i="23" s="1"/>
  <c r="FN47" i="23"/>
  <c r="FO47" i="23"/>
  <c r="FT47" i="23"/>
  <c r="FU47" i="23" s="1"/>
  <c r="FZ47" i="23"/>
  <c r="GA47" i="23"/>
  <c r="FH47" i="23"/>
  <c r="FI47" i="23" s="1"/>
  <c r="EV47" i="23"/>
  <c r="EW47" i="23"/>
  <c r="FB47" i="23"/>
  <c r="FC47" i="23" s="1"/>
  <c r="DX47" i="23"/>
  <c r="DY47" i="23"/>
  <c r="ED47" i="23"/>
  <c r="EE47" i="23" s="1"/>
  <c r="EP47" i="23"/>
  <c r="EQ47" i="23"/>
  <c r="EJ47" i="23"/>
  <c r="EK47" i="23" s="1"/>
  <c r="DR47" i="23"/>
  <c r="DS47" i="23"/>
  <c r="CZ47" i="23"/>
  <c r="DA47" i="23" s="1"/>
  <c r="CT47" i="23"/>
  <c r="CU47" i="23"/>
  <c r="CN47" i="23"/>
  <c r="CO47" i="23" s="1"/>
  <c r="DF47" i="23"/>
  <c r="DG47" i="23"/>
  <c r="CH47" i="23"/>
  <c r="CI47" i="23" s="1"/>
  <c r="CB47" i="23"/>
  <c r="CC47" i="23"/>
  <c r="BV47" i="23"/>
  <c r="BW47" i="23" s="1"/>
  <c r="BD47" i="23"/>
  <c r="BE47" i="23"/>
  <c r="FZ51" i="23"/>
  <c r="GA51" i="23" s="1"/>
  <c r="FN51" i="23"/>
  <c r="FO51" i="23"/>
  <c r="FH51" i="23"/>
  <c r="FI51" i="23" s="1"/>
  <c r="FT51" i="23"/>
  <c r="FU51" i="23"/>
  <c r="FB51" i="23"/>
  <c r="EV51" i="23"/>
  <c r="EP51" i="23"/>
  <c r="ED51" i="23"/>
  <c r="DX51" i="23"/>
  <c r="EJ51" i="23"/>
  <c r="DR51" i="23"/>
  <c r="CZ51" i="23"/>
  <c r="DA51" i="23" s="1"/>
  <c r="DF51" i="23"/>
  <c r="DG51" i="23" s="1"/>
  <c r="BJ51" i="23"/>
  <c r="CH51" i="23"/>
  <c r="CI51" i="23" s="1"/>
  <c r="CT51" i="23"/>
  <c r="CU51" i="23"/>
  <c r="CN51" i="23"/>
  <c r="CO51" i="23" s="1"/>
  <c r="CB51" i="23"/>
  <c r="CC51" i="23"/>
  <c r="BV51" i="23"/>
  <c r="BW51" i="23" s="1"/>
  <c r="BD51" i="23"/>
  <c r="BE51" i="23"/>
  <c r="FZ55" i="23"/>
  <c r="GA55" i="23" s="1"/>
  <c r="FN55" i="23"/>
  <c r="FO55" i="23"/>
  <c r="FH55" i="23"/>
  <c r="FI55" i="23" s="1"/>
  <c r="FT55" i="23"/>
  <c r="FU55" i="23"/>
  <c r="EV55" i="23"/>
  <c r="EW55" i="23" s="1"/>
  <c r="EP55" i="23"/>
  <c r="EQ55" i="23"/>
  <c r="ED55" i="23"/>
  <c r="EE55" i="23" s="1"/>
  <c r="DX55" i="23"/>
  <c r="DY55" i="23"/>
  <c r="FB55" i="23"/>
  <c r="FC55" i="23" s="1"/>
  <c r="EJ55" i="23"/>
  <c r="EK55" i="23"/>
  <c r="DR55" i="23"/>
  <c r="DS55" i="23" s="1"/>
  <c r="CZ55" i="23"/>
  <c r="DA55" i="23"/>
  <c r="BP55" i="23"/>
  <c r="DF55" i="23"/>
  <c r="DG55" i="23" s="1"/>
  <c r="CH55" i="23"/>
  <c r="CI55" i="23" s="1"/>
  <c r="CT55" i="23"/>
  <c r="CU55" i="23" s="1"/>
  <c r="BJ55" i="23"/>
  <c r="CN55" i="23"/>
  <c r="CO55" i="23" s="1"/>
  <c r="BV55" i="23"/>
  <c r="BW55" i="23"/>
  <c r="BD55" i="23"/>
  <c r="BE55" i="23" s="1"/>
  <c r="CB55" i="23"/>
  <c r="CC55" i="23"/>
  <c r="FZ59" i="23"/>
  <c r="GA59" i="23" s="1"/>
  <c r="FN59" i="23"/>
  <c r="FO59" i="23"/>
  <c r="FT59" i="23"/>
  <c r="FU59" i="23" s="1"/>
  <c r="FB59" i="23"/>
  <c r="FC59" i="23"/>
  <c r="FH59" i="23"/>
  <c r="FI59" i="23" s="1"/>
  <c r="EV59" i="23"/>
  <c r="EW59" i="23"/>
  <c r="ED59" i="23"/>
  <c r="EE59" i="23" s="1"/>
  <c r="EP59" i="23"/>
  <c r="EQ59" i="23"/>
  <c r="EJ59" i="23"/>
  <c r="EK59" i="23" s="1"/>
  <c r="DR59" i="23"/>
  <c r="DS59" i="23"/>
  <c r="DX59" i="23"/>
  <c r="DY59" i="23" s="1"/>
  <c r="CZ59" i="23"/>
  <c r="DA59" i="23"/>
  <c r="BJ59" i="23"/>
  <c r="DF59" i="23"/>
  <c r="DG59" i="23" s="1"/>
  <c r="CN59" i="23"/>
  <c r="CO59" i="23" s="1"/>
  <c r="CB59" i="23"/>
  <c r="CC59" i="23" s="1"/>
  <c r="CT59" i="23"/>
  <c r="CU59" i="23"/>
  <c r="CH59" i="23"/>
  <c r="CI59" i="23" s="1"/>
  <c r="BV59" i="23"/>
  <c r="BW59" i="23" s="1"/>
  <c r="BD59" i="23"/>
  <c r="BE59" i="23" s="1"/>
  <c r="FZ71" i="23"/>
  <c r="GA71" i="23" s="1"/>
  <c r="FN71" i="23"/>
  <c r="FO71" i="23" s="1"/>
  <c r="FB71" i="23"/>
  <c r="FC71" i="23" s="1"/>
  <c r="FT71" i="23"/>
  <c r="FU71" i="23" s="1"/>
  <c r="FH71" i="23"/>
  <c r="FI71" i="23"/>
  <c r="EV71" i="23"/>
  <c r="EW71" i="23" s="1"/>
  <c r="EP71" i="23"/>
  <c r="EQ71" i="23" s="1"/>
  <c r="DX71" i="23"/>
  <c r="DY71" i="23" s="1"/>
  <c r="EJ71" i="23"/>
  <c r="EK71" i="23" s="1"/>
  <c r="ED71" i="23"/>
  <c r="EE71" i="23" s="1"/>
  <c r="DR71" i="23"/>
  <c r="DS71" i="23" s="1"/>
  <c r="DL71" i="23"/>
  <c r="DM71" i="23" s="1"/>
  <c r="CZ71" i="23"/>
  <c r="DA71" i="23"/>
  <c r="DF71" i="23"/>
  <c r="DG71" i="23" s="1"/>
  <c r="CT71" i="23"/>
  <c r="CU71" i="23" s="1"/>
  <c r="CN71" i="23"/>
  <c r="CO71" i="23" s="1"/>
  <c r="CB71" i="23"/>
  <c r="CC71" i="23" s="1"/>
  <c r="BD71" i="23"/>
  <c r="BE71" i="23" s="1"/>
  <c r="CH71" i="23"/>
  <c r="CI71" i="23" s="1"/>
  <c r="BV71" i="23"/>
  <c r="BW71" i="23" s="1"/>
  <c r="BJ71" i="23"/>
  <c r="BK71" i="23"/>
  <c r="FZ77" i="23"/>
  <c r="GA77" i="23" s="1"/>
  <c r="FN77" i="23"/>
  <c r="FO77" i="23" s="1"/>
  <c r="FT77" i="23"/>
  <c r="FU77" i="23" s="1"/>
  <c r="EV77" i="23"/>
  <c r="EW77" i="23" s="1"/>
  <c r="FH77" i="23"/>
  <c r="FI77" i="23" s="1"/>
  <c r="EP77" i="23"/>
  <c r="EQ77" i="23" s="1"/>
  <c r="EJ77" i="23"/>
  <c r="EK77" i="23" s="1"/>
  <c r="FB77" i="23"/>
  <c r="FC77" i="23"/>
  <c r="ED77" i="23"/>
  <c r="EE77" i="23" s="1"/>
  <c r="DX77" i="23"/>
  <c r="DY77" i="23" s="1"/>
  <c r="DF77" i="23"/>
  <c r="DG77" i="23" s="1"/>
  <c r="DR77" i="23"/>
  <c r="DS77" i="23" s="1"/>
  <c r="CH77" i="23"/>
  <c r="CI77" i="23" s="1"/>
  <c r="CZ77" i="23"/>
  <c r="DA77" i="23" s="1"/>
  <c r="DL77" i="23"/>
  <c r="DM77" i="23" s="1"/>
  <c r="CT77" i="23"/>
  <c r="CU77" i="23"/>
  <c r="CN77" i="23"/>
  <c r="CO77" i="23" s="1"/>
  <c r="BJ77" i="23"/>
  <c r="BK77" i="23" s="1"/>
  <c r="CB77" i="23"/>
  <c r="CC77" i="23" s="1"/>
  <c r="BD77" i="23"/>
  <c r="BE77" i="23" s="1"/>
  <c r="BV77" i="23"/>
  <c r="BW77" i="23" s="1"/>
  <c r="FN81" i="23"/>
  <c r="FO81" i="23" s="1"/>
  <c r="FT81" i="23"/>
  <c r="FU81" i="23" s="1"/>
  <c r="FZ81" i="23"/>
  <c r="GA81" i="23"/>
  <c r="FB81" i="23"/>
  <c r="FC81" i="23" s="1"/>
  <c r="EV81" i="23"/>
  <c r="EW81" i="23" s="1"/>
  <c r="EP81" i="23"/>
  <c r="EQ81" i="23" s="1"/>
  <c r="FH81" i="23"/>
  <c r="FI81" i="23" s="1"/>
  <c r="EJ81" i="23"/>
  <c r="EK81" i="23" s="1"/>
  <c r="DX81" i="23"/>
  <c r="DY81" i="23" s="1"/>
  <c r="ED81" i="23"/>
  <c r="EE81" i="23" s="1"/>
  <c r="DR81" i="23"/>
  <c r="DS81" i="23"/>
  <c r="DL81" i="23"/>
  <c r="DM81" i="23" s="1"/>
  <c r="DF81" i="23"/>
  <c r="DG81" i="23" s="1"/>
  <c r="CZ81" i="23"/>
  <c r="DA81" i="23" s="1"/>
  <c r="CT81" i="23"/>
  <c r="CU81" i="23" s="1"/>
  <c r="CN81" i="23"/>
  <c r="CO81" i="23" s="1"/>
  <c r="CB81" i="23"/>
  <c r="CC81" i="23" s="1"/>
  <c r="BJ81" i="23"/>
  <c r="BK81" i="23" s="1"/>
  <c r="BD81" i="23"/>
  <c r="BE81" i="23"/>
  <c r="BV81" i="23"/>
  <c r="BW81" i="23" s="1"/>
  <c r="CH81" i="23"/>
  <c r="CI81" i="23" s="1"/>
  <c r="FZ85" i="23"/>
  <c r="GA85" i="23" s="1"/>
  <c r="FN85" i="23"/>
  <c r="FO85" i="23" s="1"/>
  <c r="FT85" i="23"/>
  <c r="FU85" i="23" s="1"/>
  <c r="FH85" i="23"/>
  <c r="FI85" i="23" s="1"/>
  <c r="FB85" i="23"/>
  <c r="FC85" i="23" s="1"/>
  <c r="EP85" i="23"/>
  <c r="EQ85" i="23"/>
  <c r="EV85" i="23"/>
  <c r="EW85" i="23" s="1"/>
  <c r="DR85" i="23"/>
  <c r="DS85" i="23" s="1"/>
  <c r="EJ85" i="23"/>
  <c r="EK85" i="23" s="1"/>
  <c r="ED85" i="23"/>
  <c r="EE85" i="23" s="1"/>
  <c r="DX85" i="23"/>
  <c r="DY85" i="23" s="1"/>
  <c r="DL85" i="23"/>
  <c r="DM85" i="23" s="1"/>
  <c r="DF85" i="23"/>
  <c r="DG85" i="23" s="1"/>
  <c r="CN85" i="23"/>
  <c r="CO85" i="23"/>
  <c r="CZ85" i="23"/>
  <c r="DA85" i="23" s="1"/>
  <c r="CH85" i="23"/>
  <c r="CI85" i="23" s="1"/>
  <c r="CT85" i="23"/>
  <c r="CU85" i="23" s="1"/>
  <c r="BD85" i="23"/>
  <c r="BE85" i="23" s="1"/>
  <c r="CB85" i="23"/>
  <c r="CC85" i="23" s="1"/>
  <c r="BV85" i="23"/>
  <c r="BW85" i="23" s="1"/>
  <c r="BJ85" i="23"/>
  <c r="BK85" i="23" s="1"/>
  <c r="FZ89" i="23"/>
  <c r="GA89" i="23"/>
  <c r="FN89" i="23"/>
  <c r="FO89" i="23" s="1"/>
  <c r="FT89" i="23"/>
  <c r="FU89" i="23" s="1"/>
  <c r="FB89" i="23"/>
  <c r="FC89" i="23" s="1"/>
  <c r="FH89" i="23"/>
  <c r="FI89" i="23" s="1"/>
  <c r="EV89" i="23"/>
  <c r="EW89" i="23" s="1"/>
  <c r="EP89" i="23"/>
  <c r="EQ89" i="23" s="1"/>
  <c r="DX89" i="23"/>
  <c r="DY89" i="23" s="1"/>
  <c r="EJ89" i="23"/>
  <c r="EK89" i="23"/>
  <c r="ED89" i="23"/>
  <c r="EE89" i="23" s="1"/>
  <c r="DL89" i="23"/>
  <c r="DM89" i="23" s="1"/>
  <c r="DR89" i="23"/>
  <c r="DS89" i="23" s="1"/>
  <c r="CZ89" i="23"/>
  <c r="DA89" i="23" s="1"/>
  <c r="CH89" i="23"/>
  <c r="CI89" i="23" s="1"/>
  <c r="CT89" i="23"/>
  <c r="CU89" i="23" s="1"/>
  <c r="DF89" i="23"/>
  <c r="DG89" i="23" s="1"/>
  <c r="CN89" i="23"/>
  <c r="CO89" i="23"/>
  <c r="BJ89" i="23"/>
  <c r="BK89" i="23" s="1"/>
  <c r="BD89" i="23"/>
  <c r="BE89" i="23" s="1"/>
  <c r="CB89" i="23"/>
  <c r="CC89" i="23" s="1"/>
  <c r="BV89" i="23"/>
  <c r="BW89" i="23" s="1"/>
  <c r="FN93" i="23"/>
  <c r="FO93" i="23" s="1"/>
  <c r="FZ93" i="23"/>
  <c r="GA93" i="23" s="1"/>
  <c r="FH93" i="23"/>
  <c r="FI93" i="23" s="1"/>
  <c r="FB93" i="23"/>
  <c r="FC93" i="23"/>
  <c r="EV93" i="23"/>
  <c r="EW93" i="23" s="1"/>
  <c r="EP93" i="23"/>
  <c r="EQ93" i="23" s="1"/>
  <c r="FT93" i="23"/>
  <c r="FU93" i="23" s="1"/>
  <c r="ED93" i="23"/>
  <c r="EE93" i="23" s="1"/>
  <c r="DX93" i="23"/>
  <c r="DY93" i="23" s="1"/>
  <c r="EJ93" i="23"/>
  <c r="EK93" i="23" s="1"/>
  <c r="DL93" i="23"/>
  <c r="DM93" i="23" s="1"/>
  <c r="DF93" i="23"/>
  <c r="DG93" i="23"/>
  <c r="CN93" i="23"/>
  <c r="CO93" i="23" s="1"/>
  <c r="DR93" i="23"/>
  <c r="DS93" i="23" s="1"/>
  <c r="CZ93" i="23"/>
  <c r="DA93" i="23" s="1"/>
  <c r="CH93" i="23"/>
  <c r="CI93" i="23" s="1"/>
  <c r="CT93" i="23"/>
  <c r="CU93" i="23" s="1"/>
  <c r="BD93" i="23"/>
  <c r="BE93" i="23" s="1"/>
  <c r="CB93" i="23"/>
  <c r="CC93" i="23" s="1"/>
  <c r="BV93" i="23"/>
  <c r="BW93" i="23"/>
  <c r="BJ93" i="23"/>
  <c r="BK93" i="23" s="1"/>
  <c r="FZ98" i="23"/>
  <c r="GA98" i="23" s="1"/>
  <c r="FN98" i="23"/>
  <c r="FO98" i="23" s="1"/>
  <c r="FT98" i="23"/>
  <c r="FU98" i="23" s="1"/>
  <c r="EV98" i="23"/>
  <c r="EW98" i="23" s="1"/>
  <c r="FH98" i="23"/>
  <c r="FI98" i="23" s="1"/>
  <c r="FB98" i="23"/>
  <c r="FC98" i="23" s="1"/>
  <c r="DX98" i="23"/>
  <c r="DY98" i="23"/>
  <c r="EJ98" i="23"/>
  <c r="EK98" i="23" s="1"/>
  <c r="ED98" i="23"/>
  <c r="EE98" i="23" s="1"/>
  <c r="EP98" i="23"/>
  <c r="EQ98" i="23" s="1"/>
  <c r="DR98" i="23"/>
  <c r="DS98" i="23" s="1"/>
  <c r="DL98" i="23"/>
  <c r="DM98" i="23" s="1"/>
  <c r="DF98" i="23"/>
  <c r="DG98" i="23" s="1"/>
  <c r="CT98" i="23"/>
  <c r="CU98" i="23" s="1"/>
  <c r="CN98" i="23"/>
  <c r="CO98" i="23"/>
  <c r="CZ98" i="23"/>
  <c r="DA98" i="23" s="1"/>
  <c r="BV98" i="23"/>
  <c r="BW98" i="23" s="1"/>
  <c r="BJ98" i="23"/>
  <c r="BK98" i="23" s="1"/>
  <c r="CH98" i="23"/>
  <c r="CI98" i="23" s="1"/>
  <c r="CB98" i="23"/>
  <c r="CC98" i="23" s="1"/>
  <c r="BD98" i="23"/>
  <c r="BE98" i="23" s="1"/>
  <c r="FZ102" i="23"/>
  <c r="GA102" i="23" s="1"/>
  <c r="FN102" i="23"/>
  <c r="FO102" i="23"/>
  <c r="FT102" i="23"/>
  <c r="FU102" i="23" s="1"/>
  <c r="FH102" i="23"/>
  <c r="FI102" i="23" s="1"/>
  <c r="FB102" i="23"/>
  <c r="FC102" i="23" s="1"/>
  <c r="EV102" i="23"/>
  <c r="EW102" i="23" s="1"/>
  <c r="EP102" i="23"/>
  <c r="EQ102" i="23" s="1"/>
  <c r="ED102" i="23"/>
  <c r="EE102" i="23" s="1"/>
  <c r="DR102" i="23"/>
  <c r="DS102" i="23" s="1"/>
  <c r="EJ102" i="23"/>
  <c r="EK102" i="23"/>
  <c r="DX102" i="23"/>
  <c r="DY102" i="23" s="1"/>
  <c r="DF102" i="23"/>
  <c r="DG102" i="23" s="1"/>
  <c r="CN102" i="23"/>
  <c r="CO102" i="23" s="1"/>
  <c r="DL102" i="23"/>
  <c r="DM102" i="23" s="1"/>
  <c r="CZ102" i="23"/>
  <c r="DA102" i="23" s="1"/>
  <c r="CH102" i="23"/>
  <c r="CI102" i="23" s="1"/>
  <c r="CT102" i="23"/>
  <c r="CU102" i="23" s="1"/>
  <c r="BV102" i="23"/>
  <c r="BW102" i="23"/>
  <c r="BJ102" i="23"/>
  <c r="BK102" i="23" s="1"/>
  <c r="CB102" i="23"/>
  <c r="CC102" i="23" s="1"/>
  <c r="BD102" i="23"/>
  <c r="BE102" i="23" s="1"/>
  <c r="FZ108" i="23"/>
  <c r="GA108" i="23" s="1"/>
  <c r="FN108" i="23"/>
  <c r="FO108" i="23" s="1"/>
  <c r="FH108" i="23"/>
  <c r="FI108" i="23" s="1"/>
  <c r="FB108" i="23"/>
  <c r="FC108" i="23" s="1"/>
  <c r="EV108" i="23"/>
  <c r="EW108" i="23"/>
  <c r="EP108" i="23"/>
  <c r="EQ108" i="23" s="1"/>
  <c r="FT108" i="23"/>
  <c r="FU108" i="23" s="1"/>
  <c r="ED108" i="23"/>
  <c r="EE108" i="23" s="1"/>
  <c r="DX108" i="23"/>
  <c r="DY108" i="23" s="1"/>
  <c r="EJ108" i="23"/>
  <c r="EK108" i="23" s="1"/>
  <c r="DF108" i="23"/>
  <c r="DG108" i="23" s="1"/>
  <c r="DR108" i="23"/>
  <c r="DS108" i="23" s="1"/>
  <c r="DL108" i="23"/>
  <c r="DM108" i="23"/>
  <c r="CZ108" i="23"/>
  <c r="DA108" i="23" s="1"/>
  <c r="CH108" i="23"/>
  <c r="CI108" i="23" s="1"/>
  <c r="CT108" i="23"/>
  <c r="CU108" i="23" s="1"/>
  <c r="CN108" i="23"/>
  <c r="CO108" i="23"/>
  <c r="CB108" i="23"/>
  <c r="CC108" i="23" s="1"/>
  <c r="BD108" i="23"/>
  <c r="BE108" i="23" s="1"/>
  <c r="BV108" i="23"/>
  <c r="BW108" i="23" s="1"/>
  <c r="BJ108" i="23"/>
  <c r="BK108" i="23"/>
  <c r="FN112" i="23"/>
  <c r="FO112" i="23" s="1"/>
  <c r="FT112" i="23"/>
  <c r="FU112" i="23" s="1"/>
  <c r="FZ112" i="23"/>
  <c r="GA112" i="23" s="1"/>
  <c r="EV112" i="23"/>
  <c r="EW112" i="23"/>
  <c r="FH112" i="23"/>
  <c r="FI112" i="23" s="1"/>
  <c r="EP112" i="23"/>
  <c r="EQ112" i="23" s="1"/>
  <c r="EJ112" i="23"/>
  <c r="EK112" i="23" s="1"/>
  <c r="ED112" i="23"/>
  <c r="EE112" i="23"/>
  <c r="DX112" i="23"/>
  <c r="DY112" i="23" s="1"/>
  <c r="FB112" i="23"/>
  <c r="FC112" i="23" s="1"/>
  <c r="DR112" i="23"/>
  <c r="DS112" i="23" s="1"/>
  <c r="DF112" i="23"/>
  <c r="DG112" i="23"/>
  <c r="CZ112" i="23"/>
  <c r="DA112" i="23" s="1"/>
  <c r="DL112" i="23"/>
  <c r="DM112" i="23" s="1"/>
  <c r="CT112" i="23"/>
  <c r="CU112" i="23" s="1"/>
  <c r="CN112" i="23"/>
  <c r="CO112" i="23"/>
  <c r="CB112" i="23"/>
  <c r="CC112" i="23" s="1"/>
  <c r="BJ112" i="23"/>
  <c r="BK112" i="23" s="1"/>
  <c r="CH112" i="23"/>
  <c r="CI112" i="23" s="1"/>
  <c r="BD112" i="23"/>
  <c r="BE112" i="23"/>
  <c r="BV112" i="23"/>
  <c r="BW112" i="23" s="1"/>
  <c r="FZ116" i="23"/>
  <c r="GA116" i="23" s="1"/>
  <c r="FN116" i="23"/>
  <c r="FO116" i="23" s="1"/>
  <c r="FB116" i="23"/>
  <c r="FC116" i="23"/>
  <c r="FT116" i="23"/>
  <c r="FU116" i="23" s="1"/>
  <c r="FH116" i="23"/>
  <c r="FI116" i="23" s="1"/>
  <c r="EJ116" i="23"/>
  <c r="EK116" i="23" s="1"/>
  <c r="EV116" i="23"/>
  <c r="EW116" i="23"/>
  <c r="EP116" i="23"/>
  <c r="EQ116" i="23" s="1"/>
  <c r="ED116" i="23"/>
  <c r="EE116" i="23" s="1"/>
  <c r="DX116" i="23"/>
  <c r="DY116" i="23" s="1"/>
  <c r="DR116" i="23"/>
  <c r="DS116" i="23"/>
  <c r="DL116" i="23"/>
  <c r="DM116" i="23" s="1"/>
  <c r="DF116" i="23"/>
  <c r="DG116" i="23" s="1"/>
  <c r="CZ116" i="23"/>
  <c r="DA116" i="23" s="1"/>
  <c r="CT116" i="23"/>
  <c r="CU116" i="23"/>
  <c r="CN116" i="23"/>
  <c r="CO116" i="23" s="1"/>
  <c r="CB116" i="23"/>
  <c r="CC116" i="23" s="1"/>
  <c r="BJ116" i="23"/>
  <c r="BK116" i="23" s="1"/>
  <c r="CH116" i="23"/>
  <c r="CI116" i="23"/>
  <c r="BD116" i="23"/>
  <c r="BE116" i="23" s="1"/>
  <c r="BV116" i="23"/>
  <c r="BW116" i="23" s="1"/>
  <c r="FZ120" i="23"/>
  <c r="GA120" i="23" s="1"/>
  <c r="FN120" i="23"/>
  <c r="FO120" i="23"/>
  <c r="FT120" i="23"/>
  <c r="FU120" i="23" s="1"/>
  <c r="FB120" i="23"/>
  <c r="FC120" i="23" s="1"/>
  <c r="FH120" i="23"/>
  <c r="FI120" i="23" s="1"/>
  <c r="EV120" i="23"/>
  <c r="EW120" i="23"/>
  <c r="EP120" i="23"/>
  <c r="EQ120" i="23" s="1"/>
  <c r="EJ120" i="23"/>
  <c r="EK120" i="23" s="1"/>
  <c r="ED120" i="23"/>
  <c r="EE120" i="23" s="1"/>
  <c r="DR120" i="23"/>
  <c r="DS120" i="23"/>
  <c r="DL120" i="23"/>
  <c r="DM120" i="23" s="1"/>
  <c r="DX120" i="23"/>
  <c r="DY120" i="23" s="1"/>
  <c r="DF120" i="23"/>
  <c r="DG120" i="23" s="1"/>
  <c r="CZ120" i="23"/>
  <c r="DA120" i="23"/>
  <c r="CH120" i="23"/>
  <c r="CI120" i="23" s="1"/>
  <c r="CT120" i="23"/>
  <c r="CU120" i="23" s="1"/>
  <c r="CN120" i="23"/>
  <c r="CO120" i="23" s="1"/>
  <c r="BD120" i="23"/>
  <c r="BE120" i="23"/>
  <c r="CB120" i="23"/>
  <c r="CC120" i="23" s="1"/>
  <c r="BV120" i="23"/>
  <c r="BW120" i="23" s="1"/>
  <c r="BJ120" i="23"/>
  <c r="BK120" i="23" s="1"/>
  <c r="FN124" i="23"/>
  <c r="FO124" i="23"/>
  <c r="FZ124" i="23"/>
  <c r="GA124" i="23" s="1"/>
  <c r="FT124" i="23"/>
  <c r="FU124" i="23" s="1"/>
  <c r="FB124" i="23"/>
  <c r="FC124" i="23" s="1"/>
  <c r="FH124" i="23"/>
  <c r="FI124" i="23"/>
  <c r="EV124" i="23"/>
  <c r="EW124" i="23" s="1"/>
  <c r="EJ124" i="23"/>
  <c r="EK124" i="23" s="1"/>
  <c r="DR124" i="23"/>
  <c r="DS124" i="23" s="1"/>
  <c r="EP124" i="23"/>
  <c r="EQ124" i="23"/>
  <c r="DX124" i="23"/>
  <c r="DY124" i="23" s="1"/>
  <c r="DL124" i="23"/>
  <c r="DM124" i="23" s="1"/>
  <c r="CT124" i="23"/>
  <c r="CU124" i="23" s="1"/>
  <c r="CN124" i="23"/>
  <c r="CO124" i="23"/>
  <c r="CZ124" i="23"/>
  <c r="DA124" i="23" s="1"/>
  <c r="DF124" i="23"/>
  <c r="DG124" i="23" s="1"/>
  <c r="CH124" i="23"/>
  <c r="CI124" i="23" s="1"/>
  <c r="ED124" i="23"/>
  <c r="EE124" i="23"/>
  <c r="BV124" i="23"/>
  <c r="BW124" i="23" s="1"/>
  <c r="CB124" i="23"/>
  <c r="CC124" i="23" s="1"/>
  <c r="BJ124" i="23"/>
  <c r="BK124" i="23" s="1"/>
  <c r="BD124" i="23"/>
  <c r="BE124" i="23"/>
  <c r="FZ131" i="23"/>
  <c r="GA131" i="23" s="1"/>
  <c r="FN131" i="23"/>
  <c r="FO131" i="23" s="1"/>
  <c r="FH131" i="23"/>
  <c r="FI131" i="23" s="1"/>
  <c r="FT131" i="23"/>
  <c r="FU131" i="23"/>
  <c r="FB131" i="23"/>
  <c r="FC131" i="23" s="1"/>
  <c r="DR131" i="23"/>
  <c r="DS131" i="23" s="1"/>
  <c r="EV131" i="23"/>
  <c r="EW131" i="23" s="1"/>
  <c r="EP131" i="23"/>
  <c r="EQ131" i="23"/>
  <c r="EJ131" i="23"/>
  <c r="EK131" i="23" s="1"/>
  <c r="ED131" i="23"/>
  <c r="EE131" i="23" s="1"/>
  <c r="DX131" i="23"/>
  <c r="DY131" i="23" s="1"/>
  <c r="DL131" i="23"/>
  <c r="DM131" i="23"/>
  <c r="DF131" i="23"/>
  <c r="DG131" i="23" s="1"/>
  <c r="CZ131" i="23"/>
  <c r="DA131" i="23" s="1"/>
  <c r="CT131" i="23"/>
  <c r="CU131" i="23" s="1"/>
  <c r="CN131" i="23"/>
  <c r="CO131" i="23"/>
  <c r="BD131" i="23"/>
  <c r="BE131" i="23" s="1"/>
  <c r="BV131" i="23"/>
  <c r="BW131" i="23" s="1"/>
  <c r="CB131" i="23"/>
  <c r="CC131" i="23" s="1"/>
  <c r="BJ131" i="23"/>
  <c r="BK131" i="23"/>
  <c r="CH131" i="23"/>
  <c r="CI131" i="23" s="1"/>
  <c r="FN137" i="23"/>
  <c r="FO137" i="23" s="1"/>
  <c r="FZ137" i="23"/>
  <c r="GA137" i="23" s="1"/>
  <c r="FT137" i="23"/>
  <c r="FU137" i="23"/>
  <c r="FB137" i="23"/>
  <c r="FC137" i="23" s="1"/>
  <c r="FH137" i="23"/>
  <c r="FI137" i="23" s="1"/>
  <c r="EV137" i="23"/>
  <c r="EW137" i="23" s="1"/>
  <c r="EP137" i="23"/>
  <c r="EQ137" i="23"/>
  <c r="EJ137" i="23"/>
  <c r="EK137" i="23" s="1"/>
  <c r="DX137" i="23"/>
  <c r="DY137" i="23" s="1"/>
  <c r="DR137" i="23"/>
  <c r="DS137" i="23" s="1"/>
  <c r="ED137" i="23"/>
  <c r="EE137" i="23"/>
  <c r="DL137" i="23"/>
  <c r="DM137" i="23" s="1"/>
  <c r="CN137" i="23"/>
  <c r="CO137" i="23" s="1"/>
  <c r="CZ137" i="23"/>
  <c r="DA137" i="23" s="1"/>
  <c r="DF137" i="23"/>
  <c r="DG137" i="23"/>
  <c r="CT137" i="23"/>
  <c r="CU137" i="23" s="1"/>
  <c r="BD137" i="23"/>
  <c r="BE137" i="23" s="1"/>
  <c r="CH137" i="23"/>
  <c r="CI137" i="23" s="1"/>
  <c r="BV137" i="23"/>
  <c r="BW137" i="23"/>
  <c r="CB137" i="23"/>
  <c r="CC137" i="23" s="1"/>
  <c r="BJ137" i="23"/>
  <c r="BK137" i="23" s="1"/>
  <c r="FZ141" i="23"/>
  <c r="GA141" i="23" s="1"/>
  <c r="FT141" i="23"/>
  <c r="FU141" i="23"/>
  <c r="FB141" i="23"/>
  <c r="FC141" i="23" s="1"/>
  <c r="FH141" i="23"/>
  <c r="FI141" i="23" s="1"/>
  <c r="EV141" i="23"/>
  <c r="EW141" i="23" s="1"/>
  <c r="EP141" i="23"/>
  <c r="EQ141" i="23"/>
  <c r="DX141" i="23"/>
  <c r="DY141" i="23" s="1"/>
  <c r="FN141" i="23"/>
  <c r="FO141" i="23" s="1"/>
  <c r="ED141" i="23"/>
  <c r="EE141" i="23" s="1"/>
  <c r="EJ141" i="23"/>
  <c r="EK141" i="23"/>
  <c r="DL141" i="23"/>
  <c r="DM141" i="23" s="1"/>
  <c r="CN141" i="23"/>
  <c r="CO141" i="23" s="1"/>
  <c r="DR141" i="23"/>
  <c r="DS141" i="23" s="1"/>
  <c r="CZ141" i="23"/>
  <c r="DA141" i="23"/>
  <c r="CH141" i="23"/>
  <c r="CI141" i="23" s="1"/>
  <c r="DF141" i="23"/>
  <c r="DG141" i="23" s="1"/>
  <c r="CT141" i="23"/>
  <c r="CU141" i="23" s="1"/>
  <c r="BV141" i="23"/>
  <c r="BW141" i="23"/>
  <c r="BD141" i="23"/>
  <c r="BE141" i="23" s="1"/>
  <c r="CB141" i="23"/>
  <c r="CC141" i="23" s="1"/>
  <c r="BJ141" i="23"/>
  <c r="BK141" i="23" s="1"/>
  <c r="FZ145" i="23"/>
  <c r="GA145" i="23"/>
  <c r="FN145" i="23"/>
  <c r="FO145" i="23" s="1"/>
  <c r="FH145" i="23"/>
  <c r="FI145" i="23" s="1"/>
  <c r="FB145" i="23"/>
  <c r="FC145" i="23" s="1"/>
  <c r="EV145" i="23"/>
  <c r="EW145" i="23"/>
  <c r="EP145" i="23"/>
  <c r="EQ145" i="23" s="1"/>
  <c r="ED145" i="23"/>
  <c r="EE145" i="23" s="1"/>
  <c r="DR145" i="23"/>
  <c r="DS145" i="23" s="1"/>
  <c r="FT145" i="23"/>
  <c r="FU145" i="23"/>
  <c r="DX145" i="23"/>
  <c r="DY145" i="23" s="1"/>
  <c r="EJ145" i="23"/>
  <c r="EK145" i="23" s="1"/>
  <c r="CZ145" i="23"/>
  <c r="DA145" i="23" s="1"/>
  <c r="CT145" i="23"/>
  <c r="CU145" i="23"/>
  <c r="DL145" i="23"/>
  <c r="DM145" i="23" s="1"/>
  <c r="DF145" i="23"/>
  <c r="DG145" i="23" s="1"/>
  <c r="CN145" i="23"/>
  <c r="CO145" i="23" s="1"/>
  <c r="CB145" i="23"/>
  <c r="CC145" i="23"/>
  <c r="BV145" i="23"/>
  <c r="BW145" i="23" s="1"/>
  <c r="BJ145" i="23"/>
  <c r="BK145" i="23" s="1"/>
  <c r="BD145" i="23"/>
  <c r="BE145" i="23" s="1"/>
  <c r="CH145" i="23"/>
  <c r="CI145" i="23"/>
  <c r="FZ149" i="23"/>
  <c r="GA149" i="23" s="1"/>
  <c r="FN149" i="23"/>
  <c r="FO149" i="23" s="1"/>
  <c r="FH149" i="23"/>
  <c r="FI149" i="23" s="1"/>
  <c r="FT149" i="23"/>
  <c r="FU149" i="23"/>
  <c r="FB149" i="23"/>
  <c r="FC149" i="23" s="1"/>
  <c r="EV149" i="23"/>
  <c r="EW149" i="23" s="1"/>
  <c r="DX149" i="23"/>
  <c r="DY149" i="23" s="1"/>
  <c r="EJ149" i="23"/>
  <c r="EK149" i="23"/>
  <c r="ED149" i="23"/>
  <c r="EE149" i="23" s="1"/>
  <c r="EP149" i="23"/>
  <c r="EQ149" i="23" s="1"/>
  <c r="DR149" i="23"/>
  <c r="DS149" i="23" s="1"/>
  <c r="DL149" i="23"/>
  <c r="DM149" i="23"/>
  <c r="CZ149" i="23"/>
  <c r="DA149" i="23" s="1"/>
  <c r="CN149" i="23"/>
  <c r="CO149" i="23" s="1"/>
  <c r="DF149" i="23"/>
  <c r="DG149" i="23" s="1"/>
  <c r="CH149" i="23"/>
  <c r="CI149" i="23"/>
  <c r="CT149" i="23"/>
  <c r="CU149" i="23" s="1"/>
  <c r="CB149" i="23"/>
  <c r="CC149" i="23" s="1"/>
  <c r="BD149" i="23"/>
  <c r="BE149" i="23" s="1"/>
  <c r="BV149" i="23"/>
  <c r="BW149" i="23"/>
  <c r="BJ149" i="23"/>
  <c r="BK149" i="23" s="1"/>
  <c r="FZ153" i="23"/>
  <c r="GA153" i="23" s="1"/>
  <c r="FN153" i="23"/>
  <c r="FO153" i="23" s="1"/>
  <c r="FH153" i="23"/>
  <c r="FI153" i="23"/>
  <c r="FB153" i="23"/>
  <c r="FC153" i="23" s="1"/>
  <c r="FT153" i="23"/>
  <c r="FU153" i="23" s="1"/>
  <c r="EV153" i="23"/>
  <c r="EW153" i="23" s="1"/>
  <c r="EJ153" i="23"/>
  <c r="EK153" i="23"/>
  <c r="EP153" i="23"/>
  <c r="EQ153" i="23" s="1"/>
  <c r="ED153" i="23"/>
  <c r="EE153" i="23" s="1"/>
  <c r="DX153" i="23"/>
  <c r="DY153" i="23" s="1"/>
  <c r="DL153" i="23"/>
  <c r="DM153" i="23"/>
  <c r="DR153" i="23"/>
  <c r="DS153" i="23" s="1"/>
  <c r="CN153" i="23"/>
  <c r="CO153" i="23" s="1"/>
  <c r="CT153" i="23"/>
  <c r="CU153" i="23" s="1"/>
  <c r="CZ153" i="23"/>
  <c r="DA153" i="23"/>
  <c r="CH153" i="23"/>
  <c r="CI153" i="23" s="1"/>
  <c r="DF153" i="23"/>
  <c r="DG153" i="23" s="1"/>
  <c r="BJ153" i="23"/>
  <c r="BK153" i="23" s="1"/>
  <c r="BV153" i="23"/>
  <c r="BW153" i="23"/>
  <c r="BD153" i="23"/>
  <c r="BE153" i="23" s="1"/>
  <c r="CB153" i="23"/>
  <c r="CC153" i="23" s="1"/>
  <c r="FZ160" i="23"/>
  <c r="GA160" i="23" s="1"/>
  <c r="FN160" i="23"/>
  <c r="FO160" i="23"/>
  <c r="FT160" i="23"/>
  <c r="FU160" i="23" s="1"/>
  <c r="FH160" i="23"/>
  <c r="FI160" i="23" s="1"/>
  <c r="FB160" i="23"/>
  <c r="FC160" i="23" s="1"/>
  <c r="EV160" i="23"/>
  <c r="EW160" i="23"/>
  <c r="EJ160" i="23"/>
  <c r="EK160" i="23" s="1"/>
  <c r="DR160" i="23"/>
  <c r="DS160" i="23" s="1"/>
  <c r="DX160" i="23"/>
  <c r="DY160" i="23" s="1"/>
  <c r="EP160" i="23"/>
  <c r="EQ160" i="23"/>
  <c r="ED160" i="23"/>
  <c r="EE160" i="23" s="1"/>
  <c r="DL160" i="23"/>
  <c r="DM160" i="23" s="1"/>
  <c r="CT160" i="23"/>
  <c r="CU160" i="23" s="1"/>
  <c r="CZ160" i="23"/>
  <c r="DA160" i="23"/>
  <c r="DF160" i="23"/>
  <c r="DG160" i="23" s="1"/>
  <c r="CN160" i="23"/>
  <c r="CO160" i="23" s="1"/>
  <c r="BJ160" i="23"/>
  <c r="BK160" i="23" s="1"/>
  <c r="BD160" i="23"/>
  <c r="BE160" i="23"/>
  <c r="BV160" i="23"/>
  <c r="BW160" i="23" s="1"/>
  <c r="CH160" i="23"/>
  <c r="CI160" i="23" s="1"/>
  <c r="CB160" i="23"/>
  <c r="CC160" i="23" s="1"/>
  <c r="FN164" i="23"/>
  <c r="FO164" i="23"/>
  <c r="FH164" i="23"/>
  <c r="FI164" i="23" s="1"/>
  <c r="FZ164" i="23"/>
  <c r="GA164" i="23" s="1"/>
  <c r="EV164" i="23"/>
  <c r="EW164" i="23" s="1"/>
  <c r="FB164" i="23"/>
  <c r="FC164" i="23"/>
  <c r="EP164" i="23"/>
  <c r="EQ164" i="23" s="1"/>
  <c r="EJ164" i="23"/>
  <c r="EK164" i="23" s="1"/>
  <c r="ED164" i="23"/>
  <c r="EE164" i="23" s="1"/>
  <c r="FT164" i="23"/>
  <c r="FU164" i="23"/>
  <c r="DX164" i="23"/>
  <c r="DY164" i="23" s="1"/>
  <c r="DR164" i="23"/>
  <c r="DS164" i="23" s="1"/>
  <c r="DF164" i="23"/>
  <c r="DG164" i="23" s="1"/>
  <c r="CT164" i="23"/>
  <c r="CU164" i="23"/>
  <c r="CN164" i="23"/>
  <c r="CO164" i="23" s="1"/>
  <c r="CZ164" i="23"/>
  <c r="DA164" i="23" s="1"/>
  <c r="CH164" i="23"/>
  <c r="CI164" i="23" s="1"/>
  <c r="DL164" i="23"/>
  <c r="DM164" i="23"/>
  <c r="CB164" i="23"/>
  <c r="CC164" i="23" s="1"/>
  <c r="BD164" i="23"/>
  <c r="BE164" i="23" s="1"/>
  <c r="BV164" i="23"/>
  <c r="BW164" i="23" s="1"/>
  <c r="BJ164" i="23"/>
  <c r="BK164" i="23"/>
  <c r="FZ170" i="23"/>
  <c r="GA170" i="23" s="1"/>
  <c r="FN170" i="23"/>
  <c r="FO170" i="23" s="1"/>
  <c r="FT170" i="23"/>
  <c r="FU170" i="23" s="1"/>
  <c r="FH170" i="23"/>
  <c r="FI170" i="23"/>
  <c r="EV170" i="23"/>
  <c r="EW170" i="23" s="1"/>
  <c r="FB170" i="23"/>
  <c r="FC170" i="23" s="1"/>
  <c r="EP170" i="23"/>
  <c r="EQ170" i="23" s="1"/>
  <c r="ED170" i="23"/>
  <c r="EE170" i="23"/>
  <c r="EJ170" i="23"/>
  <c r="EK170" i="23" s="1"/>
  <c r="DX170" i="23"/>
  <c r="DY170" i="23" s="1"/>
  <c r="DR170" i="23"/>
  <c r="DS170" i="23" s="1"/>
  <c r="DF170" i="23"/>
  <c r="DG170" i="23"/>
  <c r="DL170" i="23"/>
  <c r="DM170" i="23" s="1"/>
  <c r="CZ170" i="23"/>
  <c r="DA170" i="23" s="1"/>
  <c r="CN170" i="23"/>
  <c r="CO170" i="23" s="1"/>
  <c r="CT170" i="23"/>
  <c r="CU170" i="23"/>
  <c r="CH170" i="23"/>
  <c r="CI170" i="23" s="1"/>
  <c r="CB170" i="23"/>
  <c r="CC170" i="23" s="1"/>
  <c r="BV170" i="23"/>
  <c r="BW170" i="23" s="1"/>
  <c r="BJ170" i="23"/>
  <c r="BK170" i="23"/>
  <c r="BD170" i="23"/>
  <c r="BE170" i="23" s="1"/>
  <c r="FZ174" i="23"/>
  <c r="GA174" i="23" s="1"/>
  <c r="FN174" i="23"/>
  <c r="FO174" i="23" s="1"/>
  <c r="FT174" i="23"/>
  <c r="FU174" i="23"/>
  <c r="FH174" i="23"/>
  <c r="FI174" i="23" s="1"/>
  <c r="EP174" i="23"/>
  <c r="EQ174" i="23" s="1"/>
  <c r="FB174" i="23"/>
  <c r="FC174" i="23" s="1"/>
  <c r="ED174" i="23"/>
  <c r="EE174" i="23"/>
  <c r="DR174" i="23"/>
  <c r="DS174" i="23" s="1"/>
  <c r="EV174" i="23"/>
  <c r="EW174" i="23" s="1"/>
  <c r="EJ174" i="23"/>
  <c r="EK174" i="23" s="1"/>
  <c r="DX174" i="23"/>
  <c r="DY174" i="23"/>
  <c r="DF174" i="23"/>
  <c r="DG174" i="23" s="1"/>
  <c r="DL174" i="23"/>
  <c r="DM174" i="23" s="1"/>
  <c r="CT174" i="23"/>
  <c r="CU174" i="23" s="1"/>
  <c r="CZ174" i="23"/>
  <c r="DA174" i="23"/>
  <c r="CN174" i="23"/>
  <c r="CO174" i="23" s="1"/>
  <c r="CH174" i="23"/>
  <c r="CI174" i="23" s="1"/>
  <c r="BD174" i="23"/>
  <c r="BE174" i="23" s="1"/>
  <c r="BV174" i="23"/>
  <c r="BW174" i="23"/>
  <c r="CB174" i="23"/>
  <c r="CC174" i="23" s="1"/>
  <c r="BJ174" i="23"/>
  <c r="BK174" i="23" s="1"/>
  <c r="FZ178" i="23"/>
  <c r="GA178" i="23" s="1"/>
  <c r="FN178" i="23"/>
  <c r="FO178" i="23"/>
  <c r="FH178" i="23"/>
  <c r="FI178" i="23" s="1"/>
  <c r="FT178" i="23"/>
  <c r="FU178" i="23" s="1"/>
  <c r="EV178" i="23"/>
  <c r="EW178" i="23" s="1"/>
  <c r="EP178" i="23"/>
  <c r="EQ178" i="23"/>
  <c r="ED178" i="23"/>
  <c r="EE178" i="23" s="1"/>
  <c r="EJ178" i="23"/>
  <c r="EK178" i="23" s="1"/>
  <c r="DR178" i="23"/>
  <c r="DS178" i="23" s="1"/>
  <c r="FB178" i="23"/>
  <c r="FC178" i="23"/>
  <c r="DX178" i="23"/>
  <c r="DY178" i="23" s="1"/>
  <c r="DF178" i="23"/>
  <c r="DG178" i="23" s="1"/>
  <c r="DL178" i="23"/>
  <c r="DM178" i="23" s="1"/>
  <c r="CH178" i="23"/>
  <c r="CI178" i="23"/>
  <c r="CZ178" i="23"/>
  <c r="DA178" i="23" s="1"/>
  <c r="CT178" i="23"/>
  <c r="CU178" i="23" s="1"/>
  <c r="CN178" i="23"/>
  <c r="CO178" i="23" s="1"/>
  <c r="BD178" i="23"/>
  <c r="BE178" i="23"/>
  <c r="BV178" i="23"/>
  <c r="BW178" i="23" s="1"/>
  <c r="CB178" i="23"/>
  <c r="CC178" i="23" s="1"/>
  <c r="BJ178" i="23"/>
  <c r="BK178" i="23" s="1"/>
  <c r="FZ182" i="23"/>
  <c r="GA182" i="23"/>
  <c r="FT182" i="23"/>
  <c r="FU182" i="23" s="1"/>
  <c r="FB182" i="23"/>
  <c r="FC182" i="23" s="1"/>
  <c r="FN182" i="23"/>
  <c r="FO182" i="23" s="1"/>
  <c r="FH182" i="23"/>
  <c r="FI182" i="23"/>
  <c r="EV182" i="23"/>
  <c r="EW182" i="23" s="1"/>
  <c r="DR182" i="23"/>
  <c r="DS182" i="23" s="1"/>
  <c r="EJ182" i="23"/>
  <c r="EK182" i="23" s="1"/>
  <c r="EP182" i="23"/>
  <c r="EQ182" i="23"/>
  <c r="ED182" i="23"/>
  <c r="EE182" i="23" s="1"/>
  <c r="DF182" i="23"/>
  <c r="DG182" i="23" s="1"/>
  <c r="DX182" i="23"/>
  <c r="DY182" i="23" s="1"/>
  <c r="DL182" i="23"/>
  <c r="DM182" i="23"/>
  <c r="CZ182" i="23"/>
  <c r="DA182" i="23" s="1"/>
  <c r="CT182" i="23"/>
  <c r="CU182" i="23" s="1"/>
  <c r="CN182" i="23"/>
  <c r="CO182" i="23" s="1"/>
  <c r="CH182" i="23"/>
  <c r="CI182" i="23"/>
  <c r="BV182" i="23"/>
  <c r="BW182" i="23" s="1"/>
  <c r="CB182" i="23"/>
  <c r="CC182" i="23" s="1"/>
  <c r="BJ182" i="23"/>
  <c r="BK182" i="23" s="1"/>
  <c r="BD182" i="23"/>
  <c r="BE182" i="23"/>
  <c r="FN189" i="23"/>
  <c r="FO189" i="23" s="1"/>
  <c r="FT189" i="23"/>
  <c r="FU189" i="23" s="1"/>
  <c r="FZ189" i="23"/>
  <c r="GA189" i="23" s="1"/>
  <c r="FB189" i="23"/>
  <c r="FC189" i="23"/>
  <c r="FH189" i="23"/>
  <c r="FI189" i="23" s="1"/>
  <c r="EV189" i="23"/>
  <c r="EW189" i="23" s="1"/>
  <c r="EP189" i="23"/>
  <c r="EQ189" i="23" s="1"/>
  <c r="EJ189" i="23"/>
  <c r="EK189" i="23"/>
  <c r="DR189" i="23"/>
  <c r="DS189" i="23" s="1"/>
  <c r="ED189" i="23"/>
  <c r="EE189" i="23" s="1"/>
  <c r="DX189" i="23"/>
  <c r="DY189" i="23" s="1"/>
  <c r="DF189" i="23"/>
  <c r="DG189" i="23"/>
  <c r="CT189" i="23"/>
  <c r="CU189" i="23" s="1"/>
  <c r="CN189" i="23"/>
  <c r="CO189" i="23" s="1"/>
  <c r="DL189" i="23"/>
  <c r="DM189" i="23" s="1"/>
  <c r="CZ189" i="23"/>
  <c r="DA189" i="23"/>
  <c r="CH189" i="23"/>
  <c r="CI189" i="23" s="1"/>
  <c r="BV189" i="23"/>
  <c r="BW189" i="23" s="1"/>
  <c r="BJ189" i="23"/>
  <c r="BK189" i="23" s="1"/>
  <c r="CB189" i="23"/>
  <c r="CC189" i="23"/>
  <c r="BD189" i="23"/>
  <c r="BE189" i="23" s="1"/>
  <c r="FZ193" i="23"/>
  <c r="GA193" i="23" s="1"/>
  <c r="FN193" i="23"/>
  <c r="FO193" i="23" s="1"/>
  <c r="FB193" i="23"/>
  <c r="FC193" i="23"/>
  <c r="FH193" i="23"/>
  <c r="FI193" i="23" s="1"/>
  <c r="FT193" i="23"/>
  <c r="FU193" i="23" s="1"/>
  <c r="EV193" i="23"/>
  <c r="EW193" i="23" s="1"/>
  <c r="DX193" i="23"/>
  <c r="DY193" i="23"/>
  <c r="EP193" i="23"/>
  <c r="EQ193" i="23" s="1"/>
  <c r="EJ193" i="23"/>
  <c r="EK193" i="23" s="1"/>
  <c r="ED193" i="23"/>
  <c r="EE193" i="23" s="1"/>
  <c r="DR193" i="23"/>
  <c r="DS193" i="23"/>
  <c r="DL193" i="23"/>
  <c r="DM193" i="23" s="1"/>
  <c r="DF193" i="23"/>
  <c r="DG193" i="23" s="1"/>
  <c r="CN193" i="23"/>
  <c r="CO193" i="23" s="1"/>
  <c r="CZ193" i="23"/>
  <c r="DA193" i="23"/>
  <c r="CT193" i="23"/>
  <c r="CU193" i="23" s="1"/>
  <c r="CH193" i="23"/>
  <c r="CI193" i="23" s="1"/>
  <c r="BD193" i="23"/>
  <c r="BE193" i="23" s="1"/>
  <c r="CB193" i="23"/>
  <c r="CC193" i="23"/>
  <c r="BV193" i="23"/>
  <c r="BW193" i="23" s="1"/>
  <c r="BJ193" i="23"/>
  <c r="BK193" i="23" s="1"/>
  <c r="FZ199" i="23"/>
  <c r="GA199" i="23" s="1"/>
  <c r="FT199" i="23"/>
  <c r="FU199" i="23"/>
  <c r="FN199" i="23"/>
  <c r="FO199" i="23" s="1"/>
  <c r="FH199" i="23"/>
  <c r="FI199" i="23" s="1"/>
  <c r="FB199" i="23"/>
  <c r="FC199" i="23" s="1"/>
  <c r="EJ199" i="23"/>
  <c r="EK199" i="23"/>
  <c r="EV199" i="23"/>
  <c r="EW199" i="23" s="1"/>
  <c r="EP199" i="23"/>
  <c r="EQ199" i="23" s="1"/>
  <c r="ED199" i="23"/>
  <c r="EE199" i="23" s="1"/>
  <c r="DX199" i="23"/>
  <c r="DY199" i="23"/>
  <c r="DR199" i="23"/>
  <c r="DS199" i="23" s="1"/>
  <c r="DL199" i="23"/>
  <c r="DM199" i="23" s="1"/>
  <c r="DF199" i="23"/>
  <c r="DG199" i="23" s="1"/>
  <c r="CN199" i="23"/>
  <c r="CO199" i="23"/>
  <c r="CZ199" i="23"/>
  <c r="DA199" i="23" s="1"/>
  <c r="CT199" i="23"/>
  <c r="CU199" i="23" s="1"/>
  <c r="BV199" i="23"/>
  <c r="BW199" i="23" s="1"/>
  <c r="CH199" i="23"/>
  <c r="CI199" i="23"/>
  <c r="CB199" i="23"/>
  <c r="CC199" i="23" s="1"/>
  <c r="BJ199" i="23"/>
  <c r="BK199" i="23" s="1"/>
  <c r="BD199" i="23"/>
  <c r="BE199" i="23" s="1"/>
  <c r="FZ203" i="23"/>
  <c r="GA203" i="23"/>
  <c r="FT203" i="23"/>
  <c r="FU203" i="23" s="1"/>
  <c r="FN203" i="23"/>
  <c r="FO203" i="23" s="1"/>
  <c r="FH203" i="23"/>
  <c r="FI203" i="23" s="1"/>
  <c r="EV203" i="23"/>
  <c r="EW203" i="23"/>
  <c r="EJ203" i="23"/>
  <c r="EK203" i="23" s="1"/>
  <c r="EP203" i="23"/>
  <c r="EQ203" i="23" s="1"/>
  <c r="FB203" i="23"/>
  <c r="FC203" i="23" s="1"/>
  <c r="DX203" i="23"/>
  <c r="DY203" i="23"/>
  <c r="ED203" i="23"/>
  <c r="EE203" i="23" s="1"/>
  <c r="DR203" i="23"/>
  <c r="DS203" i="23" s="1"/>
  <c r="DL203" i="23"/>
  <c r="DM203" i="23" s="1"/>
  <c r="DF203" i="23"/>
  <c r="DG203" i="23"/>
  <c r="CH203" i="23"/>
  <c r="CI203" i="23" s="1"/>
  <c r="CZ203" i="23"/>
  <c r="DA203" i="23" s="1"/>
  <c r="CN203" i="23"/>
  <c r="CO203" i="23" s="1"/>
  <c r="CT203" i="23"/>
  <c r="CU203" i="23"/>
  <c r="BV203" i="23"/>
  <c r="BW203" i="23" s="1"/>
  <c r="CB203" i="23"/>
  <c r="CC203" i="23" s="1"/>
  <c r="BJ203" i="23"/>
  <c r="BK203" i="23" s="1"/>
  <c r="BD203" i="23"/>
  <c r="BE203" i="23"/>
  <c r="FZ207" i="23"/>
  <c r="GA207" i="23" s="1"/>
  <c r="FT207" i="23"/>
  <c r="FU207" i="23" s="1"/>
  <c r="FN207" i="23"/>
  <c r="FO207" i="23" s="1"/>
  <c r="FB207" i="23"/>
  <c r="FC207" i="23"/>
  <c r="EV207" i="23"/>
  <c r="EW207" i="23" s="1"/>
  <c r="FH207" i="23"/>
  <c r="FI207" i="23" s="1"/>
  <c r="EP207" i="23"/>
  <c r="EQ207" i="23" s="1"/>
  <c r="ED207" i="23"/>
  <c r="EE207" i="23"/>
  <c r="DX207" i="23"/>
  <c r="DY207" i="23" s="1"/>
  <c r="EJ207" i="23"/>
  <c r="EK207" i="23" s="1"/>
  <c r="DR207" i="23"/>
  <c r="DS207" i="23" s="1"/>
  <c r="DL207" i="23"/>
  <c r="DM207" i="23"/>
  <c r="CN207" i="23"/>
  <c r="CO207" i="23" s="1"/>
  <c r="DF207" i="23"/>
  <c r="DG207" i="23" s="1"/>
  <c r="CZ207" i="23"/>
  <c r="DA207" i="23" s="1"/>
  <c r="CT207" i="23"/>
  <c r="CU207" i="23"/>
  <c r="CH207" i="23"/>
  <c r="CI207" i="23" s="1"/>
  <c r="CB207" i="23"/>
  <c r="CC207" i="23" s="1"/>
  <c r="BJ207" i="23"/>
  <c r="BK207" i="23" s="1"/>
  <c r="BD207" i="23"/>
  <c r="BE207" i="23"/>
  <c r="BV207" i="23"/>
  <c r="BW207" i="23" s="1"/>
  <c r="FZ211" i="23"/>
  <c r="GA211" i="23" s="1"/>
  <c r="FN211" i="23"/>
  <c r="FO211" i="23" s="1"/>
  <c r="FB211" i="23"/>
  <c r="FC211" i="23"/>
  <c r="FT211" i="23"/>
  <c r="FU211" i="23" s="1"/>
  <c r="EV211" i="23"/>
  <c r="EW211" i="23" s="1"/>
  <c r="FH211" i="23"/>
  <c r="FI211" i="23" s="1"/>
  <c r="ED211" i="23"/>
  <c r="EE211" i="23"/>
  <c r="EJ211" i="23"/>
  <c r="EK211" i="23" s="1"/>
  <c r="EP211" i="23"/>
  <c r="EQ211" i="23" s="1"/>
  <c r="DX211" i="23"/>
  <c r="DY211" i="23" s="1"/>
  <c r="DF211" i="23"/>
  <c r="DG211" i="23"/>
  <c r="DR211" i="23"/>
  <c r="DS211" i="23" s="1"/>
  <c r="CH211" i="23"/>
  <c r="CI211" i="23" s="1"/>
  <c r="DL211" i="23"/>
  <c r="DM211" i="23" s="1"/>
  <c r="CZ211" i="23"/>
  <c r="DA211" i="23"/>
  <c r="CT211" i="23"/>
  <c r="CU211" i="23" s="1"/>
  <c r="CN211" i="23"/>
  <c r="CO211" i="23" s="1"/>
  <c r="BV211" i="23"/>
  <c r="BW211" i="23" s="1"/>
  <c r="CB211" i="23"/>
  <c r="CC211" i="23"/>
  <c r="BJ211" i="23"/>
  <c r="BK211" i="23" s="1"/>
  <c r="BD211" i="23"/>
  <c r="BE211" i="23" s="1"/>
  <c r="FZ218" i="23"/>
  <c r="GA218" i="23" s="1"/>
  <c r="FT218" i="23"/>
  <c r="FU218" i="23"/>
  <c r="FN218" i="23"/>
  <c r="FO218" i="23" s="1"/>
  <c r="FH218" i="23"/>
  <c r="FI218" i="23" s="1"/>
  <c r="FB218" i="23"/>
  <c r="FC218" i="23" s="1"/>
  <c r="EV218" i="23"/>
  <c r="EW218" i="23"/>
  <c r="EP218" i="23"/>
  <c r="EQ218" i="23" s="1"/>
  <c r="DX218" i="23"/>
  <c r="DY218" i="23" s="1"/>
  <c r="EJ218" i="23"/>
  <c r="EK218" i="23" s="1"/>
  <c r="ED218" i="23"/>
  <c r="EE218" i="23"/>
  <c r="DF218" i="23"/>
  <c r="DG218" i="23" s="1"/>
  <c r="DR218" i="23"/>
  <c r="DS218" i="23" s="1"/>
  <c r="DL218" i="23"/>
  <c r="DM218" i="23" s="1"/>
  <c r="CN218" i="23"/>
  <c r="CO218" i="23"/>
  <c r="CZ218" i="23"/>
  <c r="DA218" i="23" s="1"/>
  <c r="CT218" i="23"/>
  <c r="CU218" i="23" s="1"/>
  <c r="CH218" i="23"/>
  <c r="CI218" i="23" s="1"/>
  <c r="BV218" i="23"/>
  <c r="BW218" i="23"/>
  <c r="BJ218" i="23"/>
  <c r="BK218" i="23" s="1"/>
  <c r="CB218" i="23"/>
  <c r="CC218" i="23" s="1"/>
  <c r="BD218" i="23"/>
  <c r="BE218" i="23" s="1"/>
  <c r="FZ222" i="23"/>
  <c r="GA222" i="23"/>
  <c r="FT222" i="23"/>
  <c r="FU222" i="23" s="1"/>
  <c r="FN222" i="23"/>
  <c r="FO222" i="23" s="1"/>
  <c r="FB222" i="23"/>
  <c r="FC222" i="23" s="1"/>
  <c r="EV222" i="23"/>
  <c r="EW222" i="23"/>
  <c r="FH222" i="23"/>
  <c r="FI222" i="23" s="1"/>
  <c r="EP222" i="23"/>
  <c r="EQ222" i="23" s="1"/>
  <c r="ED222" i="23"/>
  <c r="EE222" i="23" s="1"/>
  <c r="EJ222" i="23"/>
  <c r="EK222" i="23"/>
  <c r="DX222" i="23"/>
  <c r="DY222" i="23" s="1"/>
  <c r="DF222" i="23"/>
  <c r="DG222" i="23" s="1"/>
  <c r="CT222" i="23"/>
  <c r="CU222" i="23" s="1"/>
  <c r="CN222" i="23"/>
  <c r="CO222" i="23"/>
  <c r="DR222" i="23"/>
  <c r="DS222" i="23" s="1"/>
  <c r="DL222" i="23"/>
  <c r="DM222" i="23" s="1"/>
  <c r="CZ222" i="23"/>
  <c r="DA222" i="23" s="1"/>
  <c r="BV222" i="23"/>
  <c r="BW222" i="23"/>
  <c r="BJ222" i="23"/>
  <c r="BK222" i="23" s="1"/>
  <c r="CB222" i="23"/>
  <c r="CC222" i="23" s="1"/>
  <c r="CH222" i="23"/>
  <c r="CI222" i="23" s="1"/>
  <c r="BD222" i="23"/>
  <c r="BE222" i="23"/>
  <c r="FN228" i="23"/>
  <c r="FO228" i="23" s="1"/>
  <c r="FZ228" i="23"/>
  <c r="GA228" i="23" s="1"/>
  <c r="FH228" i="23"/>
  <c r="FI228" i="23" s="1"/>
  <c r="FT228" i="23"/>
  <c r="FU228" i="23"/>
  <c r="EV228" i="23"/>
  <c r="EW228" i="23" s="1"/>
  <c r="EP228" i="23"/>
  <c r="EQ228" i="23" s="1"/>
  <c r="EJ228" i="23"/>
  <c r="EK228" i="23" s="1"/>
  <c r="DX228" i="23"/>
  <c r="DY228" i="23"/>
  <c r="FB228" i="23"/>
  <c r="FC228" i="23" s="1"/>
  <c r="ED228" i="23"/>
  <c r="EE228" i="23" s="1"/>
  <c r="DR228" i="23"/>
  <c r="DS228" i="23" s="1"/>
  <c r="DL228" i="23"/>
  <c r="DM228" i="23"/>
  <c r="DF228" i="23"/>
  <c r="DG228" i="23" s="1"/>
  <c r="CT228" i="23"/>
  <c r="CU228" i="23" s="1"/>
  <c r="CN228" i="23"/>
  <c r="CO228" i="23" s="1"/>
  <c r="CZ228" i="23"/>
  <c r="DA228" i="23"/>
  <c r="CH228" i="23"/>
  <c r="CI228" i="23" s="1"/>
  <c r="BJ228" i="23"/>
  <c r="BK228" i="23" s="1"/>
  <c r="BD228" i="23"/>
  <c r="BE228" i="23" s="1"/>
  <c r="CB228" i="23"/>
  <c r="CC228" i="23"/>
  <c r="BV228" i="23"/>
  <c r="BW228" i="23" s="1"/>
  <c r="FZ232" i="23"/>
  <c r="GA232" i="23" s="1"/>
  <c r="FT232" i="23"/>
  <c r="FU232" i="23" s="1"/>
  <c r="FN232" i="23"/>
  <c r="FO232" i="23"/>
  <c r="FB232" i="23"/>
  <c r="FC232" i="23" s="1"/>
  <c r="FH232" i="23"/>
  <c r="FI232" i="23" s="1"/>
  <c r="EV232" i="23"/>
  <c r="EW232" i="23" s="1"/>
  <c r="EP232" i="23"/>
  <c r="EQ232" i="23"/>
  <c r="ED232" i="23"/>
  <c r="EE232" i="23" s="1"/>
  <c r="EJ232" i="23"/>
  <c r="EK232" i="23" s="1"/>
  <c r="DX232" i="23"/>
  <c r="DY232" i="23" s="1"/>
  <c r="DR232" i="23"/>
  <c r="DS232" i="23"/>
  <c r="DF232" i="23"/>
  <c r="DG232" i="23" s="1"/>
  <c r="CN232" i="23"/>
  <c r="CO232" i="23" s="1"/>
  <c r="CH232" i="23"/>
  <c r="CI232" i="23" s="1"/>
  <c r="DL232" i="23"/>
  <c r="DM232" i="23"/>
  <c r="CZ232" i="23"/>
  <c r="DA232" i="23" s="1"/>
  <c r="CT232" i="23"/>
  <c r="CU232" i="23" s="1"/>
  <c r="CB232" i="23"/>
  <c r="CC232" i="23" s="1"/>
  <c r="BV232" i="23"/>
  <c r="BW232" i="23"/>
  <c r="BJ232" i="23"/>
  <c r="BK232" i="23" s="1"/>
  <c r="BD232" i="23"/>
  <c r="BE232" i="23" s="1"/>
  <c r="FZ236" i="23"/>
  <c r="GA236" i="23" s="1"/>
  <c r="FN236" i="23"/>
  <c r="FO236" i="23"/>
  <c r="FT236" i="23"/>
  <c r="FU236" i="23" s="1"/>
  <c r="FH236" i="23"/>
  <c r="FI236" i="23" s="1"/>
  <c r="FB236" i="23"/>
  <c r="FC236" i="23" s="1"/>
  <c r="EP236" i="23"/>
  <c r="EQ236" i="23"/>
  <c r="EV236" i="23"/>
  <c r="EW236" i="23" s="1"/>
  <c r="EJ236" i="23"/>
  <c r="EK236" i="23" s="1"/>
  <c r="ED236" i="23"/>
  <c r="EE236" i="23" s="1"/>
  <c r="DX236" i="23"/>
  <c r="DY236" i="23"/>
  <c r="DR236" i="23"/>
  <c r="DS236" i="23" s="1"/>
  <c r="DL236" i="23"/>
  <c r="DM236" i="23" s="1"/>
  <c r="DF236" i="23"/>
  <c r="DG236" i="23" s="1"/>
  <c r="CZ236" i="23"/>
  <c r="DA236" i="23"/>
  <c r="CT236" i="23"/>
  <c r="CU236" i="23" s="1"/>
  <c r="CN236" i="23"/>
  <c r="CO236" i="23" s="1"/>
  <c r="CH236" i="23"/>
  <c r="CI236" i="23" s="1"/>
  <c r="BD236" i="23"/>
  <c r="BE236" i="23"/>
  <c r="BV236" i="23"/>
  <c r="BW236" i="23" s="1"/>
  <c r="CB236" i="23"/>
  <c r="CC236" i="23" s="1"/>
  <c r="BJ236" i="23"/>
  <c r="BK236" i="23" s="1"/>
  <c r="FZ240" i="23"/>
  <c r="GA240" i="23"/>
  <c r="FN240" i="23"/>
  <c r="FO240" i="23" s="1"/>
  <c r="FT240" i="23"/>
  <c r="FU240" i="23" s="1"/>
  <c r="FH240" i="23"/>
  <c r="FI240" i="23" s="1"/>
  <c r="EP240" i="23"/>
  <c r="EQ240" i="23"/>
  <c r="FB240" i="23"/>
  <c r="FC240" i="23" s="1"/>
  <c r="EV240" i="23"/>
  <c r="EW240" i="23" s="1"/>
  <c r="ED240" i="23"/>
  <c r="EE240" i="23" s="1"/>
  <c r="EJ240" i="23"/>
  <c r="EK240" i="23" s="1"/>
  <c r="DX240" i="23"/>
  <c r="DY240" i="23" s="1"/>
  <c r="DR240" i="23"/>
  <c r="DS240" i="23" s="1"/>
  <c r="DL240" i="23"/>
  <c r="DM240" i="23" s="1"/>
  <c r="CZ240" i="23"/>
  <c r="DA240" i="23" s="1"/>
  <c r="CT240" i="23"/>
  <c r="CU240" i="23" s="1"/>
  <c r="CN240" i="23"/>
  <c r="CO240" i="23" s="1"/>
  <c r="DF240" i="23"/>
  <c r="DG240" i="23" s="1"/>
  <c r="CH240" i="23"/>
  <c r="CI240" i="23" s="1"/>
  <c r="BD240" i="23"/>
  <c r="BE240" i="23" s="1"/>
  <c r="BV240" i="23"/>
  <c r="BW240" i="23" s="1"/>
  <c r="CB240" i="23"/>
  <c r="CC240" i="23" s="1"/>
  <c r="BJ240" i="23"/>
  <c r="BK240" i="23" s="1"/>
  <c r="FN244" i="23"/>
  <c r="FO244" i="23" s="1"/>
  <c r="FZ244" i="23"/>
  <c r="GA244" i="23" s="1"/>
  <c r="FT244" i="23"/>
  <c r="FU244" i="23" s="1"/>
  <c r="FH244" i="23"/>
  <c r="FI244" i="23" s="1"/>
  <c r="FB244" i="23"/>
  <c r="FC244" i="23" s="1"/>
  <c r="EP244" i="23"/>
  <c r="EQ244" i="23" s="1"/>
  <c r="EJ244" i="23"/>
  <c r="EK244" i="23" s="1"/>
  <c r="EV244" i="23"/>
  <c r="EW244" i="23" s="1"/>
  <c r="DR244" i="23"/>
  <c r="DS244" i="23" s="1"/>
  <c r="DX244" i="23"/>
  <c r="DY244" i="23" s="1"/>
  <c r="ED244" i="23"/>
  <c r="EE244" i="23" s="1"/>
  <c r="DL244" i="23"/>
  <c r="DM244" i="23" s="1"/>
  <c r="DF244" i="23"/>
  <c r="DG244" i="23" s="1"/>
  <c r="CN244" i="23"/>
  <c r="CO244" i="23" s="1"/>
  <c r="CH244" i="23"/>
  <c r="CI244" i="23" s="1"/>
  <c r="CZ244" i="23"/>
  <c r="DA244" i="23" s="1"/>
  <c r="CT244" i="23"/>
  <c r="CU244" i="23" s="1"/>
  <c r="BV244" i="23"/>
  <c r="BW244" i="23" s="1"/>
  <c r="BJ244" i="23"/>
  <c r="BK244" i="23" s="1"/>
  <c r="CB244" i="23"/>
  <c r="CC244" i="23" s="1"/>
  <c r="BD244" i="23"/>
  <c r="BE244" i="23" s="1"/>
  <c r="FZ251" i="23"/>
  <c r="GA251" i="23" s="1"/>
  <c r="FN251" i="23"/>
  <c r="FO251" i="23" s="1"/>
  <c r="FT251" i="23"/>
  <c r="FU251" i="23" s="1"/>
  <c r="FH251" i="23"/>
  <c r="FI251" i="23" s="1"/>
  <c r="FB251" i="23"/>
  <c r="FC251" i="23" s="1"/>
  <c r="EP251" i="23"/>
  <c r="EQ251" i="23" s="1"/>
  <c r="EV251" i="23"/>
  <c r="EW251" i="23" s="1"/>
  <c r="EJ251" i="23"/>
  <c r="EK251" i="23" s="1"/>
  <c r="DR251" i="23"/>
  <c r="DS251" i="23" s="1"/>
  <c r="ED251" i="23"/>
  <c r="EE251" i="23" s="1"/>
  <c r="DL251" i="23"/>
  <c r="DM251" i="23" s="1"/>
  <c r="DF251" i="23"/>
  <c r="DG251" i="23" s="1"/>
  <c r="DX251" i="23"/>
  <c r="DY251" i="23" s="1"/>
  <c r="CN251" i="23"/>
  <c r="CO251" i="23" s="1"/>
  <c r="CZ251" i="23"/>
  <c r="DA251" i="23" s="1"/>
  <c r="CT251" i="23"/>
  <c r="CU251" i="23" s="1"/>
  <c r="CH251" i="23"/>
  <c r="CI251" i="23" s="1"/>
  <c r="BV251" i="23"/>
  <c r="BW251" i="23" s="1"/>
  <c r="BJ251" i="23"/>
  <c r="BK251" i="23" s="1"/>
  <c r="CB251" i="23"/>
  <c r="CC251" i="23" s="1"/>
  <c r="BD251" i="23"/>
  <c r="BE251" i="23" s="1"/>
  <c r="FZ257" i="23"/>
  <c r="GA257" i="23" s="1"/>
  <c r="FN257" i="23"/>
  <c r="FO257" i="23" s="1"/>
  <c r="FH257" i="23"/>
  <c r="FI257" i="23" s="1"/>
  <c r="FT257" i="23"/>
  <c r="FU257" i="23" s="1"/>
  <c r="EV257" i="23"/>
  <c r="EW257" i="23" s="1"/>
  <c r="FB257" i="23"/>
  <c r="FC257" i="23" s="1"/>
  <c r="EP257" i="23"/>
  <c r="EQ257" i="23" s="1"/>
  <c r="DR257" i="23"/>
  <c r="DS257" i="23" s="1"/>
  <c r="EJ257" i="23"/>
  <c r="EK257" i="23" s="1"/>
  <c r="ED257" i="23"/>
  <c r="EE257" i="23" s="1"/>
  <c r="DX257" i="23"/>
  <c r="DY257" i="23" s="1"/>
  <c r="DF257" i="23"/>
  <c r="DG257" i="23" s="1"/>
  <c r="DL257" i="23"/>
  <c r="DM257" i="23" s="1"/>
  <c r="CZ257" i="23"/>
  <c r="DA257" i="23" s="1"/>
  <c r="CT257" i="23"/>
  <c r="CU257" i="23" s="1"/>
  <c r="CN257" i="23"/>
  <c r="CO257" i="23" s="1"/>
  <c r="CB257" i="23"/>
  <c r="CC257" i="23" s="1"/>
  <c r="BV257" i="23"/>
  <c r="BW257" i="23" s="1"/>
  <c r="CH257" i="23"/>
  <c r="CI257" i="23" s="1"/>
  <c r="BJ257" i="23"/>
  <c r="BK257" i="23" s="1"/>
  <c r="BD257" i="23"/>
  <c r="BE257" i="23" s="1"/>
  <c r="FZ261" i="23"/>
  <c r="GA261" i="23" s="1"/>
  <c r="FN261" i="23"/>
  <c r="FO261" i="23" s="1"/>
  <c r="FT261" i="23"/>
  <c r="FU261" i="23" s="1"/>
  <c r="FB261" i="23"/>
  <c r="FC261" i="23" s="1"/>
  <c r="FH261" i="23"/>
  <c r="FI261" i="23" s="1"/>
  <c r="EP261" i="23"/>
  <c r="EQ261" i="23" s="1"/>
  <c r="EV261" i="23"/>
  <c r="EW261" i="23" s="1"/>
  <c r="EJ261" i="23"/>
  <c r="EK261" i="23" s="1"/>
  <c r="DR261" i="23"/>
  <c r="DS261" i="23" s="1"/>
  <c r="ED261" i="23"/>
  <c r="EE261" i="23" s="1"/>
  <c r="DX261" i="23"/>
  <c r="DY261" i="23" s="1"/>
  <c r="DF261" i="23"/>
  <c r="DG261" i="23" s="1"/>
  <c r="DL261" i="23"/>
  <c r="DM261" i="23" s="1"/>
  <c r="CT261" i="23"/>
  <c r="CU261" i="23" s="1"/>
  <c r="CN261" i="23"/>
  <c r="CO261" i="23" s="1"/>
  <c r="CZ261" i="23"/>
  <c r="DA261" i="23" s="1"/>
  <c r="CB261" i="23"/>
  <c r="CC261" i="23" s="1"/>
  <c r="BJ261" i="23"/>
  <c r="BK261" i="23" s="1"/>
  <c r="BD261" i="23"/>
  <c r="BE261" i="23" s="1"/>
  <c r="CH261" i="23"/>
  <c r="CI261" i="23" s="1"/>
  <c r="BV261" i="23"/>
  <c r="BW261" i="23" s="1"/>
  <c r="FZ265" i="23"/>
  <c r="GA265" i="23" s="1"/>
  <c r="FN265" i="23"/>
  <c r="FO265" i="23" s="1"/>
  <c r="FT265" i="23"/>
  <c r="FU265" i="23" s="1"/>
  <c r="FH265" i="23"/>
  <c r="FI265" i="23" s="1"/>
  <c r="FB265" i="23"/>
  <c r="FC265" i="23" s="1"/>
  <c r="EV265" i="23"/>
  <c r="EW265" i="23" s="1"/>
  <c r="EP265" i="23"/>
  <c r="EQ265" i="23" s="1"/>
  <c r="EJ265" i="23"/>
  <c r="EK265" i="23" s="1"/>
  <c r="DX265" i="23"/>
  <c r="DY265" i="23" s="1"/>
  <c r="DR265" i="23"/>
  <c r="DS265" i="23" s="1"/>
  <c r="ED265" i="23"/>
  <c r="EE265" i="23" s="1"/>
  <c r="DF265" i="23"/>
  <c r="DG265" i="23" s="1"/>
  <c r="DL265" i="23"/>
  <c r="DM265" i="23" s="1"/>
  <c r="CZ265" i="23"/>
  <c r="DA265" i="23" s="1"/>
  <c r="CT265" i="23"/>
  <c r="CU265" i="23" s="1"/>
  <c r="CN265" i="23"/>
  <c r="CO265" i="23" s="1"/>
  <c r="CH265" i="23"/>
  <c r="CI265" i="23" s="1"/>
  <c r="BD265" i="23"/>
  <c r="BE265" i="23" s="1"/>
  <c r="CB265" i="23"/>
  <c r="CC265" i="23" s="1"/>
  <c r="BV265" i="23"/>
  <c r="BW265" i="23" s="1"/>
  <c r="BJ265" i="23"/>
  <c r="BK265" i="23" s="1"/>
  <c r="FZ269" i="23"/>
  <c r="GA269" i="23" s="1"/>
  <c r="FT269" i="23"/>
  <c r="FU269" i="23" s="1"/>
  <c r="FH269" i="23"/>
  <c r="FI269" i="23" s="1"/>
  <c r="FN269" i="23"/>
  <c r="FO269" i="23" s="1"/>
  <c r="FB269" i="23"/>
  <c r="FC269" i="23" s="1"/>
  <c r="EP269" i="23"/>
  <c r="EQ269" i="23" s="1"/>
  <c r="EV269" i="23"/>
  <c r="EW269" i="23" s="1"/>
  <c r="DR269" i="23"/>
  <c r="DS269" i="23" s="1"/>
  <c r="EJ269" i="23"/>
  <c r="EK269" i="23" s="1"/>
  <c r="ED269" i="23"/>
  <c r="EE269" i="23" s="1"/>
  <c r="DX269" i="23"/>
  <c r="DY269" i="23" s="1"/>
  <c r="DL269" i="23"/>
  <c r="DM269" i="23" s="1"/>
  <c r="DF269" i="23"/>
  <c r="DG269" i="23" s="1"/>
  <c r="CH269" i="23"/>
  <c r="CI269" i="23" s="1"/>
  <c r="CN269" i="23"/>
  <c r="CO269" i="23" s="1"/>
  <c r="CZ269" i="23"/>
  <c r="DA269" i="23" s="1"/>
  <c r="CT269" i="23"/>
  <c r="CU269" i="23" s="1"/>
  <c r="BV269" i="23"/>
  <c r="BW269" i="23" s="1"/>
  <c r="CB269" i="23"/>
  <c r="CC269" i="23" s="1"/>
  <c r="BJ269" i="23"/>
  <c r="BK269" i="23" s="1"/>
  <c r="BD269" i="23"/>
  <c r="BE269" i="23" s="1"/>
  <c r="FZ273" i="23"/>
  <c r="GA273" i="23" s="1"/>
  <c r="FN273" i="23"/>
  <c r="FO273" i="23" s="1"/>
  <c r="FT273" i="23"/>
  <c r="FU273" i="23" s="1"/>
  <c r="FB273" i="23"/>
  <c r="FC273" i="23" s="1"/>
  <c r="EV273" i="23"/>
  <c r="EW273" i="23" s="1"/>
  <c r="FH273" i="23"/>
  <c r="FI273" i="23" s="1"/>
  <c r="EP273" i="23"/>
  <c r="EQ273" i="23" s="1"/>
  <c r="ED273" i="23"/>
  <c r="EE273" i="23" s="1"/>
  <c r="DX273" i="23"/>
  <c r="DY273" i="23" s="1"/>
  <c r="EJ273" i="23"/>
  <c r="EK273" i="23" s="1"/>
  <c r="DR273" i="23"/>
  <c r="DS273" i="23" s="1"/>
  <c r="DF273" i="23"/>
  <c r="DG273" i="23" s="1"/>
  <c r="CH273" i="23"/>
  <c r="CI273" i="23" s="1"/>
  <c r="DL273" i="23"/>
  <c r="DM273" i="23" s="1"/>
  <c r="CT273" i="23"/>
  <c r="CU273" i="23" s="1"/>
  <c r="CZ273" i="23"/>
  <c r="DA273" i="23" s="1"/>
  <c r="CN273" i="23"/>
  <c r="CO273" i="23" s="1"/>
  <c r="CB273" i="23"/>
  <c r="CC273" i="23" s="1"/>
  <c r="BD273" i="23"/>
  <c r="BE273" i="23" s="1"/>
  <c r="BV273" i="23"/>
  <c r="BW273" i="23" s="1"/>
  <c r="BJ273" i="23"/>
  <c r="BK273" i="23" s="1"/>
  <c r="FZ280" i="23"/>
  <c r="GA280" i="23" s="1"/>
  <c r="FN280" i="23"/>
  <c r="FO280" i="23" s="1"/>
  <c r="FT280" i="23"/>
  <c r="FU280" i="23" s="1"/>
  <c r="FH280" i="23"/>
  <c r="FI280" i="23" s="1"/>
  <c r="EP280" i="23"/>
  <c r="EQ280" i="23" s="1"/>
  <c r="FB280" i="23"/>
  <c r="FC280" i="23" s="1"/>
  <c r="EV280" i="23"/>
  <c r="EW280" i="23" s="1"/>
  <c r="EJ280" i="23"/>
  <c r="EK280" i="23" s="1"/>
  <c r="DX280" i="23"/>
  <c r="DY280" i="23" s="1"/>
  <c r="ED280" i="23"/>
  <c r="EE280" i="23" s="1"/>
  <c r="DR280" i="23"/>
  <c r="DS280" i="23" s="1"/>
  <c r="DF280" i="23"/>
  <c r="DG280" i="23" s="1"/>
  <c r="CZ280" i="23"/>
  <c r="DA280" i="23" s="1"/>
  <c r="DL280" i="23"/>
  <c r="DM280" i="23" s="1"/>
  <c r="CT280" i="23"/>
  <c r="CU280" i="23" s="1"/>
  <c r="CN280" i="23"/>
  <c r="CO280" i="23" s="1"/>
  <c r="CB280" i="23"/>
  <c r="CC280" i="23" s="1"/>
  <c r="BV280" i="23"/>
  <c r="BW280" i="23" s="1"/>
  <c r="BJ280" i="23"/>
  <c r="BK280" i="23" s="1"/>
  <c r="CH280" i="23"/>
  <c r="CI280" i="23" s="1"/>
  <c r="BD280" i="23"/>
  <c r="BE280" i="23" s="1"/>
  <c r="FZ284" i="23"/>
  <c r="GA284" i="23" s="1"/>
  <c r="FN284" i="23"/>
  <c r="FO284" i="23" s="1"/>
  <c r="FT284" i="23"/>
  <c r="FU284" i="23" s="1"/>
  <c r="FB284" i="23"/>
  <c r="FC284" i="23" s="1"/>
  <c r="FH284" i="23"/>
  <c r="FI284" i="23" s="1"/>
  <c r="EV284" i="23"/>
  <c r="EW284" i="23" s="1"/>
  <c r="EP284" i="23"/>
  <c r="EQ284" i="23" s="1"/>
  <c r="EJ284" i="23"/>
  <c r="EK284" i="23" s="1"/>
  <c r="DX284" i="23"/>
  <c r="DY284" i="23" s="1"/>
  <c r="ED284" i="23"/>
  <c r="EE284" i="23" s="1"/>
  <c r="DR284" i="23"/>
  <c r="DS284" i="23" s="1"/>
  <c r="DL284" i="23"/>
  <c r="DM284" i="23" s="1"/>
  <c r="DF284" i="23"/>
  <c r="DG284" i="23" s="1"/>
  <c r="CT284" i="23"/>
  <c r="CU284" i="23" s="1"/>
  <c r="CN284" i="23"/>
  <c r="CO284" i="23" s="1"/>
  <c r="CZ284" i="23"/>
  <c r="DA284" i="23" s="1"/>
  <c r="BV284" i="23"/>
  <c r="BW284" i="23" s="1"/>
  <c r="CH284" i="23"/>
  <c r="CI284" i="23" s="1"/>
  <c r="CB284" i="23"/>
  <c r="CC284" i="23" s="1"/>
  <c r="BJ284" i="23"/>
  <c r="BK284" i="23" s="1"/>
  <c r="BD284" i="23"/>
  <c r="BE284" i="23" s="1"/>
  <c r="FZ290" i="23"/>
  <c r="GA290" i="23" s="1"/>
  <c r="FN290" i="23"/>
  <c r="FO290" i="23" s="1"/>
  <c r="FT290" i="23"/>
  <c r="FU290" i="23" s="1"/>
  <c r="FB290" i="23"/>
  <c r="FC290" i="23" s="1"/>
  <c r="EV290" i="23"/>
  <c r="EW290" i="23" s="1"/>
  <c r="EJ290" i="23"/>
  <c r="EK290" i="23" s="1"/>
  <c r="DX290" i="23"/>
  <c r="DY290" i="23" s="1"/>
  <c r="DR290" i="23"/>
  <c r="DS290" i="23" s="1"/>
  <c r="FH290" i="23"/>
  <c r="FI290" i="23" s="1"/>
  <c r="EP290" i="23"/>
  <c r="EQ290" i="23" s="1"/>
  <c r="ED290" i="23"/>
  <c r="EE290" i="23" s="1"/>
  <c r="DL290" i="23"/>
  <c r="DM290" i="23" s="1"/>
  <c r="DF290" i="23"/>
  <c r="DG290" i="23" s="1"/>
  <c r="CZ290" i="23"/>
  <c r="DA290" i="23" s="1"/>
  <c r="CT290" i="23"/>
  <c r="CU290" i="23" s="1"/>
  <c r="CH290" i="23"/>
  <c r="CI290" i="23" s="1"/>
  <c r="CN290" i="23"/>
  <c r="CO290" i="23" s="1"/>
  <c r="CB290" i="23"/>
  <c r="CC290" i="23" s="1"/>
  <c r="BJ290" i="23"/>
  <c r="BK290" i="23" s="1"/>
  <c r="BD290" i="23"/>
  <c r="BE290" i="23" s="1"/>
  <c r="BV290" i="23"/>
  <c r="BW290" i="23" s="1"/>
  <c r="FZ294" i="23"/>
  <c r="GA294" i="23" s="1"/>
  <c r="FN294" i="23"/>
  <c r="FO294" i="23" s="1"/>
  <c r="FT294" i="23"/>
  <c r="FU294" i="23" s="1"/>
  <c r="FH294" i="23"/>
  <c r="FI294" i="23" s="1"/>
  <c r="FB294" i="23"/>
  <c r="FC294" i="23" s="1"/>
  <c r="EV294" i="23"/>
  <c r="EW294" i="23" s="1"/>
  <c r="EJ294" i="23"/>
  <c r="EK294" i="23" s="1"/>
  <c r="ED294" i="23"/>
  <c r="EE294" i="23" s="1"/>
  <c r="EP294" i="23"/>
  <c r="EQ294" i="23" s="1"/>
  <c r="DX294" i="23"/>
  <c r="DY294" i="23" s="1"/>
  <c r="DR294" i="23"/>
  <c r="DS294" i="23" s="1"/>
  <c r="DL294" i="23"/>
  <c r="DM294" i="23" s="1"/>
  <c r="DF294" i="23"/>
  <c r="DG294" i="23" s="1"/>
  <c r="CH294" i="23"/>
  <c r="CI294" i="23" s="1"/>
  <c r="CZ294" i="23"/>
  <c r="DA294" i="23" s="1"/>
  <c r="CT294" i="23"/>
  <c r="CU294" i="23" s="1"/>
  <c r="CN294" i="23"/>
  <c r="CO294" i="23" s="1"/>
  <c r="CB294" i="23"/>
  <c r="CC294" i="23" s="1"/>
  <c r="BJ294" i="23"/>
  <c r="BK294" i="23" s="1"/>
  <c r="BD294" i="23"/>
  <c r="BE294" i="23" s="1"/>
  <c r="BV294" i="23"/>
  <c r="BW294" i="23" s="1"/>
  <c r="FZ298" i="23"/>
  <c r="GA298" i="23" s="1"/>
  <c r="FN298" i="23"/>
  <c r="FO298" i="23" s="1"/>
  <c r="FT298" i="23"/>
  <c r="FU298" i="23" s="1"/>
  <c r="FH298" i="23"/>
  <c r="FI298" i="23" s="1"/>
  <c r="FB298" i="23"/>
  <c r="FC298" i="23" s="1"/>
  <c r="EV298" i="23"/>
  <c r="EW298" i="23" s="1"/>
  <c r="EJ298" i="23"/>
  <c r="EK298" i="23" s="1"/>
  <c r="ED298" i="23"/>
  <c r="EE298" i="23" s="1"/>
  <c r="EP298" i="23"/>
  <c r="EQ298" i="23" s="1"/>
  <c r="DX298" i="23"/>
  <c r="DY298" i="23" s="1"/>
  <c r="DR298" i="23"/>
  <c r="DS298" i="23" s="1"/>
  <c r="DL298" i="23"/>
  <c r="DM298" i="23" s="1"/>
  <c r="DF298" i="23"/>
  <c r="DG298" i="23" s="1"/>
  <c r="CT298" i="23"/>
  <c r="CU298" i="23" s="1"/>
  <c r="CN298" i="23"/>
  <c r="CO298" i="23" s="1"/>
  <c r="CZ298" i="23"/>
  <c r="DA298" i="23" s="1"/>
  <c r="CH298" i="23"/>
  <c r="CI298" i="23" s="1"/>
  <c r="CB298" i="23"/>
  <c r="CC298" i="23" s="1"/>
  <c r="BV298" i="23"/>
  <c r="BW298" i="23" s="1"/>
  <c r="BJ298" i="23"/>
  <c r="BK298" i="23" s="1"/>
  <c r="BD298" i="23"/>
  <c r="BE298" i="23" s="1"/>
  <c r="FZ302" i="23"/>
  <c r="GA302" i="23" s="1"/>
  <c r="FN302" i="23"/>
  <c r="FO302" i="23" s="1"/>
  <c r="FT302" i="23"/>
  <c r="FU302" i="23" s="1"/>
  <c r="FB302" i="23"/>
  <c r="FC302" i="23" s="1"/>
  <c r="EV302" i="23"/>
  <c r="EW302" i="23" s="1"/>
  <c r="EP302" i="23"/>
  <c r="EQ302" i="23" s="1"/>
  <c r="EJ302" i="23"/>
  <c r="EK302" i="23" s="1"/>
  <c r="DR302" i="23"/>
  <c r="DS302" i="23" s="1"/>
  <c r="FH302" i="23"/>
  <c r="FI302" i="23" s="1"/>
  <c r="DX302" i="23"/>
  <c r="DY302" i="23" s="1"/>
  <c r="ED302" i="23"/>
  <c r="EE302" i="23" s="1"/>
  <c r="DL302" i="23"/>
  <c r="DM302" i="23" s="1"/>
  <c r="DF302" i="23"/>
  <c r="DG302" i="23" s="1"/>
  <c r="CZ302" i="23"/>
  <c r="DA302" i="23" s="1"/>
  <c r="CT302" i="23"/>
  <c r="CU302" i="23" s="1"/>
  <c r="CN302" i="23"/>
  <c r="CO302" i="23" s="1"/>
  <c r="CH302" i="23"/>
  <c r="CI302" i="23" s="1"/>
  <c r="CB302" i="23"/>
  <c r="CC302" i="23" s="1"/>
  <c r="BJ302" i="23"/>
  <c r="BK302" i="23" s="1"/>
  <c r="BD302" i="23"/>
  <c r="BE302" i="23" s="1"/>
  <c r="BV302" i="23"/>
  <c r="BW302" i="23" s="1"/>
  <c r="FZ309" i="23"/>
  <c r="GA309" i="23" s="1"/>
  <c r="FN309" i="23"/>
  <c r="FO309" i="23" s="1"/>
  <c r="FT309" i="23"/>
  <c r="FU309" i="23" s="1"/>
  <c r="FB309" i="23"/>
  <c r="FC309" i="23" s="1"/>
  <c r="EV309" i="23"/>
  <c r="EW309" i="23" s="1"/>
  <c r="EP309" i="23"/>
  <c r="EQ309" i="23" s="1"/>
  <c r="EJ309" i="23"/>
  <c r="EK309" i="23" s="1"/>
  <c r="FH309" i="23"/>
  <c r="FI309" i="23" s="1"/>
  <c r="ED309" i="23"/>
  <c r="EE309" i="23" s="1"/>
  <c r="DX309" i="23"/>
  <c r="DY309" i="23" s="1"/>
  <c r="DR309" i="23"/>
  <c r="DS309" i="23" s="1"/>
  <c r="DL309" i="23"/>
  <c r="DM309" i="23" s="1"/>
  <c r="DF309" i="23"/>
  <c r="DG309" i="23" s="1"/>
  <c r="CN309" i="23"/>
  <c r="CO309" i="23" s="1"/>
  <c r="CZ309" i="23"/>
  <c r="DA309" i="23" s="1"/>
  <c r="CT309" i="23"/>
  <c r="CU309" i="23" s="1"/>
  <c r="CH309" i="23"/>
  <c r="CI309" i="23" s="1"/>
  <c r="CB309" i="23"/>
  <c r="CC309" i="23" s="1"/>
  <c r="BD309" i="23"/>
  <c r="BE309" i="23" s="1"/>
  <c r="BV309" i="23"/>
  <c r="BW309" i="23" s="1"/>
  <c r="BJ309" i="23"/>
  <c r="BK309" i="23" s="1"/>
  <c r="FZ313" i="23"/>
  <c r="GA313" i="23" s="1"/>
  <c r="FT313" i="23"/>
  <c r="FU313" i="23" s="1"/>
  <c r="FN313" i="23"/>
  <c r="FO313" i="23" s="1"/>
  <c r="EV313" i="23"/>
  <c r="EW313" i="23" s="1"/>
  <c r="FB313" i="23"/>
  <c r="FC313" i="23" s="1"/>
  <c r="EJ313" i="23"/>
  <c r="EK313" i="23" s="1"/>
  <c r="ED313" i="23"/>
  <c r="EE313" i="23" s="1"/>
  <c r="FH313" i="23"/>
  <c r="FI313" i="23" s="1"/>
  <c r="DX313" i="23"/>
  <c r="DY313" i="23" s="1"/>
  <c r="DR313" i="23"/>
  <c r="DS313" i="23" s="1"/>
  <c r="EP313" i="23"/>
  <c r="EQ313" i="23" s="1"/>
  <c r="DL313" i="23"/>
  <c r="DM313" i="23" s="1"/>
  <c r="DF313" i="23"/>
  <c r="DG313" i="23" s="1"/>
  <c r="CZ313" i="23"/>
  <c r="DA313" i="23" s="1"/>
  <c r="CT313" i="23"/>
  <c r="CU313" i="23" s="1"/>
  <c r="CH313" i="23"/>
  <c r="CI313" i="23" s="1"/>
  <c r="CN313" i="23"/>
  <c r="CO313" i="23" s="1"/>
  <c r="CB313" i="23"/>
  <c r="CC313" i="23" s="1"/>
  <c r="BJ313" i="23"/>
  <c r="BK313" i="23" s="1"/>
  <c r="BV313" i="23"/>
  <c r="BW313" i="23" s="1"/>
  <c r="BD313" i="23"/>
  <c r="BE313" i="23" s="1"/>
  <c r="FZ319" i="23"/>
  <c r="GA319" i="23" s="1"/>
  <c r="FT319" i="23"/>
  <c r="FU319" i="23" s="1"/>
  <c r="FH319" i="23"/>
  <c r="FI319" i="23" s="1"/>
  <c r="EV319" i="23"/>
  <c r="EW319" i="23" s="1"/>
  <c r="EJ319" i="23"/>
  <c r="EK319" i="23" s="1"/>
  <c r="FB319" i="23"/>
  <c r="FC319" i="23" s="1"/>
  <c r="ED319" i="23"/>
  <c r="EE319" i="23" s="1"/>
  <c r="DX319" i="23"/>
  <c r="DY319" i="23" s="1"/>
  <c r="DR319" i="23"/>
  <c r="DS319" i="23" s="1"/>
  <c r="EP319" i="23"/>
  <c r="EQ319" i="23" s="1"/>
  <c r="FN319" i="23"/>
  <c r="FO319" i="23" s="1"/>
  <c r="DL319" i="23"/>
  <c r="DM319" i="23" s="1"/>
  <c r="CZ319" i="23"/>
  <c r="DA319" i="23" s="1"/>
  <c r="CN319" i="23"/>
  <c r="CO319" i="23" s="1"/>
  <c r="CB319" i="23"/>
  <c r="CC319" i="23" s="1"/>
  <c r="DF319" i="23"/>
  <c r="DG319" i="23" s="1"/>
  <c r="CT319" i="23"/>
  <c r="CU319" i="23" s="1"/>
  <c r="BD319" i="23"/>
  <c r="BE319" i="23" s="1"/>
  <c r="CH319" i="23"/>
  <c r="CI319" i="23" s="1"/>
  <c r="BJ319" i="23"/>
  <c r="BK319" i="23" s="1"/>
  <c r="BV319" i="23"/>
  <c r="BW319" i="23" s="1"/>
  <c r="FZ323" i="23"/>
  <c r="GA323" i="23" s="1"/>
  <c r="FT323" i="23"/>
  <c r="FU323" i="23" s="1"/>
  <c r="FN323" i="23"/>
  <c r="FO323" i="23" s="1"/>
  <c r="FB323" i="23"/>
  <c r="FC323" i="23" s="1"/>
  <c r="EV323" i="23"/>
  <c r="EW323" i="23" s="1"/>
  <c r="EP323" i="23"/>
  <c r="EQ323" i="23" s="1"/>
  <c r="EJ323" i="23"/>
  <c r="EK323" i="23" s="1"/>
  <c r="FH323" i="23"/>
  <c r="FI323" i="23" s="1"/>
  <c r="ED323" i="23"/>
  <c r="EE323" i="23" s="1"/>
  <c r="DR323" i="23"/>
  <c r="DS323" i="23" s="1"/>
  <c r="DX323" i="23"/>
  <c r="DY323" i="23" s="1"/>
  <c r="CZ323" i="23"/>
  <c r="DA323" i="23" s="1"/>
  <c r="DL323" i="23"/>
  <c r="DM323" i="23" s="1"/>
  <c r="DF323" i="23"/>
  <c r="DG323" i="23" s="1"/>
  <c r="CH323" i="23"/>
  <c r="CI323" i="23" s="1"/>
  <c r="CT323" i="23"/>
  <c r="CU323" i="23" s="1"/>
  <c r="CN323" i="23"/>
  <c r="CO323" i="23" s="1"/>
  <c r="CB323" i="23"/>
  <c r="CC323" i="23" s="1"/>
  <c r="BJ323" i="23"/>
  <c r="BK323" i="23" s="1"/>
  <c r="BV323" i="23"/>
  <c r="BW323" i="23" s="1"/>
  <c r="BD323" i="23"/>
  <c r="BE323" i="23" s="1"/>
  <c r="FZ327" i="23"/>
  <c r="GA327" i="23" s="1"/>
  <c r="FT327" i="23"/>
  <c r="FU327" i="23" s="1"/>
  <c r="FN327" i="23"/>
  <c r="FO327" i="23" s="1"/>
  <c r="FH327" i="23"/>
  <c r="FI327" i="23" s="1"/>
  <c r="EV327" i="23"/>
  <c r="EW327" i="23" s="1"/>
  <c r="FB327" i="23"/>
  <c r="FC327" i="23" s="1"/>
  <c r="EP327" i="23"/>
  <c r="EQ327" i="23" s="1"/>
  <c r="ED327" i="23"/>
  <c r="EE327" i="23" s="1"/>
  <c r="EJ327" i="23"/>
  <c r="EK327" i="23" s="1"/>
  <c r="DR327" i="23"/>
  <c r="DS327" i="23" s="1"/>
  <c r="DX327" i="23"/>
  <c r="DY327" i="23" s="1"/>
  <c r="CZ327" i="23"/>
  <c r="DA327" i="23" s="1"/>
  <c r="CT327" i="23"/>
  <c r="CU327" i="23" s="1"/>
  <c r="DF327" i="23"/>
  <c r="DG327" i="23" s="1"/>
  <c r="DL327" i="23"/>
  <c r="DM327" i="23" s="1"/>
  <c r="CN327" i="23"/>
  <c r="CO327" i="23" s="1"/>
  <c r="CB327" i="23"/>
  <c r="CC327" i="23" s="1"/>
  <c r="BJ327" i="23"/>
  <c r="BK327" i="23" s="1"/>
  <c r="CH327" i="23"/>
  <c r="CI327" i="23" s="1"/>
  <c r="BV327" i="23"/>
  <c r="BW327" i="23" s="1"/>
  <c r="BD327" i="23"/>
  <c r="BE327" i="23" s="1"/>
  <c r="FZ331" i="23"/>
  <c r="GA331" i="23" s="1"/>
  <c r="FN331" i="23"/>
  <c r="FO331" i="23" s="1"/>
  <c r="FT331" i="23"/>
  <c r="FU331" i="23" s="1"/>
  <c r="FH331" i="23"/>
  <c r="FI331" i="23" s="1"/>
  <c r="FB331" i="23"/>
  <c r="FC331" i="23" s="1"/>
  <c r="EJ331" i="23"/>
  <c r="EK331" i="23" s="1"/>
  <c r="EV331" i="23"/>
  <c r="EW331" i="23" s="1"/>
  <c r="ED331" i="23"/>
  <c r="EE331" i="23" s="1"/>
  <c r="EP331" i="23"/>
  <c r="EQ331" i="23" s="1"/>
  <c r="DX331" i="23"/>
  <c r="DY331" i="23" s="1"/>
  <c r="DL331" i="23"/>
  <c r="DM331" i="23" s="1"/>
  <c r="DF331" i="23"/>
  <c r="DG331" i="23" s="1"/>
  <c r="DR331" i="23"/>
  <c r="DS331" i="23" s="1"/>
  <c r="CT331" i="23"/>
  <c r="CU331" i="23" s="1"/>
  <c r="CH331" i="23"/>
  <c r="CI331" i="23" s="1"/>
  <c r="CB331" i="23"/>
  <c r="CC331" i="23" s="1"/>
  <c r="CZ331" i="23"/>
  <c r="DA331" i="23" s="1"/>
  <c r="CN331" i="23"/>
  <c r="CO331" i="23" s="1"/>
  <c r="BJ331" i="23"/>
  <c r="BK331" i="23" s="1"/>
  <c r="BV331" i="23"/>
  <c r="BW331" i="23" s="1"/>
  <c r="BD331" i="23"/>
  <c r="BE331" i="23" s="1"/>
  <c r="FZ338" i="23"/>
  <c r="GA338" i="23" s="1"/>
  <c r="FN338" i="23"/>
  <c r="FO338" i="23" s="1"/>
  <c r="FT338" i="23"/>
  <c r="FU338" i="23" s="1"/>
  <c r="FH338" i="23"/>
  <c r="FI338" i="23" s="1"/>
  <c r="EP338" i="23"/>
  <c r="EQ338" i="23" s="1"/>
  <c r="FB338" i="23"/>
  <c r="FC338" i="23" s="1"/>
  <c r="EV338" i="23"/>
  <c r="EW338" i="23" s="1"/>
  <c r="EJ338" i="23"/>
  <c r="EK338" i="23" s="1"/>
  <c r="DX338" i="23"/>
  <c r="DY338" i="23" s="1"/>
  <c r="DR338" i="23"/>
  <c r="DS338" i="23" s="1"/>
  <c r="ED338" i="23"/>
  <c r="EE338" i="23" s="1"/>
  <c r="CT338" i="23"/>
  <c r="CU338" i="23" s="1"/>
  <c r="CN338" i="23"/>
  <c r="CO338" i="23" s="1"/>
  <c r="DF338" i="23"/>
  <c r="DG338" i="23" s="1"/>
  <c r="CZ338" i="23"/>
  <c r="DA338" i="23" s="1"/>
  <c r="CB338" i="23"/>
  <c r="CC338" i="23" s="1"/>
  <c r="DL338" i="23"/>
  <c r="DM338" i="23" s="1"/>
  <c r="CH338" i="23"/>
  <c r="CI338" i="23" s="1"/>
  <c r="BJ338" i="23"/>
  <c r="BK338" i="23" s="1"/>
  <c r="BV338" i="23"/>
  <c r="BW338" i="23" s="1"/>
  <c r="BD338" i="23"/>
  <c r="BE338" i="23" s="1"/>
  <c r="FZ342" i="23"/>
  <c r="GA342" i="23" s="1"/>
  <c r="FH342" i="23"/>
  <c r="FI342" i="23" s="1"/>
  <c r="FT342" i="23"/>
  <c r="FU342" i="23" s="1"/>
  <c r="FN342" i="23"/>
  <c r="FO342" i="23" s="1"/>
  <c r="EP342" i="23"/>
  <c r="EQ342" i="23" s="1"/>
  <c r="EV342" i="23"/>
  <c r="EW342" i="23" s="1"/>
  <c r="FB342" i="23"/>
  <c r="FC342" i="23" s="1"/>
  <c r="ED342" i="23"/>
  <c r="EE342" i="23" s="1"/>
  <c r="EJ342" i="23"/>
  <c r="EK342" i="23" s="1"/>
  <c r="DX342" i="23"/>
  <c r="DY342" i="23" s="1"/>
  <c r="DR342" i="23"/>
  <c r="DS342" i="23" s="1"/>
  <c r="DF342" i="23"/>
  <c r="DG342" i="23" s="1"/>
  <c r="CB342" i="23"/>
  <c r="CC342" i="23" s="1"/>
  <c r="DL342" i="23"/>
  <c r="DM342" i="23" s="1"/>
  <c r="CZ342" i="23"/>
  <c r="DA342" i="23" s="1"/>
  <c r="CT342" i="23"/>
  <c r="CU342" i="23" s="1"/>
  <c r="CN342" i="23"/>
  <c r="CO342" i="23" s="1"/>
  <c r="CH342" i="23"/>
  <c r="CI342" i="23" s="1"/>
  <c r="BJ342" i="23"/>
  <c r="BK342" i="23" s="1"/>
  <c r="BV342" i="23"/>
  <c r="BW342" i="23" s="1"/>
  <c r="BD342" i="23"/>
  <c r="BE342" i="23" s="1"/>
  <c r="FZ348" i="23"/>
  <c r="GA348" i="23" s="1"/>
  <c r="FT348" i="23"/>
  <c r="FU348" i="23" s="1"/>
  <c r="FN348" i="23"/>
  <c r="FO348" i="23" s="1"/>
  <c r="FH348" i="23"/>
  <c r="FI348" i="23" s="1"/>
  <c r="FB348" i="23"/>
  <c r="FC348" i="23" s="1"/>
  <c r="EV348" i="23"/>
  <c r="EW348" i="23" s="1"/>
  <c r="EP348" i="23"/>
  <c r="EQ348" i="23" s="1"/>
  <c r="EJ348" i="23"/>
  <c r="EK348" i="23" s="1"/>
  <c r="ED348" i="23"/>
  <c r="EE348" i="23" s="1"/>
  <c r="DX348" i="23"/>
  <c r="DY348" i="23" s="1"/>
  <c r="DR348" i="23"/>
  <c r="DS348" i="23" s="1"/>
  <c r="DF348" i="23"/>
  <c r="DG348" i="23" s="1"/>
  <c r="CZ348" i="23"/>
  <c r="DA348" i="23" s="1"/>
  <c r="DL348" i="23"/>
  <c r="DM348" i="23" s="1"/>
  <c r="CT348" i="23"/>
  <c r="CU348" i="23" s="1"/>
  <c r="CB348" i="23"/>
  <c r="CC348" i="23" s="1"/>
  <c r="CN348" i="23"/>
  <c r="CO348" i="23" s="1"/>
  <c r="BD348" i="23"/>
  <c r="BE348" i="23" s="1"/>
  <c r="CH348" i="23"/>
  <c r="CI348" i="23" s="1"/>
  <c r="BV348" i="23"/>
  <c r="BW348" i="23" s="1"/>
  <c r="BJ348" i="23"/>
  <c r="BK348" i="23" s="1"/>
  <c r="FZ351" i="23"/>
  <c r="GA351" i="23" s="1"/>
  <c r="FN351" i="23"/>
  <c r="FO351" i="23" s="1"/>
  <c r="FT351" i="23"/>
  <c r="FU351" i="23" s="1"/>
  <c r="FH351" i="23"/>
  <c r="FI351" i="23" s="1"/>
  <c r="FB351" i="23"/>
  <c r="FC351" i="23" s="1"/>
  <c r="EV351" i="23"/>
  <c r="EW351" i="23" s="1"/>
  <c r="EP351" i="23"/>
  <c r="EQ351" i="23" s="1"/>
  <c r="EJ351" i="23"/>
  <c r="EK351" i="23" s="1"/>
  <c r="DR351" i="23"/>
  <c r="DS351" i="23" s="1"/>
  <c r="ED351" i="23"/>
  <c r="EE351" i="23" s="1"/>
  <c r="DX351" i="23"/>
  <c r="DY351" i="23" s="1"/>
  <c r="DF351" i="23"/>
  <c r="DG351" i="23" s="1"/>
  <c r="DL351" i="23"/>
  <c r="DM351" i="23" s="1"/>
  <c r="CN351" i="23"/>
  <c r="CO351" i="23" s="1"/>
  <c r="CZ351" i="23"/>
  <c r="DA351" i="23" s="1"/>
  <c r="CT351" i="23"/>
  <c r="CU351" i="23" s="1"/>
  <c r="CH351" i="23"/>
  <c r="CI351" i="23" s="1"/>
  <c r="CB351" i="23"/>
  <c r="CC351" i="23" s="1"/>
  <c r="BV351" i="23"/>
  <c r="BW351" i="23" s="1"/>
  <c r="BJ351" i="23"/>
  <c r="BK351" i="23" s="1"/>
  <c r="BD351" i="23"/>
  <c r="BE351" i="23" s="1"/>
  <c r="FT355" i="23"/>
  <c r="FU355" i="23" s="1"/>
  <c r="FZ355" i="23"/>
  <c r="GA355" i="23" s="1"/>
  <c r="FN355" i="23"/>
  <c r="FO355" i="23" s="1"/>
  <c r="FH355" i="23"/>
  <c r="FI355" i="23" s="1"/>
  <c r="FB355" i="23"/>
  <c r="FC355" i="23" s="1"/>
  <c r="EV355" i="23"/>
  <c r="EW355" i="23" s="1"/>
  <c r="EP355" i="23"/>
  <c r="EQ355" i="23" s="1"/>
  <c r="DX355" i="23"/>
  <c r="DY355" i="23" s="1"/>
  <c r="EJ355" i="23"/>
  <c r="EK355" i="23" s="1"/>
  <c r="DR355" i="23"/>
  <c r="DS355" i="23" s="1"/>
  <c r="ED355" i="23"/>
  <c r="EE355" i="23" s="1"/>
  <c r="DF355" i="23"/>
  <c r="DG355" i="23" s="1"/>
  <c r="CT355" i="23"/>
  <c r="CU355" i="23" s="1"/>
  <c r="CZ355" i="23"/>
  <c r="DA355" i="23" s="1"/>
  <c r="CN355" i="23"/>
  <c r="CO355" i="23" s="1"/>
  <c r="CH355" i="23"/>
  <c r="CI355" i="23" s="1"/>
  <c r="DL355" i="23"/>
  <c r="DM355" i="23" s="1"/>
  <c r="BD355" i="23"/>
  <c r="BE355" i="23" s="1"/>
  <c r="BV355" i="23"/>
  <c r="BW355" i="23" s="1"/>
  <c r="BJ355" i="23"/>
  <c r="BK355" i="23" s="1"/>
  <c r="CB355" i="23"/>
  <c r="CC355" i="23" s="1"/>
  <c r="FZ359" i="23"/>
  <c r="GA359" i="23" s="1"/>
  <c r="FT359" i="23"/>
  <c r="FU359" i="23" s="1"/>
  <c r="FN359" i="23"/>
  <c r="FO359" i="23" s="1"/>
  <c r="FB359" i="23"/>
  <c r="FC359" i="23" s="1"/>
  <c r="EV359" i="23"/>
  <c r="EW359" i="23" s="1"/>
  <c r="FH359" i="23"/>
  <c r="FI359" i="23" s="1"/>
  <c r="DX359" i="23"/>
  <c r="DY359" i="23" s="1"/>
  <c r="EP359" i="23"/>
  <c r="EQ359" i="23" s="1"/>
  <c r="ED359" i="23"/>
  <c r="EE359" i="23" s="1"/>
  <c r="DR359" i="23"/>
  <c r="DS359" i="23" s="1"/>
  <c r="EJ359" i="23"/>
  <c r="EK359" i="23" s="1"/>
  <c r="DF359" i="23"/>
  <c r="DG359" i="23" s="1"/>
  <c r="CH359" i="23"/>
  <c r="CI359" i="23" s="1"/>
  <c r="CB359" i="23"/>
  <c r="CC359" i="23" s="1"/>
  <c r="CT359" i="23"/>
  <c r="CU359" i="23" s="1"/>
  <c r="DL359" i="23"/>
  <c r="DM359" i="23" s="1"/>
  <c r="CN359" i="23"/>
  <c r="CO359" i="23" s="1"/>
  <c r="CZ359" i="23"/>
  <c r="DA359" i="23" s="1"/>
  <c r="BD359" i="23"/>
  <c r="BE359" i="23" s="1"/>
  <c r="BV359" i="23"/>
  <c r="BW359" i="23" s="1"/>
  <c r="BJ359" i="23"/>
  <c r="BK359" i="23" s="1"/>
  <c r="FZ363" i="23"/>
  <c r="GA363" i="23" s="1"/>
  <c r="FN363" i="23"/>
  <c r="FO363" i="23" s="1"/>
  <c r="FT363" i="23"/>
  <c r="FU363" i="23" s="1"/>
  <c r="FH363" i="23"/>
  <c r="FI363" i="23" s="1"/>
  <c r="FB363" i="23"/>
  <c r="FC363" i="23" s="1"/>
  <c r="EV363" i="23"/>
  <c r="EW363" i="23" s="1"/>
  <c r="EP363" i="23"/>
  <c r="EQ363" i="23" s="1"/>
  <c r="DX363" i="23"/>
  <c r="DY363" i="23" s="1"/>
  <c r="EJ363" i="23"/>
  <c r="EK363" i="23" s="1"/>
  <c r="ED363" i="23"/>
  <c r="EE363" i="23" s="1"/>
  <c r="DR363" i="23"/>
  <c r="DS363" i="23" s="1"/>
  <c r="DL363" i="23"/>
  <c r="DM363" i="23" s="1"/>
  <c r="DF363" i="23"/>
  <c r="DG363" i="23" s="1"/>
  <c r="CT363" i="23"/>
  <c r="CU363" i="23" s="1"/>
  <c r="CN363" i="23"/>
  <c r="CO363" i="23" s="1"/>
  <c r="CZ363" i="23"/>
  <c r="DA363" i="23" s="1"/>
  <c r="CH363" i="23"/>
  <c r="CI363" i="23" s="1"/>
  <c r="CB363" i="23"/>
  <c r="CC363" i="23" s="1"/>
  <c r="BJ363" i="23"/>
  <c r="BK363" i="23" s="1"/>
  <c r="BV363" i="23"/>
  <c r="BW363" i="23" s="1"/>
  <c r="BD363" i="23"/>
  <c r="BE363" i="23" s="1"/>
  <c r="FZ370" i="23"/>
  <c r="GA370" i="23" s="1"/>
  <c r="FN370" i="23"/>
  <c r="FO370" i="23" s="1"/>
  <c r="FT370" i="23"/>
  <c r="FU370" i="23" s="1"/>
  <c r="FB370" i="23"/>
  <c r="FC370" i="23" s="1"/>
  <c r="EV370" i="23"/>
  <c r="EW370" i="23" s="1"/>
  <c r="EP370" i="23"/>
  <c r="EQ370" i="23" s="1"/>
  <c r="FH370" i="23"/>
  <c r="FI370" i="23" s="1"/>
  <c r="EJ370" i="23"/>
  <c r="EK370" i="23" s="1"/>
  <c r="ED370" i="23"/>
  <c r="EE370" i="23" s="1"/>
  <c r="DR370" i="23"/>
  <c r="DS370" i="23" s="1"/>
  <c r="DL370" i="23"/>
  <c r="DM370" i="23" s="1"/>
  <c r="DX370" i="23"/>
  <c r="DY370" i="23" s="1"/>
  <c r="DF370" i="23"/>
  <c r="DG370" i="23" s="1"/>
  <c r="CZ370" i="23"/>
  <c r="DA370" i="23" s="1"/>
  <c r="CH370" i="23"/>
  <c r="CI370" i="23" s="1"/>
  <c r="CT370" i="23"/>
  <c r="CU370" i="23" s="1"/>
  <c r="CN370" i="23"/>
  <c r="CO370" i="23" s="1"/>
  <c r="CB370" i="23"/>
  <c r="CC370" i="23" s="1"/>
  <c r="BV370" i="23"/>
  <c r="BW370" i="23" s="1"/>
  <c r="BJ370" i="23"/>
  <c r="BK370" i="23" s="1"/>
  <c r="BD370" i="23"/>
  <c r="BE370" i="23" s="1"/>
  <c r="FZ374" i="23"/>
  <c r="GA374" i="23" s="1"/>
  <c r="FN374" i="23"/>
  <c r="FO374" i="23" s="1"/>
  <c r="FH374" i="23"/>
  <c r="FI374" i="23" s="1"/>
  <c r="EV374" i="23"/>
  <c r="EW374" i="23" s="1"/>
  <c r="FB374" i="23"/>
  <c r="FC374" i="23" s="1"/>
  <c r="EP374" i="23"/>
  <c r="EQ374" i="23" s="1"/>
  <c r="FT374" i="23"/>
  <c r="FU374" i="23" s="1"/>
  <c r="EJ374" i="23"/>
  <c r="EK374" i="23" s="1"/>
  <c r="ED374" i="23"/>
  <c r="EE374" i="23" s="1"/>
  <c r="DR374" i="23"/>
  <c r="DS374" i="23" s="1"/>
  <c r="DF374" i="23"/>
  <c r="DG374" i="23" s="1"/>
  <c r="DL374" i="23"/>
  <c r="DM374" i="23" s="1"/>
  <c r="DX374" i="23"/>
  <c r="DY374" i="23" s="1"/>
  <c r="CH374" i="23"/>
  <c r="CI374" i="23" s="1"/>
  <c r="CZ374" i="23"/>
  <c r="DA374" i="23" s="1"/>
  <c r="CT374" i="23"/>
  <c r="CU374" i="23" s="1"/>
  <c r="CN374" i="23"/>
  <c r="CO374" i="23" s="1"/>
  <c r="BJ374" i="23"/>
  <c r="BK374" i="23" s="1"/>
  <c r="BD374" i="23"/>
  <c r="BE374" i="23" s="1"/>
  <c r="CB374" i="23"/>
  <c r="CC374" i="23" s="1"/>
  <c r="BV374" i="23"/>
  <c r="BW374" i="23" s="1"/>
  <c r="FZ380" i="23"/>
  <c r="GA380" i="23" s="1"/>
  <c r="FN380" i="23"/>
  <c r="FO380" i="23" s="1"/>
  <c r="FT380" i="23"/>
  <c r="FU380" i="23" s="1"/>
  <c r="FH380" i="23"/>
  <c r="FI380" i="23" s="1"/>
  <c r="EV380" i="23"/>
  <c r="EW380" i="23" s="1"/>
  <c r="ED380" i="23"/>
  <c r="EE380" i="23" s="1"/>
  <c r="DX380" i="23"/>
  <c r="DY380" i="23" s="1"/>
  <c r="DR380" i="23"/>
  <c r="DS380" i="23" s="1"/>
  <c r="FB380" i="23"/>
  <c r="FC380" i="23" s="1"/>
  <c r="EJ380" i="23"/>
  <c r="EK380" i="23" s="1"/>
  <c r="EP380" i="23"/>
  <c r="EQ380" i="23" s="1"/>
  <c r="DL380" i="23"/>
  <c r="DM380" i="23" s="1"/>
  <c r="DF380" i="23"/>
  <c r="DG380" i="23" s="1"/>
  <c r="CT380" i="23"/>
  <c r="CU380" i="23" s="1"/>
  <c r="CZ380" i="23"/>
  <c r="DA380" i="23" s="1"/>
  <c r="CN380" i="23"/>
  <c r="CO380" i="23" s="1"/>
  <c r="CH380" i="23"/>
  <c r="CI380" i="23" s="1"/>
  <c r="CB380" i="23"/>
  <c r="CC380" i="23" s="1"/>
  <c r="BJ380" i="23"/>
  <c r="BK380" i="23" s="1"/>
  <c r="BD380" i="23"/>
  <c r="BE380" i="23" s="1"/>
  <c r="BV380" i="23"/>
  <c r="BW380" i="23" s="1"/>
  <c r="FZ384" i="23"/>
  <c r="GA384" i="23" s="1"/>
  <c r="FN384" i="23"/>
  <c r="FO384" i="23" s="1"/>
  <c r="FT384" i="23"/>
  <c r="FU384" i="23" s="1"/>
  <c r="FH384" i="23"/>
  <c r="FI384" i="23" s="1"/>
  <c r="EV384" i="23"/>
  <c r="EW384" i="23" s="1"/>
  <c r="FB384" i="23"/>
  <c r="FC384" i="23" s="1"/>
  <c r="EP384" i="23"/>
  <c r="EQ384" i="23" s="1"/>
  <c r="EJ384" i="23"/>
  <c r="EK384" i="23" s="1"/>
  <c r="ED384" i="23"/>
  <c r="EE384" i="23" s="1"/>
  <c r="DX384" i="23"/>
  <c r="DY384" i="23" s="1"/>
  <c r="DR384" i="23"/>
  <c r="DS384" i="23" s="1"/>
  <c r="DF384" i="23"/>
  <c r="DG384" i="23" s="1"/>
  <c r="DL384" i="23"/>
  <c r="DM384" i="23" s="1"/>
  <c r="CZ384" i="23"/>
  <c r="DA384" i="23" s="1"/>
  <c r="CN384" i="23"/>
  <c r="CO384" i="23" s="1"/>
  <c r="CH384" i="23"/>
  <c r="CI384" i="23" s="1"/>
  <c r="CB384" i="23"/>
  <c r="CC384" i="23" s="1"/>
  <c r="CT384" i="23"/>
  <c r="CU384" i="23" s="1"/>
  <c r="BV384" i="23"/>
  <c r="BW384" i="23" s="1"/>
  <c r="BJ384" i="23"/>
  <c r="BK384" i="23" s="1"/>
  <c r="BD384" i="23"/>
  <c r="BE384" i="23" s="1"/>
  <c r="FZ388" i="23"/>
  <c r="GA388" i="23" s="1"/>
  <c r="FN388" i="23"/>
  <c r="FO388" i="23" s="1"/>
  <c r="FT388" i="23"/>
  <c r="FU388" i="23" s="1"/>
  <c r="FH388" i="23"/>
  <c r="FI388" i="23" s="1"/>
  <c r="EP388" i="23"/>
  <c r="EQ388" i="23" s="1"/>
  <c r="FB388" i="23"/>
  <c r="FC388" i="23" s="1"/>
  <c r="EV388" i="23"/>
  <c r="EW388" i="23" s="1"/>
  <c r="EJ388" i="23"/>
  <c r="EK388" i="23" s="1"/>
  <c r="ED388" i="23"/>
  <c r="EE388" i="23" s="1"/>
  <c r="DX388" i="23"/>
  <c r="DY388" i="23" s="1"/>
  <c r="DR388" i="23"/>
  <c r="DS388" i="23" s="1"/>
  <c r="DL388" i="23"/>
  <c r="DM388" i="23" s="1"/>
  <c r="DF388" i="23"/>
  <c r="DG388" i="23" s="1"/>
  <c r="CT388" i="23"/>
  <c r="CU388" i="23" s="1"/>
  <c r="CN388" i="23"/>
  <c r="CO388" i="23" s="1"/>
  <c r="CZ388" i="23"/>
  <c r="DA388" i="23" s="1"/>
  <c r="CH388" i="23"/>
  <c r="CI388" i="23" s="1"/>
  <c r="CB388" i="23"/>
  <c r="CC388" i="23" s="1"/>
  <c r="BV388" i="23"/>
  <c r="BW388" i="23" s="1"/>
  <c r="BD388" i="23"/>
  <c r="BE388" i="23" s="1"/>
  <c r="BJ388" i="23"/>
  <c r="BK388" i="23" s="1"/>
  <c r="FZ392" i="23"/>
  <c r="GA392" i="23" s="1"/>
  <c r="FN392" i="23"/>
  <c r="FO392" i="23" s="1"/>
  <c r="FH392" i="23"/>
  <c r="FI392" i="23" s="1"/>
  <c r="FT392" i="23"/>
  <c r="FU392" i="23" s="1"/>
  <c r="EV392" i="23"/>
  <c r="EW392" i="23" s="1"/>
  <c r="FB392" i="23"/>
  <c r="FC392" i="23" s="1"/>
  <c r="EP392" i="23"/>
  <c r="EQ392" i="23" s="1"/>
  <c r="ED392" i="23"/>
  <c r="EE392" i="23" s="1"/>
  <c r="DX392" i="23"/>
  <c r="DY392" i="23" s="1"/>
  <c r="EJ392" i="23"/>
  <c r="EK392" i="23" s="1"/>
  <c r="DR392" i="23"/>
  <c r="DS392" i="23" s="1"/>
  <c r="DF392" i="23"/>
  <c r="DG392" i="23" s="1"/>
  <c r="CT392" i="23"/>
  <c r="CU392" i="23" s="1"/>
  <c r="CN392" i="23"/>
  <c r="CO392" i="23" s="1"/>
  <c r="DL392" i="23"/>
  <c r="DM392" i="23" s="1"/>
  <c r="CZ392" i="23"/>
  <c r="DA392" i="23" s="1"/>
  <c r="CH392" i="23"/>
  <c r="CI392" i="23" s="1"/>
  <c r="CB392" i="23"/>
  <c r="CC392" i="23" s="1"/>
  <c r="BJ392" i="23"/>
  <c r="BK392" i="23" s="1"/>
  <c r="BV392" i="23"/>
  <c r="BW392" i="23" s="1"/>
  <c r="BD392" i="23"/>
  <c r="BE392" i="23" s="1"/>
  <c r="FN399" i="23"/>
  <c r="FO399" i="23" s="1"/>
  <c r="FZ399" i="23"/>
  <c r="GA399" i="23" s="1"/>
  <c r="FT399" i="23"/>
  <c r="FU399" i="23" s="1"/>
  <c r="FH399" i="23"/>
  <c r="FI399" i="23" s="1"/>
  <c r="EV399" i="23"/>
  <c r="EW399" i="23" s="1"/>
  <c r="FB399" i="23"/>
  <c r="FC399" i="23" s="1"/>
  <c r="EP399" i="23"/>
  <c r="EQ399" i="23" s="1"/>
  <c r="EJ399" i="23"/>
  <c r="EK399" i="23" s="1"/>
  <c r="DR399" i="23"/>
  <c r="DS399" i="23" s="1"/>
  <c r="ED399" i="23"/>
  <c r="EE399" i="23" s="1"/>
  <c r="DL399" i="23"/>
  <c r="DM399" i="23" s="1"/>
  <c r="DF399" i="23"/>
  <c r="DG399" i="23" s="1"/>
  <c r="CZ399" i="23"/>
  <c r="DA399" i="23" s="1"/>
  <c r="DX399" i="23"/>
  <c r="DY399" i="23" s="1"/>
  <c r="CT399" i="23"/>
  <c r="CU399" i="23" s="1"/>
  <c r="CH399" i="23"/>
  <c r="CI399" i="23" s="1"/>
  <c r="CB399" i="23"/>
  <c r="CC399" i="23" s="1"/>
  <c r="CN399" i="23"/>
  <c r="CO399" i="23" s="1"/>
  <c r="BV399" i="23"/>
  <c r="BW399" i="23" s="1"/>
  <c r="BD399" i="23"/>
  <c r="BE399" i="23" s="1"/>
  <c r="BJ399" i="23"/>
  <c r="BK399" i="23" s="1"/>
  <c r="FZ403" i="23"/>
  <c r="GA403" i="23" s="1"/>
  <c r="FN403" i="23"/>
  <c r="FO403" i="23" s="1"/>
  <c r="FB403" i="23"/>
  <c r="FC403" i="23" s="1"/>
  <c r="FT403" i="23"/>
  <c r="FU403" i="23" s="1"/>
  <c r="EV403" i="23"/>
  <c r="EW403" i="23" s="1"/>
  <c r="FH403" i="23"/>
  <c r="FI403" i="23" s="1"/>
  <c r="ED403" i="23"/>
  <c r="EE403" i="23" s="1"/>
  <c r="DR403" i="23"/>
  <c r="DS403" i="23" s="1"/>
  <c r="EP403" i="23"/>
  <c r="EQ403" i="23" s="1"/>
  <c r="DX403" i="23"/>
  <c r="DY403" i="23" s="1"/>
  <c r="EJ403" i="23"/>
  <c r="EK403" i="23" s="1"/>
  <c r="DL403" i="23"/>
  <c r="DM403" i="23" s="1"/>
  <c r="DF403" i="23"/>
  <c r="DG403" i="23" s="1"/>
  <c r="CZ403" i="23"/>
  <c r="DA403" i="23" s="1"/>
  <c r="CN403" i="23"/>
  <c r="CO403" i="23" s="1"/>
  <c r="CB403" i="23"/>
  <c r="CC403" i="23" s="1"/>
  <c r="CH403" i="23"/>
  <c r="CI403" i="23" s="1"/>
  <c r="CT403" i="23"/>
  <c r="CU403" i="23" s="1"/>
  <c r="BV403" i="23"/>
  <c r="BW403" i="23" s="1"/>
  <c r="BD403" i="23"/>
  <c r="BE403" i="23" s="1"/>
  <c r="BJ403" i="23"/>
  <c r="BK403" i="23" s="1"/>
  <c r="FZ409" i="23"/>
  <c r="GA409" i="23" s="1"/>
  <c r="FN409" i="23"/>
  <c r="FO409" i="23" s="1"/>
  <c r="FT409" i="23"/>
  <c r="FU409" i="23" s="1"/>
  <c r="FB409" i="23"/>
  <c r="FC409" i="23" s="1"/>
  <c r="FH409" i="23"/>
  <c r="FI409" i="23" s="1"/>
  <c r="EV409" i="23"/>
  <c r="EW409" i="23" s="1"/>
  <c r="EP409" i="23"/>
  <c r="EQ409" i="23" s="1"/>
  <c r="EJ409" i="23"/>
  <c r="EK409" i="23" s="1"/>
  <c r="ED409" i="23"/>
  <c r="EE409" i="23" s="1"/>
  <c r="DR409" i="23"/>
  <c r="DS409" i="23" s="1"/>
  <c r="DX409" i="23"/>
  <c r="DY409" i="23" s="1"/>
  <c r="DF409" i="23"/>
  <c r="DG409" i="23" s="1"/>
  <c r="CZ409" i="23"/>
  <c r="DA409" i="23" s="1"/>
  <c r="DL409" i="23"/>
  <c r="DM409" i="23" s="1"/>
  <c r="CH409" i="23"/>
  <c r="CI409" i="23" s="1"/>
  <c r="CB409" i="23"/>
  <c r="CC409" i="23" s="1"/>
  <c r="CT409" i="23"/>
  <c r="CU409" i="23" s="1"/>
  <c r="CN409" i="23"/>
  <c r="CO409" i="23" s="1"/>
  <c r="BV409" i="23"/>
  <c r="BW409" i="23" s="1"/>
  <c r="BD409" i="23"/>
  <c r="BE409" i="23" s="1"/>
  <c r="BJ409" i="23"/>
  <c r="BK409" i="23" s="1"/>
  <c r="FZ413" i="23"/>
  <c r="GA413" i="23" s="1"/>
  <c r="FN413" i="23"/>
  <c r="FO413" i="23" s="1"/>
  <c r="FT413" i="23"/>
  <c r="FU413" i="23" s="1"/>
  <c r="FB413" i="23"/>
  <c r="FC413" i="23" s="1"/>
  <c r="EV413" i="23"/>
  <c r="EW413" i="23" s="1"/>
  <c r="FH413" i="23"/>
  <c r="FI413" i="23" s="1"/>
  <c r="EJ413" i="23"/>
  <c r="EK413" i="23" s="1"/>
  <c r="ED413" i="23"/>
  <c r="EE413" i="23" s="1"/>
  <c r="DX413" i="23"/>
  <c r="DY413" i="23" s="1"/>
  <c r="DR413" i="23"/>
  <c r="DS413" i="23" s="1"/>
  <c r="EP413" i="23"/>
  <c r="EQ413" i="23" s="1"/>
  <c r="CZ413" i="23"/>
  <c r="DA413" i="23" s="1"/>
  <c r="DL413" i="23"/>
  <c r="DM413" i="23" s="1"/>
  <c r="DF413" i="23"/>
  <c r="DG413" i="23" s="1"/>
  <c r="CT413" i="23"/>
  <c r="CU413" i="23" s="1"/>
  <c r="CN413" i="23"/>
  <c r="CO413" i="23" s="1"/>
  <c r="CH413" i="23"/>
  <c r="CI413" i="23" s="1"/>
  <c r="CB413" i="23"/>
  <c r="CC413" i="23" s="1"/>
  <c r="BJ413" i="23"/>
  <c r="BK413" i="23" s="1"/>
  <c r="BV413" i="23"/>
  <c r="BW413" i="23" s="1"/>
  <c r="BD413" i="23"/>
  <c r="BE413" i="23" s="1"/>
  <c r="FN417" i="23"/>
  <c r="FO417" i="23" s="1"/>
  <c r="FZ417" i="23"/>
  <c r="GA417" i="23" s="1"/>
  <c r="FT417" i="23"/>
  <c r="FU417" i="23" s="1"/>
  <c r="FB417" i="23"/>
  <c r="FC417" i="23" s="1"/>
  <c r="FH417" i="23"/>
  <c r="FI417" i="23" s="1"/>
  <c r="EP417" i="23"/>
  <c r="EQ417" i="23" s="1"/>
  <c r="EV417" i="23"/>
  <c r="EW417" i="23" s="1"/>
  <c r="ED417" i="23"/>
  <c r="EE417" i="23" s="1"/>
  <c r="DR417" i="23"/>
  <c r="DS417" i="23" s="1"/>
  <c r="DX417" i="23"/>
  <c r="DY417" i="23" s="1"/>
  <c r="EJ417" i="23"/>
  <c r="EK417" i="23" s="1"/>
  <c r="DL417" i="23"/>
  <c r="DM417" i="23" s="1"/>
  <c r="DF417" i="23"/>
  <c r="DG417" i="23" s="1"/>
  <c r="CZ417" i="23"/>
  <c r="DA417" i="23" s="1"/>
  <c r="CN417" i="23"/>
  <c r="CO417" i="23" s="1"/>
  <c r="CT417" i="23"/>
  <c r="CU417" i="23" s="1"/>
  <c r="CB417" i="23"/>
  <c r="CC417" i="23" s="1"/>
  <c r="BD417" i="23"/>
  <c r="BE417" i="23" s="1"/>
  <c r="BJ417" i="23"/>
  <c r="BK417" i="23" s="1"/>
  <c r="CH417" i="23"/>
  <c r="CI417" i="23" s="1"/>
  <c r="BV417" i="23"/>
  <c r="BW417" i="23" s="1"/>
  <c r="FZ421" i="23"/>
  <c r="GA421" i="23" s="1"/>
  <c r="FN421" i="23"/>
  <c r="FO421" i="23" s="1"/>
  <c r="FT421" i="23"/>
  <c r="FU421" i="23" s="1"/>
  <c r="FH421" i="23"/>
  <c r="FI421" i="23" s="1"/>
  <c r="FB421" i="23"/>
  <c r="FC421" i="23" s="1"/>
  <c r="EV421" i="23"/>
  <c r="EW421" i="23" s="1"/>
  <c r="EJ421" i="23"/>
  <c r="EK421" i="23" s="1"/>
  <c r="EP421" i="23"/>
  <c r="EQ421" i="23" s="1"/>
  <c r="ED421" i="23"/>
  <c r="EE421" i="23" s="1"/>
  <c r="DX421" i="23"/>
  <c r="DY421" i="23" s="1"/>
  <c r="CZ421" i="23"/>
  <c r="DA421" i="23" s="1"/>
  <c r="DR421" i="23"/>
  <c r="DS421" i="23" s="1"/>
  <c r="DF421" i="23"/>
  <c r="DG421" i="23" s="1"/>
  <c r="DL421" i="23"/>
  <c r="DM421" i="23" s="1"/>
  <c r="CT421" i="23"/>
  <c r="CU421" i="23" s="1"/>
  <c r="CN421" i="23"/>
  <c r="CO421" i="23" s="1"/>
  <c r="CH421" i="23"/>
  <c r="CI421" i="23" s="1"/>
  <c r="BD421" i="23"/>
  <c r="BE421" i="23" s="1"/>
  <c r="CB421" i="23"/>
  <c r="CC421" i="23" s="1"/>
  <c r="BJ421" i="23"/>
  <c r="BK421" i="23" s="1"/>
  <c r="BV421" i="23"/>
  <c r="BW421" i="23" s="1"/>
  <c r="FZ424" i="23"/>
  <c r="GA424" i="23" s="1"/>
  <c r="FT424" i="23"/>
  <c r="FU424" i="23" s="1"/>
  <c r="FN424" i="23"/>
  <c r="FO424" i="23" s="1"/>
  <c r="FB424" i="23"/>
  <c r="FC424" i="23" s="1"/>
  <c r="FH424" i="23"/>
  <c r="FI424" i="23" s="1"/>
  <c r="EJ424" i="23"/>
  <c r="EK424" i="23" s="1"/>
  <c r="EV424" i="23"/>
  <c r="EW424" i="23" s="1"/>
  <c r="ED424" i="23"/>
  <c r="EE424" i="23" s="1"/>
  <c r="DX424" i="23"/>
  <c r="DY424" i="23" s="1"/>
  <c r="DR424" i="23"/>
  <c r="DS424" i="23" s="1"/>
  <c r="DL424" i="23"/>
  <c r="DM424" i="23" s="1"/>
  <c r="EP424" i="23"/>
  <c r="EQ424" i="23" s="1"/>
  <c r="DF424" i="23"/>
  <c r="DG424" i="23" s="1"/>
  <c r="CZ424" i="23"/>
  <c r="DA424" i="23" s="1"/>
  <c r="CN424" i="23"/>
  <c r="CO424" i="23" s="1"/>
  <c r="CT424" i="23"/>
  <c r="CU424" i="23" s="1"/>
  <c r="CH424" i="23"/>
  <c r="CI424" i="23" s="1"/>
  <c r="CB424" i="23"/>
  <c r="CC424" i="23" s="1"/>
  <c r="BV424" i="23"/>
  <c r="BW424" i="23" s="1"/>
  <c r="BJ424" i="23"/>
  <c r="BK424" i="23" s="1"/>
  <c r="BD424" i="23"/>
  <c r="BE424" i="23" s="1"/>
  <c r="FZ431" i="23"/>
  <c r="GA431" i="23" s="1"/>
  <c r="FT431" i="23"/>
  <c r="FU431" i="23" s="1"/>
  <c r="FN431" i="23"/>
  <c r="FO431" i="23" s="1"/>
  <c r="FB431" i="23"/>
  <c r="FC431" i="23" s="1"/>
  <c r="FH431" i="23"/>
  <c r="FI431" i="23" s="1"/>
  <c r="EJ431" i="23"/>
  <c r="EK431" i="23" s="1"/>
  <c r="EP431" i="23"/>
  <c r="EQ431" i="23" s="1"/>
  <c r="EV431" i="23"/>
  <c r="EW431" i="23" s="1"/>
  <c r="ED431" i="23"/>
  <c r="EE431" i="23" s="1"/>
  <c r="DX431" i="23"/>
  <c r="DY431" i="23" s="1"/>
  <c r="DR431" i="23"/>
  <c r="DS431" i="23" s="1"/>
  <c r="DL431" i="23"/>
  <c r="DM431" i="23" s="1"/>
  <c r="CZ431" i="23"/>
  <c r="DA431" i="23" s="1"/>
  <c r="DF431" i="23"/>
  <c r="DG431" i="23" s="1"/>
  <c r="CN431" i="23"/>
  <c r="CO431" i="23" s="1"/>
  <c r="CH431" i="23"/>
  <c r="CI431" i="23" s="1"/>
  <c r="CB431" i="23"/>
  <c r="CC431" i="23" s="1"/>
  <c r="CT431" i="23"/>
  <c r="CU431" i="23" s="1"/>
  <c r="BD431" i="23"/>
  <c r="BE431" i="23" s="1"/>
  <c r="BV431" i="23"/>
  <c r="BW431" i="23" s="1"/>
  <c r="BJ431" i="23"/>
  <c r="BK431" i="23" s="1"/>
  <c r="FZ437" i="23"/>
  <c r="GA437" i="23" s="1"/>
  <c r="FN437" i="23"/>
  <c r="FO437" i="23" s="1"/>
  <c r="FH437" i="23"/>
  <c r="FI437" i="23" s="1"/>
  <c r="EV437" i="23"/>
  <c r="EW437" i="23" s="1"/>
  <c r="EP437" i="23"/>
  <c r="EQ437" i="23" s="1"/>
  <c r="EJ437" i="23"/>
  <c r="EK437" i="23" s="1"/>
  <c r="DX437" i="23"/>
  <c r="DY437" i="23" s="1"/>
  <c r="DR437" i="23"/>
  <c r="DS437" i="23" s="1"/>
  <c r="FB437" i="23"/>
  <c r="FC437" i="23" s="1"/>
  <c r="FT437" i="23"/>
  <c r="FU437" i="23" s="1"/>
  <c r="DL437" i="23"/>
  <c r="DM437" i="23" s="1"/>
  <c r="ED437" i="23"/>
  <c r="EE437" i="23" s="1"/>
  <c r="CZ437" i="23"/>
  <c r="DA437" i="23" s="1"/>
  <c r="CT437" i="23"/>
  <c r="CU437" i="23" s="1"/>
  <c r="CN437" i="23"/>
  <c r="CO437" i="23" s="1"/>
  <c r="DF437" i="23"/>
  <c r="DG437" i="23" s="1"/>
  <c r="CH437" i="23"/>
  <c r="CI437" i="23" s="1"/>
  <c r="BJ437" i="23"/>
  <c r="BK437" i="23" s="1"/>
  <c r="BD437" i="23"/>
  <c r="BE437" i="23" s="1"/>
  <c r="CB437" i="23"/>
  <c r="CC437" i="23" s="1"/>
  <c r="BV437" i="23"/>
  <c r="BW437" i="23" s="1"/>
  <c r="FZ441" i="23"/>
  <c r="GA441" i="23" s="1"/>
  <c r="FN441" i="23"/>
  <c r="FO441" i="23" s="1"/>
  <c r="FT441" i="23"/>
  <c r="FU441" i="23" s="1"/>
  <c r="FB441" i="23"/>
  <c r="FC441" i="23" s="1"/>
  <c r="EP441" i="23"/>
  <c r="EQ441" i="23" s="1"/>
  <c r="EV441" i="23"/>
  <c r="EW441" i="23" s="1"/>
  <c r="FH441" i="23"/>
  <c r="FI441" i="23" s="1"/>
  <c r="DR441" i="23"/>
  <c r="DS441" i="23" s="1"/>
  <c r="EJ441" i="23"/>
  <c r="EK441" i="23" s="1"/>
  <c r="DX441" i="23"/>
  <c r="DY441" i="23" s="1"/>
  <c r="DF441" i="23"/>
  <c r="DG441" i="23" s="1"/>
  <c r="CZ441" i="23"/>
  <c r="DA441" i="23" s="1"/>
  <c r="DL441" i="23"/>
  <c r="DM441" i="23" s="1"/>
  <c r="CT441" i="23"/>
  <c r="CU441" i="23" s="1"/>
  <c r="ED441" i="23"/>
  <c r="EE441" i="23" s="1"/>
  <c r="CN441" i="23"/>
  <c r="CO441" i="23" s="1"/>
  <c r="CH441" i="23"/>
  <c r="CI441" i="23" s="1"/>
  <c r="BV441" i="23"/>
  <c r="BW441" i="23" s="1"/>
  <c r="BJ441" i="23"/>
  <c r="BK441" i="23" s="1"/>
  <c r="BD441" i="23"/>
  <c r="BE441" i="23" s="1"/>
  <c r="CB441" i="23"/>
  <c r="CC441" i="23" s="1"/>
  <c r="FZ445" i="23"/>
  <c r="GA445" i="23" s="1"/>
  <c r="FN445" i="23"/>
  <c r="FO445" i="23" s="1"/>
  <c r="FT445" i="23"/>
  <c r="FU445" i="23" s="1"/>
  <c r="FB445" i="23"/>
  <c r="FC445" i="23" s="1"/>
  <c r="FH445" i="23"/>
  <c r="FI445" i="23" s="1"/>
  <c r="EV445" i="23"/>
  <c r="EW445" i="23" s="1"/>
  <c r="EP445" i="23"/>
  <c r="EQ445" i="23" s="1"/>
  <c r="EJ445" i="23"/>
  <c r="EK445" i="23" s="1"/>
  <c r="DR445" i="23"/>
  <c r="DS445" i="23" s="1"/>
  <c r="DX445" i="23"/>
  <c r="DY445" i="23" s="1"/>
  <c r="ED445" i="23"/>
  <c r="EE445" i="23" s="1"/>
  <c r="DF445" i="23"/>
  <c r="DG445" i="23" s="1"/>
  <c r="DL445" i="23"/>
  <c r="DM445" i="23" s="1"/>
  <c r="CZ445" i="23"/>
  <c r="DA445" i="23" s="1"/>
  <c r="CT445" i="23"/>
  <c r="CU445" i="23" s="1"/>
  <c r="CN445" i="23"/>
  <c r="CO445" i="23" s="1"/>
  <c r="CH445" i="23"/>
  <c r="CI445" i="23" s="1"/>
  <c r="CB445" i="23"/>
  <c r="CC445" i="23" s="1"/>
  <c r="BD445" i="23"/>
  <c r="BE445" i="23" s="1"/>
  <c r="BJ445" i="23"/>
  <c r="BK445" i="23" s="1"/>
  <c r="BV445" i="23"/>
  <c r="BW445" i="23" s="1"/>
  <c r="FN449" i="23"/>
  <c r="FO449" i="23" s="1"/>
  <c r="FZ449" i="23"/>
  <c r="GA449" i="23" s="1"/>
  <c r="FH449" i="23"/>
  <c r="FI449" i="23" s="1"/>
  <c r="FT449" i="23"/>
  <c r="FU449" i="23" s="1"/>
  <c r="EV449" i="23"/>
  <c r="EW449" i="23" s="1"/>
  <c r="FB449" i="23"/>
  <c r="FC449" i="23" s="1"/>
  <c r="EP449" i="23"/>
  <c r="EQ449" i="23" s="1"/>
  <c r="EJ449" i="23"/>
  <c r="EK449" i="23" s="1"/>
  <c r="ED449" i="23"/>
  <c r="EE449" i="23" s="1"/>
  <c r="DX449" i="23"/>
  <c r="DY449" i="23" s="1"/>
  <c r="DR449" i="23"/>
  <c r="DS449" i="23" s="1"/>
  <c r="DL449" i="23"/>
  <c r="DM449" i="23" s="1"/>
  <c r="CZ449" i="23"/>
  <c r="DA449" i="23" s="1"/>
  <c r="DF449" i="23"/>
  <c r="DG449" i="23" s="1"/>
  <c r="CT449" i="23"/>
  <c r="CU449" i="23" s="1"/>
  <c r="CN449" i="23"/>
  <c r="CO449" i="23" s="1"/>
  <c r="CB449" i="23"/>
  <c r="CC449" i="23" s="1"/>
  <c r="CH449" i="23"/>
  <c r="CI449" i="23" s="1"/>
  <c r="BV449" i="23"/>
  <c r="BW449" i="23" s="1"/>
  <c r="BJ449" i="23"/>
  <c r="BK449" i="23" s="1"/>
  <c r="BD449" i="23"/>
  <c r="BE449" i="23" s="1"/>
  <c r="FZ453" i="23"/>
  <c r="GA453" i="23" s="1"/>
  <c r="FN453" i="23"/>
  <c r="FO453" i="23" s="1"/>
  <c r="FT453" i="23"/>
  <c r="FU453" i="23" s="1"/>
  <c r="FH453" i="23"/>
  <c r="FI453" i="23" s="1"/>
  <c r="EP453" i="23"/>
  <c r="EQ453" i="23" s="1"/>
  <c r="EJ453" i="23"/>
  <c r="EK453" i="23" s="1"/>
  <c r="EV453" i="23"/>
  <c r="EW453" i="23" s="1"/>
  <c r="FB453" i="23"/>
  <c r="FC453" i="23" s="1"/>
  <c r="DR453" i="23"/>
  <c r="DS453" i="23" s="1"/>
  <c r="ED453" i="23"/>
  <c r="EE453" i="23" s="1"/>
  <c r="DX453" i="23"/>
  <c r="DY453" i="23" s="1"/>
  <c r="CZ453" i="23"/>
  <c r="DA453" i="23" s="1"/>
  <c r="DL453" i="23"/>
  <c r="DM453" i="23" s="1"/>
  <c r="DF453" i="23"/>
  <c r="DG453" i="23" s="1"/>
  <c r="CN453" i="23"/>
  <c r="CO453" i="23" s="1"/>
  <c r="CB453" i="23"/>
  <c r="CC453" i="23" s="1"/>
  <c r="CT453" i="23"/>
  <c r="CU453" i="23" s="1"/>
  <c r="BV453" i="23"/>
  <c r="BW453" i="23" s="1"/>
  <c r="BD453" i="23"/>
  <c r="BE453" i="23" s="1"/>
  <c r="CH453" i="23"/>
  <c r="CI453" i="23" s="1"/>
  <c r="BJ453" i="23"/>
  <c r="BK453" i="23" s="1"/>
  <c r="FN48" i="23"/>
  <c r="FO48" i="23" s="1"/>
  <c r="FT48" i="23"/>
  <c r="FU48" i="23" s="1"/>
  <c r="FH48" i="23"/>
  <c r="FI48" i="23" s="1"/>
  <c r="FB48" i="23"/>
  <c r="FC48" i="23" s="1"/>
  <c r="EV48" i="23"/>
  <c r="EW48" i="23" s="1"/>
  <c r="FZ48" i="23"/>
  <c r="GA48" i="23" s="1"/>
  <c r="EP48" i="23"/>
  <c r="EQ48" i="23" s="1"/>
  <c r="ED48" i="23"/>
  <c r="EE48" i="23" s="1"/>
  <c r="EJ48" i="23"/>
  <c r="EK48" i="23" s="1"/>
  <c r="DR48" i="23"/>
  <c r="DS48" i="23" s="1"/>
  <c r="DX48" i="23"/>
  <c r="DY48" i="23" s="1"/>
  <c r="CZ48" i="23"/>
  <c r="DA48" i="23" s="1"/>
  <c r="DF48" i="23"/>
  <c r="DG48" i="23" s="1"/>
  <c r="CH48" i="23"/>
  <c r="CI48" i="23" s="1"/>
  <c r="CT48" i="23"/>
  <c r="CU48" i="23" s="1"/>
  <c r="CN48" i="23"/>
  <c r="CO48" i="23" s="1"/>
  <c r="BV48" i="23"/>
  <c r="BW48" i="23" s="1"/>
  <c r="BD48" i="23"/>
  <c r="BE48" i="23" s="1"/>
  <c r="CB48" i="23"/>
  <c r="CC48" i="23" s="1"/>
  <c r="AL68" i="23"/>
  <c r="AM68" i="23" s="1"/>
  <c r="FZ68" i="23"/>
  <c r="GA68" i="23" s="1"/>
  <c r="FN68" i="23"/>
  <c r="FO68" i="23" s="1"/>
  <c r="FH68" i="23"/>
  <c r="FI68" i="23" s="1"/>
  <c r="FB68" i="23"/>
  <c r="FC68" i="23" s="1"/>
  <c r="EV68" i="23"/>
  <c r="EW68" i="23" s="1"/>
  <c r="FT68" i="23"/>
  <c r="FU68" i="23" s="1"/>
  <c r="DX68" i="23"/>
  <c r="DY68" i="23" s="1"/>
  <c r="EP68" i="23"/>
  <c r="EQ68" i="23" s="1"/>
  <c r="EJ68" i="23"/>
  <c r="EK68" i="23" s="1"/>
  <c r="ED68" i="23"/>
  <c r="EE68" i="23" s="1"/>
  <c r="DR68" i="23"/>
  <c r="DS68" i="23" s="1"/>
  <c r="DL68" i="23"/>
  <c r="DM68" i="23" s="1"/>
  <c r="DF68" i="23"/>
  <c r="DG68" i="23" s="1"/>
  <c r="CZ68" i="23"/>
  <c r="DA68" i="23" s="1"/>
  <c r="CT68" i="23"/>
  <c r="CU68" i="23" s="1"/>
  <c r="CN68" i="23"/>
  <c r="CO68" i="23" s="1"/>
  <c r="CB68" i="23"/>
  <c r="CC68" i="23" s="1"/>
  <c r="BD68" i="23"/>
  <c r="BE68" i="23" s="1"/>
  <c r="BV68" i="23"/>
  <c r="BW68" i="23" s="1"/>
  <c r="CH68" i="23"/>
  <c r="CI68" i="23" s="1"/>
  <c r="BJ68" i="23"/>
  <c r="BK68" i="23" s="1"/>
  <c r="FZ82" i="23"/>
  <c r="GA82" i="23" s="1"/>
  <c r="FN82" i="23"/>
  <c r="FO82" i="23" s="1"/>
  <c r="FT82" i="23"/>
  <c r="FU82" i="23" s="1"/>
  <c r="FH82" i="23"/>
  <c r="FI82" i="23" s="1"/>
  <c r="EV82" i="23"/>
  <c r="EW82" i="23" s="1"/>
  <c r="FB82" i="23"/>
  <c r="FC82" i="23" s="1"/>
  <c r="ED82" i="23"/>
  <c r="EE82" i="23" s="1"/>
  <c r="DR82" i="23"/>
  <c r="DS82" i="23" s="1"/>
  <c r="DX82" i="23"/>
  <c r="DY82" i="23" s="1"/>
  <c r="EP82" i="23"/>
  <c r="EQ82" i="23" s="1"/>
  <c r="DL82" i="23"/>
  <c r="DM82" i="23" s="1"/>
  <c r="DF82" i="23"/>
  <c r="DG82" i="23" s="1"/>
  <c r="CT82" i="23"/>
  <c r="CU82" i="23" s="1"/>
  <c r="CH82" i="23"/>
  <c r="CI82" i="23" s="1"/>
  <c r="CN82" i="23"/>
  <c r="CO82" i="23" s="1"/>
  <c r="EJ82" i="23"/>
  <c r="EK82" i="23" s="1"/>
  <c r="CZ82" i="23"/>
  <c r="DA82" i="23" s="1"/>
  <c r="BV82" i="23"/>
  <c r="BW82" i="23" s="1"/>
  <c r="CB82" i="23"/>
  <c r="CC82" i="23" s="1"/>
  <c r="BJ82" i="23"/>
  <c r="BK82" i="23" s="1"/>
  <c r="BD82" i="23"/>
  <c r="BE82" i="23" s="1"/>
  <c r="FZ94" i="23"/>
  <c r="GA94" i="23" s="1"/>
  <c r="FN94" i="23"/>
  <c r="FO94" i="23" s="1"/>
  <c r="FT94" i="23"/>
  <c r="FU94" i="23" s="1"/>
  <c r="EV94" i="23"/>
  <c r="EW94" i="23" s="1"/>
  <c r="FB94" i="23"/>
  <c r="FC94" i="23" s="1"/>
  <c r="FH94" i="23"/>
  <c r="FI94" i="23" s="1"/>
  <c r="EJ94" i="23"/>
  <c r="EK94" i="23" s="1"/>
  <c r="ED94" i="23"/>
  <c r="EE94" i="23" s="1"/>
  <c r="DX94" i="23"/>
  <c r="DY94" i="23" s="1"/>
  <c r="EP94" i="23"/>
  <c r="EQ94" i="23" s="1"/>
  <c r="DR94" i="23"/>
  <c r="DS94" i="23" s="1"/>
  <c r="DL94" i="23"/>
  <c r="DM94" i="23" s="1"/>
  <c r="DF94" i="23"/>
  <c r="DG94" i="23" s="1"/>
  <c r="CZ94" i="23"/>
  <c r="DA94" i="23" s="1"/>
  <c r="CT94" i="23"/>
  <c r="CU94" i="23" s="1"/>
  <c r="CN94" i="23"/>
  <c r="CO94" i="23" s="1"/>
  <c r="CB94" i="23"/>
  <c r="CC94" i="23" s="1"/>
  <c r="BJ94" i="23"/>
  <c r="BK94" i="23" s="1"/>
  <c r="BD94" i="23"/>
  <c r="BE94" i="23" s="1"/>
  <c r="BV94" i="23"/>
  <c r="BW94" i="23" s="1"/>
  <c r="CH94" i="23"/>
  <c r="CI94" i="23" s="1"/>
  <c r="FZ103" i="23"/>
  <c r="GA103" i="23" s="1"/>
  <c r="FN103" i="23"/>
  <c r="FO103" i="23" s="1"/>
  <c r="FT103" i="23"/>
  <c r="FU103" i="23" s="1"/>
  <c r="FH103" i="23"/>
  <c r="FI103" i="23" s="1"/>
  <c r="FB103" i="23"/>
  <c r="FC103" i="23" s="1"/>
  <c r="EV103" i="23"/>
  <c r="EW103" i="23" s="1"/>
  <c r="DR103" i="23"/>
  <c r="DS103" i="23" s="1"/>
  <c r="EP103" i="23"/>
  <c r="EQ103" i="23" s="1"/>
  <c r="EJ103" i="23"/>
  <c r="EK103" i="23" s="1"/>
  <c r="DX103" i="23"/>
  <c r="DY103" i="23" s="1"/>
  <c r="DF103" i="23"/>
  <c r="DG103" i="23" s="1"/>
  <c r="DL103" i="23"/>
  <c r="DM103" i="23" s="1"/>
  <c r="ED103" i="23"/>
  <c r="EE103" i="23" s="1"/>
  <c r="CH103" i="23"/>
  <c r="CI103" i="23" s="1"/>
  <c r="CZ103" i="23"/>
  <c r="DA103" i="23" s="1"/>
  <c r="CT103" i="23"/>
  <c r="CU103" i="23" s="1"/>
  <c r="CN103" i="23"/>
  <c r="CO103" i="23" s="1"/>
  <c r="CB103" i="23"/>
  <c r="CC103" i="23" s="1"/>
  <c r="BD103" i="23"/>
  <c r="BE103" i="23" s="1"/>
  <c r="BV103" i="23"/>
  <c r="BW103" i="23" s="1"/>
  <c r="BJ103" i="23"/>
  <c r="BK103" i="23" s="1"/>
  <c r="FZ113" i="23"/>
  <c r="GA113" i="23" s="1"/>
  <c r="FN113" i="23"/>
  <c r="FO113" i="23" s="1"/>
  <c r="FH113" i="23"/>
  <c r="FI113" i="23" s="1"/>
  <c r="FT113" i="23"/>
  <c r="FU113" i="23" s="1"/>
  <c r="FB113" i="23"/>
  <c r="FC113" i="23" s="1"/>
  <c r="EV113" i="23"/>
  <c r="EW113" i="23" s="1"/>
  <c r="DR113" i="23"/>
  <c r="DS113" i="23" s="1"/>
  <c r="EP113" i="23"/>
  <c r="EQ113" i="23" s="1"/>
  <c r="EJ113" i="23"/>
  <c r="EK113" i="23" s="1"/>
  <c r="ED113" i="23"/>
  <c r="EE113" i="23" s="1"/>
  <c r="DX113" i="23"/>
  <c r="DY113" i="23" s="1"/>
  <c r="DL113" i="23"/>
  <c r="DM113" i="23" s="1"/>
  <c r="DF113" i="23"/>
  <c r="DG113" i="23" s="1"/>
  <c r="CT113" i="23"/>
  <c r="CU113" i="23" s="1"/>
  <c r="CN113" i="23"/>
  <c r="CO113" i="23" s="1"/>
  <c r="CH113" i="23"/>
  <c r="CI113" i="23" s="1"/>
  <c r="CZ113" i="23"/>
  <c r="DA113" i="23" s="1"/>
  <c r="BD113" i="23"/>
  <c r="BE113" i="23" s="1"/>
  <c r="BV113" i="23"/>
  <c r="BW113" i="23" s="1"/>
  <c r="CB113" i="23"/>
  <c r="CC113" i="23" s="1"/>
  <c r="BJ113" i="23"/>
  <c r="BK113" i="23" s="1"/>
  <c r="FZ121" i="23"/>
  <c r="GA121" i="23" s="1"/>
  <c r="FN121" i="23"/>
  <c r="FO121" i="23" s="1"/>
  <c r="FH121" i="23"/>
  <c r="FI121" i="23" s="1"/>
  <c r="FB121" i="23"/>
  <c r="FC121" i="23" s="1"/>
  <c r="EV121" i="23"/>
  <c r="EW121" i="23" s="1"/>
  <c r="FT121" i="23"/>
  <c r="FU121" i="23" s="1"/>
  <c r="EP121" i="23"/>
  <c r="EQ121" i="23" s="1"/>
  <c r="DX121" i="23"/>
  <c r="DY121" i="23" s="1"/>
  <c r="DR121" i="23"/>
  <c r="DS121" i="23" s="1"/>
  <c r="EJ121" i="23"/>
  <c r="EK121" i="23" s="1"/>
  <c r="ED121" i="23"/>
  <c r="EE121" i="23" s="1"/>
  <c r="DF121" i="23"/>
  <c r="DG121" i="23" s="1"/>
  <c r="DL121" i="23"/>
  <c r="DM121" i="23" s="1"/>
  <c r="CT121" i="23"/>
  <c r="CU121" i="23" s="1"/>
  <c r="CN121" i="23"/>
  <c r="CO121" i="23" s="1"/>
  <c r="CZ121" i="23"/>
  <c r="DA121" i="23" s="1"/>
  <c r="CH121" i="23"/>
  <c r="CI121" i="23" s="1"/>
  <c r="BD121" i="23"/>
  <c r="BE121" i="23" s="1"/>
  <c r="CB121" i="23"/>
  <c r="CC121" i="23" s="1"/>
  <c r="BV121" i="23"/>
  <c r="BW121" i="23" s="1"/>
  <c r="BJ121" i="23"/>
  <c r="BK121" i="23" s="1"/>
  <c r="FZ132" i="23"/>
  <c r="GA132" i="23" s="1"/>
  <c r="FT132" i="23"/>
  <c r="FU132" i="23" s="1"/>
  <c r="FB132" i="23"/>
  <c r="FC132" i="23" s="1"/>
  <c r="EV132" i="23"/>
  <c r="EW132" i="23" s="1"/>
  <c r="FN132" i="23"/>
  <c r="FO132" i="23" s="1"/>
  <c r="FH132" i="23"/>
  <c r="FI132" i="23" s="1"/>
  <c r="EP132" i="23"/>
  <c r="EQ132" i="23" s="1"/>
  <c r="EJ132" i="23"/>
  <c r="EK132" i="23" s="1"/>
  <c r="DX132" i="23"/>
  <c r="DY132" i="23" s="1"/>
  <c r="ED132" i="23"/>
  <c r="EE132" i="23" s="1"/>
  <c r="DR132" i="23"/>
  <c r="DS132" i="23" s="1"/>
  <c r="DL132" i="23"/>
  <c r="DM132" i="23" s="1"/>
  <c r="CN132" i="23"/>
  <c r="CO132" i="23" s="1"/>
  <c r="CH132" i="23"/>
  <c r="CI132" i="23" s="1"/>
  <c r="CT132" i="23"/>
  <c r="CU132" i="23" s="1"/>
  <c r="DF132" i="23"/>
  <c r="DG132" i="23" s="1"/>
  <c r="CZ132" i="23"/>
  <c r="DA132" i="23" s="1"/>
  <c r="BD132" i="23"/>
  <c r="BE132" i="23" s="1"/>
  <c r="BV132" i="23"/>
  <c r="BW132" i="23" s="1"/>
  <c r="CB132" i="23"/>
  <c r="CC132" i="23" s="1"/>
  <c r="BJ132" i="23"/>
  <c r="BK132" i="23" s="1"/>
  <c r="FZ146" i="23"/>
  <c r="GA146" i="23" s="1"/>
  <c r="FN146" i="23"/>
  <c r="FO146" i="23" s="1"/>
  <c r="FT146" i="23"/>
  <c r="FU146" i="23" s="1"/>
  <c r="FB146" i="23"/>
  <c r="FC146" i="23" s="1"/>
  <c r="FH146" i="23"/>
  <c r="FI146" i="23" s="1"/>
  <c r="EV146" i="23"/>
  <c r="EW146" i="23" s="1"/>
  <c r="EJ146" i="23"/>
  <c r="EK146" i="23" s="1"/>
  <c r="EP146" i="23"/>
  <c r="EQ146" i="23" s="1"/>
  <c r="ED146" i="23"/>
  <c r="EE146" i="23" s="1"/>
  <c r="DX146" i="23"/>
  <c r="DY146" i="23" s="1"/>
  <c r="DR146" i="23"/>
  <c r="DS146" i="23" s="1"/>
  <c r="DL146" i="23"/>
  <c r="DM146" i="23" s="1"/>
  <c r="DF146" i="23"/>
  <c r="DG146" i="23" s="1"/>
  <c r="CZ146" i="23"/>
  <c r="DA146" i="23" s="1"/>
  <c r="CT146" i="23"/>
  <c r="CU146" i="23" s="1"/>
  <c r="CH146" i="23"/>
  <c r="CI146" i="23" s="1"/>
  <c r="CN146" i="23"/>
  <c r="CO146" i="23" s="1"/>
  <c r="CB146" i="23"/>
  <c r="CC146" i="23" s="1"/>
  <c r="BV146" i="23"/>
  <c r="BW146" i="23" s="1"/>
  <c r="BJ146" i="23"/>
  <c r="BK146" i="23" s="1"/>
  <c r="BD146" i="23"/>
  <c r="BE146" i="23" s="1"/>
  <c r="FZ161" i="23"/>
  <c r="GA161" i="23" s="1"/>
  <c r="FN161" i="23"/>
  <c r="FO161" i="23" s="1"/>
  <c r="FB161" i="23"/>
  <c r="FC161" i="23" s="1"/>
  <c r="FT161" i="23"/>
  <c r="FU161" i="23" s="1"/>
  <c r="FH161" i="23"/>
  <c r="FI161" i="23" s="1"/>
  <c r="DX161" i="23"/>
  <c r="DY161" i="23" s="1"/>
  <c r="EP161" i="23"/>
  <c r="EQ161" i="23" s="1"/>
  <c r="EJ161" i="23"/>
  <c r="EK161" i="23" s="1"/>
  <c r="EV161" i="23"/>
  <c r="EW161" i="23" s="1"/>
  <c r="DR161" i="23"/>
  <c r="DS161" i="23"/>
  <c r="DL161" i="23"/>
  <c r="DM161" i="23" s="1"/>
  <c r="ED161" i="23"/>
  <c r="EE161" i="23" s="1"/>
  <c r="DF161" i="23"/>
  <c r="DG161" i="23" s="1"/>
  <c r="CN161" i="23"/>
  <c r="CO161" i="23"/>
  <c r="CZ161" i="23"/>
  <c r="DA161" i="23" s="1"/>
  <c r="CT161" i="23"/>
  <c r="CU161" i="23" s="1"/>
  <c r="CH161" i="23"/>
  <c r="CI161" i="23" s="1"/>
  <c r="BV161" i="23"/>
  <c r="BW161" i="23"/>
  <c r="CB161" i="23"/>
  <c r="CC161" i="23" s="1"/>
  <c r="BJ161" i="23"/>
  <c r="BK161" i="23" s="1"/>
  <c r="BD161" i="23"/>
  <c r="BE161" i="23" s="1"/>
  <c r="FZ179" i="23"/>
  <c r="GA179" i="23"/>
  <c r="FN179" i="23"/>
  <c r="FO179" i="23" s="1"/>
  <c r="FT179" i="23"/>
  <c r="FU179" i="23" s="1"/>
  <c r="FB179" i="23"/>
  <c r="FC179" i="23" s="1"/>
  <c r="FH179" i="23"/>
  <c r="FI179" i="23"/>
  <c r="EV179" i="23"/>
  <c r="EW179" i="23" s="1"/>
  <c r="EP179" i="23"/>
  <c r="EQ179" i="23" s="1"/>
  <c r="DX179" i="23"/>
  <c r="DY179" i="23" s="1"/>
  <c r="ED179" i="23"/>
  <c r="EE179" i="23"/>
  <c r="EJ179" i="23"/>
  <c r="EK179" i="23" s="1"/>
  <c r="DF179" i="23"/>
  <c r="DG179" i="23" s="1"/>
  <c r="DR179" i="23"/>
  <c r="DS179" i="23" s="1"/>
  <c r="CZ179" i="23"/>
  <c r="DA179" i="23"/>
  <c r="CT179" i="23"/>
  <c r="CU179" i="23" s="1"/>
  <c r="DL179" i="23"/>
  <c r="DM179" i="23" s="1"/>
  <c r="CN179" i="23"/>
  <c r="CO179" i="23" s="1"/>
  <c r="CH179" i="23"/>
  <c r="CI179" i="23"/>
  <c r="CB179" i="23"/>
  <c r="CC179" i="23" s="1"/>
  <c r="BJ179" i="23"/>
  <c r="BK179" i="23" s="1"/>
  <c r="BD179" i="23"/>
  <c r="BE179" i="23" s="1"/>
  <c r="BV179" i="23"/>
  <c r="BW179" i="23"/>
  <c r="FZ194" i="23"/>
  <c r="GA194" i="23" s="1"/>
  <c r="FN194" i="23"/>
  <c r="FO194" i="23" s="1"/>
  <c r="FB194" i="23"/>
  <c r="FC194" i="23" s="1"/>
  <c r="FH194" i="23"/>
  <c r="FI194" i="23"/>
  <c r="EP194" i="23"/>
  <c r="EQ194" i="23" s="1"/>
  <c r="EV194" i="23"/>
  <c r="EW194" i="23" s="1"/>
  <c r="FT194" i="23"/>
  <c r="FU194" i="23" s="1"/>
  <c r="EJ194" i="23"/>
  <c r="EK194" i="23"/>
  <c r="ED194" i="23"/>
  <c r="EE194" i="23" s="1"/>
  <c r="DR194" i="23"/>
  <c r="DS194" i="23" s="1"/>
  <c r="DX194" i="23"/>
  <c r="DY194" i="23" s="1"/>
  <c r="DL194" i="23"/>
  <c r="DM194" i="23"/>
  <c r="DF194" i="23"/>
  <c r="DG194" i="23" s="1"/>
  <c r="CZ194" i="23"/>
  <c r="DA194" i="23" s="1"/>
  <c r="CN194" i="23"/>
  <c r="CO194" i="23" s="1"/>
  <c r="CH194" i="23"/>
  <c r="CI194" i="23"/>
  <c r="CT194" i="23"/>
  <c r="CU194" i="23" s="1"/>
  <c r="BD194" i="23"/>
  <c r="BE194" i="23" s="1"/>
  <c r="CB194" i="23"/>
  <c r="CC194" i="23" s="1"/>
  <c r="BV194" i="23"/>
  <c r="BW194" i="23"/>
  <c r="BJ194" i="23"/>
  <c r="BK194" i="23" s="1"/>
  <c r="FZ208" i="23"/>
  <c r="GA208" i="23" s="1"/>
  <c r="FN208" i="23"/>
  <c r="FO208" i="23" s="1"/>
  <c r="FT208" i="23"/>
  <c r="FU208" i="23"/>
  <c r="FH208" i="23"/>
  <c r="FI208" i="23" s="1"/>
  <c r="FB208" i="23"/>
  <c r="FC208" i="23" s="1"/>
  <c r="EV208" i="23"/>
  <c r="EW208" i="23" s="1"/>
  <c r="EJ208" i="23"/>
  <c r="EK208" i="23"/>
  <c r="DR208" i="23"/>
  <c r="DS208" i="23" s="1"/>
  <c r="EP208" i="23"/>
  <c r="EQ208" i="23" s="1"/>
  <c r="DX208" i="23"/>
  <c r="DY208" i="23" s="1"/>
  <c r="ED208" i="23"/>
  <c r="EE208" i="23"/>
  <c r="DL208" i="23"/>
  <c r="DM208" i="23" s="1"/>
  <c r="DF208" i="23"/>
  <c r="DG208" i="23" s="1"/>
  <c r="CT208" i="23"/>
  <c r="CU208" i="23" s="1"/>
  <c r="CH208" i="23"/>
  <c r="CI208" i="23"/>
  <c r="CZ208" i="23"/>
  <c r="DA208" i="23" s="1"/>
  <c r="CN208" i="23"/>
  <c r="CO208" i="23" s="1"/>
  <c r="CB208" i="23"/>
  <c r="CC208" i="23" s="1"/>
  <c r="BJ208" i="23"/>
  <c r="BK208" i="23"/>
  <c r="BD208" i="23"/>
  <c r="BE208" i="23" s="1"/>
  <c r="BV208" i="23"/>
  <c r="BW208" i="23" s="1"/>
  <c r="FZ223" i="23"/>
  <c r="GA223" i="23" s="1"/>
  <c r="FN223" i="23"/>
  <c r="FO223" i="23"/>
  <c r="FT223" i="23"/>
  <c r="FU223" i="23" s="1"/>
  <c r="FH223" i="23"/>
  <c r="FI223" i="23" s="1"/>
  <c r="FB223" i="23"/>
  <c r="FC223" i="23" s="1"/>
  <c r="EV223" i="23"/>
  <c r="EW223" i="23"/>
  <c r="EJ223" i="23"/>
  <c r="EK223" i="23" s="1"/>
  <c r="DR223" i="23"/>
  <c r="DS223" i="23" s="1"/>
  <c r="EP223" i="23"/>
  <c r="EQ223" i="23" s="1"/>
  <c r="DX223" i="23"/>
  <c r="DY223" i="23"/>
  <c r="ED223" i="23"/>
  <c r="EE223" i="23" s="1"/>
  <c r="DL223" i="23"/>
  <c r="DM223" i="23" s="1"/>
  <c r="CT223" i="23"/>
  <c r="CU223" i="23" s="1"/>
  <c r="CN223" i="23"/>
  <c r="CO223" i="23"/>
  <c r="CH223" i="23"/>
  <c r="CI223" i="23" s="1"/>
  <c r="CZ223" i="23"/>
  <c r="DA223" i="23" s="1"/>
  <c r="DF223" i="23"/>
  <c r="DG223" i="23" s="1"/>
  <c r="CB223" i="23"/>
  <c r="CC223" i="23"/>
  <c r="BD223" i="23"/>
  <c r="BE223" i="23" s="1"/>
  <c r="BV223" i="23"/>
  <c r="BW223" i="23" s="1"/>
  <c r="BJ223" i="23"/>
  <c r="BK223" i="23" s="1"/>
  <c r="FZ229" i="23"/>
  <c r="GA229" i="23"/>
  <c r="FN229" i="23"/>
  <c r="FO229" i="23" s="1"/>
  <c r="FT229" i="23"/>
  <c r="FU229" i="23" s="1"/>
  <c r="FB229" i="23"/>
  <c r="FC229" i="23" s="1"/>
  <c r="FH229" i="23"/>
  <c r="FI229" i="23"/>
  <c r="EV229" i="23"/>
  <c r="EW229" i="23" s="1"/>
  <c r="EP229" i="23"/>
  <c r="EQ229" i="23" s="1"/>
  <c r="ED229" i="23"/>
  <c r="EE229" i="23" s="1"/>
  <c r="DX229" i="23"/>
  <c r="DY229" i="23"/>
  <c r="DR229" i="23"/>
  <c r="DS229" i="23" s="1"/>
  <c r="EJ229" i="23"/>
  <c r="EK229" i="23" s="1"/>
  <c r="DF229" i="23"/>
  <c r="DG229" i="23" s="1"/>
  <c r="DL229" i="23"/>
  <c r="DM229" i="23"/>
  <c r="CZ229" i="23"/>
  <c r="DA229" i="23" s="1"/>
  <c r="CH229" i="23"/>
  <c r="CI229" i="23" s="1"/>
  <c r="CT229" i="23"/>
  <c r="CU229" i="23" s="1"/>
  <c r="CN229" i="23"/>
  <c r="CO229" i="23"/>
  <c r="CB229" i="23"/>
  <c r="CC229" i="23" s="1"/>
  <c r="BV229" i="23"/>
  <c r="BW229" i="23" s="1"/>
  <c r="BJ229" i="23"/>
  <c r="BK229" i="23" s="1"/>
  <c r="BD229" i="23"/>
  <c r="BE229" i="23"/>
  <c r="FZ248" i="23"/>
  <c r="GA248" i="23" s="1"/>
  <c r="FN248" i="23"/>
  <c r="FO248" i="23" s="1"/>
  <c r="FT248" i="23"/>
  <c r="FU248" i="23" s="1"/>
  <c r="FB248" i="23"/>
  <c r="FC248" i="23"/>
  <c r="FH248" i="23"/>
  <c r="FI248" i="23" s="1"/>
  <c r="EV248" i="23"/>
  <c r="EW248" i="23" s="1"/>
  <c r="EP248" i="23"/>
  <c r="EQ248" i="23" s="1"/>
  <c r="EJ248" i="23"/>
  <c r="EK248" i="23"/>
  <c r="DX248" i="23"/>
  <c r="DY248" i="23" s="1"/>
  <c r="DR248" i="23"/>
  <c r="DS248" i="23" s="1"/>
  <c r="ED248" i="23"/>
  <c r="EE248" i="23" s="1"/>
  <c r="DL248" i="23"/>
  <c r="DM248" i="23"/>
  <c r="DF248" i="23"/>
  <c r="DG248" i="23" s="1"/>
  <c r="CZ248" i="23"/>
  <c r="DA248" i="23" s="1"/>
  <c r="CN248" i="23"/>
  <c r="CO248" i="23" s="1"/>
  <c r="CT248" i="23"/>
  <c r="CU248" i="23"/>
  <c r="CH248" i="23"/>
  <c r="CI248" i="23" s="1"/>
  <c r="CB248" i="23"/>
  <c r="CC248" i="23" s="1"/>
  <c r="BD248" i="23"/>
  <c r="BE248" i="23" s="1"/>
  <c r="BV248" i="23"/>
  <c r="BW248" i="23"/>
  <c r="BJ248" i="23"/>
  <c r="BK248" i="23" s="1"/>
  <c r="FZ262" i="23"/>
  <c r="GA262" i="23" s="1"/>
  <c r="FN262" i="23"/>
  <c r="FO262" i="23" s="1"/>
  <c r="FH262" i="23"/>
  <c r="FI262" i="23"/>
  <c r="FT262" i="23"/>
  <c r="FU262" i="23" s="1"/>
  <c r="EV262" i="23"/>
  <c r="EW262" i="23" s="1"/>
  <c r="EP262" i="23"/>
  <c r="EQ262" i="23" s="1"/>
  <c r="FB262" i="23"/>
  <c r="FC262" i="23"/>
  <c r="DR262" i="23"/>
  <c r="DS262" i="23" s="1"/>
  <c r="DX262" i="23"/>
  <c r="DY262" i="23" s="1"/>
  <c r="EJ262" i="23"/>
  <c r="EK262" i="23" s="1"/>
  <c r="ED262" i="23"/>
  <c r="EE262" i="23"/>
  <c r="DF262" i="23"/>
  <c r="DG262" i="23" s="1"/>
  <c r="DL262" i="23"/>
  <c r="DM262" i="23" s="1"/>
  <c r="CZ262" i="23"/>
  <c r="DA262" i="23" s="1"/>
  <c r="CN262" i="23"/>
  <c r="CO262" i="23"/>
  <c r="CT262" i="23"/>
  <c r="CU262" i="23" s="1"/>
  <c r="CH262" i="23"/>
  <c r="CI262" i="23" s="1"/>
  <c r="BV262" i="23"/>
  <c r="BW262" i="23" s="1"/>
  <c r="CB262" i="23"/>
  <c r="CC262" i="23"/>
  <c r="BJ262" i="23"/>
  <c r="BK262" i="23" s="1"/>
  <c r="BD262" i="23"/>
  <c r="BE262" i="23" s="1"/>
  <c r="FZ274" i="23"/>
  <c r="GA274" i="23" s="1"/>
  <c r="FN274" i="23"/>
  <c r="FO274" i="23"/>
  <c r="FT274" i="23"/>
  <c r="FU274" i="23" s="1"/>
  <c r="FH274" i="23"/>
  <c r="FI274" i="23" s="1"/>
  <c r="EV274" i="23"/>
  <c r="EW274" i="23" s="1"/>
  <c r="FB274" i="23"/>
  <c r="FC274" i="23"/>
  <c r="EP274" i="23"/>
  <c r="EQ274" i="23" s="1"/>
  <c r="EJ274" i="23"/>
  <c r="EK274" i="23" s="1"/>
  <c r="ED274" i="23"/>
  <c r="EE274" i="23" s="1"/>
  <c r="DR274" i="23"/>
  <c r="DS274" i="23"/>
  <c r="DF274" i="23"/>
  <c r="DG274" i="23" s="1"/>
  <c r="DL274" i="23"/>
  <c r="DM274" i="23" s="1"/>
  <c r="DX274" i="23"/>
  <c r="DY274" i="23" s="1"/>
  <c r="CZ274" i="23"/>
  <c r="DA274" i="23"/>
  <c r="CN274" i="23"/>
  <c r="CO274" i="23" s="1"/>
  <c r="CT274" i="23"/>
  <c r="CU274" i="23" s="1"/>
  <c r="BV274" i="23"/>
  <c r="BW274" i="23" s="1"/>
  <c r="CH274" i="23"/>
  <c r="CI274" i="23"/>
  <c r="BJ274" i="23"/>
  <c r="BK274" i="23" s="1"/>
  <c r="CB274" i="23"/>
  <c r="CC274" i="23" s="1"/>
  <c r="BD274" i="23"/>
  <c r="BE274" i="23" s="1"/>
  <c r="FZ291" i="23"/>
  <c r="GA291" i="23"/>
  <c r="FN291" i="23"/>
  <c r="FO291" i="23" s="1"/>
  <c r="FT291" i="23"/>
  <c r="FU291" i="23" s="1"/>
  <c r="FH291" i="23"/>
  <c r="FI291" i="23" s="1"/>
  <c r="EV291" i="23"/>
  <c r="EW291" i="23"/>
  <c r="EP291" i="23"/>
  <c r="EQ291" i="23" s="1"/>
  <c r="FB291" i="23"/>
  <c r="FC291" i="23" s="1"/>
  <c r="EJ291" i="23"/>
  <c r="EK291" i="23" s="1"/>
  <c r="ED291" i="23"/>
  <c r="EE291" i="23"/>
  <c r="DX291" i="23"/>
  <c r="DY291" i="23" s="1"/>
  <c r="DR291" i="23"/>
  <c r="DS291" i="23" s="1"/>
  <c r="DF291" i="23"/>
  <c r="DG291" i="23" s="1"/>
  <c r="CZ291" i="23"/>
  <c r="DA291" i="23"/>
  <c r="CN291" i="23"/>
  <c r="CO291" i="23" s="1"/>
  <c r="CH291" i="23"/>
  <c r="CI291" i="23" s="1"/>
  <c r="DL291" i="23"/>
  <c r="DM291" i="23" s="1"/>
  <c r="CT291" i="23"/>
  <c r="CU291" i="23"/>
  <c r="CB291" i="23"/>
  <c r="CC291" i="23" s="1"/>
  <c r="BJ291" i="23"/>
  <c r="BK291" i="23" s="1"/>
  <c r="BD291" i="23"/>
  <c r="BE291" i="23" s="1"/>
  <c r="BV291" i="23"/>
  <c r="BW291" i="23"/>
  <c r="FZ303" i="23"/>
  <c r="GA303" i="23" s="1"/>
  <c r="FN303" i="23"/>
  <c r="FO303" i="23" s="1"/>
  <c r="FT303" i="23"/>
  <c r="FU303" i="23" s="1"/>
  <c r="FH303" i="23"/>
  <c r="FI303" i="23"/>
  <c r="FB303" i="23"/>
  <c r="FC303" i="23" s="1"/>
  <c r="EV303" i="23"/>
  <c r="EW303" i="23" s="1"/>
  <c r="EP303" i="23"/>
  <c r="EQ303" i="23" s="1"/>
  <c r="EJ303" i="23"/>
  <c r="EK303" i="23"/>
  <c r="DR303" i="23"/>
  <c r="DS303" i="23" s="1"/>
  <c r="ED303" i="23"/>
  <c r="EE303" i="23" s="1"/>
  <c r="DX303" i="23"/>
  <c r="DY303" i="23" s="1"/>
  <c r="DF303" i="23"/>
  <c r="DG303" i="23"/>
  <c r="CT303" i="23"/>
  <c r="CU303" i="23" s="1"/>
  <c r="CN303" i="23"/>
  <c r="CO303" i="23" s="1"/>
  <c r="CH303" i="23"/>
  <c r="CI303" i="23" s="1"/>
  <c r="DL303" i="23"/>
  <c r="DM303" i="23"/>
  <c r="CZ303" i="23"/>
  <c r="DA303" i="23" s="1"/>
  <c r="BV303" i="23"/>
  <c r="BW303" i="23" s="1"/>
  <c r="BD303" i="23"/>
  <c r="BE303" i="23" s="1"/>
  <c r="CB303" i="23"/>
  <c r="CC303" i="23"/>
  <c r="BJ303" i="23"/>
  <c r="BK303" i="23" s="1"/>
  <c r="FZ320" i="23"/>
  <c r="GA320" i="23" s="1"/>
  <c r="FN320" i="23"/>
  <c r="FO320" i="23" s="1"/>
  <c r="FT320" i="23"/>
  <c r="FU320" i="23"/>
  <c r="FB320" i="23"/>
  <c r="FC320" i="23" s="1"/>
  <c r="FH320" i="23"/>
  <c r="FI320" i="23" s="1"/>
  <c r="EV320" i="23"/>
  <c r="EW320" i="23" s="1"/>
  <c r="DR320" i="23"/>
  <c r="DS320" i="23"/>
  <c r="EJ320" i="23"/>
  <c r="EK320" i="23" s="1"/>
  <c r="EP320" i="23"/>
  <c r="EQ320" i="23" s="1"/>
  <c r="ED320" i="23"/>
  <c r="EE320" i="23" s="1"/>
  <c r="DX320" i="23"/>
  <c r="DY320" i="23"/>
  <c r="DF320" i="23"/>
  <c r="DG320" i="23" s="1"/>
  <c r="CH320" i="23"/>
  <c r="CI320" i="23" s="1"/>
  <c r="CZ320" i="23"/>
  <c r="DA320" i="23" s="1"/>
  <c r="CT320" i="23"/>
  <c r="CU320" i="23"/>
  <c r="DL320" i="23"/>
  <c r="DM320" i="23" s="1"/>
  <c r="CN320" i="23"/>
  <c r="CO320" i="23" s="1"/>
  <c r="CB320" i="23"/>
  <c r="CC320" i="23" s="1"/>
  <c r="BV320" i="23"/>
  <c r="BW320" i="23"/>
  <c r="BJ320" i="23"/>
  <c r="BK320" i="23" s="1"/>
  <c r="BD320" i="23"/>
  <c r="BE320" i="23" s="1"/>
  <c r="FZ332" i="23"/>
  <c r="GA332" i="23" s="1"/>
  <c r="FN332" i="23"/>
  <c r="FO332" i="23"/>
  <c r="FT332" i="23"/>
  <c r="FU332" i="23" s="1"/>
  <c r="FB332" i="23"/>
  <c r="FC332" i="23" s="1"/>
  <c r="EV332" i="23"/>
  <c r="EW332" i="23" s="1"/>
  <c r="FH332" i="23"/>
  <c r="FI332" i="23"/>
  <c r="EP332" i="23"/>
  <c r="EQ332" i="23" s="1"/>
  <c r="EJ332" i="23"/>
  <c r="EK332" i="23" s="1"/>
  <c r="DX332" i="23"/>
  <c r="DY332" i="23" s="1"/>
  <c r="DR332" i="23"/>
  <c r="DS332" i="23"/>
  <c r="ED332" i="23"/>
  <c r="EE332" i="23" s="1"/>
  <c r="DF332" i="23"/>
  <c r="DG332" i="23" s="1"/>
  <c r="DL332" i="23"/>
  <c r="DM332" i="23" s="1"/>
  <c r="CZ332" i="23"/>
  <c r="DA332" i="23"/>
  <c r="CN332" i="23"/>
  <c r="CO332" i="23" s="1"/>
  <c r="CT332" i="23"/>
  <c r="CU332" i="23" s="1"/>
  <c r="CH332" i="23"/>
  <c r="CI332" i="23" s="1"/>
  <c r="CB332" i="23"/>
  <c r="CC332" i="23"/>
  <c r="BV332" i="23"/>
  <c r="BW332" i="23" s="1"/>
  <c r="BD332" i="23"/>
  <c r="BE332" i="23" s="1"/>
  <c r="BJ332" i="23"/>
  <c r="BK332" i="23" s="1"/>
  <c r="AL349" i="23"/>
  <c r="AM349" i="23"/>
  <c r="FZ349" i="23"/>
  <c r="GA349" i="23" s="1"/>
  <c r="FN349" i="23"/>
  <c r="FO349" i="23" s="1"/>
  <c r="FT349" i="23"/>
  <c r="FU349" i="23" s="1"/>
  <c r="FB349" i="23"/>
  <c r="FC349" i="23"/>
  <c r="EV349" i="23"/>
  <c r="EW349" i="23" s="1"/>
  <c r="FH349" i="23"/>
  <c r="FI349" i="23" s="1"/>
  <c r="EP349" i="23"/>
  <c r="EQ349" i="23" s="1"/>
  <c r="DX349" i="23"/>
  <c r="DY349" i="23"/>
  <c r="EJ349" i="23"/>
  <c r="EK349" i="23" s="1"/>
  <c r="ED349" i="23"/>
  <c r="EE349" i="23" s="1"/>
  <c r="DR349" i="23"/>
  <c r="DS349" i="23" s="1"/>
  <c r="DL349" i="23"/>
  <c r="DM349" i="23"/>
  <c r="DF349" i="23"/>
  <c r="DG349" i="23" s="1"/>
  <c r="CZ349" i="23"/>
  <c r="DA349" i="23" s="1"/>
  <c r="CT349" i="23"/>
  <c r="CU349" i="23" s="1"/>
  <c r="CH349" i="23"/>
  <c r="CI349" i="23"/>
  <c r="CN349" i="23"/>
  <c r="CO349" i="23" s="1"/>
  <c r="BD349" i="23"/>
  <c r="BE349" i="23" s="1"/>
  <c r="CB349" i="23"/>
  <c r="CC349" i="23" s="1"/>
  <c r="BV349" i="23"/>
  <c r="BW349" i="23"/>
  <c r="BJ349" i="23"/>
  <c r="BK349" i="23" s="1"/>
  <c r="FZ364" i="23"/>
  <c r="GA364" i="23" s="1"/>
  <c r="FT364" i="23"/>
  <c r="FU364" i="23" s="1"/>
  <c r="FN364" i="23"/>
  <c r="FO364" i="23"/>
  <c r="EV364" i="23"/>
  <c r="EW364" i="23" s="1"/>
  <c r="FB364" i="23"/>
  <c r="FC364" i="23" s="1"/>
  <c r="FH364" i="23"/>
  <c r="FI364" i="23" s="1"/>
  <c r="EP364" i="23"/>
  <c r="EQ364" i="23"/>
  <c r="EJ364" i="23"/>
  <c r="EK364" i="23" s="1"/>
  <c r="DX364" i="23"/>
  <c r="DY364" i="23" s="1"/>
  <c r="DR364" i="23"/>
  <c r="DS364" i="23" s="1"/>
  <c r="ED364" i="23"/>
  <c r="EE364" i="23"/>
  <c r="CZ364" i="23"/>
  <c r="DA364" i="23" s="1"/>
  <c r="DF364" i="23"/>
  <c r="DG364" i="23" s="1"/>
  <c r="CH364" i="23"/>
  <c r="CI364" i="23" s="1"/>
  <c r="CB364" i="23"/>
  <c r="CC364" i="23"/>
  <c r="CT364" i="23"/>
  <c r="CU364" i="23" s="1"/>
  <c r="CN364" i="23"/>
  <c r="CO364" i="23" s="1"/>
  <c r="DL364" i="23"/>
  <c r="DM364" i="23" s="1"/>
  <c r="BD364" i="23"/>
  <c r="BE364" i="23"/>
  <c r="BJ364" i="23"/>
  <c r="BK364" i="23" s="1"/>
  <c r="BV364" i="23"/>
  <c r="BW364" i="23" s="1"/>
  <c r="FZ381" i="23"/>
  <c r="GA381" i="23" s="1"/>
  <c r="FN381" i="23"/>
  <c r="FO381" i="23"/>
  <c r="FT381" i="23"/>
  <c r="FU381" i="23" s="1"/>
  <c r="FB381" i="23"/>
  <c r="FC381" i="23" s="1"/>
  <c r="EV381" i="23"/>
  <c r="EW381" i="23" s="1"/>
  <c r="FH381" i="23"/>
  <c r="FI381" i="23"/>
  <c r="EP381" i="23"/>
  <c r="EQ381" i="23" s="1"/>
  <c r="EJ381" i="23"/>
  <c r="EK381" i="23" s="1"/>
  <c r="ED381" i="23"/>
  <c r="EE381" i="23" s="1"/>
  <c r="DR381" i="23"/>
  <c r="DS381" i="23"/>
  <c r="DX381" i="23"/>
  <c r="DY381" i="23" s="1"/>
  <c r="DF381" i="23"/>
  <c r="DG381" i="23" s="1"/>
  <c r="CZ381" i="23"/>
  <c r="DA381" i="23" s="1"/>
  <c r="CN381" i="23"/>
  <c r="CO381" i="23"/>
  <c r="CT381" i="23"/>
  <c r="CU381" i="23" s="1"/>
  <c r="DL381" i="23"/>
  <c r="DM381" i="23" s="1"/>
  <c r="BV381" i="23"/>
  <c r="BW381" i="23" s="1"/>
  <c r="BJ381" i="23"/>
  <c r="BK381" i="23"/>
  <c r="CH381" i="23"/>
  <c r="CI381" i="23" s="1"/>
  <c r="CB381" i="23"/>
  <c r="CC381" i="23" s="1"/>
  <c r="BD381" i="23"/>
  <c r="BE381" i="23" s="1"/>
  <c r="FZ389" i="23"/>
  <c r="GA389" i="23"/>
  <c r="FN389" i="23"/>
  <c r="FO389" i="23" s="1"/>
  <c r="FT389" i="23"/>
  <c r="FU389" i="23" s="1"/>
  <c r="EV389" i="23"/>
  <c r="EW389" i="23" s="1"/>
  <c r="FB389" i="23"/>
  <c r="FC389" i="23"/>
  <c r="EJ389" i="23"/>
  <c r="EK389" i="23" s="1"/>
  <c r="FH389" i="23"/>
  <c r="FI389" i="23" s="1"/>
  <c r="EP389" i="23"/>
  <c r="EQ389" i="23" s="1"/>
  <c r="DR389" i="23"/>
  <c r="DS389" i="23"/>
  <c r="ED389" i="23"/>
  <c r="EE389" i="23" s="1"/>
  <c r="DX389" i="23"/>
  <c r="DY389" i="23" s="1"/>
  <c r="DL389" i="23"/>
  <c r="DM389" i="23" s="1"/>
  <c r="CZ389" i="23"/>
  <c r="DA389" i="23"/>
  <c r="CH389" i="23"/>
  <c r="CI389" i="23" s="1"/>
  <c r="CT389" i="23"/>
  <c r="CU389" i="23" s="1"/>
  <c r="CN389" i="23"/>
  <c r="CO389" i="23" s="1"/>
  <c r="CB389" i="23"/>
  <c r="CC389" i="23"/>
  <c r="DF389" i="23"/>
  <c r="DG389" i="23" s="1"/>
  <c r="BJ389" i="23"/>
  <c r="BK389" i="23" s="1"/>
  <c r="BV389" i="23"/>
  <c r="BW389" i="23" s="1"/>
  <c r="BD389" i="23"/>
  <c r="BE389" i="23"/>
  <c r="FZ404" i="23"/>
  <c r="GA404" i="23" s="1"/>
  <c r="FN404" i="23"/>
  <c r="FO404" i="23" s="1"/>
  <c r="FT404" i="23"/>
  <c r="FU404" i="23" s="1"/>
  <c r="FH404" i="23"/>
  <c r="FI404" i="23"/>
  <c r="FB404" i="23"/>
  <c r="FC404" i="23" s="1"/>
  <c r="EP404" i="23"/>
  <c r="EQ404" i="23" s="1"/>
  <c r="EJ404" i="23"/>
  <c r="EK404" i="23" s="1"/>
  <c r="EV404" i="23"/>
  <c r="EW404" i="23"/>
  <c r="DX404" i="23"/>
  <c r="DY404" i="23" s="1"/>
  <c r="DL404" i="23"/>
  <c r="DM404" i="23" s="1"/>
  <c r="DR404" i="23"/>
  <c r="DS404" i="23" s="1"/>
  <c r="ED404" i="23"/>
  <c r="EE404" i="23"/>
  <c r="DF404" i="23"/>
  <c r="DG404" i="23" s="1"/>
  <c r="CZ404" i="23"/>
  <c r="DA404" i="23" s="1"/>
  <c r="CT404" i="23"/>
  <c r="CU404" i="23" s="1"/>
  <c r="CN404" i="23"/>
  <c r="CO404" i="23"/>
  <c r="CB404" i="23"/>
  <c r="CC404" i="23" s="1"/>
  <c r="BD404" i="23"/>
  <c r="BE404" i="23" s="1"/>
  <c r="BJ404" i="23"/>
  <c r="BK404" i="23" s="1"/>
  <c r="CH404" i="23"/>
  <c r="CI404" i="23"/>
  <c r="BV404" i="23"/>
  <c r="BW404" i="23" s="1"/>
  <c r="FZ418" i="23"/>
  <c r="GA418" i="23" s="1"/>
  <c r="FN418" i="23"/>
  <c r="FO418" i="23" s="1"/>
  <c r="FT418" i="23"/>
  <c r="FU418" i="23"/>
  <c r="FH418" i="23"/>
  <c r="FI418" i="23" s="1"/>
  <c r="EV418" i="23"/>
  <c r="EW418" i="23" s="1"/>
  <c r="EP418" i="23"/>
  <c r="EQ418" i="23" s="1"/>
  <c r="FB418" i="23"/>
  <c r="FC418" i="23"/>
  <c r="EJ418" i="23"/>
  <c r="EK418" i="23" s="1"/>
  <c r="DL418" i="23"/>
  <c r="DM418" i="23" s="1"/>
  <c r="DX418" i="23"/>
  <c r="DY418" i="23" s="1"/>
  <c r="ED418" i="23"/>
  <c r="EE418" i="23"/>
  <c r="DR418" i="23"/>
  <c r="DS418" i="23" s="1"/>
  <c r="DF418" i="23"/>
  <c r="DG418" i="23" s="1"/>
  <c r="CB418" i="23"/>
  <c r="CC418" i="23" s="1"/>
  <c r="CZ418" i="23"/>
  <c r="DA418" i="23"/>
  <c r="CN418" i="23"/>
  <c r="CO418" i="23" s="1"/>
  <c r="CT418" i="23"/>
  <c r="CU418" i="23" s="1"/>
  <c r="CH418" i="23"/>
  <c r="CI418" i="23" s="1"/>
  <c r="BV418" i="23"/>
  <c r="BW418" i="23"/>
  <c r="BJ418" i="23"/>
  <c r="BK418" i="23" s="1"/>
  <c r="BD418" i="23"/>
  <c r="BE418" i="23" s="1"/>
  <c r="FZ432" i="23"/>
  <c r="GA432" i="23" s="1"/>
  <c r="FN432" i="23"/>
  <c r="FO432" i="23"/>
  <c r="FH432" i="23"/>
  <c r="FI432" i="23" s="1"/>
  <c r="FT432" i="23"/>
  <c r="FU432" i="23" s="1"/>
  <c r="EV432" i="23"/>
  <c r="EW432" i="23" s="1"/>
  <c r="EP432" i="23"/>
  <c r="EQ432" i="23"/>
  <c r="FB432" i="23"/>
  <c r="FC432" i="23" s="1"/>
  <c r="DR432" i="23"/>
  <c r="DS432" i="23" s="1"/>
  <c r="EJ432" i="23"/>
  <c r="EK432" i="23" s="1"/>
  <c r="ED432" i="23"/>
  <c r="EE432" i="23"/>
  <c r="DX432" i="23"/>
  <c r="DY432" i="23" s="1"/>
  <c r="DF432" i="23"/>
  <c r="DG432" i="23" s="1"/>
  <c r="DL432" i="23"/>
  <c r="DM432" i="23" s="1"/>
  <c r="CH432" i="23"/>
  <c r="CI432" i="23"/>
  <c r="CB432" i="23"/>
  <c r="CC432" i="23" s="1"/>
  <c r="CT432" i="23"/>
  <c r="CU432" i="23" s="1"/>
  <c r="CZ432" i="23"/>
  <c r="DA432" i="23" s="1"/>
  <c r="CN432" i="23"/>
  <c r="CO432" i="23"/>
  <c r="BV432" i="23"/>
  <c r="BW432" i="23" s="1"/>
  <c r="BJ432" i="23"/>
  <c r="BK432" i="23" s="1"/>
  <c r="BD432" i="23"/>
  <c r="BE432" i="23" s="1"/>
  <c r="FZ442" i="23"/>
  <c r="GA442" i="23"/>
  <c r="FN442" i="23"/>
  <c r="FO442" i="23" s="1"/>
  <c r="FH442" i="23"/>
  <c r="FI442" i="23" s="1"/>
  <c r="EV442" i="23"/>
  <c r="EW442" i="23" s="1"/>
  <c r="FB442" i="23"/>
  <c r="FC442" i="23"/>
  <c r="EP442" i="23"/>
  <c r="EQ442" i="23" s="1"/>
  <c r="EJ442" i="23"/>
  <c r="EK442" i="23" s="1"/>
  <c r="FT442" i="23"/>
  <c r="FU442" i="23" s="1"/>
  <c r="DR442" i="23"/>
  <c r="DS442" i="23"/>
  <c r="DX442" i="23"/>
  <c r="DY442" i="23" s="1"/>
  <c r="ED442" i="23"/>
  <c r="EE442" i="23" s="1"/>
  <c r="DL442" i="23"/>
  <c r="DM442" i="23" s="1"/>
  <c r="CB442" i="23"/>
  <c r="CC442" i="23"/>
  <c r="CT442" i="23"/>
  <c r="CU442" i="23" s="1"/>
  <c r="DF442" i="23"/>
  <c r="DG442" i="23" s="1"/>
  <c r="CZ442" i="23"/>
  <c r="DA442" i="23" s="1"/>
  <c r="CN442" i="23"/>
  <c r="CO442" i="23"/>
  <c r="CH442" i="23"/>
  <c r="CI442" i="23" s="1"/>
  <c r="BJ442" i="23"/>
  <c r="BK442" i="23" s="1"/>
  <c r="BD442" i="23"/>
  <c r="BE442" i="23" s="1"/>
  <c r="BV442" i="23"/>
  <c r="BW442" i="23"/>
  <c r="FN454" i="23"/>
  <c r="FO454" i="23" s="1"/>
  <c r="FT454" i="23"/>
  <c r="FU454" i="23" s="1"/>
  <c r="FB454" i="23"/>
  <c r="FC454" i="23" s="1"/>
  <c r="EV454" i="23"/>
  <c r="EW454" i="23"/>
  <c r="FH454" i="23"/>
  <c r="FI454" i="23" s="1"/>
  <c r="EP454" i="23"/>
  <c r="EQ454" i="23" s="1"/>
  <c r="EJ454" i="23"/>
  <c r="EK454" i="23" s="1"/>
  <c r="ED454" i="23"/>
  <c r="EE454" i="23"/>
  <c r="DX454" i="23"/>
  <c r="DY454" i="23" s="1"/>
  <c r="DL454" i="23"/>
  <c r="DM454" i="23" s="1"/>
  <c r="FZ454" i="23"/>
  <c r="GA454" i="23" s="1"/>
  <c r="DR454" i="23"/>
  <c r="DS454" i="23"/>
  <c r="DF454" i="23"/>
  <c r="DG454" i="23" s="1"/>
  <c r="CT454" i="23"/>
  <c r="CU454" i="23" s="1"/>
  <c r="CZ454" i="23"/>
  <c r="DA454" i="23" s="1"/>
  <c r="CN454" i="23"/>
  <c r="CO454" i="23"/>
  <c r="CB454" i="23"/>
  <c r="CC454" i="23" s="1"/>
  <c r="CH454" i="23"/>
  <c r="CI454" i="23" s="1"/>
  <c r="BJ454" i="23"/>
  <c r="BK454" i="23" s="1"/>
  <c r="BD454" i="23"/>
  <c r="BE454" i="23"/>
  <c r="BV454" i="23"/>
  <c r="BW454" i="23" s="1"/>
  <c r="AL364" i="23"/>
  <c r="AM364" i="23" s="1"/>
  <c r="AL223" i="23"/>
  <c r="AM223" i="23" s="1"/>
  <c r="AL121" i="23"/>
  <c r="AM121" i="23"/>
  <c r="AL99" i="23"/>
  <c r="AM99" i="23" s="1"/>
  <c r="AL175" i="23"/>
  <c r="AM175" i="23" s="1"/>
  <c r="AL161" i="23"/>
  <c r="AM161" i="23" s="1"/>
  <c r="AL404" i="23"/>
  <c r="AM404" i="23"/>
  <c r="AL377" i="23"/>
  <c r="AM377" i="23" s="1"/>
  <c r="AL324" i="23"/>
  <c r="AM324" i="23" s="1"/>
  <c r="AL454" i="23"/>
  <c r="AM454" i="23" s="1"/>
  <c r="AL303" i="23"/>
  <c r="AM303" i="23"/>
  <c r="AL295" i="23"/>
  <c r="AM295" i="23" s="1"/>
  <c r="AL287" i="23"/>
  <c r="AM287" i="23" s="1"/>
  <c r="FZ63" i="23"/>
  <c r="GA63" i="23" s="1"/>
  <c r="FN63" i="23"/>
  <c r="FO63" i="23"/>
  <c r="FB63" i="23"/>
  <c r="FC63" i="23" s="1"/>
  <c r="FT63" i="23"/>
  <c r="FU63" i="23" s="1"/>
  <c r="EP63" i="23"/>
  <c r="EQ63" i="23" s="1"/>
  <c r="FH63" i="23"/>
  <c r="FI63" i="23"/>
  <c r="EJ63" i="23"/>
  <c r="EK63" i="23" s="1"/>
  <c r="ED63" i="23"/>
  <c r="EE63" i="23" s="1"/>
  <c r="DX63" i="23"/>
  <c r="DY63" i="23" s="1"/>
  <c r="EV63" i="23"/>
  <c r="EW63" i="23"/>
  <c r="BP63" i="23"/>
  <c r="CZ63" i="23"/>
  <c r="DA63" i="23"/>
  <c r="BJ63" i="23"/>
  <c r="BK63" i="23" s="1"/>
  <c r="DF63" i="23"/>
  <c r="DG63" i="23"/>
  <c r="CN63" i="23"/>
  <c r="CO63" i="23" s="1"/>
  <c r="CB63" i="23"/>
  <c r="CC63" i="23"/>
  <c r="DR63" i="23"/>
  <c r="DS63" i="23" s="1"/>
  <c r="CT63" i="23"/>
  <c r="CU63" i="23"/>
  <c r="BV63" i="23"/>
  <c r="BW63" i="23" s="1"/>
  <c r="BD63" i="23"/>
  <c r="BE63" i="23"/>
  <c r="CH63" i="23"/>
  <c r="CI63" i="23" s="1"/>
  <c r="FZ24" i="23"/>
  <c r="GA24" i="23"/>
  <c r="FN24" i="23"/>
  <c r="FO24" i="23" s="1"/>
  <c r="FT24" i="23"/>
  <c r="FU24" i="23"/>
  <c r="FB24" i="23"/>
  <c r="FC24" i="23" s="1"/>
  <c r="EV24" i="23"/>
  <c r="EW24" i="23"/>
  <c r="FH24" i="23"/>
  <c r="FI24" i="23" s="1"/>
  <c r="EP24" i="23"/>
  <c r="EQ24" i="23"/>
  <c r="ED24" i="23"/>
  <c r="EE24" i="23" s="1"/>
  <c r="DX24" i="23"/>
  <c r="DY24" i="23"/>
  <c r="EJ24" i="23"/>
  <c r="EK24" i="23" s="1"/>
  <c r="DF24" i="23"/>
  <c r="DG24" i="23"/>
  <c r="DR24" i="23"/>
  <c r="DS24" i="23" s="1"/>
  <c r="CT24" i="23"/>
  <c r="CU24" i="23"/>
  <c r="DL24" i="23"/>
  <c r="DM24" i="23" s="1"/>
  <c r="CN24" i="23"/>
  <c r="CO24" i="23"/>
  <c r="CH24" i="23"/>
  <c r="CI24" i="23" s="1"/>
  <c r="CZ24" i="23"/>
  <c r="DA24" i="23"/>
  <c r="BD24" i="23"/>
  <c r="BE24" i="23" s="1"/>
  <c r="BJ24" i="23"/>
  <c r="BK24" i="23"/>
  <c r="CB24" i="23"/>
  <c r="CC24" i="23" s="1"/>
  <c r="BV24" i="23"/>
  <c r="BW24" i="23"/>
  <c r="CZ29" i="23"/>
  <c r="DA29" i="23" s="1"/>
  <c r="BJ29" i="23"/>
  <c r="BK29" i="23"/>
  <c r="BD29" i="23"/>
  <c r="BE29" i="23" s="1"/>
  <c r="CB29" i="23"/>
  <c r="CC29" i="23"/>
  <c r="CN29" i="23"/>
  <c r="CO29" i="23" s="1"/>
  <c r="EP29" i="23"/>
  <c r="EQ29" i="23"/>
  <c r="FH29" i="23"/>
  <c r="FI29" i="23" s="1"/>
  <c r="DF29" i="23"/>
  <c r="DG29" i="23"/>
  <c r="CT29" i="23"/>
  <c r="CU29" i="23" s="1"/>
  <c r="DR29" i="23"/>
  <c r="DS29" i="23"/>
  <c r="FB29" i="23"/>
  <c r="FC29" i="23" s="1"/>
  <c r="CH29" i="23"/>
  <c r="CI29" i="23"/>
  <c r="DL29" i="23"/>
  <c r="DM29" i="23" s="1"/>
  <c r="ED29" i="23"/>
  <c r="EE29" i="23"/>
  <c r="FN29" i="23"/>
  <c r="FO29" i="23" s="1"/>
  <c r="FT29" i="23"/>
  <c r="FU29" i="23"/>
  <c r="EV29" i="23"/>
  <c r="EW29" i="23" s="1"/>
  <c r="BV29" i="23"/>
  <c r="BW29" i="23"/>
  <c r="EJ29" i="23"/>
  <c r="EK29" i="23" s="1"/>
  <c r="FZ29" i="23"/>
  <c r="GA29" i="23"/>
  <c r="DX29" i="23"/>
  <c r="DY29" i="23" s="1"/>
  <c r="FZ34" i="23"/>
  <c r="GA34" i="23"/>
  <c r="FN34" i="23"/>
  <c r="FO34" i="23" s="1"/>
  <c r="FH34" i="23"/>
  <c r="FI34" i="23"/>
  <c r="FB34" i="23"/>
  <c r="FC34" i="23" s="1"/>
  <c r="EV34" i="23"/>
  <c r="EW34" i="23"/>
  <c r="DX34" i="23"/>
  <c r="DY34" i="23" s="1"/>
  <c r="FT34" i="23"/>
  <c r="FU34" i="23"/>
  <c r="ED34" i="23"/>
  <c r="EE34" i="23" s="1"/>
  <c r="EP34" i="23"/>
  <c r="EQ34" i="23"/>
  <c r="DL34" i="23"/>
  <c r="DM34" i="23" s="1"/>
  <c r="DF34" i="23"/>
  <c r="DG34" i="23"/>
  <c r="DR34" i="23"/>
  <c r="DS34" i="23" s="1"/>
  <c r="CZ34" i="23"/>
  <c r="DA34" i="23"/>
  <c r="EJ34" i="23"/>
  <c r="EK34" i="23" s="1"/>
  <c r="CT34" i="23"/>
  <c r="CU34" i="23"/>
  <c r="CN34" i="23"/>
  <c r="CO34" i="23" s="1"/>
  <c r="CH34" i="23"/>
  <c r="CI34" i="23"/>
  <c r="BV34" i="23"/>
  <c r="BW34" i="23" s="1"/>
  <c r="BD34" i="23"/>
  <c r="BE34" i="23"/>
  <c r="BJ34" i="23"/>
  <c r="BK34" i="23" s="1"/>
  <c r="CB34" i="23"/>
  <c r="CC34" i="23"/>
  <c r="FZ39" i="23"/>
  <c r="GA39" i="23" s="1"/>
  <c r="FT39" i="23"/>
  <c r="FU39" i="23"/>
  <c r="FH39" i="23"/>
  <c r="FI39" i="23" s="1"/>
  <c r="FN39" i="23"/>
  <c r="FO39" i="23"/>
  <c r="FB39" i="23"/>
  <c r="FC39" i="23" s="1"/>
  <c r="EP39" i="23"/>
  <c r="EQ39" i="23"/>
  <c r="EJ39" i="23"/>
  <c r="EK39" i="23" s="1"/>
  <c r="DR39" i="23"/>
  <c r="DS39" i="23"/>
  <c r="EV39" i="23"/>
  <c r="EW39" i="23" s="1"/>
  <c r="BJ39" i="23"/>
  <c r="BK39" i="23"/>
  <c r="ED39" i="23"/>
  <c r="EE39" i="23" s="1"/>
  <c r="CZ39" i="23"/>
  <c r="DA39" i="23"/>
  <c r="BP39" i="23"/>
  <c r="BQ39" i="23" s="1"/>
  <c r="DF39" i="23"/>
  <c r="DG39" i="23"/>
  <c r="DX39" i="23"/>
  <c r="DY39" i="23" s="1"/>
  <c r="CN39" i="23"/>
  <c r="CO39" i="23"/>
  <c r="CB39" i="23"/>
  <c r="CC39" i="23" s="1"/>
  <c r="CT39" i="23"/>
  <c r="CU39" i="23"/>
  <c r="BV39" i="23"/>
  <c r="BW39" i="23" s="1"/>
  <c r="CH39" i="23"/>
  <c r="CI39" i="23"/>
  <c r="BD39" i="23"/>
  <c r="BE39" i="23" s="1"/>
  <c r="FZ43" i="23"/>
  <c r="GA43" i="23"/>
  <c r="FT43" i="23"/>
  <c r="FU43" i="23" s="1"/>
  <c r="FN43" i="23"/>
  <c r="FO43" i="23"/>
  <c r="FH43" i="23"/>
  <c r="FI43" i="23" s="1"/>
  <c r="FB43" i="23"/>
  <c r="EV43" i="23"/>
  <c r="DX43" i="23"/>
  <c r="EP43" i="23"/>
  <c r="EJ43" i="23"/>
  <c r="ED43" i="23"/>
  <c r="DR43" i="23"/>
  <c r="DF43" i="23"/>
  <c r="DG43" i="23" s="1"/>
  <c r="CT43" i="23"/>
  <c r="CU43" i="23" s="1"/>
  <c r="CZ43" i="23"/>
  <c r="DA43" i="23" s="1"/>
  <c r="CN43" i="23"/>
  <c r="CO43" i="23"/>
  <c r="CB43" i="23"/>
  <c r="CC43" i="23" s="1"/>
  <c r="CH43" i="23"/>
  <c r="CI43" i="23" s="1"/>
  <c r="BD43" i="23"/>
  <c r="BE43" i="23" s="1"/>
  <c r="BV43" i="23"/>
  <c r="BW43" i="23"/>
  <c r="FZ49" i="23"/>
  <c r="GA49" i="23" s="1"/>
  <c r="FT49" i="23"/>
  <c r="FU49" i="23" s="1"/>
  <c r="FN49" i="23"/>
  <c r="FO49" i="23" s="1"/>
  <c r="FH49" i="23"/>
  <c r="FI49" i="23"/>
  <c r="FB49" i="23"/>
  <c r="DR49" i="23"/>
  <c r="EV49" i="23"/>
  <c r="EP49" i="23"/>
  <c r="DX49" i="23"/>
  <c r="EJ49" i="23"/>
  <c r="ED49" i="23"/>
  <c r="BJ49" i="23"/>
  <c r="CZ49" i="23"/>
  <c r="DA49" i="23" s="1"/>
  <c r="CT49" i="23"/>
  <c r="CU49" i="23" s="1"/>
  <c r="CN49" i="23"/>
  <c r="CO49" i="23" s="1"/>
  <c r="BP49" i="23"/>
  <c r="CH49" i="23"/>
  <c r="CI49" i="23" s="1"/>
  <c r="DF49" i="23"/>
  <c r="DG49" i="23"/>
  <c r="CB49" i="23"/>
  <c r="CC49" i="23" s="1"/>
  <c r="BV49" i="23"/>
  <c r="BW49" i="23"/>
  <c r="BD49" i="23"/>
  <c r="BE49" i="23" s="1"/>
  <c r="FZ53" i="23"/>
  <c r="GA53" i="23"/>
  <c r="FN53" i="23"/>
  <c r="FO53" i="23" s="1"/>
  <c r="FT53" i="23"/>
  <c r="FU53" i="23"/>
  <c r="FH53" i="23"/>
  <c r="FI53" i="23" s="1"/>
  <c r="FB53" i="23"/>
  <c r="EV53" i="23"/>
  <c r="DR53" i="23"/>
  <c r="EP53" i="23"/>
  <c r="EJ53" i="23"/>
  <c r="ED53" i="23"/>
  <c r="DX53" i="23"/>
  <c r="BJ53" i="23"/>
  <c r="CZ53" i="23"/>
  <c r="DA53" i="23"/>
  <c r="BP53" i="23"/>
  <c r="CT53" i="23"/>
  <c r="CU53" i="23" s="1"/>
  <c r="CN53" i="23"/>
  <c r="CO53" i="23" s="1"/>
  <c r="DF53" i="23"/>
  <c r="DG53" i="23" s="1"/>
  <c r="CH53" i="23"/>
  <c r="CI53" i="23"/>
  <c r="BV53" i="23"/>
  <c r="BW53" i="23" s="1"/>
  <c r="CB53" i="23"/>
  <c r="CC53" i="23" s="1"/>
  <c r="BD53" i="23"/>
  <c r="BE53" i="23" s="1"/>
  <c r="FZ57" i="23"/>
  <c r="GA57" i="23"/>
  <c r="FN57" i="23"/>
  <c r="FO57" i="23" s="1"/>
  <c r="FT57" i="23"/>
  <c r="FU57" i="23" s="1"/>
  <c r="FH57" i="23"/>
  <c r="FI57" i="23" s="1"/>
  <c r="FB57" i="23"/>
  <c r="FC57" i="23"/>
  <c r="EP57" i="23"/>
  <c r="EQ57" i="23" s="1"/>
  <c r="DR57" i="23"/>
  <c r="DS57" i="23" s="1"/>
  <c r="ED57" i="23"/>
  <c r="EE57" i="23" s="1"/>
  <c r="EJ57" i="23"/>
  <c r="EK57" i="23"/>
  <c r="EV57" i="23"/>
  <c r="EW57" i="23" s="1"/>
  <c r="DX57" i="23"/>
  <c r="DY57" i="23" s="1"/>
  <c r="CZ57" i="23"/>
  <c r="DA57" i="23" s="1"/>
  <c r="DF57" i="23"/>
  <c r="DG57" i="23"/>
  <c r="CN57" i="23"/>
  <c r="CO57" i="23" s="1"/>
  <c r="CB57" i="23"/>
  <c r="CC57" i="23" s="1"/>
  <c r="CT57" i="23"/>
  <c r="CU57" i="23" s="1"/>
  <c r="BV57" i="23"/>
  <c r="BW57" i="23"/>
  <c r="CH57" i="23"/>
  <c r="CI57" i="23" s="1"/>
  <c r="BD57" i="23"/>
  <c r="BE57" i="23" s="1"/>
  <c r="FZ69" i="23"/>
  <c r="GA69" i="23" s="1"/>
  <c r="FN69" i="23"/>
  <c r="FO69" i="23"/>
  <c r="FH69" i="23"/>
  <c r="FI69" i="23" s="1"/>
  <c r="FB69" i="23"/>
  <c r="FC69" i="23" s="1"/>
  <c r="FT69" i="23"/>
  <c r="FU69" i="23" s="1"/>
  <c r="EV69" i="23"/>
  <c r="EW69" i="23"/>
  <c r="EP69" i="23"/>
  <c r="EQ69" i="23" s="1"/>
  <c r="DX69" i="23"/>
  <c r="DY69" i="23" s="1"/>
  <c r="EJ69" i="23"/>
  <c r="EK69" i="23" s="1"/>
  <c r="ED69" i="23"/>
  <c r="EE69" i="23"/>
  <c r="DR69" i="23"/>
  <c r="DS69" i="23" s="1"/>
  <c r="DL69" i="23"/>
  <c r="DM69" i="23" s="1"/>
  <c r="DF69" i="23"/>
  <c r="DG69" i="23" s="1"/>
  <c r="CZ69" i="23"/>
  <c r="DA69" i="23"/>
  <c r="CT69" i="23"/>
  <c r="CU69" i="23" s="1"/>
  <c r="CN69" i="23"/>
  <c r="CO69" i="23" s="1"/>
  <c r="CH69" i="23"/>
  <c r="CI69" i="23" s="1"/>
  <c r="BV69" i="23"/>
  <c r="BW69" i="23"/>
  <c r="BJ69" i="23"/>
  <c r="BK69" i="23" s="1"/>
  <c r="CB69" i="23"/>
  <c r="CC69" i="23" s="1"/>
  <c r="BD69" i="23"/>
  <c r="BE69" i="23" s="1"/>
  <c r="FN73" i="23"/>
  <c r="FO73" i="23"/>
  <c r="FT73" i="23"/>
  <c r="FU73" i="23" s="1"/>
  <c r="FZ73" i="23"/>
  <c r="GA73" i="23" s="1"/>
  <c r="FH73" i="23"/>
  <c r="FI73" i="23" s="1"/>
  <c r="FB73" i="23"/>
  <c r="FC73" i="23"/>
  <c r="EP73" i="23"/>
  <c r="EQ73" i="23" s="1"/>
  <c r="DX73" i="23"/>
  <c r="DY73" i="23" s="1"/>
  <c r="EJ73" i="23"/>
  <c r="EK73" i="23" s="1"/>
  <c r="EV73" i="23"/>
  <c r="EW73" i="23"/>
  <c r="ED73" i="23"/>
  <c r="EE73" i="23" s="1"/>
  <c r="DF73" i="23"/>
  <c r="DG73" i="23" s="1"/>
  <c r="DR73" i="23"/>
  <c r="DS73" i="23" s="1"/>
  <c r="CH73" i="23"/>
  <c r="CI73" i="23"/>
  <c r="DL73" i="23"/>
  <c r="DM73" i="23" s="1"/>
  <c r="CZ73" i="23"/>
  <c r="DA73" i="23" s="1"/>
  <c r="CT73" i="23"/>
  <c r="CU73" i="23" s="1"/>
  <c r="CN73" i="23"/>
  <c r="CO73" i="23"/>
  <c r="BJ73" i="23"/>
  <c r="BK73" i="23" s="1"/>
  <c r="CB73" i="23"/>
  <c r="CC73" i="23" s="1"/>
  <c r="BD73" i="23"/>
  <c r="BE73" i="23" s="1"/>
  <c r="BV73" i="23"/>
  <c r="BW73" i="23"/>
  <c r="FZ79" i="23"/>
  <c r="GA79" i="23" s="1"/>
  <c r="FN79" i="23"/>
  <c r="FO79" i="23" s="1"/>
  <c r="FT79" i="23"/>
  <c r="FU79" i="23" s="1"/>
  <c r="FH79" i="23"/>
  <c r="FI79" i="23"/>
  <c r="EV79" i="23"/>
  <c r="EW79" i="23" s="1"/>
  <c r="FB79" i="23"/>
  <c r="FC79" i="23" s="1"/>
  <c r="EP79" i="23"/>
  <c r="EQ79" i="23" s="1"/>
  <c r="EJ79" i="23"/>
  <c r="EK79" i="23"/>
  <c r="DX79" i="23"/>
  <c r="DY79" i="23" s="1"/>
  <c r="ED79" i="23"/>
  <c r="EE79" i="23" s="1"/>
  <c r="DF79" i="23"/>
  <c r="DG79" i="23" s="1"/>
  <c r="DR79" i="23"/>
  <c r="DS79" i="23"/>
  <c r="DL79" i="23"/>
  <c r="DM79" i="23" s="1"/>
  <c r="CZ79" i="23"/>
  <c r="DA79" i="23" s="1"/>
  <c r="CT79" i="23"/>
  <c r="CU79" i="23" s="1"/>
  <c r="CN79" i="23"/>
  <c r="CO79" i="23"/>
  <c r="CB79" i="23"/>
  <c r="CC79" i="23" s="1"/>
  <c r="BJ79" i="23"/>
  <c r="BK79" i="23" s="1"/>
  <c r="CH79" i="23"/>
  <c r="CI79" i="23" s="1"/>
  <c r="BD79" i="23"/>
  <c r="BE79" i="23"/>
  <c r="BV79" i="23"/>
  <c r="BW79" i="23" s="1"/>
  <c r="FZ83" i="23"/>
  <c r="GA83" i="23" s="1"/>
  <c r="FN83" i="23"/>
  <c r="FO83" i="23" s="1"/>
  <c r="FT83" i="23"/>
  <c r="FU83" i="23"/>
  <c r="FH83" i="23"/>
  <c r="FI83" i="23" s="1"/>
  <c r="FB83" i="23"/>
  <c r="FC83" i="23" s="1"/>
  <c r="EP83" i="23"/>
  <c r="EQ83" i="23" s="1"/>
  <c r="EV83" i="23"/>
  <c r="EW83" i="23"/>
  <c r="EJ83" i="23"/>
  <c r="EK83" i="23" s="1"/>
  <c r="DX83" i="23"/>
  <c r="DY83" i="23" s="1"/>
  <c r="DL83" i="23"/>
  <c r="DM83" i="23" s="1"/>
  <c r="DF83" i="23"/>
  <c r="DG83" i="23"/>
  <c r="ED83" i="23"/>
  <c r="EE83" i="23" s="1"/>
  <c r="CN83" i="23"/>
  <c r="CO83" i="23" s="1"/>
  <c r="DR83" i="23"/>
  <c r="DS83" i="23" s="1"/>
  <c r="CZ83" i="23"/>
  <c r="DA83" i="23"/>
  <c r="CH83" i="23"/>
  <c r="CI83" i="23" s="1"/>
  <c r="CT83" i="23"/>
  <c r="CU83" i="23" s="1"/>
  <c r="CB83" i="23"/>
  <c r="CC83" i="23" s="1"/>
  <c r="BJ83" i="23"/>
  <c r="BK83" i="23"/>
  <c r="BD83" i="23"/>
  <c r="BE83" i="23" s="1"/>
  <c r="BV83" i="23"/>
  <c r="BW83" i="23" s="1"/>
  <c r="FN87" i="23"/>
  <c r="FO87" i="23" s="1"/>
  <c r="FZ87" i="23"/>
  <c r="GA87" i="23"/>
  <c r="FT87" i="23"/>
  <c r="FU87" i="23" s="1"/>
  <c r="FB87" i="23"/>
  <c r="FC87" i="23" s="1"/>
  <c r="FH87" i="23"/>
  <c r="FI87" i="23" s="1"/>
  <c r="EV87" i="23"/>
  <c r="EW87" i="23"/>
  <c r="EJ87" i="23"/>
  <c r="EK87" i="23" s="1"/>
  <c r="DX87" i="23"/>
  <c r="DY87" i="23" s="1"/>
  <c r="EP87" i="23"/>
  <c r="EQ87" i="23" s="1"/>
  <c r="ED87" i="23"/>
  <c r="EE87" i="23"/>
  <c r="DF87" i="23"/>
  <c r="DG87" i="23"/>
  <c r="DR87" i="23"/>
  <c r="DS87" i="23"/>
  <c r="CZ87" i="23"/>
  <c r="DA87" i="23"/>
  <c r="CT87" i="23"/>
  <c r="CU87" i="23"/>
  <c r="CN87" i="23"/>
  <c r="CO87" i="23"/>
  <c r="CH87" i="23"/>
  <c r="CI87" i="23"/>
  <c r="DL87" i="23"/>
  <c r="DM87" i="23"/>
  <c r="CB87" i="23"/>
  <c r="CC87" i="23"/>
  <c r="BV87" i="23"/>
  <c r="BW87" i="23"/>
  <c r="BJ87" i="23"/>
  <c r="BK87" i="23"/>
  <c r="BD87" i="23"/>
  <c r="BE87" i="23"/>
  <c r="FZ91" i="23"/>
  <c r="GA91" i="23"/>
  <c r="FN91" i="23"/>
  <c r="FO91" i="23"/>
  <c r="FT91" i="23"/>
  <c r="FU91" i="23"/>
  <c r="FH91" i="23"/>
  <c r="FI91" i="23"/>
  <c r="FB91" i="23"/>
  <c r="FC91" i="23"/>
  <c r="EP91" i="23"/>
  <c r="EQ91" i="23"/>
  <c r="EV91" i="23"/>
  <c r="EW91" i="23"/>
  <c r="DX91" i="23"/>
  <c r="DY91" i="23"/>
  <c r="ED91" i="23"/>
  <c r="EE91" i="23"/>
  <c r="EJ91" i="23"/>
  <c r="EK91" i="23"/>
  <c r="DF91" i="23"/>
  <c r="DG91" i="23"/>
  <c r="DR91" i="23"/>
  <c r="DS91" i="23"/>
  <c r="DL91" i="23"/>
  <c r="DM91" i="23"/>
  <c r="CZ91" i="23"/>
  <c r="DA91" i="23"/>
  <c r="CT91" i="23"/>
  <c r="CU91" i="23"/>
  <c r="CN91" i="23"/>
  <c r="CO91" i="23"/>
  <c r="BD91" i="23"/>
  <c r="BE91" i="23"/>
  <c r="BV91" i="23"/>
  <c r="BW91" i="23"/>
  <c r="BJ91" i="23"/>
  <c r="BK91" i="23"/>
  <c r="CH91" i="23"/>
  <c r="CI91" i="23"/>
  <c r="CB91" i="23"/>
  <c r="CC91" i="23"/>
  <c r="FZ100" i="23"/>
  <c r="GA100" i="23"/>
  <c r="FN100" i="23"/>
  <c r="FO100" i="23"/>
  <c r="FT100" i="23"/>
  <c r="FU100" i="23"/>
  <c r="FH100" i="23"/>
  <c r="FI100" i="23"/>
  <c r="EV100" i="23"/>
  <c r="EW100" i="23"/>
  <c r="FB100" i="23"/>
  <c r="FC100" i="23"/>
  <c r="EP100" i="23"/>
  <c r="EQ100" i="23"/>
  <c r="ED100" i="23"/>
  <c r="EE100" i="23"/>
  <c r="EJ100" i="23"/>
  <c r="EK100" i="23"/>
  <c r="DL100" i="23"/>
  <c r="DM100" i="23"/>
  <c r="DX100" i="23"/>
  <c r="DY100" i="23"/>
  <c r="DR100" i="23"/>
  <c r="DS100" i="23"/>
  <c r="DF100" i="23"/>
  <c r="DG100" i="23"/>
  <c r="CN100" i="23"/>
  <c r="CO100" i="23"/>
  <c r="CZ100" i="23"/>
  <c r="DA100" i="23"/>
  <c r="CT100" i="23"/>
  <c r="CU100" i="23"/>
  <c r="BJ100" i="23"/>
  <c r="BK100" i="23"/>
  <c r="CB100" i="23"/>
  <c r="CC100" i="23"/>
  <c r="BD100" i="23"/>
  <c r="BE100" i="23"/>
  <c r="CH100" i="23"/>
  <c r="CI100" i="23"/>
  <c r="BV100" i="23"/>
  <c r="BW100" i="23"/>
  <c r="FZ104" i="23"/>
  <c r="GA104" i="23"/>
  <c r="FN104" i="23"/>
  <c r="FO104" i="23"/>
  <c r="FT104" i="23"/>
  <c r="FU104" i="23"/>
  <c r="FH104" i="23"/>
  <c r="FI104" i="23"/>
  <c r="EV104" i="23"/>
  <c r="EW104" i="23"/>
  <c r="FB104" i="23"/>
  <c r="FC104" i="23"/>
  <c r="EP104" i="23"/>
  <c r="EQ104" i="23"/>
  <c r="ED104" i="23"/>
  <c r="EE104" i="23"/>
  <c r="DR104" i="23"/>
  <c r="DS104" i="23"/>
  <c r="EJ104" i="23"/>
  <c r="EK104" i="23"/>
  <c r="DX104" i="23"/>
  <c r="DY104" i="23"/>
  <c r="DL104" i="23"/>
  <c r="DM104" i="23"/>
  <c r="DF104" i="23"/>
  <c r="DG104" i="23"/>
  <c r="CT104" i="23"/>
  <c r="CU104" i="23"/>
  <c r="CN104" i="23"/>
  <c r="CO104" i="23"/>
  <c r="CZ104" i="23"/>
  <c r="DA104" i="23"/>
  <c r="CH104" i="23"/>
  <c r="CI104" i="23"/>
  <c r="BV104" i="23"/>
  <c r="BW104" i="23"/>
  <c r="BJ104" i="23"/>
  <c r="BK104" i="23"/>
  <c r="CB104" i="23"/>
  <c r="CC104" i="23"/>
  <c r="BD104" i="23"/>
  <c r="BE104" i="23"/>
  <c r="FZ110" i="23"/>
  <c r="GA110" i="23"/>
  <c r="FT110" i="23"/>
  <c r="FU110" i="23"/>
  <c r="FN110" i="23"/>
  <c r="FO110" i="23"/>
  <c r="FB110" i="23"/>
  <c r="FC110" i="23"/>
  <c r="EV110" i="23"/>
  <c r="EW110" i="23"/>
  <c r="FH110" i="23"/>
  <c r="FI110" i="23"/>
  <c r="EP110" i="23"/>
  <c r="EQ110" i="23"/>
  <c r="ED110" i="23"/>
  <c r="EE110" i="23"/>
  <c r="EJ110" i="23"/>
  <c r="EK110" i="23"/>
  <c r="DX110" i="23"/>
  <c r="DY110" i="23"/>
  <c r="DR110" i="23"/>
  <c r="DS110" i="23"/>
  <c r="DF110" i="23"/>
  <c r="DG110" i="23"/>
  <c r="DL110" i="23"/>
  <c r="DM110" i="23"/>
  <c r="CZ110" i="23"/>
  <c r="DA110" i="23"/>
  <c r="CN110" i="23"/>
  <c r="CO110" i="23"/>
  <c r="CT110" i="23"/>
  <c r="CU110" i="23"/>
  <c r="CH110" i="23"/>
  <c r="CI110" i="23"/>
  <c r="CB110" i="23"/>
  <c r="CC110" i="23"/>
  <c r="BD110" i="23"/>
  <c r="BE110" i="23"/>
  <c r="BV110" i="23"/>
  <c r="BW110" i="23"/>
  <c r="BJ110" i="23"/>
  <c r="BK110" i="23"/>
  <c r="FZ114" i="23"/>
  <c r="GA114" i="23"/>
  <c r="FN114" i="23"/>
  <c r="FO114" i="23"/>
  <c r="FT114" i="23"/>
  <c r="FU114" i="23"/>
  <c r="FB114" i="23"/>
  <c r="FC114" i="23"/>
  <c r="EJ114" i="23"/>
  <c r="EK114" i="23"/>
  <c r="EV114" i="23"/>
  <c r="EW114" i="23"/>
  <c r="FH114" i="23"/>
  <c r="FI114" i="23"/>
  <c r="ED114" i="23"/>
  <c r="EE114" i="23"/>
  <c r="DX114" i="23"/>
  <c r="DY114" i="23"/>
  <c r="DR114" i="23"/>
  <c r="DS114" i="23"/>
  <c r="DL114" i="23"/>
  <c r="DM114" i="23"/>
  <c r="EP114" i="23"/>
  <c r="EQ114" i="23"/>
  <c r="DF114" i="23"/>
  <c r="DG114" i="23"/>
  <c r="CH114" i="23"/>
  <c r="CI114" i="23"/>
  <c r="CZ114" i="23"/>
  <c r="DA114" i="23"/>
  <c r="CT114" i="23"/>
  <c r="CU114" i="23"/>
  <c r="CN114" i="23"/>
  <c r="CO114" i="23"/>
  <c r="CB114" i="23"/>
  <c r="CC114" i="23"/>
  <c r="BJ114" i="23"/>
  <c r="BK114" i="23"/>
  <c r="BD114" i="23"/>
  <c r="BE114" i="23"/>
  <c r="BV114" i="23"/>
  <c r="BW114" i="23"/>
  <c r="FZ118" i="23"/>
  <c r="GA118" i="23"/>
  <c r="FN118" i="23"/>
  <c r="FO118" i="23"/>
  <c r="FT118" i="23"/>
  <c r="FU118" i="23"/>
  <c r="FH118" i="23"/>
  <c r="FI118" i="23"/>
  <c r="EV118" i="23"/>
  <c r="EW118" i="23"/>
  <c r="FB118" i="23"/>
  <c r="FC118" i="23"/>
  <c r="EP118" i="23"/>
  <c r="EQ118" i="23"/>
  <c r="ED118" i="23"/>
  <c r="EE118" i="23"/>
  <c r="DX118" i="23"/>
  <c r="DY118" i="23"/>
  <c r="EJ118" i="23"/>
  <c r="EK118" i="23"/>
  <c r="DF118" i="23"/>
  <c r="DG118" i="23"/>
  <c r="DL118" i="23"/>
  <c r="DM118" i="23"/>
  <c r="CH118" i="23"/>
  <c r="CI118" i="23"/>
  <c r="CZ118" i="23"/>
  <c r="DA118" i="23"/>
  <c r="CT118" i="23"/>
  <c r="CU118" i="23"/>
  <c r="CN118" i="23"/>
  <c r="CO118" i="23"/>
  <c r="DR118" i="23"/>
  <c r="DS118" i="23"/>
  <c r="CB118" i="23"/>
  <c r="CC118" i="23"/>
  <c r="BJ118" i="23"/>
  <c r="BK118" i="23"/>
  <c r="BD118" i="23"/>
  <c r="BE118" i="23"/>
  <c r="BV118" i="23"/>
  <c r="BW118" i="23"/>
  <c r="FN122" i="23"/>
  <c r="FO122" i="23"/>
  <c r="FT122" i="23"/>
  <c r="FU122" i="23"/>
  <c r="FB122" i="23"/>
  <c r="FC122" i="23"/>
  <c r="FH122" i="23"/>
  <c r="FI122" i="23"/>
  <c r="EJ122" i="23"/>
  <c r="EK122" i="23"/>
  <c r="FZ122" i="23"/>
  <c r="GA122" i="23"/>
  <c r="EV122" i="23"/>
  <c r="EW122" i="23"/>
  <c r="EP122" i="23"/>
  <c r="EQ122" i="23"/>
  <c r="ED122" i="23"/>
  <c r="EE122" i="23"/>
  <c r="DX122" i="23"/>
  <c r="DY122" i="23"/>
  <c r="DR122" i="23"/>
  <c r="DS122" i="23"/>
  <c r="DL122" i="23"/>
  <c r="DM122" i="23"/>
  <c r="DF122" i="23"/>
  <c r="DG122" i="23"/>
  <c r="CT122" i="23"/>
  <c r="CU122" i="23"/>
  <c r="CN122" i="23"/>
  <c r="CO122" i="23"/>
  <c r="CZ122" i="23"/>
  <c r="DA122" i="23"/>
  <c r="CH122" i="23"/>
  <c r="CI122" i="23"/>
  <c r="BD122" i="23"/>
  <c r="BE122" i="23"/>
  <c r="BV122" i="23"/>
  <c r="BW122" i="23"/>
  <c r="CB122" i="23"/>
  <c r="CC122" i="23"/>
  <c r="BJ122" i="23"/>
  <c r="BK122" i="23"/>
  <c r="FZ129" i="23"/>
  <c r="GA129" i="23"/>
  <c r="FN129" i="23"/>
  <c r="FO129" i="23"/>
  <c r="FT129" i="23"/>
  <c r="FU129" i="23"/>
  <c r="FH129" i="23"/>
  <c r="FI129" i="23"/>
  <c r="EV129" i="23"/>
  <c r="EW129" i="23"/>
  <c r="EP129" i="23"/>
  <c r="EQ129" i="23"/>
  <c r="DR129" i="23"/>
  <c r="DS129" i="23"/>
  <c r="EJ129" i="23"/>
  <c r="EK129" i="23"/>
  <c r="FB129" i="23"/>
  <c r="FC129" i="23"/>
  <c r="DX129" i="23"/>
  <c r="DY129" i="23"/>
  <c r="ED129" i="23"/>
  <c r="EE129" i="23"/>
  <c r="DL129" i="23"/>
  <c r="DM129" i="23"/>
  <c r="DF129" i="23"/>
  <c r="DG129" i="23"/>
  <c r="CT129" i="23"/>
  <c r="CU129" i="23"/>
  <c r="CZ129" i="23"/>
  <c r="DA129" i="23"/>
  <c r="CN129" i="23"/>
  <c r="CO129" i="23"/>
  <c r="BD129" i="23"/>
  <c r="BE129" i="23"/>
  <c r="CH129" i="23"/>
  <c r="CI129" i="23"/>
  <c r="CB129" i="23"/>
  <c r="CC129" i="23"/>
  <c r="BV129" i="23"/>
  <c r="BW129" i="23"/>
  <c r="BJ129" i="23"/>
  <c r="BK129" i="23"/>
  <c r="FZ133" i="23"/>
  <c r="GA133" i="23"/>
  <c r="FB133" i="23"/>
  <c r="FC133" i="23"/>
  <c r="FH133" i="23"/>
  <c r="FI133" i="23"/>
  <c r="FN133" i="23"/>
  <c r="FO133" i="23"/>
  <c r="EV133" i="23"/>
  <c r="EW133" i="23"/>
  <c r="EP133" i="23"/>
  <c r="EQ133" i="23"/>
  <c r="ED133" i="23"/>
  <c r="EE133" i="23"/>
  <c r="DR133" i="23"/>
  <c r="DS133" i="23"/>
  <c r="FT133" i="23"/>
  <c r="FU133" i="23"/>
  <c r="EJ133" i="23"/>
  <c r="EK133" i="23"/>
  <c r="DX133" i="23"/>
  <c r="DY133" i="23"/>
  <c r="DL133" i="23"/>
  <c r="DM133" i="23"/>
  <c r="DF133" i="23"/>
  <c r="DG133" i="23"/>
  <c r="CZ133" i="23"/>
  <c r="DA133" i="23"/>
  <c r="CT133" i="23"/>
  <c r="CU133" i="23"/>
  <c r="CH133" i="23"/>
  <c r="CI133" i="23"/>
  <c r="CN133" i="23"/>
  <c r="CO133" i="23"/>
  <c r="BD133" i="23"/>
  <c r="BE133" i="23"/>
  <c r="BV133" i="23"/>
  <c r="BW133" i="23"/>
  <c r="CB133" i="23"/>
  <c r="CC133" i="23"/>
  <c r="BJ133" i="23"/>
  <c r="BK133" i="23"/>
  <c r="FZ139" i="23"/>
  <c r="GA139" i="23"/>
  <c r="FN139" i="23"/>
  <c r="FO139" i="23"/>
  <c r="FT139" i="23"/>
  <c r="FU139" i="23"/>
  <c r="FH139" i="23"/>
  <c r="FI139" i="23"/>
  <c r="EJ139" i="23"/>
  <c r="EK139" i="23"/>
  <c r="FB139" i="23"/>
  <c r="FC139" i="23"/>
  <c r="EV139" i="23"/>
  <c r="EW139" i="23"/>
  <c r="DR139" i="23"/>
  <c r="DS139" i="23"/>
  <c r="EP139" i="23"/>
  <c r="EQ139" i="23"/>
  <c r="ED139" i="23"/>
  <c r="EE139" i="23"/>
  <c r="DX139" i="23"/>
  <c r="DY139" i="23"/>
  <c r="DF139" i="23"/>
  <c r="DG139" i="23"/>
  <c r="CZ139" i="23"/>
  <c r="DA139" i="23"/>
  <c r="CH139" i="23"/>
  <c r="CI139" i="23"/>
  <c r="DL139" i="23"/>
  <c r="DM139" i="23"/>
  <c r="CT139" i="23"/>
  <c r="CU139" i="23"/>
  <c r="CN139" i="23"/>
  <c r="CO139" i="23"/>
  <c r="BV139" i="23"/>
  <c r="BW139" i="23"/>
  <c r="CB139" i="23"/>
  <c r="CC139" i="23"/>
  <c r="BJ139" i="23"/>
  <c r="BK139" i="23"/>
  <c r="BD139" i="23"/>
  <c r="BE139" i="23"/>
  <c r="FZ143" i="23"/>
  <c r="GA143" i="23"/>
  <c r="FN143" i="23"/>
  <c r="FO143" i="23"/>
  <c r="FH143" i="23"/>
  <c r="FI143" i="23"/>
  <c r="FB143" i="23"/>
  <c r="FC143" i="23" s="1"/>
  <c r="EV143" i="23"/>
  <c r="EW143" i="23"/>
  <c r="FT143" i="23"/>
  <c r="FU143" i="23" s="1"/>
  <c r="EJ143" i="23"/>
  <c r="EK143" i="23"/>
  <c r="EP143" i="23"/>
  <c r="EQ143" i="23" s="1"/>
  <c r="DX143" i="23"/>
  <c r="DY143" i="23"/>
  <c r="DR143" i="23"/>
  <c r="DS143" i="23" s="1"/>
  <c r="DF143" i="23"/>
  <c r="DG143" i="23"/>
  <c r="ED143" i="23"/>
  <c r="EE143" i="23" s="1"/>
  <c r="CT143" i="23"/>
  <c r="CU143" i="23"/>
  <c r="CH143" i="23"/>
  <c r="CI143" i="23" s="1"/>
  <c r="CN143" i="23"/>
  <c r="CO143" i="23"/>
  <c r="CZ143" i="23"/>
  <c r="DA143" i="23" s="1"/>
  <c r="DL143" i="23"/>
  <c r="DM143" i="23"/>
  <c r="CB143" i="23"/>
  <c r="CC143" i="23" s="1"/>
  <c r="BJ143" i="23"/>
  <c r="BK143" i="23"/>
  <c r="BV143" i="23"/>
  <c r="BW143" i="23" s="1"/>
  <c r="BD143" i="23"/>
  <c r="BE143" i="23"/>
  <c r="FZ147" i="23"/>
  <c r="GA147" i="23" s="1"/>
  <c r="FN147" i="23"/>
  <c r="FO147" i="23"/>
  <c r="FT147" i="23"/>
  <c r="FU147" i="23" s="1"/>
  <c r="FH147" i="23"/>
  <c r="FI147" i="23"/>
  <c r="EV147" i="23"/>
  <c r="EW147" i="23" s="1"/>
  <c r="FB147" i="23"/>
  <c r="FC147" i="23"/>
  <c r="EP147" i="23"/>
  <c r="EQ147" i="23" s="1"/>
  <c r="EJ147" i="23"/>
  <c r="EK147" i="23"/>
  <c r="ED147" i="23"/>
  <c r="EE147" i="23" s="1"/>
  <c r="DR147" i="23"/>
  <c r="DS147" i="23"/>
  <c r="DX147" i="23"/>
  <c r="DY147" i="23" s="1"/>
  <c r="DF147" i="23"/>
  <c r="DG147" i="23"/>
  <c r="DL147" i="23"/>
  <c r="DM147" i="23" s="1"/>
  <c r="CH147" i="23"/>
  <c r="CI147" i="23"/>
  <c r="CZ147" i="23"/>
  <c r="DA147" i="23" s="1"/>
  <c r="CT147" i="23"/>
  <c r="CU147" i="23"/>
  <c r="CN147" i="23"/>
  <c r="CO147" i="23" s="1"/>
  <c r="CB147" i="23"/>
  <c r="CC147" i="23"/>
  <c r="BV147" i="23"/>
  <c r="BW147" i="23" s="1"/>
  <c r="BJ147" i="23"/>
  <c r="BK147" i="23"/>
  <c r="BD147" i="23"/>
  <c r="BE147" i="23" s="1"/>
  <c r="FZ151" i="23"/>
  <c r="GA151" i="23"/>
  <c r="FT151" i="23"/>
  <c r="FU151" i="23" s="1"/>
  <c r="FH151" i="23"/>
  <c r="FI151" i="23"/>
  <c r="FN151" i="23"/>
  <c r="FO151" i="23" s="1"/>
  <c r="FB151" i="23"/>
  <c r="FC151" i="23"/>
  <c r="EV151" i="23"/>
  <c r="EW151" i="23" s="1"/>
  <c r="EP151" i="23"/>
  <c r="EQ151" i="23"/>
  <c r="EJ151" i="23"/>
  <c r="EK151" i="23" s="1"/>
  <c r="DX151" i="23"/>
  <c r="DY151" i="23"/>
  <c r="ED151" i="23"/>
  <c r="EE151" i="23" s="1"/>
  <c r="DR151" i="23"/>
  <c r="DS151" i="23"/>
  <c r="DF151" i="23"/>
  <c r="DG151" i="23" s="1"/>
  <c r="CT151" i="23"/>
  <c r="CU151" i="23"/>
  <c r="DL151" i="23"/>
  <c r="DM151" i="23" s="1"/>
  <c r="CZ151" i="23"/>
  <c r="DA151" i="23"/>
  <c r="CN151" i="23"/>
  <c r="CO151" i="23" s="1"/>
  <c r="CH151" i="23"/>
  <c r="CI151" i="23"/>
  <c r="BJ151" i="23"/>
  <c r="BK151" i="23" s="1"/>
  <c r="CB151" i="23"/>
  <c r="CC151" i="23"/>
  <c r="BV151" i="23"/>
  <c r="BW151" i="23" s="1"/>
  <c r="BD151" i="23"/>
  <c r="BE151" i="23" s="1"/>
  <c r="FZ158" i="23"/>
  <c r="GA158" i="23" s="1"/>
  <c r="FN158" i="23"/>
  <c r="FO158" i="23" s="1"/>
  <c r="FT158" i="23"/>
  <c r="FU158" i="23" s="1"/>
  <c r="FH158" i="23"/>
  <c r="FI158" i="23"/>
  <c r="FB158" i="23"/>
  <c r="FC158" i="23" s="1"/>
  <c r="EP158" i="23"/>
  <c r="EQ158" i="23"/>
  <c r="EV158" i="23"/>
  <c r="EW158" i="23" s="1"/>
  <c r="ED158" i="23"/>
  <c r="EE158" i="23" s="1"/>
  <c r="DR158" i="23"/>
  <c r="DS158" i="23" s="1"/>
  <c r="EJ158" i="23"/>
  <c r="EK158" i="23" s="1"/>
  <c r="DX158" i="23"/>
  <c r="DY158" i="23" s="1"/>
  <c r="DF158" i="23"/>
  <c r="DG158" i="23"/>
  <c r="DL158" i="23"/>
  <c r="DM158" i="23" s="1"/>
  <c r="CN158" i="23"/>
  <c r="CO158" i="23"/>
  <c r="CZ158" i="23"/>
  <c r="DA158" i="23" s="1"/>
  <c r="CT158" i="23"/>
  <c r="CU158" i="23" s="1"/>
  <c r="CH158" i="23"/>
  <c r="CI158" i="23" s="1"/>
  <c r="CB158" i="23"/>
  <c r="CC158" i="23" s="1"/>
  <c r="BJ158" i="23"/>
  <c r="BK158" i="23" s="1"/>
  <c r="BD158" i="23"/>
  <c r="BE158" i="23"/>
  <c r="BV158" i="23"/>
  <c r="BW158" i="23" s="1"/>
  <c r="AL162" i="23"/>
  <c r="AM162" i="23"/>
  <c r="FZ162" i="23"/>
  <c r="GA162" i="23" s="1"/>
  <c r="FT162" i="23"/>
  <c r="FU162" i="23" s="1"/>
  <c r="FH162" i="23"/>
  <c r="FI162" i="23" s="1"/>
  <c r="FN162" i="23"/>
  <c r="FO162" i="23" s="1"/>
  <c r="FB162" i="23"/>
  <c r="FC162" i="23" s="1"/>
  <c r="EV162" i="23"/>
  <c r="EW162" i="23"/>
  <c r="DR162" i="23"/>
  <c r="DS162" i="23" s="1"/>
  <c r="DX162" i="23"/>
  <c r="DY162" i="23"/>
  <c r="EP162" i="23"/>
  <c r="EQ162" i="23" s="1"/>
  <c r="EJ162" i="23"/>
  <c r="EK162" i="23" s="1"/>
  <c r="ED162" i="23"/>
  <c r="EE162" i="23" s="1"/>
  <c r="DL162" i="23"/>
  <c r="DM162" i="23" s="1"/>
  <c r="CZ162" i="23"/>
  <c r="DA162" i="23" s="1"/>
  <c r="CT162" i="23"/>
  <c r="CU162" i="23"/>
  <c r="CN162" i="23"/>
  <c r="CO162" i="23" s="1"/>
  <c r="CH162" i="23"/>
  <c r="CI162" i="23"/>
  <c r="DF162" i="23"/>
  <c r="DG162" i="23" s="1"/>
  <c r="BJ162" i="23"/>
  <c r="BK162" i="23" s="1"/>
  <c r="BD162" i="23"/>
  <c r="BE162" i="23" s="1"/>
  <c r="BV162" i="23"/>
  <c r="BW162" i="23" s="1"/>
  <c r="CB162" i="23"/>
  <c r="CC162" i="23" s="1"/>
  <c r="FZ168" i="23"/>
  <c r="GA168" i="23"/>
  <c r="FN168" i="23"/>
  <c r="FO168" i="23" s="1"/>
  <c r="FT168" i="23"/>
  <c r="FU168" i="23"/>
  <c r="FH168" i="23"/>
  <c r="FI168" i="23" s="1"/>
  <c r="EV168" i="23"/>
  <c r="EW168" i="23" s="1"/>
  <c r="EP168" i="23"/>
  <c r="EQ168" i="23" s="1"/>
  <c r="ED168" i="23"/>
  <c r="EE168" i="23" s="1"/>
  <c r="FB168" i="23"/>
  <c r="FC168" i="23" s="1"/>
  <c r="EJ168" i="23"/>
  <c r="EK168" i="23"/>
  <c r="DR168" i="23"/>
  <c r="DS168" i="23" s="1"/>
  <c r="DX168" i="23"/>
  <c r="DY168" i="23"/>
  <c r="DF168" i="23"/>
  <c r="DG168" i="23" s="1"/>
  <c r="CN168" i="23"/>
  <c r="CO168" i="23" s="1"/>
  <c r="DL168" i="23"/>
  <c r="DM168" i="23" s="1"/>
  <c r="CZ168" i="23"/>
  <c r="DA168" i="23" s="1"/>
  <c r="CT168" i="23"/>
  <c r="CU168" i="23" s="1"/>
  <c r="CH168" i="23"/>
  <c r="CI168" i="23"/>
  <c r="CB168" i="23"/>
  <c r="CC168" i="23" s="1"/>
  <c r="BV168" i="23"/>
  <c r="BW168" i="23"/>
  <c r="BJ168" i="23"/>
  <c r="BK168" i="23" s="1"/>
  <c r="BD168" i="23"/>
  <c r="BE168" i="23" s="1"/>
  <c r="AL172" i="23"/>
  <c r="AM172" i="23" s="1"/>
  <c r="FN172" i="23"/>
  <c r="FO172" i="23" s="1"/>
  <c r="FZ172" i="23"/>
  <c r="GA172" i="23" s="1"/>
  <c r="FH172" i="23"/>
  <c r="FI172" i="23"/>
  <c r="FB172" i="23"/>
  <c r="FC172" i="23" s="1"/>
  <c r="EP172" i="23"/>
  <c r="EQ172" i="23"/>
  <c r="FT172" i="23"/>
  <c r="FU172" i="23" s="1"/>
  <c r="EV172" i="23"/>
  <c r="EW172" i="23" s="1"/>
  <c r="ED172" i="23"/>
  <c r="EE172" i="23" s="1"/>
  <c r="DR172" i="23"/>
  <c r="DS172" i="23" s="1"/>
  <c r="EJ172" i="23"/>
  <c r="EK172" i="23" s="1"/>
  <c r="DX172" i="23"/>
  <c r="DY172" i="23"/>
  <c r="DF172" i="23"/>
  <c r="DG172" i="23" s="1"/>
  <c r="CZ172" i="23"/>
  <c r="DA172" i="23"/>
  <c r="CN172" i="23"/>
  <c r="CO172" i="23" s="1"/>
  <c r="DL172" i="23"/>
  <c r="DM172" i="23" s="1"/>
  <c r="CT172" i="23"/>
  <c r="CU172" i="23" s="1"/>
  <c r="CH172" i="23"/>
  <c r="CI172" i="23" s="1"/>
  <c r="BD172" i="23"/>
  <c r="BE172" i="23" s="1"/>
  <c r="CB172" i="23"/>
  <c r="CC172" i="23"/>
  <c r="BV172" i="23"/>
  <c r="BW172" i="23" s="1"/>
  <c r="BJ172" i="23"/>
  <c r="BK172" i="23"/>
  <c r="FZ176" i="23"/>
  <c r="GA176" i="23" s="1"/>
  <c r="FT176" i="23"/>
  <c r="FU176" i="23" s="1"/>
  <c r="FH176" i="23"/>
  <c r="FI176" i="23" s="1"/>
  <c r="FB176" i="23"/>
  <c r="FC176" i="23" s="1"/>
  <c r="EJ176" i="23"/>
  <c r="EK176" i="23" s="1"/>
  <c r="FN176" i="23"/>
  <c r="FO176" i="23"/>
  <c r="DR176" i="23"/>
  <c r="DS176" i="23" s="1"/>
  <c r="EV176" i="23"/>
  <c r="EW176" i="23"/>
  <c r="EP176" i="23"/>
  <c r="EQ176" i="23" s="1"/>
  <c r="ED176" i="23"/>
  <c r="EE176" i="23" s="1"/>
  <c r="DL176" i="23"/>
  <c r="DM176" i="23" s="1"/>
  <c r="DX176" i="23"/>
  <c r="DY176" i="23" s="1"/>
  <c r="CT176" i="23"/>
  <c r="CU176" i="23" s="1"/>
  <c r="CN176" i="23"/>
  <c r="CO176" i="23"/>
  <c r="DF176" i="23"/>
  <c r="DG176" i="23" s="1"/>
  <c r="CH176" i="23"/>
  <c r="CI176" i="23"/>
  <c r="CZ176" i="23"/>
  <c r="DA176" i="23" s="1"/>
  <c r="BD176" i="23"/>
  <c r="BE176" i="23" s="1"/>
  <c r="BV176" i="23"/>
  <c r="BW176" i="23" s="1"/>
  <c r="CB176" i="23"/>
  <c r="CC176" i="23" s="1"/>
  <c r="BJ176" i="23"/>
  <c r="BK176" i="23" s="1"/>
  <c r="AL180" i="23"/>
  <c r="AM180" i="23"/>
  <c r="FZ180" i="23"/>
  <c r="GA180" i="23" s="1"/>
  <c r="FN180" i="23"/>
  <c r="FO180" i="23"/>
  <c r="FH180" i="23"/>
  <c r="FI180" i="23" s="1"/>
  <c r="FB180" i="23"/>
  <c r="FC180" i="23" s="1"/>
  <c r="EV180" i="23"/>
  <c r="EW180" i="23" s="1"/>
  <c r="EP180" i="23"/>
  <c r="EQ180" i="23" s="1"/>
  <c r="FT180" i="23"/>
  <c r="FU180" i="23" s="1"/>
  <c r="ED180" i="23"/>
  <c r="EE180" i="23"/>
  <c r="EJ180" i="23"/>
  <c r="EK180" i="23" s="1"/>
  <c r="DX180" i="23"/>
  <c r="DY180" i="23"/>
  <c r="DF180" i="23"/>
  <c r="DG180" i="23" s="1"/>
  <c r="DL180" i="23"/>
  <c r="DM180" i="23" s="1"/>
  <c r="DR180" i="23"/>
  <c r="DS180" i="23" s="1"/>
  <c r="CT180" i="23"/>
  <c r="CU180" i="23" s="1"/>
  <c r="CH180" i="23"/>
  <c r="CI180" i="23" s="1"/>
  <c r="CZ180" i="23"/>
  <c r="DA180" i="23"/>
  <c r="CN180" i="23"/>
  <c r="CO180" i="23" s="1"/>
  <c r="BV180" i="23"/>
  <c r="BW180" i="23"/>
  <c r="CB180" i="23"/>
  <c r="CC180" i="23" s="1"/>
  <c r="BJ180" i="23"/>
  <c r="BK180" i="23" s="1"/>
  <c r="BD180" i="23"/>
  <c r="BE180" i="23" s="1"/>
  <c r="FZ184" i="23"/>
  <c r="GA184" i="23" s="1"/>
  <c r="FN184" i="23"/>
  <c r="FO184" i="23" s="1"/>
  <c r="FT184" i="23"/>
  <c r="FU184" i="23"/>
  <c r="FB184" i="23"/>
  <c r="FC184" i="23" s="1"/>
  <c r="FH184" i="23"/>
  <c r="FI184" i="23"/>
  <c r="EV184" i="23"/>
  <c r="EW184" i="23" s="1"/>
  <c r="EJ184" i="23"/>
  <c r="EK184" i="23" s="1"/>
  <c r="DR184" i="23"/>
  <c r="DS184" i="23" s="1"/>
  <c r="EP184" i="23"/>
  <c r="EQ184" i="23" s="1"/>
  <c r="DX184" i="23"/>
  <c r="DY184" i="23" s="1"/>
  <c r="ED184" i="23"/>
  <c r="EE184" i="23"/>
  <c r="DF184" i="23"/>
  <c r="DG184" i="23" s="1"/>
  <c r="DL184" i="23"/>
  <c r="DM184" i="23"/>
  <c r="CT184" i="23"/>
  <c r="CU184" i="23" s="1"/>
  <c r="CZ184" i="23"/>
  <c r="DA184" i="23" s="1"/>
  <c r="CN184" i="23"/>
  <c r="CO184" i="23" s="1"/>
  <c r="CH184" i="23"/>
  <c r="CI184" i="23" s="1"/>
  <c r="BD184" i="23"/>
  <c r="BE184" i="23" s="1"/>
  <c r="CB184" i="23"/>
  <c r="CC184" i="23"/>
  <c r="BV184" i="23"/>
  <c r="BW184" i="23" s="1"/>
  <c r="BJ184" i="23"/>
  <c r="BK184" i="23"/>
  <c r="FZ191" i="23"/>
  <c r="GA191" i="23" s="1"/>
  <c r="FN191" i="23"/>
  <c r="FO191" i="23" s="1"/>
  <c r="FT191" i="23"/>
  <c r="FU191" i="23" s="1"/>
  <c r="FB191" i="23"/>
  <c r="FC191" i="23" s="1"/>
  <c r="FH191" i="23"/>
  <c r="FI191" i="23" s="1"/>
  <c r="EV191" i="23"/>
  <c r="EW191" i="23"/>
  <c r="EP191" i="23"/>
  <c r="EQ191" i="23" s="1"/>
  <c r="EJ191" i="23"/>
  <c r="EK191" i="23"/>
  <c r="DX191" i="23"/>
  <c r="DY191" i="23" s="1"/>
  <c r="DR191" i="23"/>
  <c r="DS191" i="23" s="1"/>
  <c r="DL191" i="23"/>
  <c r="DM191" i="23" s="1"/>
  <c r="DF191" i="23"/>
  <c r="DG191" i="23" s="1"/>
  <c r="CN191" i="23"/>
  <c r="CO191" i="23" s="1"/>
  <c r="ED191" i="23"/>
  <c r="EE191" i="23"/>
  <c r="CZ191" i="23"/>
  <c r="DA191" i="23" s="1"/>
  <c r="CH191" i="23"/>
  <c r="CI191" i="23"/>
  <c r="CT191" i="23"/>
  <c r="CU191" i="23" s="1"/>
  <c r="BD191" i="23"/>
  <c r="BE191" i="23" s="1"/>
  <c r="CB191" i="23"/>
  <c r="CC191" i="23" s="1"/>
  <c r="BV191" i="23"/>
  <c r="BW191" i="23" s="1"/>
  <c r="BJ191" i="23"/>
  <c r="BK191" i="23" s="1"/>
  <c r="FN197" i="23"/>
  <c r="FO197" i="23"/>
  <c r="FZ197" i="23"/>
  <c r="GA197" i="23" s="1"/>
  <c r="FH197" i="23"/>
  <c r="FI197" i="23"/>
  <c r="FB197" i="23"/>
  <c r="FC197" i="23" s="1"/>
  <c r="EV197" i="23"/>
  <c r="EW197" i="23" s="1"/>
  <c r="EP197" i="23"/>
  <c r="EQ197" i="23" s="1"/>
  <c r="FT197" i="23"/>
  <c r="FU197" i="23" s="1"/>
  <c r="ED197" i="23"/>
  <c r="EE197" i="23" s="1"/>
  <c r="DR197" i="23"/>
  <c r="DS197" i="23"/>
  <c r="DX197" i="23"/>
  <c r="DY197" i="23" s="1"/>
  <c r="EJ197" i="23"/>
  <c r="EK197" i="23"/>
  <c r="DF197" i="23"/>
  <c r="DG197" i="23" s="1"/>
  <c r="CT197" i="23"/>
  <c r="CU197" i="23" s="1"/>
  <c r="DL197" i="23"/>
  <c r="DM197" i="23" s="1"/>
  <c r="CZ197" i="23"/>
  <c r="DA197" i="23" s="1"/>
  <c r="CN197" i="23"/>
  <c r="CO197" i="23" s="1"/>
  <c r="CH197" i="23"/>
  <c r="CI197" i="23"/>
  <c r="CB197" i="23"/>
  <c r="CC197" i="23" s="1"/>
  <c r="BJ197" i="23"/>
  <c r="BK197" i="23"/>
  <c r="BD197" i="23"/>
  <c r="BE197" i="23" s="1"/>
  <c r="BV197" i="23"/>
  <c r="BW197" i="23" s="1"/>
  <c r="FZ201" i="23"/>
  <c r="GA201" i="23" s="1"/>
  <c r="FN201" i="23"/>
  <c r="FO201" i="23" s="1"/>
  <c r="FB201" i="23"/>
  <c r="FC201" i="23" s="1"/>
  <c r="FH201" i="23"/>
  <c r="FI201" i="23"/>
  <c r="EP201" i="23"/>
  <c r="EQ201" i="23" s="1"/>
  <c r="FT201" i="23"/>
  <c r="FU201" i="23"/>
  <c r="EV201" i="23"/>
  <c r="EW201" i="23" s="1"/>
  <c r="DR201" i="23"/>
  <c r="DS201" i="23" s="1"/>
  <c r="EJ201" i="23"/>
  <c r="EK201" i="23" s="1"/>
  <c r="ED201" i="23"/>
  <c r="EE201" i="23" s="1"/>
  <c r="DX201" i="23"/>
  <c r="DY201" i="23" s="1"/>
  <c r="CZ201" i="23"/>
  <c r="DA201" i="23"/>
  <c r="DF201" i="23"/>
  <c r="DG201" i="23" s="1"/>
  <c r="CN201" i="23"/>
  <c r="CO201" i="23"/>
  <c r="DL201" i="23"/>
  <c r="DM201" i="23" s="1"/>
  <c r="CT201" i="23"/>
  <c r="CU201" i="23" s="1"/>
  <c r="CH201" i="23"/>
  <c r="CI201" i="23" s="1"/>
  <c r="CB201" i="23"/>
  <c r="CC201" i="23" s="1"/>
  <c r="BV201" i="23"/>
  <c r="BW201" i="23" s="1"/>
  <c r="BJ201" i="23"/>
  <c r="BK201" i="23"/>
  <c r="BD201" i="23"/>
  <c r="BE201" i="23" s="1"/>
  <c r="FZ205" i="23"/>
  <c r="GA205" i="23"/>
  <c r="FN205" i="23"/>
  <c r="FO205" i="23" s="1"/>
  <c r="EV205" i="23"/>
  <c r="EW205" i="23" s="1"/>
  <c r="EP205" i="23"/>
  <c r="EQ205" i="23" s="1"/>
  <c r="FT205" i="23"/>
  <c r="FU205" i="23" s="1"/>
  <c r="FB205" i="23"/>
  <c r="FC205" i="23" s="1"/>
  <c r="ED205" i="23"/>
  <c r="EE205" i="23"/>
  <c r="FH205" i="23"/>
  <c r="FI205" i="23" s="1"/>
  <c r="EJ205" i="23"/>
  <c r="EK205" i="23"/>
  <c r="DX205" i="23"/>
  <c r="DY205" i="23" s="1"/>
  <c r="DL205" i="23"/>
  <c r="DM205" i="23" s="1"/>
  <c r="DF205" i="23"/>
  <c r="DG205" i="23" s="1"/>
  <c r="CN205" i="23"/>
  <c r="CO205" i="23" s="1"/>
  <c r="DR205" i="23"/>
  <c r="DS205" i="23" s="1"/>
  <c r="CZ205" i="23"/>
  <c r="DA205" i="23"/>
  <c r="CT205" i="23"/>
  <c r="CU205" i="23" s="1"/>
  <c r="BV205" i="23"/>
  <c r="BW205" i="23"/>
  <c r="CB205" i="23"/>
  <c r="CC205" i="23" s="1"/>
  <c r="BJ205" i="23"/>
  <c r="BK205" i="23" s="1"/>
  <c r="CH205" i="23"/>
  <c r="CI205" i="23" s="1"/>
  <c r="BD205" i="23"/>
  <c r="BE205" i="23" s="1"/>
  <c r="FZ209" i="23"/>
  <c r="GA209" i="23" s="1"/>
  <c r="FT209" i="23"/>
  <c r="FU209" i="23"/>
  <c r="FN209" i="23"/>
  <c r="FO209" i="23" s="1"/>
  <c r="FB209" i="23"/>
  <c r="FC209" i="23"/>
  <c r="FH209" i="23"/>
  <c r="FI209" i="23" s="1"/>
  <c r="EV209" i="23"/>
  <c r="EW209" i="23" s="1"/>
  <c r="EP209" i="23"/>
  <c r="EQ209" i="23" s="1"/>
  <c r="EJ209" i="23"/>
  <c r="EK209" i="23" s="1"/>
  <c r="DX209" i="23"/>
  <c r="DY209" i="23" s="1"/>
  <c r="ED209" i="23"/>
  <c r="EE209" i="23"/>
  <c r="DR209" i="23"/>
  <c r="DS209" i="23" s="1"/>
  <c r="DL209" i="23"/>
  <c r="DM209" i="23"/>
  <c r="CH209" i="23"/>
  <c r="CI209" i="23" s="1"/>
  <c r="CZ209" i="23"/>
  <c r="DA209" i="23" s="1"/>
  <c r="CT209" i="23"/>
  <c r="CU209" i="23" s="1"/>
  <c r="CN209" i="23"/>
  <c r="CO209" i="23" s="1"/>
  <c r="DF209" i="23"/>
  <c r="DG209" i="23" s="1"/>
  <c r="CB209" i="23"/>
  <c r="CC209" i="23"/>
  <c r="BJ209" i="23"/>
  <c r="BK209" i="23" s="1"/>
  <c r="BD209" i="23"/>
  <c r="BE209" i="23"/>
  <c r="BV209" i="23"/>
  <c r="BW209" i="23" s="1"/>
  <c r="FZ213" i="23"/>
  <c r="GA213" i="23" s="1"/>
  <c r="FN213" i="23"/>
  <c r="FO213" i="23" s="1"/>
  <c r="FT213" i="23"/>
  <c r="FU213" i="23" s="1"/>
  <c r="FH213" i="23"/>
  <c r="FI213" i="23" s="1"/>
  <c r="FB213" i="23"/>
  <c r="FC213" i="23"/>
  <c r="EP213" i="23"/>
  <c r="EQ213" i="23" s="1"/>
  <c r="EV213" i="23"/>
  <c r="EW213" i="23"/>
  <c r="EJ213" i="23"/>
  <c r="EK213" i="23" s="1"/>
  <c r="DX213" i="23"/>
  <c r="DY213" i="23" s="1"/>
  <c r="ED213" i="23"/>
  <c r="EE213" i="23" s="1"/>
  <c r="DL213" i="23"/>
  <c r="DM213" i="23" s="1"/>
  <c r="DF213" i="23"/>
  <c r="DG213" i="23" s="1"/>
  <c r="CN213" i="23"/>
  <c r="CO213" i="23"/>
  <c r="CH213" i="23"/>
  <c r="CI213" i="23" s="1"/>
  <c r="CZ213" i="23"/>
  <c r="DA213" i="23"/>
  <c r="DR213" i="23"/>
  <c r="DS213" i="23" s="1"/>
  <c r="CT213" i="23"/>
  <c r="CU213" i="23" s="1"/>
  <c r="CB213" i="23"/>
  <c r="CC213" i="23" s="1"/>
  <c r="BJ213" i="23"/>
  <c r="BK213" i="23" s="1"/>
  <c r="BD213" i="23"/>
  <c r="BE213" i="23" s="1"/>
  <c r="BV213" i="23"/>
  <c r="BW213" i="23"/>
  <c r="AL220" i="23"/>
  <c r="AM220" i="23" s="1"/>
  <c r="FZ220" i="23"/>
  <c r="GA220" i="23"/>
  <c r="FT220" i="23"/>
  <c r="FU220" i="23" s="1"/>
  <c r="FB220" i="23"/>
  <c r="FC220" i="23" s="1"/>
  <c r="FN220" i="23"/>
  <c r="FO220" i="23" s="1"/>
  <c r="EV220" i="23"/>
  <c r="EW220" i="23" s="1"/>
  <c r="EJ220" i="23"/>
  <c r="EK220" i="23" s="1"/>
  <c r="EP220" i="23"/>
  <c r="EQ220" i="23"/>
  <c r="ED220" i="23"/>
  <c r="EE220" i="23" s="1"/>
  <c r="FH220" i="23"/>
  <c r="FI220" i="23"/>
  <c r="DX220" i="23"/>
  <c r="DY220" i="23" s="1"/>
  <c r="DR220" i="23"/>
  <c r="DS220" i="23" s="1"/>
  <c r="DL220" i="23"/>
  <c r="DM220" i="23" s="1"/>
  <c r="DF220" i="23"/>
  <c r="DG220" i="23" s="1"/>
  <c r="CN220" i="23"/>
  <c r="CO220" i="23" s="1"/>
  <c r="CT220" i="23"/>
  <c r="CU220" i="23"/>
  <c r="CZ220" i="23"/>
  <c r="DA220" i="23" s="1"/>
  <c r="CH220" i="23"/>
  <c r="CI220" i="23"/>
  <c r="CB220" i="23"/>
  <c r="CC220" i="23" s="1"/>
  <c r="BV220" i="23"/>
  <c r="BW220" i="23" s="1"/>
  <c r="BJ220" i="23"/>
  <c r="BK220" i="23" s="1"/>
  <c r="BD220" i="23"/>
  <c r="BE220" i="23" s="1"/>
  <c r="FZ224" i="23"/>
  <c r="GA224" i="23" s="1"/>
  <c r="FT224" i="23"/>
  <c r="FU224" i="23"/>
  <c r="FN224" i="23"/>
  <c r="FO224" i="23" s="1"/>
  <c r="FH224" i="23"/>
  <c r="FI224" i="23"/>
  <c r="FB224" i="23"/>
  <c r="FC224" i="23" s="1"/>
  <c r="EP224" i="23"/>
  <c r="EQ224" i="23" s="1"/>
  <c r="DX224" i="23"/>
  <c r="DY224" i="23" s="1"/>
  <c r="ED224" i="23"/>
  <c r="EE224" i="23" s="1"/>
  <c r="EV224" i="23"/>
  <c r="EW224" i="23" s="1"/>
  <c r="DR224" i="23"/>
  <c r="DS224" i="23"/>
  <c r="EJ224" i="23"/>
  <c r="EK224" i="23" s="1"/>
  <c r="DL224" i="23"/>
  <c r="DM224" i="23"/>
  <c r="DF224" i="23"/>
  <c r="DG224" i="23" s="1"/>
  <c r="CZ224" i="23"/>
  <c r="DA224" i="23" s="1"/>
  <c r="CT224" i="23"/>
  <c r="CU224" i="23" s="1"/>
  <c r="CN224" i="23"/>
  <c r="CO224" i="23" s="1"/>
  <c r="CH224" i="23"/>
  <c r="CI224" i="23" s="1"/>
  <c r="BV224" i="23"/>
  <c r="BW224" i="23"/>
  <c r="BJ224" i="23"/>
  <c r="BK224" i="23" s="1"/>
  <c r="CB224" i="23"/>
  <c r="CC224" i="23"/>
  <c r="BD224" i="23"/>
  <c r="BE224" i="23" s="1"/>
  <c r="FZ230" i="23"/>
  <c r="GA230" i="23" s="1"/>
  <c r="FN230" i="23"/>
  <c r="FO230" i="23" s="1"/>
  <c r="FT230" i="23"/>
  <c r="FU230" i="23" s="1"/>
  <c r="FB230" i="23"/>
  <c r="FC230" i="23" s="1"/>
  <c r="EV230" i="23"/>
  <c r="EW230" i="23"/>
  <c r="FH230" i="23"/>
  <c r="FI230" i="23" s="1"/>
  <c r="EJ230" i="23"/>
  <c r="EK230" i="23"/>
  <c r="DX230" i="23"/>
  <c r="DY230" i="23" s="1"/>
  <c r="EP230" i="23"/>
  <c r="EQ230" i="23" s="1"/>
  <c r="ED230" i="23"/>
  <c r="EE230" i="23" s="1"/>
  <c r="DF230" i="23"/>
  <c r="DG230" i="23" s="1"/>
  <c r="DL230" i="23"/>
  <c r="DM230" i="23" s="1"/>
  <c r="DR230" i="23"/>
  <c r="DS230" i="23"/>
  <c r="CH230" i="23"/>
  <c r="CI230" i="23" s="1"/>
  <c r="CT230" i="23"/>
  <c r="CU230" i="23"/>
  <c r="CN230" i="23"/>
  <c r="CO230" i="23" s="1"/>
  <c r="CZ230" i="23"/>
  <c r="DA230" i="23" s="1"/>
  <c r="BJ230" i="23"/>
  <c r="BK230" i="23" s="1"/>
  <c r="BD230" i="23"/>
  <c r="BE230" i="23" s="1"/>
  <c r="CB230" i="23"/>
  <c r="CC230" i="23" s="1"/>
  <c r="BV230" i="23"/>
  <c r="BW230" i="23"/>
  <c r="FZ234" i="23"/>
  <c r="GA234" i="23" s="1"/>
  <c r="FN234" i="23"/>
  <c r="FO234" i="23"/>
  <c r="FT234" i="23"/>
  <c r="FU234" i="23" s="1"/>
  <c r="FH234" i="23"/>
  <c r="FI234" i="23" s="1"/>
  <c r="FB234" i="23"/>
  <c r="FC234" i="23" s="1"/>
  <c r="EP234" i="23"/>
  <c r="EQ234" i="23" s="1"/>
  <c r="EV234" i="23"/>
  <c r="EW234" i="23" s="1"/>
  <c r="ED234" i="23"/>
  <c r="EE234" i="23"/>
  <c r="EJ234" i="23"/>
  <c r="EK234" i="23" s="1"/>
  <c r="DL234" i="23"/>
  <c r="DM234" i="23"/>
  <c r="DF234" i="23"/>
  <c r="DG234" i="23" s="1"/>
  <c r="DX234" i="23"/>
  <c r="DY234" i="23" s="1"/>
  <c r="CZ234" i="23"/>
  <c r="DA234" i="23" s="1"/>
  <c r="CT234" i="23"/>
  <c r="CU234" i="23" s="1"/>
  <c r="CH234" i="23"/>
  <c r="CI234" i="23" s="1"/>
  <c r="CN234" i="23"/>
  <c r="CO234" i="23"/>
  <c r="DR234" i="23"/>
  <c r="DS234" i="23" s="1"/>
  <c r="BD234" i="23"/>
  <c r="BE234" i="23"/>
  <c r="BV234" i="23"/>
  <c r="BW234" i="23" s="1"/>
  <c r="CB234" i="23"/>
  <c r="CC234" i="23" s="1"/>
  <c r="BJ234" i="23"/>
  <c r="BK234" i="23" s="1"/>
  <c r="FZ238" i="23"/>
  <c r="GA238" i="23" s="1"/>
  <c r="FN238" i="23"/>
  <c r="FO238" i="23" s="1"/>
  <c r="FT238" i="23"/>
  <c r="FU238" i="23"/>
  <c r="FH238" i="23"/>
  <c r="FI238" i="23" s="1"/>
  <c r="EP238" i="23"/>
  <c r="EQ238" i="23"/>
  <c r="EV238" i="23"/>
  <c r="EW238" i="23" s="1"/>
  <c r="FB238" i="23"/>
  <c r="FC238" i="23" s="1"/>
  <c r="EJ238" i="23"/>
  <c r="EK238" i="23" s="1"/>
  <c r="ED238" i="23"/>
  <c r="EE238" i="23" s="1"/>
  <c r="DX238" i="23"/>
  <c r="DY238" i="23" s="1"/>
  <c r="DL238" i="23"/>
  <c r="DM238" i="23"/>
  <c r="DR238" i="23"/>
  <c r="DS238" i="23" s="1"/>
  <c r="DF238" i="23"/>
  <c r="DG238" i="23"/>
  <c r="CT238" i="23"/>
  <c r="CU238" i="23" s="1"/>
  <c r="CZ238" i="23"/>
  <c r="DA238" i="23" s="1"/>
  <c r="CN238" i="23"/>
  <c r="CO238" i="23" s="1"/>
  <c r="CH238" i="23"/>
  <c r="CI238" i="23" s="1"/>
  <c r="BD238" i="23"/>
  <c r="BE238" i="23" s="1"/>
  <c r="CB238" i="23"/>
  <c r="CC238" i="23"/>
  <c r="BV238" i="23"/>
  <c r="BW238" i="23" s="1"/>
  <c r="BJ238" i="23"/>
  <c r="BK238" i="23"/>
  <c r="FZ242" i="23"/>
  <c r="GA242" i="23" s="1"/>
  <c r="FN242" i="23"/>
  <c r="FO242" i="23" s="1"/>
  <c r="FB242" i="23"/>
  <c r="FC242" i="23" s="1"/>
  <c r="EV242" i="23"/>
  <c r="EW242" i="23" s="1"/>
  <c r="FH242" i="23"/>
  <c r="FI242" i="23" s="1"/>
  <c r="FT242" i="23"/>
  <c r="FU242" i="23"/>
  <c r="EJ242" i="23"/>
  <c r="EK242" i="23" s="1"/>
  <c r="DR242" i="23"/>
  <c r="DS242" i="23"/>
  <c r="EP242" i="23"/>
  <c r="EQ242" i="23" s="1"/>
  <c r="ED242" i="23"/>
  <c r="EE242" i="23" s="1"/>
  <c r="DF242" i="23"/>
  <c r="DG242" i="23" s="1"/>
  <c r="DL242" i="23"/>
  <c r="DM242" i="23" s="1"/>
  <c r="DX242" i="23"/>
  <c r="DY242" i="23" s="1"/>
  <c r="CZ242" i="23"/>
  <c r="DA242" i="23"/>
  <c r="CT242" i="23"/>
  <c r="CU242" i="23" s="1"/>
  <c r="CH242" i="23"/>
  <c r="CI242" i="23"/>
  <c r="CN242" i="23"/>
  <c r="CO242" i="23" s="1"/>
  <c r="BJ242" i="23"/>
  <c r="BK242" i="23" s="1"/>
  <c r="BD242" i="23"/>
  <c r="BE242" i="23" s="1"/>
  <c r="BV242" i="23"/>
  <c r="BW242" i="23" s="1"/>
  <c r="CB242" i="23"/>
  <c r="CC242" i="23" s="1"/>
  <c r="FZ249" i="23"/>
  <c r="GA249" i="23"/>
  <c r="FN249" i="23"/>
  <c r="FO249" i="23" s="1"/>
  <c r="FT249" i="23"/>
  <c r="FU249" i="23"/>
  <c r="FH249" i="23"/>
  <c r="FI249" i="23" s="1"/>
  <c r="FB249" i="23"/>
  <c r="FC249" i="23" s="1"/>
  <c r="EV249" i="23"/>
  <c r="EW249" i="23" s="1"/>
  <c r="EP249" i="23"/>
  <c r="EQ249" i="23" s="1"/>
  <c r="ED249" i="23"/>
  <c r="EE249" i="23" s="1"/>
  <c r="DR249" i="23"/>
  <c r="DS249" i="23"/>
  <c r="DX249" i="23"/>
  <c r="DY249" i="23" s="1"/>
  <c r="EJ249" i="23"/>
  <c r="EK249" i="23"/>
  <c r="DF249" i="23"/>
  <c r="DG249" i="23" s="1"/>
  <c r="CZ249" i="23"/>
  <c r="DA249" i="23" s="1"/>
  <c r="CN249" i="23"/>
  <c r="CO249" i="23" s="1"/>
  <c r="CT249" i="23"/>
  <c r="CU249" i="23" s="1"/>
  <c r="DL249" i="23"/>
  <c r="DM249" i="23" s="1"/>
  <c r="CH249" i="23"/>
  <c r="CI249" i="23"/>
  <c r="BV249" i="23"/>
  <c r="BW249" i="23" s="1"/>
  <c r="BJ249" i="23"/>
  <c r="BK249" i="23"/>
  <c r="CB249" i="23"/>
  <c r="CC249" i="23" s="1"/>
  <c r="BD249" i="23"/>
  <c r="BE249" i="23" s="1"/>
  <c r="AL253" i="23"/>
  <c r="AM253" i="23" s="1"/>
  <c r="FZ253" i="23"/>
  <c r="GA253" i="23" s="1"/>
  <c r="FN253" i="23"/>
  <c r="FO253" i="23" s="1"/>
  <c r="FT253" i="23"/>
  <c r="FU253" i="23"/>
  <c r="FH253" i="23"/>
  <c r="FI253" i="23" s="1"/>
  <c r="FB253" i="23"/>
  <c r="FC253" i="23"/>
  <c r="EV253" i="23"/>
  <c r="EW253" i="23" s="1"/>
  <c r="EJ253" i="23"/>
  <c r="EK253" i="23" s="1"/>
  <c r="DR253" i="23"/>
  <c r="DS253" i="23" s="1"/>
  <c r="DX253" i="23"/>
  <c r="DY253" i="23" s="1"/>
  <c r="EP253" i="23"/>
  <c r="EQ253" i="23" s="1"/>
  <c r="DL253" i="23"/>
  <c r="DM253" i="23"/>
  <c r="DF253" i="23"/>
  <c r="DG253" i="23" s="1"/>
  <c r="CZ253" i="23"/>
  <c r="DA253" i="23"/>
  <c r="CN253" i="23"/>
  <c r="CO253" i="23" s="1"/>
  <c r="CH253" i="23"/>
  <c r="CI253" i="23" s="1"/>
  <c r="ED253" i="23"/>
  <c r="EE253" i="23" s="1"/>
  <c r="CT253" i="23"/>
  <c r="CU253" i="23" s="1"/>
  <c r="BV253" i="23"/>
  <c r="BW253" i="23" s="1"/>
  <c r="BJ253" i="23"/>
  <c r="BK253" i="23"/>
  <c r="CB253" i="23"/>
  <c r="CC253" i="23" s="1"/>
  <c r="BD253" i="23"/>
  <c r="BE253" i="23"/>
  <c r="FZ259" i="23"/>
  <c r="GA259" i="23" s="1"/>
  <c r="FN259" i="23"/>
  <c r="FO259" i="23" s="1"/>
  <c r="FT259" i="23"/>
  <c r="FU259" i="23" s="1"/>
  <c r="EV259" i="23"/>
  <c r="EW259" i="23" s="1"/>
  <c r="FB259" i="23"/>
  <c r="FC259" i="23" s="1"/>
  <c r="FH259" i="23"/>
  <c r="FI259" i="23"/>
  <c r="EJ259" i="23"/>
  <c r="EK259" i="23" s="1"/>
  <c r="DR259" i="23"/>
  <c r="DS259" i="23"/>
  <c r="EP259" i="23"/>
  <c r="EQ259" i="23" s="1"/>
  <c r="ED259" i="23"/>
  <c r="EE259" i="23" s="1"/>
  <c r="DX259" i="23"/>
  <c r="DY259" i="23" s="1"/>
  <c r="DL259" i="23"/>
  <c r="DM259" i="23" s="1"/>
  <c r="DF259" i="23"/>
  <c r="DG259" i="23" s="1"/>
  <c r="CZ259" i="23"/>
  <c r="DA259" i="23"/>
  <c r="CH259" i="23"/>
  <c r="CI259" i="23" s="1"/>
  <c r="CT259" i="23"/>
  <c r="CU259" i="23"/>
  <c r="CN259" i="23"/>
  <c r="CO259" i="23" s="1"/>
  <c r="BJ259" i="23"/>
  <c r="BK259" i="23" s="1"/>
  <c r="BD259" i="23"/>
  <c r="BE259" i="23" s="1"/>
  <c r="BV259" i="23"/>
  <c r="BW259" i="23" s="1"/>
  <c r="CB259" i="23"/>
  <c r="CC259" i="23" s="1"/>
  <c r="FZ263" i="23"/>
  <c r="GA263" i="23"/>
  <c r="FN263" i="23"/>
  <c r="FO263" i="23" s="1"/>
  <c r="FT263" i="23"/>
  <c r="FU263" i="23"/>
  <c r="FB263" i="23"/>
  <c r="FC263" i="23" s="1"/>
  <c r="EV263" i="23"/>
  <c r="EW263" i="23" s="1"/>
  <c r="EJ263" i="23"/>
  <c r="EK263" i="23" s="1"/>
  <c r="EP263" i="23"/>
  <c r="EQ263" i="23" s="1"/>
  <c r="ED263" i="23"/>
  <c r="EE263" i="23" s="1"/>
  <c r="DX263" i="23"/>
  <c r="DY263" i="23"/>
  <c r="FH263" i="23"/>
  <c r="FI263" i="23" s="1"/>
  <c r="DR263" i="23"/>
  <c r="DS263" i="23"/>
  <c r="DL263" i="23"/>
  <c r="DM263" i="23" s="1"/>
  <c r="DF263" i="23"/>
  <c r="DG263" i="23" s="1"/>
  <c r="CT263" i="23"/>
  <c r="CU263" i="23" s="1"/>
  <c r="CZ263" i="23"/>
  <c r="DA263" i="23" s="1"/>
  <c r="CN263" i="23"/>
  <c r="CO263" i="23" s="1"/>
  <c r="CH263" i="23"/>
  <c r="CI263" i="23"/>
  <c r="CB263" i="23"/>
  <c r="CC263" i="23" s="1"/>
  <c r="BD263" i="23"/>
  <c r="BE263" i="23"/>
  <c r="BV263" i="23"/>
  <c r="BW263" i="23" s="1"/>
  <c r="BJ263" i="23"/>
  <c r="BK263" i="23" s="1"/>
  <c r="FZ267" i="23"/>
  <c r="GA267" i="23" s="1"/>
  <c r="FN267" i="23"/>
  <c r="FO267" i="23" s="1"/>
  <c r="FT267" i="23"/>
  <c r="FU267" i="23" s="1"/>
  <c r="FB267" i="23"/>
  <c r="FC267" i="23"/>
  <c r="FH267" i="23"/>
  <c r="FI267" i="23" s="1"/>
  <c r="EV267" i="23"/>
  <c r="EW267" i="23"/>
  <c r="EP267" i="23"/>
  <c r="EQ267" i="23" s="1"/>
  <c r="DR267" i="23"/>
  <c r="DS267" i="23" s="1"/>
  <c r="DX267" i="23"/>
  <c r="DY267" i="23" s="1"/>
  <c r="EJ267" i="23"/>
  <c r="EK267" i="23" s="1"/>
  <c r="ED267" i="23"/>
  <c r="EE267" i="23" s="1"/>
  <c r="DL267" i="23"/>
  <c r="DM267" i="23"/>
  <c r="DF267" i="23"/>
  <c r="DG267" i="23" s="1"/>
  <c r="CZ267" i="23"/>
  <c r="DA267" i="23"/>
  <c r="CT267" i="23"/>
  <c r="CU267" i="23" s="1"/>
  <c r="CN267" i="23"/>
  <c r="CO267" i="23" s="1"/>
  <c r="CH267" i="23"/>
  <c r="CI267" i="23" s="1"/>
  <c r="BD267" i="23"/>
  <c r="BE267" i="23" s="1"/>
  <c r="CB267" i="23"/>
  <c r="CC267" i="23" s="1"/>
  <c r="BV267" i="23"/>
  <c r="BW267" i="23"/>
  <c r="BJ267" i="23"/>
  <c r="BK267" i="23" s="1"/>
  <c r="FZ271" i="23"/>
  <c r="GA271" i="23"/>
  <c r="FN271" i="23"/>
  <c r="FO271" i="23" s="1"/>
  <c r="FB271" i="23"/>
  <c r="FC271" i="23" s="1"/>
  <c r="FH271" i="23"/>
  <c r="FI271" i="23" s="1"/>
  <c r="FT271" i="23"/>
  <c r="FU271" i="23" s="1"/>
  <c r="EV271" i="23"/>
  <c r="EW271" i="23" s="1"/>
  <c r="EP271" i="23"/>
  <c r="EQ271" i="23"/>
  <c r="DX271" i="23"/>
  <c r="DY271" i="23" s="1"/>
  <c r="DR271" i="23"/>
  <c r="DS271" i="23"/>
  <c r="EJ271" i="23"/>
  <c r="EK271" i="23" s="1"/>
  <c r="ED271" i="23"/>
  <c r="EE271" i="23" s="1"/>
  <c r="DL271" i="23"/>
  <c r="DM271" i="23" s="1"/>
  <c r="DF271" i="23"/>
  <c r="DG271" i="23" s="1"/>
  <c r="CZ271" i="23"/>
  <c r="DA271" i="23" s="1"/>
  <c r="CT271" i="23"/>
  <c r="CU271" i="23"/>
  <c r="CH271" i="23"/>
  <c r="CI271" i="23" s="1"/>
  <c r="CN271" i="23"/>
  <c r="CO271" i="23"/>
  <c r="BD271" i="23"/>
  <c r="BE271" i="23" s="1"/>
  <c r="BV271" i="23"/>
  <c r="BW271" i="23" s="1"/>
  <c r="CB271" i="23"/>
  <c r="CC271" i="23" s="1"/>
  <c r="BJ271" i="23"/>
  <c r="BK271" i="23" s="1"/>
  <c r="FZ278" i="23"/>
  <c r="GA278" i="23" s="1"/>
  <c r="FN278" i="23"/>
  <c r="FO278" i="23"/>
  <c r="FT278" i="23"/>
  <c r="FU278" i="23" s="1"/>
  <c r="FH278" i="23"/>
  <c r="FI278" i="23"/>
  <c r="FB278" i="23"/>
  <c r="FC278" i="23" s="1"/>
  <c r="EV278" i="23"/>
  <c r="EW278" i="23" s="1"/>
  <c r="EJ278" i="23"/>
  <c r="EK278" i="23" s="1"/>
  <c r="EP278" i="23"/>
  <c r="EQ278" i="23" s="1"/>
  <c r="ED278" i="23"/>
  <c r="EE278" i="23" s="1"/>
  <c r="DL278" i="23"/>
  <c r="DM278" i="23"/>
  <c r="DR278" i="23"/>
  <c r="DS278" i="23" s="1"/>
  <c r="DX278" i="23"/>
  <c r="DY278" i="23"/>
  <c r="DF278" i="23"/>
  <c r="DG278" i="23" s="1"/>
  <c r="CZ278" i="23"/>
  <c r="DA278" i="23" s="1"/>
  <c r="CN278" i="23"/>
  <c r="CO278" i="23" s="1"/>
  <c r="CT278" i="23"/>
  <c r="CU278" i="23" s="1"/>
  <c r="CH278" i="23"/>
  <c r="CI278" i="23" s="1"/>
  <c r="BJ278" i="23"/>
  <c r="BK278" i="23"/>
  <c r="CB278" i="23"/>
  <c r="CC278" i="23" s="1"/>
  <c r="BD278" i="23"/>
  <c r="BE278" i="23"/>
  <c r="BV278" i="23"/>
  <c r="BW278" i="23" s="1"/>
  <c r="FZ282" i="23"/>
  <c r="GA282" i="23" s="1"/>
  <c r="FN282" i="23"/>
  <c r="FO282" i="23" s="1"/>
  <c r="FT282" i="23"/>
  <c r="FU282" i="23" s="1"/>
  <c r="FH282" i="23"/>
  <c r="FI282" i="23" s="1"/>
  <c r="FB282" i="23"/>
  <c r="FC282" i="23"/>
  <c r="EV282" i="23"/>
  <c r="EW282" i="23" s="1"/>
  <c r="ED282" i="23"/>
  <c r="EE282" i="23"/>
  <c r="DX282" i="23"/>
  <c r="DY282" i="23" s="1"/>
  <c r="DR282" i="23"/>
  <c r="DS282" i="23" s="1"/>
  <c r="EP282" i="23"/>
  <c r="EQ282" i="23" s="1"/>
  <c r="EJ282" i="23"/>
  <c r="EK282" i="23" s="1"/>
  <c r="DF282" i="23"/>
  <c r="DG282" i="23" s="1"/>
  <c r="DL282" i="23"/>
  <c r="DM282" i="23"/>
  <c r="CH282" i="23"/>
  <c r="CI282" i="23" s="1"/>
  <c r="CZ282" i="23"/>
  <c r="DA282" i="23"/>
  <c r="CT282" i="23"/>
  <c r="CU282" i="23" s="1"/>
  <c r="CN282" i="23"/>
  <c r="CO282" i="23" s="1"/>
  <c r="CB282" i="23"/>
  <c r="CC282" i="23" s="1"/>
  <c r="BV282" i="23"/>
  <c r="BW282" i="23" s="1"/>
  <c r="BJ282" i="23"/>
  <c r="BK282" i="23" s="1"/>
  <c r="BD282" i="23"/>
  <c r="BE282" i="23"/>
  <c r="FZ288" i="23"/>
  <c r="GA288" i="23" s="1"/>
  <c r="FN288" i="23"/>
  <c r="FO288" i="23"/>
  <c r="FT288" i="23"/>
  <c r="FU288" i="23" s="1"/>
  <c r="FB288" i="23"/>
  <c r="FC288" i="23" s="1"/>
  <c r="EV288" i="23"/>
  <c r="EW288" i="23" s="1"/>
  <c r="EJ288" i="23"/>
  <c r="EK288" i="23" s="1"/>
  <c r="EP288" i="23"/>
  <c r="EQ288" i="23" s="1"/>
  <c r="DX288" i="23"/>
  <c r="DY288" i="23"/>
  <c r="FH288" i="23"/>
  <c r="FI288" i="23" s="1"/>
  <c r="DR288" i="23"/>
  <c r="DS288" i="23"/>
  <c r="ED288" i="23"/>
  <c r="EE288" i="23" s="1"/>
  <c r="DL288" i="23"/>
  <c r="DM288" i="23" s="1"/>
  <c r="CZ288" i="23"/>
  <c r="DA288" i="23" s="1"/>
  <c r="DF288" i="23"/>
  <c r="DG288" i="23" s="1"/>
  <c r="CT288" i="23"/>
  <c r="CU288" i="23" s="1"/>
  <c r="CN288" i="23"/>
  <c r="CO288" i="23"/>
  <c r="CH288" i="23"/>
  <c r="CI288" i="23" s="1"/>
  <c r="CB288" i="23"/>
  <c r="CC288" i="23"/>
  <c r="BD288" i="23"/>
  <c r="BE288" i="23" s="1"/>
  <c r="BV288" i="23"/>
  <c r="BW288" i="23" s="1"/>
  <c r="BJ288" i="23"/>
  <c r="BK288" i="23" s="1"/>
  <c r="AL292" i="23"/>
  <c r="AM292" i="23" s="1"/>
  <c r="FZ292" i="23"/>
  <c r="GA292" i="23" s="1"/>
  <c r="FN292" i="23"/>
  <c r="FO292" i="23"/>
  <c r="FB292" i="23"/>
  <c r="FC292" i="23" s="1"/>
  <c r="FH292" i="23"/>
  <c r="FI292" i="23"/>
  <c r="FT292" i="23"/>
  <c r="FU292" i="23" s="1"/>
  <c r="EV292" i="23"/>
  <c r="EW292" i="23" s="1"/>
  <c r="EP292" i="23"/>
  <c r="EQ292" i="23" s="1"/>
  <c r="EJ292" i="23"/>
  <c r="EK292" i="23" s="1"/>
  <c r="DX292" i="23"/>
  <c r="DY292" i="23" s="1"/>
  <c r="DR292" i="23"/>
  <c r="DS292" i="23"/>
  <c r="ED292" i="23"/>
  <c r="EE292" i="23" s="1"/>
  <c r="CZ292" i="23"/>
  <c r="DA292" i="23"/>
  <c r="DL292" i="23"/>
  <c r="DM292" i="23" s="1"/>
  <c r="CH292" i="23"/>
  <c r="CI292" i="23" s="1"/>
  <c r="CT292" i="23"/>
  <c r="CU292" i="23" s="1"/>
  <c r="CN292" i="23"/>
  <c r="CO292" i="23" s="1"/>
  <c r="DF292" i="23"/>
  <c r="DG292" i="23" s="1"/>
  <c r="BV292" i="23"/>
  <c r="BW292" i="23"/>
  <c r="CB292" i="23"/>
  <c r="CC292" i="23" s="1"/>
  <c r="BJ292" i="23"/>
  <c r="BK292" i="23"/>
  <c r="BD292" i="23"/>
  <c r="BE292" i="23" s="1"/>
  <c r="AL296" i="23"/>
  <c r="AM296" i="23" s="1"/>
  <c r="FZ296" i="23"/>
  <c r="GA296" i="23" s="1"/>
  <c r="FN296" i="23"/>
  <c r="FO296" i="23" s="1"/>
  <c r="FT296" i="23"/>
  <c r="FU296" i="23" s="1"/>
  <c r="FH296" i="23"/>
  <c r="FI296" i="23"/>
  <c r="EV296" i="23"/>
  <c r="EW296" i="23" s="1"/>
  <c r="EJ296" i="23"/>
  <c r="EK296" i="23"/>
  <c r="FB296" i="23"/>
  <c r="FC296" i="23" s="1"/>
  <c r="ED296" i="23"/>
  <c r="EE296" i="23"/>
  <c r="EP296" i="23"/>
  <c r="EQ296" i="23" s="1"/>
  <c r="DX296" i="23"/>
  <c r="DY296" i="23"/>
  <c r="DL296" i="23"/>
  <c r="DM296" i="23" s="1"/>
  <c r="DF296" i="23"/>
  <c r="DG296" i="23"/>
  <c r="DR296" i="23"/>
  <c r="DS296" i="23" s="1"/>
  <c r="CZ296" i="23"/>
  <c r="DA296" i="23"/>
  <c r="CT296" i="23"/>
  <c r="CU296" i="23" s="1"/>
  <c r="CN296" i="23"/>
  <c r="CO296" i="23"/>
  <c r="CH296" i="23"/>
  <c r="CI296" i="23" s="1"/>
  <c r="CB296" i="23"/>
  <c r="CC296" i="23"/>
  <c r="BJ296" i="23"/>
  <c r="BK296" i="23" s="1"/>
  <c r="BD296" i="23"/>
  <c r="BE296" i="23"/>
  <c r="BV296" i="23"/>
  <c r="BW296" i="23" s="1"/>
  <c r="AL300" i="23"/>
  <c r="AM300" i="23"/>
  <c r="FZ300" i="23"/>
  <c r="GA300" i="23" s="1"/>
  <c r="FT300" i="23"/>
  <c r="FU300" i="23"/>
  <c r="FN300" i="23"/>
  <c r="FO300" i="23" s="1"/>
  <c r="FH300" i="23"/>
  <c r="FI300" i="23"/>
  <c r="EV300" i="23"/>
  <c r="EW300" i="23" s="1"/>
  <c r="FB300" i="23"/>
  <c r="FC300" i="23"/>
  <c r="EJ300" i="23"/>
  <c r="EK300" i="23" s="1"/>
  <c r="ED300" i="23"/>
  <c r="EE300" i="23"/>
  <c r="EP300" i="23"/>
  <c r="EQ300" i="23" s="1"/>
  <c r="DX300" i="23"/>
  <c r="DY300" i="23"/>
  <c r="DR300" i="23"/>
  <c r="DS300" i="23" s="1"/>
  <c r="DF300" i="23"/>
  <c r="DG300" i="23"/>
  <c r="DL300" i="23"/>
  <c r="DM300" i="23" s="1"/>
  <c r="CZ300" i="23"/>
  <c r="DA300" i="23"/>
  <c r="CT300" i="23"/>
  <c r="CU300" i="23" s="1"/>
  <c r="CN300" i="23"/>
  <c r="CO300" i="23"/>
  <c r="CH300" i="23"/>
  <c r="CI300" i="23" s="1"/>
  <c r="BD300" i="23"/>
  <c r="BE300" i="23"/>
  <c r="CB300" i="23"/>
  <c r="CC300" i="23" s="1"/>
  <c r="BV300" i="23"/>
  <c r="BW300" i="23"/>
  <c r="BJ300" i="23"/>
  <c r="BK300" i="23" s="1"/>
  <c r="AL304" i="23"/>
  <c r="AM304" i="23"/>
  <c r="FZ304" i="23"/>
  <c r="GA304" i="23" s="1"/>
  <c r="FT304" i="23"/>
  <c r="FU304" i="23"/>
  <c r="FB304" i="23"/>
  <c r="FC304" i="23" s="1"/>
  <c r="FH304" i="23"/>
  <c r="FI304" i="23"/>
  <c r="EJ304" i="23"/>
  <c r="EK304" i="23" s="1"/>
  <c r="EV304" i="23"/>
  <c r="EW304" i="23"/>
  <c r="ED304" i="23"/>
  <c r="EE304" i="23" s="1"/>
  <c r="EP304" i="23"/>
  <c r="EQ304" i="23"/>
  <c r="FN304" i="23"/>
  <c r="FO304" i="23" s="1"/>
  <c r="DR304" i="23"/>
  <c r="DS304" i="23"/>
  <c r="DL304" i="23"/>
  <c r="DM304" i="23" s="1"/>
  <c r="DX304" i="23"/>
  <c r="DY304" i="23"/>
  <c r="CZ304" i="23"/>
  <c r="DA304" i="23" s="1"/>
  <c r="DF304" i="23"/>
  <c r="DG304" i="23"/>
  <c r="CT304" i="23"/>
  <c r="CU304" i="23" s="1"/>
  <c r="CN304" i="23"/>
  <c r="CO304" i="23"/>
  <c r="CH304" i="23"/>
  <c r="CI304" i="23" s="1"/>
  <c r="CB304" i="23"/>
  <c r="CC304" i="23"/>
  <c r="BJ304" i="23"/>
  <c r="BK304" i="23" s="1"/>
  <c r="BV304" i="23"/>
  <c r="BW304" i="23"/>
  <c r="BD304" i="23"/>
  <c r="BE304" i="23" s="1"/>
  <c r="AL311" i="23"/>
  <c r="AM311" i="23"/>
  <c r="FZ311" i="23"/>
  <c r="GA311" i="23" s="1"/>
  <c r="FN311" i="23"/>
  <c r="FO311" i="23"/>
  <c r="FT311" i="23"/>
  <c r="FU311" i="23" s="1"/>
  <c r="FB311" i="23"/>
  <c r="FC311" i="23"/>
  <c r="FH311" i="23"/>
  <c r="FI311" i="23" s="1"/>
  <c r="EV311" i="23"/>
  <c r="EW311" i="23"/>
  <c r="EP311" i="23"/>
  <c r="EQ311" i="23" s="1"/>
  <c r="EJ311" i="23"/>
  <c r="EK311" i="23"/>
  <c r="ED311" i="23"/>
  <c r="EE311" i="23" s="1"/>
  <c r="DX311" i="23"/>
  <c r="DY311" i="23"/>
  <c r="DR311" i="23"/>
  <c r="DS311" i="23" s="1"/>
  <c r="DL311" i="23"/>
  <c r="DM311" i="23"/>
  <c r="CN311" i="23"/>
  <c r="CO311" i="23" s="1"/>
  <c r="CZ311" i="23"/>
  <c r="DA311" i="23"/>
  <c r="CT311" i="23"/>
  <c r="CU311" i="23" s="1"/>
  <c r="CH311" i="23"/>
  <c r="CI311" i="23"/>
  <c r="DF311" i="23"/>
  <c r="DG311" i="23" s="1"/>
  <c r="CB311" i="23"/>
  <c r="CC311" i="23"/>
  <c r="BD311" i="23"/>
  <c r="BE311" i="23" s="1"/>
  <c r="BV311" i="23"/>
  <c r="BW311" i="23"/>
  <c r="BJ311" i="23"/>
  <c r="BK311" i="23" s="1"/>
  <c r="AL317" i="23"/>
  <c r="AM317" i="23"/>
  <c r="FZ317" i="23"/>
  <c r="GA317" i="23" s="1"/>
  <c r="FN317" i="23"/>
  <c r="FO317" i="23"/>
  <c r="FT317" i="23"/>
  <c r="FU317" i="23" s="1"/>
  <c r="FB317" i="23"/>
  <c r="FC317" i="23"/>
  <c r="EV317" i="23"/>
  <c r="EW317" i="23" s="1"/>
  <c r="FH317" i="23"/>
  <c r="FI317" i="23"/>
  <c r="EJ317" i="23"/>
  <c r="EK317" i="23" s="1"/>
  <c r="ED317" i="23"/>
  <c r="EE317" i="23"/>
  <c r="DX317" i="23"/>
  <c r="DY317" i="23" s="1"/>
  <c r="DR317" i="23"/>
  <c r="DS317" i="23"/>
  <c r="EP317" i="23"/>
  <c r="EQ317" i="23" s="1"/>
  <c r="CZ317" i="23"/>
  <c r="DA317" i="23"/>
  <c r="DL317" i="23"/>
  <c r="DM317" i="23" s="1"/>
  <c r="DF317" i="23"/>
  <c r="DG317" i="23"/>
  <c r="CN317" i="23"/>
  <c r="CO317" i="23" s="1"/>
  <c r="CH317" i="23"/>
  <c r="CI317" i="23"/>
  <c r="CT317" i="23"/>
  <c r="CU317" i="23" s="1"/>
  <c r="BV317" i="23"/>
  <c r="BW317" i="23"/>
  <c r="BD317" i="23"/>
  <c r="BE317" i="23" s="1"/>
  <c r="CB317" i="23"/>
  <c r="CC317" i="23"/>
  <c r="BJ317" i="23"/>
  <c r="BK317" i="23" s="1"/>
  <c r="AL321" i="23"/>
  <c r="AM321" i="23"/>
  <c r="FZ321" i="23"/>
  <c r="GA321" i="23" s="1"/>
  <c r="FN321" i="23"/>
  <c r="FO321" i="23"/>
  <c r="FT321" i="23"/>
  <c r="FU321" i="23" s="1"/>
  <c r="FB321" i="23"/>
  <c r="FC321" i="23"/>
  <c r="FH321" i="23"/>
  <c r="FI321" i="23" s="1"/>
  <c r="EV321" i="23"/>
  <c r="EW321" i="23"/>
  <c r="EP321" i="23"/>
  <c r="EQ321" i="23" s="1"/>
  <c r="EJ321" i="23"/>
  <c r="EK321" i="23" s="1"/>
  <c r="DX321" i="23"/>
  <c r="DY321" i="23" s="1"/>
  <c r="DR321" i="23"/>
  <c r="DS321" i="23" s="1"/>
  <c r="ED321" i="23"/>
  <c r="EE321" i="23" s="1"/>
  <c r="DL321" i="23"/>
  <c r="DM321" i="23" s="1"/>
  <c r="DF321" i="23"/>
  <c r="DG321" i="23" s="1"/>
  <c r="CZ321" i="23"/>
  <c r="DA321" i="23" s="1"/>
  <c r="CT321" i="23"/>
  <c r="CU321" i="23" s="1"/>
  <c r="CN321" i="23"/>
  <c r="CO321" i="23" s="1"/>
  <c r="CH321" i="23"/>
  <c r="CI321" i="23" s="1"/>
  <c r="BD321" i="23"/>
  <c r="BE321" i="23" s="1"/>
  <c r="CB321" i="23"/>
  <c r="CC321" i="23" s="1"/>
  <c r="BV321" i="23"/>
  <c r="BW321" i="23" s="1"/>
  <c r="BJ321" i="23"/>
  <c r="BK321" i="23" s="1"/>
  <c r="FZ325" i="23"/>
  <c r="GA325" i="23" s="1"/>
  <c r="FN325" i="23"/>
  <c r="FO325" i="23" s="1"/>
  <c r="FT325" i="23"/>
  <c r="FU325" i="23" s="1"/>
  <c r="FH325" i="23"/>
  <c r="FI325" i="23" s="1"/>
  <c r="EP325" i="23"/>
  <c r="EQ325" i="23" s="1"/>
  <c r="EV325" i="23"/>
  <c r="EW325" i="23" s="1"/>
  <c r="FB325" i="23"/>
  <c r="FC325" i="23" s="1"/>
  <c r="ED325" i="23"/>
  <c r="EE325" i="23" s="1"/>
  <c r="EJ325" i="23"/>
  <c r="EK325" i="23" s="1"/>
  <c r="DX325" i="23"/>
  <c r="DY325" i="23" s="1"/>
  <c r="DR325" i="23"/>
  <c r="DS325" i="23" s="1"/>
  <c r="DF325" i="23"/>
  <c r="DG325" i="23" s="1"/>
  <c r="DL325" i="23"/>
  <c r="DM325" i="23" s="1"/>
  <c r="CT325" i="23"/>
  <c r="CU325" i="23" s="1"/>
  <c r="CZ325" i="23"/>
  <c r="DA325" i="23" s="1"/>
  <c r="CN325" i="23"/>
  <c r="CO325" i="23" s="1"/>
  <c r="CH325" i="23"/>
  <c r="CI325" i="23" s="1"/>
  <c r="CB325" i="23"/>
  <c r="CC325" i="23" s="1"/>
  <c r="BJ325" i="23"/>
  <c r="BK325" i="23" s="1"/>
  <c r="BV325" i="23"/>
  <c r="BW325" i="23" s="1"/>
  <c r="BD325" i="23"/>
  <c r="BE325" i="23" s="1"/>
  <c r="FZ329" i="23"/>
  <c r="GA329" i="23" s="1"/>
  <c r="FH329" i="23"/>
  <c r="FI329" i="23" s="1"/>
  <c r="EV329" i="23"/>
  <c r="EW329" i="23" s="1"/>
  <c r="FN329" i="23"/>
  <c r="FO329" i="23" s="1"/>
  <c r="FB329" i="23"/>
  <c r="FC329" i="23" s="1"/>
  <c r="FT329" i="23"/>
  <c r="FU329" i="23" s="1"/>
  <c r="EJ329" i="23"/>
  <c r="EK329" i="23" s="1"/>
  <c r="ED329" i="23"/>
  <c r="EE329" i="23" s="1"/>
  <c r="EP329" i="23"/>
  <c r="EQ329" i="23" s="1"/>
  <c r="DR329" i="23"/>
  <c r="DS329" i="23" s="1"/>
  <c r="CZ329" i="23"/>
  <c r="DA329" i="23" s="1"/>
  <c r="DX329" i="23"/>
  <c r="DY329" i="23" s="1"/>
  <c r="DL329" i="23"/>
  <c r="DM329" i="23" s="1"/>
  <c r="DF329" i="23"/>
  <c r="DG329" i="23" s="1"/>
  <c r="CH329" i="23"/>
  <c r="CI329" i="23" s="1"/>
  <c r="CN329" i="23"/>
  <c r="CO329" i="23" s="1"/>
  <c r="CB329" i="23"/>
  <c r="CC329" i="23" s="1"/>
  <c r="CT329" i="23"/>
  <c r="CU329" i="23" s="1"/>
  <c r="BJ329" i="23"/>
  <c r="BK329" i="23" s="1"/>
  <c r="BV329" i="23"/>
  <c r="BW329" i="23" s="1"/>
  <c r="BD329" i="23"/>
  <c r="BE329" i="23" s="1"/>
  <c r="FZ333" i="23"/>
  <c r="GA333" i="23" s="1"/>
  <c r="FN333" i="23"/>
  <c r="FO333" i="23" s="1"/>
  <c r="FT333" i="23"/>
  <c r="FU333" i="23" s="1"/>
  <c r="FH333" i="23"/>
  <c r="FI333" i="23" s="1"/>
  <c r="FB333" i="23"/>
  <c r="FC333" i="23" s="1"/>
  <c r="EV333" i="23"/>
  <c r="EW333" i="23" s="1"/>
  <c r="EP333" i="23"/>
  <c r="EQ333" i="23" s="1"/>
  <c r="EJ333" i="23"/>
  <c r="EK333" i="23" s="1"/>
  <c r="ED333" i="23"/>
  <c r="EE333" i="23" s="1"/>
  <c r="DX333" i="23"/>
  <c r="DY333" i="23" s="1"/>
  <c r="DR333" i="23"/>
  <c r="DS333" i="23" s="1"/>
  <c r="DL333" i="23"/>
  <c r="DM333" i="23" s="1"/>
  <c r="DF333" i="23"/>
  <c r="DG333" i="23" s="1"/>
  <c r="CZ333" i="23"/>
  <c r="DA333" i="23" s="1"/>
  <c r="CN333" i="23"/>
  <c r="CO333" i="23" s="1"/>
  <c r="CH333" i="23"/>
  <c r="CI333" i="23" s="1"/>
  <c r="CT333" i="23"/>
  <c r="CU333" i="23" s="1"/>
  <c r="BV333" i="23"/>
  <c r="BW333" i="23" s="1"/>
  <c r="BD333" i="23"/>
  <c r="BE333" i="23" s="1"/>
  <c r="BJ333" i="23"/>
  <c r="BK333" i="23" s="1"/>
  <c r="CB333" i="23"/>
  <c r="CC333" i="23" s="1"/>
  <c r="FZ340" i="23"/>
  <c r="GA340" i="23" s="1"/>
  <c r="FT340" i="23"/>
  <c r="FU340" i="23" s="1"/>
  <c r="FN340" i="23"/>
  <c r="FO340" i="23" s="1"/>
  <c r="FH340" i="23"/>
  <c r="FI340" i="23" s="1"/>
  <c r="FB340" i="23"/>
  <c r="FC340" i="23" s="1"/>
  <c r="EP340" i="23"/>
  <c r="EQ340" i="23" s="1"/>
  <c r="EJ340" i="23"/>
  <c r="EK340" i="23" s="1"/>
  <c r="EV340" i="23"/>
  <c r="EW340" i="23" s="1"/>
  <c r="ED340" i="23"/>
  <c r="EE340" i="23" s="1"/>
  <c r="DX340" i="23"/>
  <c r="DY340" i="23" s="1"/>
  <c r="DR340" i="23"/>
  <c r="DS340" i="23" s="1"/>
  <c r="DL340" i="23"/>
  <c r="DM340" i="23" s="1"/>
  <c r="DF340" i="23"/>
  <c r="DG340" i="23" s="1"/>
  <c r="CZ340" i="23"/>
  <c r="DA340" i="23" s="1"/>
  <c r="CH340" i="23"/>
  <c r="CI340" i="23" s="1"/>
  <c r="CT340" i="23"/>
  <c r="CU340" i="23" s="1"/>
  <c r="CN340" i="23"/>
  <c r="CO340" i="23" s="1"/>
  <c r="BJ340" i="23"/>
  <c r="BK340" i="23" s="1"/>
  <c r="CB340" i="23"/>
  <c r="CC340" i="23" s="1"/>
  <c r="BV340" i="23"/>
  <c r="BW340" i="23" s="1"/>
  <c r="BD340" i="23"/>
  <c r="BE340" i="23" s="1"/>
  <c r="FZ344" i="23"/>
  <c r="GA344" i="23" s="1"/>
  <c r="FN344" i="23"/>
  <c r="FO344" i="23" s="1"/>
  <c r="FT344" i="23"/>
  <c r="FU344" i="23" s="1"/>
  <c r="EV344" i="23"/>
  <c r="EW344" i="23" s="1"/>
  <c r="FB344" i="23"/>
  <c r="FC344" i="23" s="1"/>
  <c r="FH344" i="23"/>
  <c r="FI344" i="23" s="1"/>
  <c r="EJ344" i="23"/>
  <c r="EK344" i="23" s="1"/>
  <c r="DX344" i="23"/>
  <c r="DY344" i="23" s="1"/>
  <c r="DR344" i="23"/>
  <c r="DS344" i="23" s="1"/>
  <c r="EP344" i="23"/>
  <c r="EQ344" i="23" s="1"/>
  <c r="ED344" i="23"/>
  <c r="EE344" i="23" s="1"/>
  <c r="DL344" i="23"/>
  <c r="DM344" i="23" s="1"/>
  <c r="CZ344" i="23"/>
  <c r="DA344" i="23" s="1"/>
  <c r="DF344" i="23"/>
  <c r="DG344" i="23" s="1"/>
  <c r="CT344" i="23"/>
  <c r="CU344" i="23" s="1"/>
  <c r="CH344" i="23"/>
  <c r="CI344" i="23" s="1"/>
  <c r="CN344" i="23"/>
  <c r="CO344" i="23" s="1"/>
  <c r="BD344" i="23"/>
  <c r="BE344" i="23" s="1"/>
  <c r="BJ344" i="23"/>
  <c r="BK344" i="23" s="1"/>
  <c r="CB344" i="23"/>
  <c r="CC344" i="23" s="1"/>
  <c r="BV344" i="23"/>
  <c r="BW344" i="23" s="1"/>
  <c r="FZ353" i="23"/>
  <c r="GA353" i="23" s="1"/>
  <c r="FN353" i="23"/>
  <c r="FO353" i="23" s="1"/>
  <c r="FT353" i="23"/>
  <c r="FU353" i="23" s="1"/>
  <c r="FB353" i="23"/>
  <c r="FC353" i="23" s="1"/>
  <c r="EP353" i="23"/>
  <c r="EQ353" i="23" s="1"/>
  <c r="EV353" i="23"/>
  <c r="EW353" i="23" s="1"/>
  <c r="FH353" i="23"/>
  <c r="FI353" i="23" s="1"/>
  <c r="DR353" i="23"/>
  <c r="DS353" i="23" s="1"/>
  <c r="ED353" i="23"/>
  <c r="EE353" i="23" s="1"/>
  <c r="DX353" i="23"/>
  <c r="DY353" i="23" s="1"/>
  <c r="CZ353" i="23"/>
  <c r="DA353" i="23" s="1"/>
  <c r="DL353" i="23"/>
  <c r="DM353" i="23" s="1"/>
  <c r="EJ353" i="23"/>
  <c r="EK353" i="23" s="1"/>
  <c r="DF353" i="23"/>
  <c r="DG353" i="23" s="1"/>
  <c r="CB353" i="23"/>
  <c r="CC353" i="23" s="1"/>
  <c r="CN353" i="23"/>
  <c r="CO353" i="23" s="1"/>
  <c r="CH353" i="23"/>
  <c r="CI353" i="23" s="1"/>
  <c r="CT353" i="23"/>
  <c r="CU353" i="23" s="1"/>
  <c r="BV353" i="23"/>
  <c r="BW353" i="23" s="1"/>
  <c r="BJ353" i="23"/>
  <c r="BK353" i="23" s="1"/>
  <c r="BD353" i="23"/>
  <c r="BE353" i="23" s="1"/>
  <c r="FZ357" i="23"/>
  <c r="GA357" i="23" s="1"/>
  <c r="FN357" i="23"/>
  <c r="FO357" i="23" s="1"/>
  <c r="FT357" i="23"/>
  <c r="FU357" i="23" s="1"/>
  <c r="FB357" i="23"/>
  <c r="FC357" i="23" s="1"/>
  <c r="EV357" i="23"/>
  <c r="EW357" i="23" s="1"/>
  <c r="FH357" i="23"/>
  <c r="FI357" i="23" s="1"/>
  <c r="EP357" i="23"/>
  <c r="EQ357" i="23" s="1"/>
  <c r="DX357" i="23"/>
  <c r="DY357" i="23" s="1"/>
  <c r="DR357" i="23"/>
  <c r="DS357" i="23" s="1"/>
  <c r="EJ357" i="23"/>
  <c r="EK357" i="23" s="1"/>
  <c r="ED357" i="23"/>
  <c r="EE357" i="23" s="1"/>
  <c r="DL357" i="23"/>
  <c r="DM357" i="23" s="1"/>
  <c r="DF357" i="23"/>
  <c r="DG357" i="23" s="1"/>
  <c r="CT357" i="23"/>
  <c r="CU357" i="23" s="1"/>
  <c r="CH357" i="23"/>
  <c r="CI357" i="23" s="1"/>
  <c r="CZ357" i="23"/>
  <c r="DA357" i="23" s="1"/>
  <c r="CN357" i="23"/>
  <c r="CO357" i="23" s="1"/>
  <c r="CB357" i="23"/>
  <c r="CC357" i="23" s="1"/>
  <c r="BD357" i="23"/>
  <c r="BE357" i="23" s="1"/>
  <c r="BV357" i="23"/>
  <c r="BW357" i="23" s="1"/>
  <c r="BJ357" i="23"/>
  <c r="BK357" i="23" s="1"/>
  <c r="FZ361" i="23"/>
  <c r="GA361" i="23" s="1"/>
  <c r="FN361" i="23"/>
  <c r="FO361" i="23" s="1"/>
  <c r="FH361" i="23"/>
  <c r="FI361" i="23" s="1"/>
  <c r="EV361" i="23"/>
  <c r="EW361" i="23" s="1"/>
  <c r="EJ361" i="23"/>
  <c r="EK361" i="23" s="1"/>
  <c r="EP361" i="23"/>
  <c r="EQ361" i="23" s="1"/>
  <c r="FB361" i="23"/>
  <c r="FC361" i="23" s="1"/>
  <c r="ED361" i="23"/>
  <c r="EE361" i="23" s="1"/>
  <c r="DX361" i="23"/>
  <c r="DY361" i="23" s="1"/>
  <c r="FT361" i="23"/>
  <c r="FU361" i="23" s="1"/>
  <c r="DR361" i="23"/>
  <c r="DS361" i="23" s="1"/>
  <c r="DL361" i="23"/>
  <c r="DM361" i="23" s="1"/>
  <c r="DF361" i="23"/>
  <c r="DG361" i="23" s="1"/>
  <c r="CZ361" i="23"/>
  <c r="DA361" i="23" s="1"/>
  <c r="CT361" i="23"/>
  <c r="CU361" i="23" s="1"/>
  <c r="CN361" i="23"/>
  <c r="CO361" i="23" s="1"/>
  <c r="CH361" i="23"/>
  <c r="CI361" i="23" s="1"/>
  <c r="CB361" i="23"/>
  <c r="CC361" i="23" s="1"/>
  <c r="BD361" i="23"/>
  <c r="BE361" i="23" s="1"/>
  <c r="BV361" i="23"/>
  <c r="BW361" i="23" s="1"/>
  <c r="BJ361" i="23"/>
  <c r="BK361" i="23" s="1"/>
  <c r="FZ368" i="23"/>
  <c r="GA368" i="23" s="1"/>
  <c r="FN368" i="23"/>
  <c r="FO368" i="23" s="1"/>
  <c r="FT368" i="23"/>
  <c r="FU368" i="23" s="1"/>
  <c r="FB368" i="23"/>
  <c r="FC368" i="23" s="1"/>
  <c r="FH368" i="23"/>
  <c r="FI368" i="23" s="1"/>
  <c r="EP368" i="23"/>
  <c r="EQ368" i="23" s="1"/>
  <c r="EV368" i="23"/>
  <c r="EW368" i="23" s="1"/>
  <c r="DX368" i="23"/>
  <c r="DY368" i="23" s="1"/>
  <c r="DR368" i="23"/>
  <c r="DS368" i="23" s="1"/>
  <c r="EJ368" i="23"/>
  <c r="EK368" i="23" s="1"/>
  <c r="ED368" i="23"/>
  <c r="EE368" i="23" s="1"/>
  <c r="DL368" i="23"/>
  <c r="DM368" i="23" s="1"/>
  <c r="DF368" i="23"/>
  <c r="DG368" i="23" s="1"/>
  <c r="CZ368" i="23"/>
  <c r="DA368" i="23" s="1"/>
  <c r="CN368" i="23"/>
  <c r="CO368" i="23" s="1"/>
  <c r="CT368" i="23"/>
  <c r="CU368" i="23" s="1"/>
  <c r="CH368" i="23"/>
  <c r="CI368" i="23" s="1"/>
  <c r="CB368" i="23"/>
  <c r="CC368" i="23" s="1"/>
  <c r="BJ368" i="23"/>
  <c r="BK368" i="23" s="1"/>
  <c r="BV368" i="23"/>
  <c r="BW368" i="23" s="1"/>
  <c r="BD368" i="23"/>
  <c r="BE368" i="23" s="1"/>
  <c r="FZ372" i="23"/>
  <c r="GA372" i="23" s="1"/>
  <c r="FN372" i="23"/>
  <c r="FO372" i="23" s="1"/>
  <c r="EV372" i="23"/>
  <c r="EW372" i="23" s="1"/>
  <c r="FH372" i="23"/>
  <c r="FI372" i="23" s="1"/>
  <c r="FB372" i="23"/>
  <c r="FC372" i="23" s="1"/>
  <c r="FT372" i="23"/>
  <c r="FU372" i="23" s="1"/>
  <c r="EP372" i="23"/>
  <c r="EQ372" i="23" s="1"/>
  <c r="EJ372" i="23"/>
  <c r="EK372" i="23" s="1"/>
  <c r="DX372" i="23"/>
  <c r="DY372" i="23" s="1"/>
  <c r="DL372" i="23"/>
  <c r="DM372" i="23" s="1"/>
  <c r="ED372" i="23"/>
  <c r="EE372" i="23" s="1"/>
  <c r="DR372" i="23"/>
  <c r="DS372" i="23" s="1"/>
  <c r="CZ372" i="23"/>
  <c r="DA372" i="23" s="1"/>
  <c r="CH372" i="23"/>
  <c r="CI372" i="23" s="1"/>
  <c r="DF372" i="23"/>
  <c r="DG372" i="23" s="1"/>
  <c r="CT372" i="23"/>
  <c r="CU372" i="23" s="1"/>
  <c r="CN372" i="23"/>
  <c r="CO372" i="23" s="1"/>
  <c r="BV372" i="23"/>
  <c r="BW372" i="23" s="1"/>
  <c r="CB372" i="23"/>
  <c r="CC372" i="23" s="1"/>
  <c r="BJ372" i="23"/>
  <c r="BK372" i="23" s="1"/>
  <c r="BD372" i="23"/>
  <c r="BE372" i="23" s="1"/>
  <c r="FZ378" i="23"/>
  <c r="GA378" i="23" s="1"/>
  <c r="FN378" i="23"/>
  <c r="FO378" i="23" s="1"/>
  <c r="FT378" i="23"/>
  <c r="FU378" i="23" s="1"/>
  <c r="FH378" i="23"/>
  <c r="FI378" i="23" s="1"/>
  <c r="FB378" i="23"/>
  <c r="FC378" i="23" s="1"/>
  <c r="EV378" i="23"/>
  <c r="EW378" i="23" s="1"/>
  <c r="EP378" i="23"/>
  <c r="EQ378" i="23" s="1"/>
  <c r="ED378" i="23"/>
  <c r="EE378" i="23" s="1"/>
  <c r="DX378" i="23"/>
  <c r="DY378" i="23" s="1"/>
  <c r="EJ378" i="23"/>
  <c r="EK378" i="23" s="1"/>
  <c r="DR378" i="23"/>
  <c r="DS378" i="23" s="1"/>
  <c r="DF378" i="23"/>
  <c r="DG378" i="23" s="1"/>
  <c r="DL378" i="23"/>
  <c r="DM378" i="23" s="1"/>
  <c r="CZ378" i="23"/>
  <c r="DA378" i="23" s="1"/>
  <c r="CT378" i="23"/>
  <c r="CU378" i="23" s="1"/>
  <c r="CN378" i="23"/>
  <c r="CO378" i="23" s="1"/>
  <c r="CH378" i="23"/>
  <c r="CI378" i="23" s="1"/>
  <c r="BJ378" i="23"/>
  <c r="BK378" i="23" s="1"/>
  <c r="BD378" i="23"/>
  <c r="BE378" i="23" s="1"/>
  <c r="CB378" i="23"/>
  <c r="CC378" i="23" s="1"/>
  <c r="BV378" i="23"/>
  <c r="BW378" i="23" s="1"/>
  <c r="FZ382" i="23"/>
  <c r="GA382" i="23" s="1"/>
  <c r="FN382" i="23"/>
  <c r="FO382" i="23" s="1"/>
  <c r="FT382" i="23"/>
  <c r="FU382" i="23" s="1"/>
  <c r="FB382" i="23"/>
  <c r="FC382" i="23" s="1"/>
  <c r="EV382" i="23"/>
  <c r="EW382" i="23" s="1"/>
  <c r="FH382" i="23"/>
  <c r="FI382" i="23" s="1"/>
  <c r="EP382" i="23"/>
  <c r="EQ382" i="23" s="1"/>
  <c r="EJ382" i="23"/>
  <c r="EK382" i="23" s="1"/>
  <c r="DX382" i="23"/>
  <c r="DY382" i="23" s="1"/>
  <c r="DR382" i="23"/>
  <c r="DS382" i="23" s="1"/>
  <c r="CZ382" i="23"/>
  <c r="DA382" i="23" s="1"/>
  <c r="DL382" i="23"/>
  <c r="DM382" i="23" s="1"/>
  <c r="DF382" i="23"/>
  <c r="DG382" i="23" s="1"/>
  <c r="ED382" i="23"/>
  <c r="EE382" i="23" s="1"/>
  <c r="CT382" i="23"/>
  <c r="CU382" i="23" s="1"/>
  <c r="CN382" i="23"/>
  <c r="CO382" i="23" s="1"/>
  <c r="CH382" i="23"/>
  <c r="CI382" i="23" s="1"/>
  <c r="BJ382" i="23"/>
  <c r="BK382" i="23" s="1"/>
  <c r="CB382" i="23"/>
  <c r="CC382" i="23" s="1"/>
  <c r="BD382" i="23"/>
  <c r="BE382" i="23" s="1"/>
  <c r="BV382" i="23"/>
  <c r="BW382" i="23" s="1"/>
  <c r="FZ386" i="23"/>
  <c r="GA386" i="23" s="1"/>
  <c r="FN386" i="23"/>
  <c r="FO386" i="23" s="1"/>
  <c r="FT386" i="23"/>
  <c r="FU386" i="23" s="1"/>
  <c r="FH386" i="23"/>
  <c r="FI386" i="23" s="1"/>
  <c r="FB386" i="23"/>
  <c r="FC386" i="23" s="1"/>
  <c r="EV386" i="23"/>
  <c r="EW386" i="23" s="1"/>
  <c r="EJ386" i="23"/>
  <c r="EK386" i="23" s="1"/>
  <c r="EP386" i="23"/>
  <c r="EQ386" i="23" s="1"/>
  <c r="ED386" i="23"/>
  <c r="EE386" i="23" s="1"/>
  <c r="DL386" i="23"/>
  <c r="DM386" i="23" s="1"/>
  <c r="DX386" i="23"/>
  <c r="DY386" i="23" s="1"/>
  <c r="DR386" i="23"/>
  <c r="DS386" i="23" s="1"/>
  <c r="DF386" i="23"/>
  <c r="DG386" i="23" s="1"/>
  <c r="CT386" i="23"/>
  <c r="CU386" i="23" s="1"/>
  <c r="CN386" i="23"/>
  <c r="CO386" i="23" s="1"/>
  <c r="CH386" i="23"/>
  <c r="CI386" i="23" s="1"/>
  <c r="CB386" i="23"/>
  <c r="CC386" i="23" s="1"/>
  <c r="CZ386" i="23"/>
  <c r="DA386" i="23" s="1"/>
  <c r="BV386" i="23"/>
  <c r="BW386" i="23" s="1"/>
  <c r="BD386" i="23"/>
  <c r="BE386" i="23" s="1"/>
  <c r="BJ386" i="23"/>
  <c r="BK386" i="23" s="1"/>
  <c r="FZ390" i="23"/>
  <c r="GA390" i="23" s="1"/>
  <c r="FN390" i="23"/>
  <c r="FO390" i="23" s="1"/>
  <c r="FT390" i="23"/>
  <c r="FU390" i="23" s="1"/>
  <c r="FH390" i="23"/>
  <c r="FI390" i="23" s="1"/>
  <c r="FB390" i="23"/>
  <c r="FC390" i="23" s="1"/>
  <c r="EV390" i="23"/>
  <c r="EW390" i="23" s="1"/>
  <c r="EP390" i="23"/>
  <c r="EQ390" i="23" s="1"/>
  <c r="EJ390" i="23"/>
  <c r="EK390" i="23" s="1"/>
  <c r="DX390" i="23"/>
  <c r="DY390" i="23" s="1"/>
  <c r="DR390" i="23"/>
  <c r="DS390" i="23" s="1"/>
  <c r="ED390" i="23"/>
  <c r="EE390" i="23" s="1"/>
  <c r="CZ390" i="23"/>
  <c r="DA390" i="23" s="1"/>
  <c r="DL390" i="23"/>
  <c r="DM390" i="23" s="1"/>
  <c r="DF390" i="23"/>
  <c r="DG390" i="23" s="1"/>
  <c r="CT390" i="23"/>
  <c r="CU390" i="23" s="1"/>
  <c r="CN390" i="23"/>
  <c r="CO390" i="23" s="1"/>
  <c r="CH390" i="23"/>
  <c r="CI390" i="23" s="1"/>
  <c r="BV390" i="23"/>
  <c r="BW390" i="23" s="1"/>
  <c r="BD390" i="23"/>
  <c r="BE390" i="23" s="1"/>
  <c r="CB390" i="23"/>
  <c r="CC390" i="23" s="1"/>
  <c r="BJ390" i="23"/>
  <c r="BK390" i="23" s="1"/>
  <c r="FZ394" i="23"/>
  <c r="GA394" i="23" s="1"/>
  <c r="FN394" i="23"/>
  <c r="FO394" i="23" s="1"/>
  <c r="FT394" i="23"/>
  <c r="FU394" i="23" s="1"/>
  <c r="FH394" i="23"/>
  <c r="FI394" i="23" s="1"/>
  <c r="EV394" i="23"/>
  <c r="EW394" i="23" s="1"/>
  <c r="EP394" i="23"/>
  <c r="EQ394" i="23" s="1"/>
  <c r="FB394" i="23"/>
  <c r="FC394" i="23" s="1"/>
  <c r="DR394" i="23"/>
  <c r="DS394" i="23" s="1"/>
  <c r="EJ394" i="23"/>
  <c r="EK394" i="23" s="1"/>
  <c r="ED394" i="23"/>
  <c r="EE394" i="23" s="1"/>
  <c r="DX394" i="23"/>
  <c r="DY394" i="23" s="1"/>
  <c r="DL394" i="23"/>
  <c r="DM394" i="23" s="1"/>
  <c r="DF394" i="23"/>
  <c r="DG394" i="23" s="1"/>
  <c r="CZ394" i="23"/>
  <c r="DA394" i="23" s="1"/>
  <c r="CT394" i="23"/>
  <c r="CU394" i="23" s="1"/>
  <c r="CN394" i="23"/>
  <c r="CO394" i="23" s="1"/>
  <c r="BJ394" i="23"/>
  <c r="BK394" i="23" s="1"/>
  <c r="BV394" i="23"/>
  <c r="BW394" i="23" s="1"/>
  <c r="CH394" i="23"/>
  <c r="CI394" i="23" s="1"/>
  <c r="CB394" i="23"/>
  <c r="CC394" i="23" s="1"/>
  <c r="BD394" i="23"/>
  <c r="BE394" i="23" s="1"/>
  <c r="FZ401" i="23"/>
  <c r="GA401" i="23" s="1"/>
  <c r="FN401" i="23"/>
  <c r="FO401" i="23" s="1"/>
  <c r="FB401" i="23"/>
  <c r="FC401" i="23" s="1"/>
  <c r="FT401" i="23"/>
  <c r="FU401" i="23" s="1"/>
  <c r="FH401" i="23"/>
  <c r="FI401" i="23" s="1"/>
  <c r="EV401" i="23"/>
  <c r="EW401" i="23" s="1"/>
  <c r="EP401" i="23"/>
  <c r="EQ401" i="23" s="1"/>
  <c r="ED401" i="23"/>
  <c r="EE401" i="23" s="1"/>
  <c r="EJ401" i="23"/>
  <c r="EK401" i="23" s="1"/>
  <c r="DX401" i="23"/>
  <c r="DY401" i="23" s="1"/>
  <c r="DR401" i="23"/>
  <c r="DS401" i="23" s="1"/>
  <c r="DL401" i="23"/>
  <c r="DM401" i="23" s="1"/>
  <c r="DF401" i="23"/>
  <c r="DG401" i="23" s="1"/>
  <c r="CZ401" i="23"/>
  <c r="DA401" i="23" s="1"/>
  <c r="CT401" i="23"/>
  <c r="CU401" i="23" s="1"/>
  <c r="CB401" i="23"/>
  <c r="CC401" i="23" s="1"/>
  <c r="CN401" i="23"/>
  <c r="CO401" i="23" s="1"/>
  <c r="CH401" i="23"/>
  <c r="CI401" i="23" s="1"/>
  <c r="BV401" i="23"/>
  <c r="BW401" i="23" s="1"/>
  <c r="BD401" i="23"/>
  <c r="BE401" i="23" s="1"/>
  <c r="BJ401" i="23"/>
  <c r="BK401" i="23" s="1"/>
  <c r="FZ407" i="23"/>
  <c r="GA407" i="23" s="1"/>
  <c r="FN407" i="23"/>
  <c r="FO407" i="23" s="1"/>
  <c r="EV407" i="23"/>
  <c r="EW407" i="23" s="1"/>
  <c r="FT407" i="23"/>
  <c r="FU407" i="23" s="1"/>
  <c r="FB407" i="23"/>
  <c r="FC407" i="23" s="1"/>
  <c r="FH407" i="23"/>
  <c r="FI407" i="23" s="1"/>
  <c r="EJ407" i="23"/>
  <c r="EK407" i="23" s="1"/>
  <c r="EP407" i="23"/>
  <c r="EQ407" i="23" s="1"/>
  <c r="ED407" i="23"/>
  <c r="EE407" i="23" s="1"/>
  <c r="DR407" i="23"/>
  <c r="DS407" i="23" s="1"/>
  <c r="CZ407" i="23"/>
  <c r="DA407" i="23" s="1"/>
  <c r="DX407" i="23"/>
  <c r="DY407" i="23" s="1"/>
  <c r="CT407" i="23"/>
  <c r="CU407" i="23" s="1"/>
  <c r="DL407" i="23"/>
  <c r="DM407" i="23" s="1"/>
  <c r="CB407" i="23"/>
  <c r="CC407" i="23" s="1"/>
  <c r="DF407" i="23"/>
  <c r="DG407" i="23" s="1"/>
  <c r="CN407" i="23"/>
  <c r="CO407" i="23" s="1"/>
  <c r="CH407" i="23"/>
  <c r="CI407" i="23" s="1"/>
  <c r="BV407" i="23"/>
  <c r="BW407" i="23" s="1"/>
  <c r="BD407" i="23"/>
  <c r="BE407" i="23" s="1"/>
  <c r="BJ407" i="23"/>
  <c r="BK407" i="23" s="1"/>
  <c r="FZ411" i="23"/>
  <c r="GA411" i="23" s="1"/>
  <c r="FT411" i="23"/>
  <c r="FU411" i="23" s="1"/>
  <c r="FN411" i="23"/>
  <c r="FO411" i="23" s="1"/>
  <c r="FH411" i="23"/>
  <c r="FI411" i="23" s="1"/>
  <c r="FB411" i="23"/>
  <c r="FC411" i="23" s="1"/>
  <c r="EV411" i="23"/>
  <c r="EW411" i="23" s="1"/>
  <c r="EP411" i="23"/>
  <c r="EQ411" i="23" s="1"/>
  <c r="ED411" i="23"/>
  <c r="EE411" i="23" s="1"/>
  <c r="DR411" i="23"/>
  <c r="DS411" i="23" s="1"/>
  <c r="DL411" i="23"/>
  <c r="DM411" i="23" s="1"/>
  <c r="EJ411" i="23"/>
  <c r="EK411" i="23" s="1"/>
  <c r="CZ411" i="23"/>
  <c r="DA411" i="23" s="1"/>
  <c r="DF411" i="23"/>
  <c r="DG411" i="23" s="1"/>
  <c r="CT411" i="23"/>
  <c r="CU411" i="23" s="1"/>
  <c r="CN411" i="23"/>
  <c r="CO411" i="23" s="1"/>
  <c r="CB411" i="23"/>
  <c r="CC411" i="23" s="1"/>
  <c r="DX411" i="23"/>
  <c r="DY411" i="23" s="1"/>
  <c r="CH411" i="23"/>
  <c r="CI411" i="23" s="1"/>
  <c r="BJ411" i="23"/>
  <c r="BK411" i="23" s="1"/>
  <c r="BV411" i="23"/>
  <c r="BW411" i="23" s="1"/>
  <c r="BD411" i="23"/>
  <c r="BE411" i="23" s="1"/>
  <c r="FZ415" i="23"/>
  <c r="GA415" i="23" s="1"/>
  <c r="FN415" i="23"/>
  <c r="FO415" i="23" s="1"/>
  <c r="FT415" i="23"/>
  <c r="FU415" i="23" s="1"/>
  <c r="FH415" i="23"/>
  <c r="FI415" i="23" s="1"/>
  <c r="FB415" i="23"/>
  <c r="FC415" i="23" s="1"/>
  <c r="EP415" i="23"/>
  <c r="EQ415" i="23" s="1"/>
  <c r="EV415" i="23"/>
  <c r="EW415" i="23" s="1"/>
  <c r="ED415" i="23"/>
  <c r="EE415" i="23" s="1"/>
  <c r="DR415" i="23"/>
  <c r="DS415" i="23" s="1"/>
  <c r="DX415" i="23"/>
  <c r="DY415" i="23" s="1"/>
  <c r="EJ415" i="23"/>
  <c r="EK415" i="23" s="1"/>
  <c r="DL415" i="23"/>
  <c r="DM415" i="23" s="1"/>
  <c r="DF415" i="23"/>
  <c r="DG415" i="23" s="1"/>
  <c r="CZ415" i="23"/>
  <c r="DA415" i="23" s="1"/>
  <c r="CT415" i="23"/>
  <c r="CU415" i="23" s="1"/>
  <c r="CN415" i="23"/>
  <c r="CO415" i="23" s="1"/>
  <c r="CH415" i="23"/>
  <c r="CI415" i="23" s="1"/>
  <c r="BD415" i="23"/>
  <c r="BE415" i="23" s="1"/>
  <c r="BJ415" i="23"/>
  <c r="BK415" i="23" s="1"/>
  <c r="CB415" i="23"/>
  <c r="CC415" i="23" s="1"/>
  <c r="BV415" i="23"/>
  <c r="BW415" i="23" s="1"/>
  <c r="FZ419" i="23"/>
  <c r="GA419" i="23" s="1"/>
  <c r="FN419" i="23"/>
  <c r="FO419" i="23" s="1"/>
  <c r="FT419" i="23"/>
  <c r="FU419" i="23" s="1"/>
  <c r="FH419" i="23"/>
  <c r="FI419" i="23" s="1"/>
  <c r="EV419" i="23"/>
  <c r="EW419" i="23" s="1"/>
  <c r="EP419" i="23"/>
  <c r="EQ419" i="23" s="1"/>
  <c r="FB419" i="23"/>
  <c r="FC419" i="23" s="1"/>
  <c r="EJ419" i="23"/>
  <c r="EK419" i="23" s="1"/>
  <c r="DR419" i="23"/>
  <c r="DS419" i="23" s="1"/>
  <c r="DX419" i="23"/>
  <c r="DY419" i="23" s="1"/>
  <c r="CZ419" i="23"/>
  <c r="DA419" i="23" s="1"/>
  <c r="DL419" i="23"/>
  <c r="DM419" i="23" s="1"/>
  <c r="DF419" i="23"/>
  <c r="DG419" i="23" s="1"/>
  <c r="ED419" i="23"/>
  <c r="EE419" i="23" s="1"/>
  <c r="CT419" i="23"/>
  <c r="CU419" i="23" s="1"/>
  <c r="CH419" i="23"/>
  <c r="CI419" i="23" s="1"/>
  <c r="CB419" i="23"/>
  <c r="CC419" i="23" s="1"/>
  <c r="CN419" i="23"/>
  <c r="CO419" i="23" s="1"/>
  <c r="BV419" i="23"/>
  <c r="BW419" i="23" s="1"/>
  <c r="BJ419" i="23"/>
  <c r="BK419" i="23" s="1"/>
  <c r="BD419" i="23"/>
  <c r="BE419" i="23" s="1"/>
  <c r="AL423" i="23"/>
  <c r="AM423" i="23" s="1"/>
  <c r="FZ423" i="23"/>
  <c r="GA423" i="23" s="1"/>
  <c r="FN423" i="23"/>
  <c r="FO423" i="23" s="1"/>
  <c r="FT423" i="23"/>
  <c r="FU423" i="23" s="1"/>
  <c r="FH423" i="23"/>
  <c r="FI423" i="23" s="1"/>
  <c r="EV423" i="23"/>
  <c r="EW423" i="23" s="1"/>
  <c r="EP423" i="23"/>
  <c r="EQ423" i="23" s="1"/>
  <c r="FB423" i="23"/>
  <c r="FC423" i="23" s="1"/>
  <c r="DR423" i="23"/>
  <c r="DS423" i="23" s="1"/>
  <c r="ED423" i="23"/>
  <c r="EE423" i="23" s="1"/>
  <c r="EJ423" i="23"/>
  <c r="EK423" i="23" s="1"/>
  <c r="DL423" i="23"/>
  <c r="DM423" i="23" s="1"/>
  <c r="CT423" i="23"/>
  <c r="CU423" i="23" s="1"/>
  <c r="CB423" i="23"/>
  <c r="CC423" i="23" s="1"/>
  <c r="DX423" i="23"/>
  <c r="DY423" i="23" s="1"/>
  <c r="CH423" i="23"/>
  <c r="CI423" i="23" s="1"/>
  <c r="DF423" i="23"/>
  <c r="DG423" i="23" s="1"/>
  <c r="CZ423" i="23"/>
  <c r="DA423" i="23" s="1"/>
  <c r="CN423" i="23"/>
  <c r="CO423" i="23" s="1"/>
  <c r="BV423" i="23"/>
  <c r="BW423" i="23" s="1"/>
  <c r="BJ423" i="23"/>
  <c r="BK423" i="23" s="1"/>
  <c r="BD423" i="23"/>
  <c r="BE423" i="23" s="1"/>
  <c r="FZ429" i="23"/>
  <c r="GA429" i="23" s="1"/>
  <c r="FN429" i="23"/>
  <c r="FO429" i="23" s="1"/>
  <c r="FH429" i="23"/>
  <c r="FI429" i="23" s="1"/>
  <c r="FB429" i="23"/>
  <c r="FC429" i="23" s="1"/>
  <c r="FT429" i="23"/>
  <c r="FU429" i="23" s="1"/>
  <c r="EV429" i="23"/>
  <c r="EW429" i="23" s="1"/>
  <c r="EP429" i="23"/>
  <c r="EQ429" i="23" s="1"/>
  <c r="EJ429" i="23"/>
  <c r="EK429" i="23" s="1"/>
  <c r="ED429" i="23"/>
  <c r="EE429" i="23" s="1"/>
  <c r="DX429" i="23"/>
  <c r="DY429" i="23" s="1"/>
  <c r="DR429" i="23"/>
  <c r="DS429" i="23" s="1"/>
  <c r="CZ429" i="23"/>
  <c r="DA429" i="23" s="1"/>
  <c r="DL429" i="23"/>
  <c r="DM429" i="23" s="1"/>
  <c r="DF429" i="23"/>
  <c r="DG429" i="23" s="1"/>
  <c r="CN429" i="23"/>
  <c r="CO429" i="23" s="1"/>
  <c r="CT429" i="23"/>
  <c r="CU429" i="23" s="1"/>
  <c r="CH429" i="23"/>
  <c r="CI429" i="23" s="1"/>
  <c r="CB429" i="23"/>
  <c r="CC429" i="23" s="1"/>
  <c r="BD429" i="23"/>
  <c r="BE429" i="23" s="1"/>
  <c r="BV429" i="23"/>
  <c r="BW429" i="23" s="1"/>
  <c r="BJ429" i="23"/>
  <c r="BK429" i="23" s="1"/>
  <c r="FZ433" i="23"/>
  <c r="GA433" i="23" s="1"/>
  <c r="FN433" i="23"/>
  <c r="FO433" i="23" s="1"/>
  <c r="FT433" i="23"/>
  <c r="FU433" i="23" s="1"/>
  <c r="FH433" i="23"/>
  <c r="FI433" i="23" s="1"/>
  <c r="FB433" i="23"/>
  <c r="FC433" i="23" s="1"/>
  <c r="EV433" i="23"/>
  <c r="EW433" i="23" s="1"/>
  <c r="EJ433" i="23"/>
  <c r="EK433" i="23" s="1"/>
  <c r="ED433" i="23"/>
  <c r="EE433" i="23" s="1"/>
  <c r="DX433" i="23"/>
  <c r="DY433" i="23" s="1"/>
  <c r="DR433" i="23"/>
  <c r="DS433" i="23" s="1"/>
  <c r="EP433" i="23"/>
  <c r="EQ433" i="23" s="1"/>
  <c r="CZ433" i="23"/>
  <c r="DA433" i="23" s="1"/>
  <c r="DL433" i="23"/>
  <c r="DM433" i="23" s="1"/>
  <c r="DF433" i="23"/>
  <c r="DG433" i="23" s="1"/>
  <c r="CN433" i="23"/>
  <c r="CO433" i="23" s="1"/>
  <c r="CH433" i="23"/>
  <c r="CI433" i="23" s="1"/>
  <c r="CT433" i="23"/>
  <c r="CU433" i="23" s="1"/>
  <c r="CB433" i="23"/>
  <c r="CC433" i="23" s="1"/>
  <c r="BV433" i="23"/>
  <c r="BW433" i="23" s="1"/>
  <c r="BJ433" i="23"/>
  <c r="BK433" i="23" s="1"/>
  <c r="BD433" i="23"/>
  <c r="BE433" i="23" s="1"/>
  <c r="FZ439" i="23"/>
  <c r="GA439" i="23" s="1"/>
  <c r="FN439" i="23"/>
  <c r="FO439" i="23" s="1"/>
  <c r="FH439" i="23"/>
  <c r="FI439" i="23" s="1"/>
  <c r="FT439" i="23"/>
  <c r="FU439" i="23" s="1"/>
  <c r="EV439" i="23"/>
  <c r="EW439" i="23" s="1"/>
  <c r="EP439" i="23"/>
  <c r="EQ439" i="23" s="1"/>
  <c r="EJ439" i="23"/>
  <c r="EK439" i="23" s="1"/>
  <c r="FB439" i="23"/>
  <c r="FC439" i="23" s="1"/>
  <c r="DX439" i="23"/>
  <c r="DY439" i="23" s="1"/>
  <c r="ED439" i="23"/>
  <c r="EE439" i="23" s="1"/>
  <c r="DL439" i="23"/>
  <c r="DM439" i="23" s="1"/>
  <c r="CZ439" i="23"/>
  <c r="DA439" i="23" s="1"/>
  <c r="CT439" i="23"/>
  <c r="CU439" i="23" s="1"/>
  <c r="CB439" i="23"/>
  <c r="CC439" i="23" s="1"/>
  <c r="CN439" i="23"/>
  <c r="CO439" i="23" s="1"/>
  <c r="DR439" i="23"/>
  <c r="DS439" i="23" s="1"/>
  <c r="DF439" i="23"/>
  <c r="DG439" i="23" s="1"/>
  <c r="BJ439" i="23"/>
  <c r="BK439" i="23" s="1"/>
  <c r="BD439" i="23"/>
  <c r="BE439" i="23" s="1"/>
  <c r="CH439" i="23"/>
  <c r="CI439" i="23" s="1"/>
  <c r="BV439" i="23"/>
  <c r="BW439" i="23" s="1"/>
  <c r="FZ443" i="23"/>
  <c r="GA443" i="23" s="1"/>
  <c r="FN443" i="23"/>
  <c r="FO443" i="23" s="1"/>
  <c r="FT443" i="23"/>
  <c r="FU443" i="23" s="1"/>
  <c r="FH443" i="23"/>
  <c r="FI443" i="23" s="1"/>
  <c r="EV443" i="23"/>
  <c r="EW443" i="23" s="1"/>
  <c r="FB443" i="23"/>
  <c r="FC443" i="23" s="1"/>
  <c r="EJ443" i="23"/>
  <c r="EK443" i="23" s="1"/>
  <c r="EP443" i="23"/>
  <c r="EQ443" i="23" s="1"/>
  <c r="DX443" i="23"/>
  <c r="DY443" i="23" s="1"/>
  <c r="ED443" i="23"/>
  <c r="EE443" i="23" s="1"/>
  <c r="DL443" i="23"/>
  <c r="DM443" i="23" s="1"/>
  <c r="DR443" i="23"/>
  <c r="DS443" i="23" s="1"/>
  <c r="DF443" i="23"/>
  <c r="DG443" i="23" s="1"/>
  <c r="CZ443" i="23"/>
  <c r="DA443" i="23" s="1"/>
  <c r="CT443" i="23"/>
  <c r="CU443" i="23" s="1"/>
  <c r="CN443" i="23"/>
  <c r="CO443" i="23" s="1"/>
  <c r="CB443" i="23"/>
  <c r="CC443" i="23" s="1"/>
  <c r="CH443" i="23"/>
  <c r="CI443" i="23" s="1"/>
  <c r="BV443" i="23"/>
  <c r="BW443" i="23" s="1"/>
  <c r="BJ443" i="23"/>
  <c r="BK443" i="23" s="1"/>
  <c r="BD443" i="23"/>
  <c r="BE443" i="23" s="1"/>
  <c r="FZ447" i="23"/>
  <c r="GA447" i="23" s="1"/>
  <c r="FN447" i="23"/>
  <c r="FO447" i="23" s="1"/>
  <c r="FH447" i="23"/>
  <c r="FI447" i="23" s="1"/>
  <c r="FT447" i="23"/>
  <c r="FU447" i="23" s="1"/>
  <c r="EV447" i="23"/>
  <c r="EW447" i="23" s="1"/>
  <c r="FB447" i="23"/>
  <c r="FC447" i="23" s="1"/>
  <c r="EP447" i="23"/>
  <c r="EQ447" i="23" s="1"/>
  <c r="EJ447" i="23"/>
  <c r="EK447" i="23" s="1"/>
  <c r="DX447" i="23"/>
  <c r="DY447" i="23" s="1"/>
  <c r="ED447" i="23"/>
  <c r="EE447" i="23" s="1"/>
  <c r="DR447" i="23"/>
  <c r="DS447" i="23" s="1"/>
  <c r="DL447" i="23"/>
  <c r="DM447" i="23" s="1"/>
  <c r="CZ447" i="23"/>
  <c r="DA447" i="23" s="1"/>
  <c r="CT447" i="23"/>
  <c r="CU447" i="23" s="1"/>
  <c r="CN447" i="23"/>
  <c r="CO447" i="23" s="1"/>
  <c r="CH447" i="23"/>
  <c r="CI447" i="23" s="1"/>
  <c r="DF447" i="23"/>
  <c r="DG447" i="23" s="1"/>
  <c r="CB447" i="23"/>
  <c r="CC447" i="23" s="1"/>
  <c r="BV447" i="23"/>
  <c r="BW447" i="23" s="1"/>
  <c r="BJ447" i="23"/>
  <c r="BK447" i="23" s="1"/>
  <c r="BD447" i="23"/>
  <c r="BE447" i="23" s="1"/>
  <c r="FZ451" i="23"/>
  <c r="GA451" i="23" s="1"/>
  <c r="FN451" i="23"/>
  <c r="FO451" i="23" s="1"/>
  <c r="FT451" i="23"/>
  <c r="FU451" i="23" s="1"/>
  <c r="FB451" i="23"/>
  <c r="FC451" i="23" s="1"/>
  <c r="FH451" i="23"/>
  <c r="FI451" i="23" s="1"/>
  <c r="EV451" i="23"/>
  <c r="EW451" i="23" s="1"/>
  <c r="EP451" i="23"/>
  <c r="EQ451" i="23" s="1"/>
  <c r="ED451" i="23"/>
  <c r="EE451" i="23" s="1"/>
  <c r="EJ451" i="23"/>
  <c r="EK451" i="23" s="1"/>
  <c r="DL451" i="23"/>
  <c r="DM451" i="23" s="1"/>
  <c r="DF451" i="23"/>
  <c r="DG451" i="23" s="1"/>
  <c r="CZ451" i="23"/>
  <c r="DA451" i="23" s="1"/>
  <c r="DR451" i="23"/>
  <c r="DS451" i="23" s="1"/>
  <c r="DX451" i="23"/>
  <c r="DY451" i="23" s="1"/>
  <c r="CT451" i="23"/>
  <c r="CU451" i="23" s="1"/>
  <c r="CN451" i="23"/>
  <c r="CO451" i="23" s="1"/>
  <c r="CH451" i="23"/>
  <c r="CI451" i="23" s="1"/>
  <c r="CB451" i="23"/>
  <c r="CC451" i="23" s="1"/>
  <c r="BV451" i="23"/>
  <c r="BW451" i="23" s="1"/>
  <c r="BJ451" i="23"/>
  <c r="BK451" i="23" s="1"/>
  <c r="BD451" i="23"/>
  <c r="BE451" i="23" s="1"/>
  <c r="FT38" i="23"/>
  <c r="FU38" i="23" s="1"/>
  <c r="FZ38" i="23"/>
  <c r="GA38" i="23" s="1"/>
  <c r="FN38" i="23"/>
  <c r="FO38" i="23" s="1"/>
  <c r="FH38" i="23"/>
  <c r="FI38" i="23" s="1"/>
  <c r="EV38" i="23"/>
  <c r="EW38" i="23" s="1"/>
  <c r="EP38" i="23"/>
  <c r="EQ38" i="23" s="1"/>
  <c r="ED38" i="23"/>
  <c r="EE38" i="23" s="1"/>
  <c r="FB38" i="23"/>
  <c r="FC38" i="23" s="1"/>
  <c r="EJ38" i="23"/>
  <c r="EK38" i="23" s="1"/>
  <c r="DR38" i="23"/>
  <c r="DS38" i="23" s="1"/>
  <c r="DX38" i="23"/>
  <c r="DY38" i="23" s="1"/>
  <c r="DF38" i="23"/>
  <c r="DG38" i="23" s="1"/>
  <c r="CT38" i="23"/>
  <c r="CU38" i="23" s="1"/>
  <c r="CN38" i="23"/>
  <c r="CO38" i="23" s="1"/>
  <c r="CB38" i="23"/>
  <c r="CC38" i="23" s="1"/>
  <c r="CZ38" i="23"/>
  <c r="DA38" i="23" s="1"/>
  <c r="CH38" i="23"/>
  <c r="CI38" i="23" s="1"/>
  <c r="BD38" i="23"/>
  <c r="BE38" i="23" s="1"/>
  <c r="BV38" i="23"/>
  <c r="BW38" i="23" s="1"/>
  <c r="FZ52" i="23"/>
  <c r="GA52" i="23" s="1"/>
  <c r="FN52" i="23"/>
  <c r="FO52" i="23" s="1"/>
  <c r="FT52" i="23"/>
  <c r="FU52" i="23" s="1"/>
  <c r="FH52" i="23"/>
  <c r="FI52" i="23" s="1"/>
  <c r="FB52" i="23"/>
  <c r="EV52" i="23"/>
  <c r="EP52" i="23"/>
  <c r="EJ52" i="23"/>
  <c r="DR52" i="23"/>
  <c r="ED52" i="23"/>
  <c r="BP52" i="23"/>
  <c r="DF52" i="23"/>
  <c r="DG52" i="23"/>
  <c r="BJ52" i="23"/>
  <c r="CZ52" i="23"/>
  <c r="DA52" i="23" s="1"/>
  <c r="CT52" i="23"/>
  <c r="CU52" i="23" s="1"/>
  <c r="CN52" i="23"/>
  <c r="CO52" i="23" s="1"/>
  <c r="CB52" i="23"/>
  <c r="CC52" i="23" s="1"/>
  <c r="DX52" i="23"/>
  <c r="CH52" i="23"/>
  <c r="CI52" i="23"/>
  <c r="BD52" i="23"/>
  <c r="BE52" i="23" s="1"/>
  <c r="BV52" i="23"/>
  <c r="BW52" i="23"/>
  <c r="FZ72" i="23"/>
  <c r="GA72" i="23" s="1"/>
  <c r="FN72" i="23"/>
  <c r="FO72" i="23"/>
  <c r="FT72" i="23"/>
  <c r="FU72" i="23" s="1"/>
  <c r="FH72" i="23"/>
  <c r="FI72" i="23"/>
  <c r="FB72" i="23"/>
  <c r="FC72" i="23" s="1"/>
  <c r="EV72" i="23"/>
  <c r="EW72" i="23"/>
  <c r="ED72" i="23"/>
  <c r="EE72" i="23" s="1"/>
  <c r="EP72" i="23"/>
  <c r="EQ72" i="23"/>
  <c r="DX72" i="23"/>
  <c r="DY72" i="23" s="1"/>
  <c r="EJ72" i="23"/>
  <c r="EK72" i="23"/>
  <c r="DL72" i="23"/>
  <c r="DM72" i="23" s="1"/>
  <c r="DF72" i="23"/>
  <c r="DG72" i="23"/>
  <c r="DR72" i="23"/>
  <c r="DS72" i="23" s="1"/>
  <c r="CT72" i="23"/>
  <c r="CU72" i="23"/>
  <c r="CN72" i="23"/>
  <c r="CO72" i="23" s="1"/>
  <c r="CZ72" i="23"/>
  <c r="DA72" i="23"/>
  <c r="BJ72" i="23"/>
  <c r="BK72" i="23" s="1"/>
  <c r="CB72" i="23"/>
  <c r="CC72" i="23"/>
  <c r="BD72" i="23"/>
  <c r="BE72" i="23" s="1"/>
  <c r="CH72" i="23"/>
  <c r="CI72" i="23"/>
  <c r="BV72" i="23"/>
  <c r="BW72" i="23" s="1"/>
  <c r="FZ86" i="23"/>
  <c r="GA86" i="23"/>
  <c r="FN86" i="23"/>
  <c r="FO86" i="23" s="1"/>
  <c r="FH86" i="23"/>
  <c r="FI86" i="23"/>
  <c r="FT86" i="23"/>
  <c r="FU86" i="23" s="1"/>
  <c r="EV86" i="23"/>
  <c r="EW86" i="23"/>
  <c r="FB86" i="23"/>
  <c r="FC86" i="23" s="1"/>
  <c r="EP86" i="23"/>
  <c r="EQ86" i="23"/>
  <c r="ED86" i="23"/>
  <c r="EE86" i="23" s="1"/>
  <c r="EJ86" i="23"/>
  <c r="EK86" i="23"/>
  <c r="DX86" i="23"/>
  <c r="DY86" i="23" s="1"/>
  <c r="DL86" i="23"/>
  <c r="DM86" i="23"/>
  <c r="DF86" i="23"/>
  <c r="DG86" i="23" s="1"/>
  <c r="CZ86" i="23"/>
  <c r="DA86" i="23"/>
  <c r="CH86" i="23"/>
  <c r="CI86" i="23" s="1"/>
  <c r="CT86" i="23"/>
  <c r="CU86" i="23"/>
  <c r="CN86" i="23"/>
  <c r="CO86" i="23" s="1"/>
  <c r="DR86" i="23"/>
  <c r="DS86" i="23"/>
  <c r="CB86" i="23"/>
  <c r="CC86" i="23" s="1"/>
  <c r="BD86" i="23"/>
  <c r="BE86" i="23"/>
  <c r="BV86" i="23"/>
  <c r="BW86" i="23" s="1"/>
  <c r="BJ86" i="23"/>
  <c r="BK86" i="23"/>
  <c r="FZ138" i="23"/>
  <c r="GA138" i="23" s="1"/>
  <c r="FN138" i="23"/>
  <c r="FO138" i="23"/>
  <c r="FT138" i="23"/>
  <c r="FU138" i="23" s="1"/>
  <c r="EV138" i="23"/>
  <c r="EW138" i="23"/>
  <c r="FH138" i="23"/>
  <c r="FI138" i="23" s="1"/>
  <c r="FB138" i="23"/>
  <c r="FC138" i="23"/>
  <c r="EP138" i="23"/>
  <c r="EQ138" i="23" s="1"/>
  <c r="DX138" i="23"/>
  <c r="DY138" i="23"/>
  <c r="EJ138" i="23"/>
  <c r="EK138" i="23" s="1"/>
  <c r="DR138" i="23"/>
  <c r="DS138" i="23"/>
  <c r="ED138" i="23"/>
  <c r="EE138" i="23" s="1"/>
  <c r="DF138" i="23"/>
  <c r="DG138" i="23"/>
  <c r="DL138" i="23"/>
  <c r="DM138" i="23" s="1"/>
  <c r="CT138" i="23"/>
  <c r="CU138" i="23"/>
  <c r="CN138" i="23"/>
  <c r="CO138" i="23" s="1"/>
  <c r="CZ138" i="23"/>
  <c r="DA138" i="23"/>
  <c r="CH138" i="23"/>
  <c r="CI138" i="23" s="1"/>
  <c r="CB138" i="23"/>
  <c r="CC138" i="23"/>
  <c r="BJ138" i="23"/>
  <c r="BK138" i="23" s="1"/>
  <c r="BD138" i="23"/>
  <c r="BE138" i="23"/>
  <c r="BV138" i="23"/>
  <c r="BW138" i="23" s="1"/>
  <c r="FZ150" i="23"/>
  <c r="GA150" i="23"/>
  <c r="FN150" i="23"/>
  <c r="FO150" i="23" s="1"/>
  <c r="FT150" i="23"/>
  <c r="FU150" i="23"/>
  <c r="FB150" i="23"/>
  <c r="FC150" i="23" s="1"/>
  <c r="FH150" i="23"/>
  <c r="FI150" i="23"/>
  <c r="EP150" i="23"/>
  <c r="EQ150" i="23" s="1"/>
  <c r="EV150" i="23"/>
  <c r="EW150" i="23"/>
  <c r="ED150" i="23"/>
  <c r="EE150" i="23" s="1"/>
  <c r="DR150" i="23"/>
  <c r="DS150" i="23"/>
  <c r="EJ150" i="23"/>
  <c r="EK150" i="23" s="1"/>
  <c r="DX150" i="23"/>
  <c r="DY150" i="23"/>
  <c r="DL150" i="23"/>
  <c r="DM150" i="23" s="1"/>
  <c r="DF150" i="23"/>
  <c r="DG150" i="23"/>
  <c r="CH150" i="23"/>
  <c r="CI150" i="23" s="1"/>
  <c r="CT150" i="23"/>
  <c r="CU150" i="23"/>
  <c r="CZ150" i="23"/>
  <c r="DA150" i="23" s="1"/>
  <c r="CN150" i="23"/>
  <c r="CO150" i="23"/>
  <c r="BV150" i="23"/>
  <c r="BW150" i="23" s="1"/>
  <c r="BJ150" i="23"/>
  <c r="BK150" i="23"/>
  <c r="CB150" i="23"/>
  <c r="CC150" i="23" s="1"/>
  <c r="BD150" i="23"/>
  <c r="BE150" i="23"/>
  <c r="FN167" i="23"/>
  <c r="FO167" i="23" s="1"/>
  <c r="FH167" i="23"/>
  <c r="FI167" i="23"/>
  <c r="FZ167" i="23"/>
  <c r="GA167" i="23" s="1"/>
  <c r="FB167" i="23"/>
  <c r="FC167" i="23"/>
  <c r="EJ167" i="23"/>
  <c r="EK167" i="23" s="1"/>
  <c r="EV167" i="23"/>
  <c r="EW167" i="23"/>
  <c r="DX167" i="23"/>
  <c r="DY167" i="23" s="1"/>
  <c r="DR167" i="23"/>
  <c r="DS167" i="23"/>
  <c r="EP167" i="23"/>
  <c r="EQ167" i="23" s="1"/>
  <c r="FT167" i="23"/>
  <c r="FU167" i="23"/>
  <c r="DL167" i="23"/>
  <c r="DM167" i="23" s="1"/>
  <c r="CZ167" i="23"/>
  <c r="DA167" i="23"/>
  <c r="DF167" i="23"/>
  <c r="DG167" i="23" s="1"/>
  <c r="CT167" i="23"/>
  <c r="CU167" i="23"/>
  <c r="ED167" i="23"/>
  <c r="EE167" i="23" s="1"/>
  <c r="CN167" i="23"/>
  <c r="CO167" i="23"/>
  <c r="CH167" i="23"/>
  <c r="CI167" i="23" s="1"/>
  <c r="BD167" i="23"/>
  <c r="BE167" i="23"/>
  <c r="CB167" i="23"/>
  <c r="CC167" i="23" s="1"/>
  <c r="BV167" i="23"/>
  <c r="BW167" i="23"/>
  <c r="BJ167" i="23"/>
  <c r="BK167" i="23" s="1"/>
  <c r="FZ171" i="23"/>
  <c r="GA171" i="23"/>
  <c r="FB171" i="23"/>
  <c r="FC171" i="23" s="1"/>
  <c r="FN171" i="23"/>
  <c r="FO171" i="23"/>
  <c r="FT171" i="23"/>
  <c r="FU171" i="23" s="1"/>
  <c r="EV171" i="23"/>
  <c r="EW171" i="23"/>
  <c r="FH171" i="23"/>
  <c r="FI171" i="23" s="1"/>
  <c r="EJ171" i="23"/>
  <c r="EK171" i="23"/>
  <c r="DX171" i="23"/>
  <c r="DY171" i="23" s="1"/>
  <c r="EP171" i="23"/>
  <c r="EQ171" i="23"/>
  <c r="ED171" i="23"/>
  <c r="EE171" i="23" s="1"/>
  <c r="DR171" i="23"/>
  <c r="DS171" i="23" s="1"/>
  <c r="DL171" i="23"/>
  <c r="DM171" i="23" s="1"/>
  <c r="DF171" i="23"/>
  <c r="DG171" i="23"/>
  <c r="CZ171" i="23"/>
  <c r="DA171" i="23" s="1"/>
  <c r="CN171" i="23"/>
  <c r="CO171" i="23" s="1"/>
  <c r="CT171" i="23"/>
  <c r="CU171" i="23" s="1"/>
  <c r="BJ171" i="23"/>
  <c r="BK171" i="23"/>
  <c r="CH171" i="23"/>
  <c r="CI171" i="23" s="1"/>
  <c r="BD171" i="23"/>
  <c r="BE171" i="23" s="1"/>
  <c r="CB171" i="23"/>
  <c r="CC171" i="23" s="1"/>
  <c r="BV171" i="23"/>
  <c r="BW171" i="23"/>
  <c r="FZ183" i="23"/>
  <c r="GA183" i="23" s="1"/>
  <c r="FN183" i="23"/>
  <c r="FO183" i="23" s="1"/>
  <c r="FH183" i="23"/>
  <c r="FI183" i="23" s="1"/>
  <c r="FT183" i="23"/>
  <c r="FU183" i="23"/>
  <c r="EP183" i="23"/>
  <c r="EQ183" i="23" s="1"/>
  <c r="EJ183" i="23"/>
  <c r="EK183" i="23" s="1"/>
  <c r="ED183" i="23"/>
  <c r="EE183" i="23" s="1"/>
  <c r="FB183" i="23"/>
  <c r="FC183" i="23"/>
  <c r="EV183" i="23"/>
  <c r="EW183" i="23" s="1"/>
  <c r="DX183" i="23"/>
  <c r="DY183" i="23" s="1"/>
  <c r="DR183" i="23"/>
  <c r="DS183" i="23" s="1"/>
  <c r="DL183" i="23"/>
  <c r="DM183" i="23"/>
  <c r="CZ183" i="23"/>
  <c r="DA183" i="23" s="1"/>
  <c r="CT183" i="23"/>
  <c r="CU183" i="23" s="1"/>
  <c r="DF183" i="23"/>
  <c r="DG183" i="23" s="1"/>
  <c r="CN183" i="23"/>
  <c r="CO183" i="23"/>
  <c r="CH183" i="23"/>
  <c r="CI183" i="23" s="1"/>
  <c r="BD183" i="23"/>
  <c r="BE183" i="23" s="1"/>
  <c r="CB183" i="23"/>
  <c r="CC183" i="23" s="1"/>
  <c r="BV183" i="23"/>
  <c r="BW183" i="23"/>
  <c r="BJ183" i="23"/>
  <c r="BK183" i="23" s="1"/>
  <c r="FN200" i="23"/>
  <c r="FO200" i="23" s="1"/>
  <c r="FZ200" i="23"/>
  <c r="GA200" i="23" s="1"/>
  <c r="FT200" i="23"/>
  <c r="FU200" i="23"/>
  <c r="FH200" i="23"/>
  <c r="FI200" i="23" s="1"/>
  <c r="FB200" i="23"/>
  <c r="FC200" i="23" s="1"/>
  <c r="EV200" i="23"/>
  <c r="EW200" i="23" s="1"/>
  <c r="DR200" i="23"/>
  <c r="DS200" i="23"/>
  <c r="EP200" i="23"/>
  <c r="EQ200" i="23" s="1"/>
  <c r="EJ200" i="23"/>
  <c r="EK200" i="23" s="1"/>
  <c r="DF200" i="23"/>
  <c r="DG200" i="23" s="1"/>
  <c r="DL200" i="23"/>
  <c r="DM200" i="23"/>
  <c r="DX200" i="23"/>
  <c r="DY200" i="23" s="1"/>
  <c r="CH200" i="23"/>
  <c r="CI200" i="23" s="1"/>
  <c r="CZ200" i="23"/>
  <c r="DA200" i="23" s="1"/>
  <c r="CT200" i="23"/>
  <c r="CU200" i="23"/>
  <c r="ED200" i="23"/>
  <c r="EE200" i="23" s="1"/>
  <c r="CN200" i="23"/>
  <c r="CO200" i="23" s="1"/>
  <c r="BD200" i="23"/>
  <c r="BE200" i="23" s="1"/>
  <c r="CB200" i="23"/>
  <c r="CC200" i="23"/>
  <c r="BV200" i="23"/>
  <c r="BW200" i="23" s="1"/>
  <c r="BJ200" i="23"/>
  <c r="BK200" i="23" s="1"/>
  <c r="FZ219" i="23"/>
  <c r="GA219" i="23" s="1"/>
  <c r="FN219" i="23"/>
  <c r="FO219" i="23"/>
  <c r="FT219" i="23"/>
  <c r="FU219" i="23" s="1"/>
  <c r="FH219" i="23"/>
  <c r="FI219" i="23" s="1"/>
  <c r="FB219" i="23"/>
  <c r="FC219" i="23" s="1"/>
  <c r="EP219" i="23"/>
  <c r="EQ219" i="23"/>
  <c r="DR219" i="23"/>
  <c r="DS219" i="23" s="1"/>
  <c r="EV219" i="23"/>
  <c r="EW219" i="23" s="1"/>
  <c r="ED219" i="23"/>
  <c r="EE219" i="23" s="1"/>
  <c r="DX219" i="23"/>
  <c r="DY219" i="23"/>
  <c r="DL219" i="23"/>
  <c r="DM219" i="23" s="1"/>
  <c r="DF219" i="23"/>
  <c r="DG219" i="23" s="1"/>
  <c r="CZ219" i="23"/>
  <c r="DA219" i="23" s="1"/>
  <c r="CT219" i="23"/>
  <c r="CU219" i="23"/>
  <c r="CH219" i="23"/>
  <c r="CI219" i="23" s="1"/>
  <c r="CN219" i="23"/>
  <c r="CO219" i="23" s="1"/>
  <c r="EJ219" i="23"/>
  <c r="EK219" i="23" s="1"/>
  <c r="BD219" i="23"/>
  <c r="BE219" i="23"/>
  <c r="BV219" i="23"/>
  <c r="BW219" i="23" s="1"/>
  <c r="BJ219" i="23"/>
  <c r="BK219" i="23" s="1"/>
  <c r="CB219" i="23"/>
  <c r="CC219" i="23" s="1"/>
  <c r="FZ237" i="23"/>
  <c r="GA237" i="23"/>
  <c r="FN237" i="23"/>
  <c r="FO237" i="23" s="1"/>
  <c r="FB237" i="23"/>
  <c r="FC237" i="23" s="1"/>
  <c r="FH237" i="23"/>
  <c r="FI237" i="23" s="1"/>
  <c r="FT237" i="23"/>
  <c r="FU237" i="23"/>
  <c r="EP237" i="23"/>
  <c r="EQ237" i="23" s="1"/>
  <c r="DX237" i="23"/>
  <c r="DY237" i="23" s="1"/>
  <c r="DR237" i="23"/>
  <c r="DS237" i="23" s="1"/>
  <c r="EJ237" i="23"/>
  <c r="EK237" i="23"/>
  <c r="ED237" i="23"/>
  <c r="EE237" i="23" s="1"/>
  <c r="EV237" i="23"/>
  <c r="EW237" i="23" s="1"/>
  <c r="DF237" i="23"/>
  <c r="DG237" i="23" s="1"/>
  <c r="DL237" i="23"/>
  <c r="DM237" i="23"/>
  <c r="CN237" i="23"/>
  <c r="CO237" i="23" s="1"/>
  <c r="CH237" i="23"/>
  <c r="CI237" i="23" s="1"/>
  <c r="CZ237" i="23"/>
  <c r="DA237" i="23" s="1"/>
  <c r="CT237" i="23"/>
  <c r="CU237" i="23"/>
  <c r="CB237" i="23"/>
  <c r="CC237" i="23" s="1"/>
  <c r="BV237" i="23"/>
  <c r="BW237" i="23" s="1"/>
  <c r="BJ237" i="23"/>
  <c r="BK237" i="23" s="1"/>
  <c r="BD237" i="23"/>
  <c r="BE237" i="23"/>
  <c r="FZ252" i="23"/>
  <c r="GA252" i="23" s="1"/>
  <c r="FN252" i="23"/>
  <c r="FO252" i="23" s="1"/>
  <c r="FB252" i="23"/>
  <c r="FC252" i="23" s="1"/>
  <c r="EP252" i="23"/>
  <c r="EQ252" i="23"/>
  <c r="FT252" i="23"/>
  <c r="FU252" i="23" s="1"/>
  <c r="FH252" i="23"/>
  <c r="FI252" i="23" s="1"/>
  <c r="EV252" i="23"/>
  <c r="EW252" i="23" s="1"/>
  <c r="DX252" i="23"/>
  <c r="DY252" i="23"/>
  <c r="ED252" i="23"/>
  <c r="EE252" i="23" s="1"/>
  <c r="EJ252" i="23"/>
  <c r="EK252" i="23" s="1"/>
  <c r="DR252" i="23"/>
  <c r="DS252" i="23" s="1"/>
  <c r="DL252" i="23"/>
  <c r="DM252" i="23"/>
  <c r="DF252" i="23"/>
  <c r="DG252" i="23" s="1"/>
  <c r="CT252" i="23"/>
  <c r="CU252" i="23" s="1"/>
  <c r="CH252" i="23"/>
  <c r="CI252" i="23" s="1"/>
  <c r="CZ252" i="23"/>
  <c r="DA252" i="23"/>
  <c r="CN252" i="23"/>
  <c r="CO252" i="23" s="1"/>
  <c r="CB252" i="23"/>
  <c r="CC252" i="23" s="1"/>
  <c r="BD252" i="23"/>
  <c r="BE252" i="23" s="1"/>
  <c r="BV252" i="23"/>
  <c r="BW252" i="23"/>
  <c r="BJ252" i="23"/>
  <c r="BK252" i="23" s="1"/>
  <c r="FZ266" i="23"/>
  <c r="GA266" i="23" s="1"/>
  <c r="FT266" i="23"/>
  <c r="FU266" i="23" s="1"/>
  <c r="FN266" i="23"/>
  <c r="FO266" i="23"/>
  <c r="FB266" i="23"/>
  <c r="FC266" i="23" s="1"/>
  <c r="FH266" i="23"/>
  <c r="FI266" i="23" s="1"/>
  <c r="EJ266" i="23"/>
  <c r="EK266" i="23" s="1"/>
  <c r="ED266" i="23"/>
  <c r="EE266" i="23"/>
  <c r="EV266" i="23"/>
  <c r="EW266" i="23" s="1"/>
  <c r="EP266" i="23"/>
  <c r="EQ266" i="23" s="1"/>
  <c r="DX266" i="23"/>
  <c r="DY266" i="23" s="1"/>
  <c r="DR266" i="23"/>
  <c r="DS266" i="23"/>
  <c r="CZ266" i="23"/>
  <c r="DA266" i="23" s="1"/>
  <c r="DL266" i="23"/>
  <c r="DM266" i="23" s="1"/>
  <c r="DF266" i="23"/>
  <c r="DG266" i="23" s="1"/>
  <c r="CH266" i="23"/>
  <c r="CI266" i="23"/>
  <c r="CT266" i="23"/>
  <c r="CU266" i="23" s="1"/>
  <c r="CN266" i="23"/>
  <c r="CO266" i="23" s="1"/>
  <c r="BJ266" i="23"/>
  <c r="BK266" i="23" s="1"/>
  <c r="BD266" i="23"/>
  <c r="BE266" i="23"/>
  <c r="CB266" i="23"/>
  <c r="CC266" i="23" s="1"/>
  <c r="BV266" i="23"/>
  <c r="BW266" i="23" s="1"/>
  <c r="FZ281" i="23"/>
  <c r="GA281" i="23" s="1"/>
  <c r="FN281" i="23"/>
  <c r="FO281" i="23"/>
  <c r="FT281" i="23"/>
  <c r="FU281" i="23" s="1"/>
  <c r="FB281" i="23"/>
  <c r="FC281" i="23" s="1"/>
  <c r="FH281" i="23"/>
  <c r="FI281" i="23" s="1"/>
  <c r="EV281" i="23"/>
  <c r="EW281" i="23"/>
  <c r="EJ281" i="23"/>
  <c r="EK281" i="23" s="1"/>
  <c r="EP281" i="23"/>
  <c r="EQ281" i="23" s="1"/>
  <c r="ED281" i="23"/>
  <c r="EE281" i="23" s="1"/>
  <c r="DX281" i="23"/>
  <c r="DY281" i="23"/>
  <c r="CZ281" i="23"/>
  <c r="DA281" i="23" s="1"/>
  <c r="DR281" i="23"/>
  <c r="DS281" i="23" s="1"/>
  <c r="DL281" i="23"/>
  <c r="DM281" i="23" s="1"/>
  <c r="DF281" i="23"/>
  <c r="DG281" i="23"/>
  <c r="CT281" i="23"/>
  <c r="CU281" i="23" s="1"/>
  <c r="CN281" i="23"/>
  <c r="CO281" i="23" s="1"/>
  <c r="CH281" i="23"/>
  <c r="CI281" i="23" s="1"/>
  <c r="BJ281" i="23"/>
  <c r="BK281" i="23"/>
  <c r="BD281" i="23"/>
  <c r="BE281" i="23" s="1"/>
  <c r="CB281" i="23"/>
  <c r="CC281" i="23" s="1"/>
  <c r="BV281" i="23"/>
  <c r="BW281" i="23" s="1"/>
  <c r="FZ299" i="23"/>
  <c r="GA299" i="23"/>
  <c r="FN299" i="23"/>
  <c r="FO299" i="23" s="1"/>
  <c r="FT299" i="23"/>
  <c r="FU299" i="23" s="1"/>
  <c r="FH299" i="23"/>
  <c r="FI299" i="23" s="1"/>
  <c r="EV299" i="23"/>
  <c r="EW299" i="23"/>
  <c r="EP299" i="23"/>
  <c r="EQ299" i="23" s="1"/>
  <c r="ED299" i="23"/>
  <c r="EE299" i="23" s="1"/>
  <c r="DR299" i="23"/>
  <c r="DS299" i="23" s="1"/>
  <c r="FB299" i="23"/>
  <c r="FC299" i="23"/>
  <c r="EJ299" i="23"/>
  <c r="EK299" i="23" s="1"/>
  <c r="DX299" i="23"/>
  <c r="DY299" i="23" s="1"/>
  <c r="DL299" i="23"/>
  <c r="DM299" i="23" s="1"/>
  <c r="DF299" i="23"/>
  <c r="DG299" i="23"/>
  <c r="CZ299" i="23"/>
  <c r="DA299" i="23" s="1"/>
  <c r="CH299" i="23"/>
  <c r="CI299" i="23" s="1"/>
  <c r="CT299" i="23"/>
  <c r="CU299" i="23" s="1"/>
  <c r="CN299" i="23"/>
  <c r="CO299" i="23"/>
  <c r="CB299" i="23"/>
  <c r="CC299" i="23" s="1"/>
  <c r="BV299" i="23"/>
  <c r="BW299" i="23" s="1"/>
  <c r="BJ299" i="23"/>
  <c r="BK299" i="23" s="1"/>
  <c r="BD299" i="23"/>
  <c r="BE299" i="23"/>
  <c r="FZ314" i="23"/>
  <c r="GA314" i="23" s="1"/>
  <c r="FN314" i="23"/>
  <c r="FO314" i="23" s="1"/>
  <c r="FT314" i="23"/>
  <c r="FU314" i="23" s="1"/>
  <c r="FB314" i="23"/>
  <c r="FC314" i="23"/>
  <c r="FH314" i="23"/>
  <c r="FI314" i="23" s="1"/>
  <c r="EP314" i="23"/>
  <c r="EQ314" i="23" s="1"/>
  <c r="EV314" i="23"/>
  <c r="EW314" i="23" s="1"/>
  <c r="DR314" i="23"/>
  <c r="DS314" i="23"/>
  <c r="EJ314" i="23"/>
  <c r="EK314" i="23" s="1"/>
  <c r="ED314" i="23"/>
  <c r="EE314" i="23" s="1"/>
  <c r="DX314" i="23"/>
  <c r="DY314" i="23" s="1"/>
  <c r="DF314" i="23"/>
  <c r="DG314" i="23"/>
  <c r="CZ314" i="23"/>
  <c r="DA314" i="23" s="1"/>
  <c r="CH314" i="23"/>
  <c r="CI314" i="23" s="1"/>
  <c r="DL314" i="23"/>
  <c r="DM314" i="23" s="1"/>
  <c r="CT314" i="23"/>
  <c r="CU314" i="23"/>
  <c r="CN314" i="23"/>
  <c r="CO314" i="23" s="1"/>
  <c r="BJ314" i="23"/>
  <c r="BK314" i="23" s="1"/>
  <c r="BV314" i="23"/>
  <c r="BW314" i="23" s="1"/>
  <c r="BD314" i="23"/>
  <c r="BE314" i="23"/>
  <c r="CB314" i="23"/>
  <c r="CC314" i="23" s="1"/>
  <c r="FZ328" i="23"/>
  <c r="GA328" i="23" s="1"/>
  <c r="FN328" i="23"/>
  <c r="FO328" i="23" s="1"/>
  <c r="FT328" i="23"/>
  <c r="FU328" i="23"/>
  <c r="FB328" i="23"/>
  <c r="FC328" i="23" s="1"/>
  <c r="FH328" i="23"/>
  <c r="FI328" i="23" s="1"/>
  <c r="EP328" i="23"/>
  <c r="EQ328" i="23" s="1"/>
  <c r="EV328" i="23"/>
  <c r="EW328" i="23"/>
  <c r="DR328" i="23"/>
  <c r="DS328" i="23" s="1"/>
  <c r="EJ328" i="23"/>
  <c r="EK328" i="23" s="1"/>
  <c r="DX328" i="23"/>
  <c r="DY328" i="23" s="1"/>
  <c r="ED328" i="23"/>
  <c r="EE328" i="23"/>
  <c r="DF328" i="23"/>
  <c r="DG328" i="23" s="1"/>
  <c r="DL328" i="23"/>
  <c r="DM328" i="23" s="1"/>
  <c r="CZ328" i="23"/>
  <c r="DA328" i="23" s="1"/>
  <c r="CN328" i="23"/>
  <c r="CO328" i="23"/>
  <c r="CT328" i="23"/>
  <c r="CU328" i="23" s="1"/>
  <c r="CH328" i="23"/>
  <c r="CI328" i="23" s="1"/>
  <c r="BV328" i="23"/>
  <c r="BW328" i="23" s="1"/>
  <c r="BD328" i="23"/>
  <c r="BE328" i="23"/>
  <c r="CB328" i="23"/>
  <c r="CC328" i="23" s="1"/>
  <c r="BJ328" i="23"/>
  <c r="BK328" i="23" s="1"/>
  <c r="FZ343" i="23"/>
  <c r="GA343" i="23" s="1"/>
  <c r="FN343" i="23"/>
  <c r="FO343" i="23"/>
  <c r="FT343" i="23"/>
  <c r="FU343" i="23" s="1"/>
  <c r="FH343" i="23"/>
  <c r="FI343" i="23" s="1"/>
  <c r="EV343" i="23"/>
  <c r="EW343" i="23" s="1"/>
  <c r="FB343" i="23"/>
  <c r="FC343" i="23"/>
  <c r="EP343" i="23"/>
  <c r="EQ343" i="23" s="1"/>
  <c r="ED343" i="23"/>
  <c r="EE343" i="23" s="1"/>
  <c r="DR343" i="23"/>
  <c r="DS343" i="23" s="1"/>
  <c r="EJ343" i="23"/>
  <c r="EK343" i="23"/>
  <c r="DX343" i="23"/>
  <c r="DY343" i="23" s="1"/>
  <c r="DL343" i="23"/>
  <c r="DM343" i="23" s="1"/>
  <c r="DF343" i="23"/>
  <c r="DG343" i="23" s="1"/>
  <c r="CH343" i="23"/>
  <c r="CI343" i="23"/>
  <c r="CN343" i="23"/>
  <c r="CO343" i="23" s="1"/>
  <c r="CZ343" i="23"/>
  <c r="DA343" i="23" s="1"/>
  <c r="CT343" i="23"/>
  <c r="CU343" i="23" s="1"/>
  <c r="CB343" i="23"/>
  <c r="CC343" i="23"/>
  <c r="BJ343" i="23"/>
  <c r="BK343" i="23" s="1"/>
  <c r="BV343" i="23"/>
  <c r="BW343" i="23" s="1"/>
  <c r="BD343" i="23"/>
  <c r="BE343" i="23" s="1"/>
  <c r="FZ356" i="23"/>
  <c r="GA356" i="23"/>
  <c r="FN356" i="23"/>
  <c r="FO356" i="23" s="1"/>
  <c r="FB356" i="23"/>
  <c r="FC356" i="23" s="1"/>
  <c r="EV356" i="23"/>
  <c r="EW356" i="23" s="1"/>
  <c r="FH356" i="23"/>
  <c r="FI356" i="23"/>
  <c r="EJ356" i="23"/>
  <c r="EK356" i="23" s="1"/>
  <c r="FT356" i="23"/>
  <c r="FU356" i="23" s="1"/>
  <c r="EP356" i="23"/>
  <c r="EQ356" i="23" s="1"/>
  <c r="ED356" i="23"/>
  <c r="EE356" i="23"/>
  <c r="DR356" i="23"/>
  <c r="DS356" i="23" s="1"/>
  <c r="DX356" i="23"/>
  <c r="DY356" i="23" s="1"/>
  <c r="DL356" i="23"/>
  <c r="DM356" i="23" s="1"/>
  <c r="CZ356" i="23"/>
  <c r="DA356" i="23"/>
  <c r="CN356" i="23"/>
  <c r="CO356" i="23" s="1"/>
  <c r="DF356" i="23"/>
  <c r="DG356" i="23" s="1"/>
  <c r="CT356" i="23"/>
  <c r="CU356" i="23" s="1"/>
  <c r="CH356" i="23"/>
  <c r="CI356" i="23"/>
  <c r="BV356" i="23"/>
  <c r="BW356" i="23" s="1"/>
  <c r="BJ356" i="23"/>
  <c r="BK356" i="23" s="1"/>
  <c r="CB356" i="23"/>
  <c r="CC356" i="23" s="1"/>
  <c r="BD356" i="23"/>
  <c r="BE356" i="23"/>
  <c r="FZ371" i="23"/>
  <c r="GA371" i="23" s="1"/>
  <c r="FN371" i="23"/>
  <c r="FO371" i="23" s="1"/>
  <c r="FT371" i="23"/>
  <c r="FU371" i="23" s="1"/>
  <c r="FH371" i="23"/>
  <c r="FI371" i="23"/>
  <c r="FB371" i="23"/>
  <c r="FC371" i="23" s="1"/>
  <c r="EV371" i="23"/>
  <c r="EW371" i="23" s="1"/>
  <c r="EP371" i="23"/>
  <c r="EQ371" i="23" s="1"/>
  <c r="EJ371" i="23"/>
  <c r="EK371" i="23"/>
  <c r="ED371" i="23"/>
  <c r="EE371" i="23" s="1"/>
  <c r="DX371" i="23"/>
  <c r="DY371" i="23" s="1"/>
  <c r="DR371" i="23"/>
  <c r="DS371" i="23" s="1"/>
  <c r="CZ371" i="23"/>
  <c r="DA371" i="23"/>
  <c r="DF371" i="23"/>
  <c r="DG371" i="23" s="1"/>
  <c r="CT371" i="23"/>
  <c r="CU371" i="23" s="1"/>
  <c r="CB371" i="23"/>
  <c r="CC371" i="23" s="1"/>
  <c r="DL371" i="23"/>
  <c r="DM371" i="23"/>
  <c r="CN371" i="23"/>
  <c r="CO371" i="23" s="1"/>
  <c r="CH371" i="23"/>
  <c r="CI371" i="23" s="1"/>
  <c r="BD371" i="23"/>
  <c r="BE371" i="23" s="1"/>
  <c r="BJ371" i="23"/>
  <c r="BK371" i="23"/>
  <c r="BV371" i="23"/>
  <c r="BW371" i="23" s="1"/>
  <c r="FN393" i="23"/>
  <c r="FO393" i="23" s="1"/>
  <c r="FZ393" i="23"/>
  <c r="GA393" i="23" s="1"/>
  <c r="FT393" i="23"/>
  <c r="FU393" i="23"/>
  <c r="FB393" i="23"/>
  <c r="FC393" i="23" s="1"/>
  <c r="FH393" i="23"/>
  <c r="FI393" i="23" s="1"/>
  <c r="EV393" i="23"/>
  <c r="EW393" i="23" s="1"/>
  <c r="EP393" i="23"/>
  <c r="EQ393" i="23"/>
  <c r="EJ393" i="23"/>
  <c r="EK393" i="23" s="1"/>
  <c r="DR393" i="23"/>
  <c r="DS393" i="23" s="1"/>
  <c r="ED393" i="23"/>
  <c r="EE393" i="23" s="1"/>
  <c r="DX393" i="23"/>
  <c r="DY393" i="23"/>
  <c r="DL393" i="23"/>
  <c r="DM393" i="23" s="1"/>
  <c r="CH393" i="23"/>
  <c r="CI393" i="23" s="1"/>
  <c r="DF393" i="23"/>
  <c r="DG393" i="23" s="1"/>
  <c r="CZ393" i="23"/>
  <c r="DA393" i="23"/>
  <c r="CT393" i="23"/>
  <c r="CU393" i="23" s="1"/>
  <c r="CN393" i="23"/>
  <c r="CO393" i="23" s="1"/>
  <c r="CB393" i="23"/>
  <c r="CC393" i="23" s="1"/>
  <c r="BD393" i="23"/>
  <c r="BE393" i="23"/>
  <c r="BJ393" i="23"/>
  <c r="BK393" i="23" s="1"/>
  <c r="BV393" i="23"/>
  <c r="BW393" i="23" s="1"/>
  <c r="FZ410" i="23"/>
  <c r="GA410" i="23" s="1"/>
  <c r="FN410" i="23"/>
  <c r="FO410" i="23"/>
  <c r="FH410" i="23"/>
  <c r="FI410" i="23" s="1"/>
  <c r="EV410" i="23"/>
  <c r="EW410" i="23" s="1"/>
  <c r="FT410" i="23"/>
  <c r="FU410" i="23" s="1"/>
  <c r="EP410" i="23"/>
  <c r="EQ410" i="23"/>
  <c r="FB410" i="23"/>
  <c r="FC410" i="23" s="1"/>
  <c r="EJ410" i="23"/>
  <c r="EK410" i="23" s="1"/>
  <c r="DX410" i="23"/>
  <c r="DY410" i="23" s="1"/>
  <c r="ED410" i="23"/>
  <c r="EE410" i="23"/>
  <c r="DR410" i="23"/>
  <c r="DS410" i="23" s="1"/>
  <c r="DF410" i="23"/>
  <c r="DG410" i="23" s="1"/>
  <c r="DL410" i="23"/>
  <c r="DM410" i="23" s="1"/>
  <c r="CZ410" i="23"/>
  <c r="DA410" i="23"/>
  <c r="CH410" i="23"/>
  <c r="CI410" i="23" s="1"/>
  <c r="CT410" i="23"/>
  <c r="CU410" i="23" s="1"/>
  <c r="CN410" i="23"/>
  <c r="CO410" i="23" s="1"/>
  <c r="BJ410" i="23"/>
  <c r="BK410" i="23"/>
  <c r="CB410" i="23"/>
  <c r="CC410" i="23" s="1"/>
  <c r="BV410" i="23"/>
  <c r="BW410" i="23" s="1"/>
  <c r="BD410" i="23"/>
  <c r="BE410" i="23" s="1"/>
  <c r="FZ422" i="23"/>
  <c r="GA422" i="23"/>
  <c r="FN422" i="23"/>
  <c r="FO422" i="23" s="1"/>
  <c r="FT422" i="23"/>
  <c r="FU422" i="23" s="1"/>
  <c r="FH422" i="23"/>
  <c r="FI422" i="23" s="1"/>
  <c r="FB422" i="23"/>
  <c r="FC422" i="23"/>
  <c r="EV422" i="23"/>
  <c r="EW422" i="23" s="1"/>
  <c r="ED422" i="23"/>
  <c r="EE422" i="23" s="1"/>
  <c r="DX422" i="23"/>
  <c r="DY422" i="23" s="1"/>
  <c r="EP422" i="23"/>
  <c r="EQ422" i="23"/>
  <c r="DR422" i="23"/>
  <c r="DS422" i="23" s="1"/>
  <c r="DL422" i="23"/>
  <c r="DM422" i="23" s="1"/>
  <c r="EJ422" i="23"/>
  <c r="EK422" i="23" s="1"/>
  <c r="CZ422" i="23"/>
  <c r="DA422" i="23"/>
  <c r="DF422" i="23"/>
  <c r="DG422" i="23" s="1"/>
  <c r="CT422" i="23"/>
  <c r="CU422" i="23" s="1"/>
  <c r="CN422" i="23"/>
  <c r="CO422" i="23" s="1"/>
  <c r="CH422" i="23"/>
  <c r="CI422" i="23"/>
  <c r="CB422" i="23"/>
  <c r="CC422" i="23" s="1"/>
  <c r="BJ422" i="23"/>
  <c r="BK422" i="23" s="1"/>
  <c r="BV422" i="23"/>
  <c r="BW422" i="23" s="1"/>
  <c r="BD422" i="23"/>
  <c r="BE422" i="23"/>
  <c r="FZ438" i="23"/>
  <c r="GA438" i="23" s="1"/>
  <c r="FT438" i="23"/>
  <c r="FU438" i="23" s="1"/>
  <c r="FN438" i="23"/>
  <c r="FO438" i="23" s="1"/>
  <c r="FB438" i="23"/>
  <c r="FC438" i="23"/>
  <c r="FH438" i="23"/>
  <c r="FI438" i="23" s="1"/>
  <c r="EV438" i="23"/>
  <c r="EW438" i="23" s="1"/>
  <c r="EP438" i="23"/>
  <c r="EQ438" i="23" s="1"/>
  <c r="ED438" i="23"/>
  <c r="EE438" i="23"/>
  <c r="DL438" i="23"/>
  <c r="DM438" i="23" s="1"/>
  <c r="EJ438" i="23"/>
  <c r="EK438" i="23" s="1"/>
  <c r="DX438" i="23"/>
  <c r="DY438" i="23" s="1"/>
  <c r="DR438" i="23"/>
  <c r="DS438" i="23"/>
  <c r="CZ438" i="23"/>
  <c r="DA438" i="23" s="1"/>
  <c r="DF438" i="23"/>
  <c r="DG438" i="23" s="1"/>
  <c r="CH438" i="23"/>
  <c r="CI438" i="23" s="1"/>
  <c r="CT438" i="23"/>
  <c r="CU438" i="23"/>
  <c r="CB438" i="23"/>
  <c r="CC438" i="23" s="1"/>
  <c r="CN438" i="23"/>
  <c r="CO438" i="23" s="1"/>
  <c r="BV438" i="23"/>
  <c r="BW438" i="23" s="1"/>
  <c r="BJ438" i="23"/>
  <c r="BK438" i="23"/>
  <c r="BD438" i="23"/>
  <c r="BE438" i="23" s="1"/>
  <c r="FZ450" i="23"/>
  <c r="GA450" i="23" s="1"/>
  <c r="FN450" i="23"/>
  <c r="FO450" i="23" s="1"/>
  <c r="FT450" i="23"/>
  <c r="FU450" i="23"/>
  <c r="FB450" i="23"/>
  <c r="FC450" i="23" s="1"/>
  <c r="EV450" i="23"/>
  <c r="EW450" i="23" s="1"/>
  <c r="EP450" i="23"/>
  <c r="EQ450" i="23" s="1"/>
  <c r="FH450" i="23"/>
  <c r="FI450" i="23"/>
  <c r="EJ450" i="23"/>
  <c r="EK450" i="23" s="1"/>
  <c r="DR450" i="23"/>
  <c r="DS450" i="23" s="1"/>
  <c r="DX450" i="23"/>
  <c r="DY450" i="23" s="1"/>
  <c r="ED450" i="23"/>
  <c r="EE450" i="23"/>
  <c r="DF450" i="23"/>
  <c r="DG450" i="23" s="1"/>
  <c r="CZ450" i="23"/>
  <c r="DA450" i="23" s="1"/>
  <c r="DL450" i="23"/>
  <c r="DM450" i="23" s="1"/>
  <c r="CN450" i="23"/>
  <c r="CO450" i="23"/>
  <c r="CH450" i="23"/>
  <c r="CI450" i="23" s="1"/>
  <c r="CT450" i="23"/>
  <c r="CU450" i="23" s="1"/>
  <c r="CB450" i="23"/>
  <c r="CC450" i="23" s="1"/>
  <c r="BV450" i="23"/>
  <c r="BW450" i="23"/>
  <c r="BJ450" i="23"/>
  <c r="BK450" i="23" s="1"/>
  <c r="BD450" i="23"/>
  <c r="BE450" i="23" s="1"/>
  <c r="AL28" i="23"/>
  <c r="AM28" i="23" s="1"/>
  <c r="AL82" i="23"/>
  <c r="AM82" i="23"/>
  <c r="AL72" i="23"/>
  <c r="AM72" i="23" s="1"/>
  <c r="AL229" i="23"/>
  <c r="AM229" i="23" s="1"/>
  <c r="AL274" i="23"/>
  <c r="AM274" i="23" s="1"/>
  <c r="AL262" i="23"/>
  <c r="AM262" i="23"/>
  <c r="AL258" i="23"/>
  <c r="AM258" i="23" s="1"/>
  <c r="AL352" i="23"/>
  <c r="AM352" i="23" s="1"/>
  <c r="AL422" i="23"/>
  <c r="AM422" i="23" s="1"/>
  <c r="AL414" i="23"/>
  <c r="AM414" i="23"/>
  <c r="AL356" i="23"/>
  <c r="AM356" i="23" s="1"/>
  <c r="AL208" i="23"/>
  <c r="AM208" i="23" s="1"/>
  <c r="AL154" i="23"/>
  <c r="AM154" i="23" s="1"/>
  <c r="AL117" i="23"/>
  <c r="AM117" i="23"/>
  <c r="AL212" i="23"/>
  <c r="AM212" i="23" s="1"/>
  <c r="AL146" i="23"/>
  <c r="AM146" i="23" s="1"/>
  <c r="AL128" i="23"/>
  <c r="AM128" i="23" s="1"/>
  <c r="AL400" i="23"/>
  <c r="AM400" i="23"/>
  <c r="AL381" i="23"/>
  <c r="AM381" i="23" s="1"/>
  <c r="AL320" i="23"/>
  <c r="AM320" i="23" s="1"/>
  <c r="AL446" i="23"/>
  <c r="AM446" i="23" s="1"/>
  <c r="FZ60" i="23"/>
  <c r="GA60" i="23"/>
  <c r="FT60" i="23"/>
  <c r="FU60" i="23" s="1"/>
  <c r="FN60" i="23"/>
  <c r="FO60" i="23" s="1"/>
  <c r="FH60" i="23"/>
  <c r="FI60" i="23" s="1"/>
  <c r="EP60" i="23"/>
  <c r="EQ60" i="23"/>
  <c r="FB60" i="23"/>
  <c r="FC60" i="23" s="1"/>
  <c r="EV60" i="23"/>
  <c r="EW60" i="23" s="1"/>
  <c r="ED60" i="23"/>
  <c r="EE60" i="23" s="1"/>
  <c r="EJ60" i="23"/>
  <c r="EK60" i="23"/>
  <c r="DX60" i="23"/>
  <c r="DY60" i="23" s="1"/>
  <c r="DR60" i="23"/>
  <c r="DS60" i="23" s="1"/>
  <c r="CZ60" i="23"/>
  <c r="DA60" i="23" s="1"/>
  <c r="BJ60" i="23"/>
  <c r="DF60" i="23"/>
  <c r="DG60" i="23" s="1"/>
  <c r="CH60" i="23"/>
  <c r="CI60" i="23"/>
  <c r="CT60" i="23"/>
  <c r="CU60" i="23" s="1"/>
  <c r="CN60" i="23"/>
  <c r="CO60" i="23"/>
  <c r="BV60" i="23"/>
  <c r="BW60" i="23" s="1"/>
  <c r="BD60" i="23"/>
  <c r="BE60" i="23"/>
  <c r="CB60" i="23"/>
  <c r="CC60" i="23" s="1"/>
  <c r="FZ64" i="23"/>
  <c r="GA64" i="23"/>
  <c r="FT64" i="23"/>
  <c r="FU64" i="23" s="1"/>
  <c r="FN64" i="23"/>
  <c r="FO64" i="23"/>
  <c r="FH64" i="23"/>
  <c r="FI64" i="23" s="1"/>
  <c r="FB64" i="23"/>
  <c r="FC64" i="23"/>
  <c r="EP64" i="23"/>
  <c r="EQ64" i="23" s="1"/>
  <c r="EV64" i="23"/>
  <c r="EW64" i="23"/>
  <c r="EJ64" i="23"/>
  <c r="EK64" i="23" s="1"/>
  <c r="ED64" i="23"/>
  <c r="EE64" i="23"/>
  <c r="DX64" i="23"/>
  <c r="DY64" i="23" s="1"/>
  <c r="DR64" i="23"/>
  <c r="DS64" i="23"/>
  <c r="BJ64" i="23"/>
  <c r="BK64" i="23" s="1"/>
  <c r="DF64" i="23"/>
  <c r="DG64" i="23"/>
  <c r="BP64" i="23"/>
  <c r="CZ64" i="23"/>
  <c r="DA64" i="23" s="1"/>
  <c r="CT64" i="23"/>
  <c r="CU64" i="23" s="1"/>
  <c r="CN64" i="23"/>
  <c r="CO64" i="23" s="1"/>
  <c r="CB64" i="23"/>
  <c r="CC64" i="23"/>
  <c r="CH64" i="23"/>
  <c r="CI64" i="23" s="1"/>
  <c r="BD64" i="23"/>
  <c r="BE64" i="23" s="1"/>
  <c r="BV64" i="23"/>
  <c r="BW64" i="23" s="1"/>
  <c r="FN40" i="23"/>
  <c r="FO40" i="23"/>
  <c r="FT40" i="23"/>
  <c r="FU40" i="23" s="1"/>
  <c r="FZ40" i="23"/>
  <c r="GA40" i="23" s="1"/>
  <c r="FH40" i="23"/>
  <c r="FI40" i="23" s="1"/>
  <c r="EV40" i="23"/>
  <c r="FB40" i="23"/>
  <c r="EP40" i="23"/>
  <c r="DX40" i="23"/>
  <c r="ED40" i="23"/>
  <c r="DR40" i="23"/>
  <c r="EJ40" i="23"/>
  <c r="BP40" i="23"/>
  <c r="DF40" i="23"/>
  <c r="DG40" i="23"/>
  <c r="BJ40" i="23"/>
  <c r="CZ40" i="23"/>
  <c r="DA40" i="23"/>
  <c r="CT40" i="23"/>
  <c r="CU40" i="23" s="1"/>
  <c r="CN40" i="23"/>
  <c r="CO40" i="23"/>
  <c r="CB40" i="23"/>
  <c r="CC40" i="23" s="1"/>
  <c r="CH40" i="23"/>
  <c r="CI40" i="23"/>
  <c r="BD40" i="23"/>
  <c r="BE40" i="23" s="1"/>
  <c r="BV40" i="23"/>
  <c r="BW40" i="23"/>
  <c r="FZ44" i="23"/>
  <c r="GA44" i="23" s="1"/>
  <c r="FN44" i="23"/>
  <c r="FO44" i="23"/>
  <c r="FH44" i="23"/>
  <c r="FI44" i="23" s="1"/>
  <c r="FT44" i="23"/>
  <c r="FU44" i="23"/>
  <c r="EV44" i="23"/>
  <c r="FB44" i="23"/>
  <c r="DX44" i="23"/>
  <c r="ED44" i="23"/>
  <c r="DR44" i="23"/>
  <c r="EP44" i="23"/>
  <c r="EJ44" i="23"/>
  <c r="CZ44" i="23"/>
  <c r="DA44" i="23"/>
  <c r="CT44" i="23"/>
  <c r="CU44" i="23" s="1"/>
  <c r="CN44" i="23"/>
  <c r="CO44" i="23" s="1"/>
  <c r="DF44" i="23"/>
  <c r="DG44" i="23" s="1"/>
  <c r="CH44" i="23"/>
  <c r="CI44" i="23"/>
  <c r="CB44" i="23"/>
  <c r="CC44" i="23" s="1"/>
  <c r="BD44" i="23"/>
  <c r="BE44" i="23" s="1"/>
  <c r="BV44" i="23"/>
  <c r="BW44" i="23" s="1"/>
  <c r="FZ50" i="23"/>
  <c r="GA50" i="23"/>
  <c r="FN50" i="23"/>
  <c r="FO50" i="23" s="1"/>
  <c r="FT50" i="23"/>
  <c r="FU50" i="23" s="1"/>
  <c r="FH50" i="23"/>
  <c r="FI50" i="23" s="1"/>
  <c r="FB50" i="23"/>
  <c r="EV50" i="23"/>
  <c r="EP50" i="23"/>
  <c r="ED50" i="23"/>
  <c r="DX50" i="23"/>
  <c r="EJ50" i="23"/>
  <c r="DR50" i="23"/>
  <c r="BJ50" i="23"/>
  <c r="CZ50" i="23"/>
  <c r="DA50" i="23"/>
  <c r="BP50" i="23"/>
  <c r="DF50" i="23"/>
  <c r="DG50" i="23"/>
  <c r="CN50" i="23"/>
  <c r="CO50" i="23" s="1"/>
  <c r="CB50" i="23"/>
  <c r="CC50" i="23"/>
  <c r="CT50" i="23"/>
  <c r="CU50" i="23" s="1"/>
  <c r="BV50" i="23"/>
  <c r="BW50" i="23"/>
  <c r="CH50" i="23"/>
  <c r="CI50" i="23" s="1"/>
  <c r="BD50" i="23"/>
  <c r="BE50" i="23"/>
  <c r="FZ54" i="23"/>
  <c r="GA54" i="23" s="1"/>
  <c r="FN54" i="23"/>
  <c r="FO54" i="23"/>
  <c r="FT54" i="23"/>
  <c r="FU54" i="23" s="1"/>
  <c r="FB54" i="23"/>
  <c r="EV54" i="23"/>
  <c r="FH54" i="23"/>
  <c r="FI54" i="23" s="1"/>
  <c r="ED54" i="23"/>
  <c r="DX54" i="23"/>
  <c r="EP54" i="23"/>
  <c r="DR54" i="23"/>
  <c r="EJ54" i="23"/>
  <c r="BJ54" i="23"/>
  <c r="CZ54" i="23"/>
  <c r="DA54" i="23" s="1"/>
  <c r="BP54" i="23"/>
  <c r="DF54" i="23"/>
  <c r="DG54" i="23"/>
  <c r="CN54" i="23"/>
  <c r="CO54" i="23" s="1"/>
  <c r="CB54" i="23"/>
  <c r="CC54" i="23" s="1"/>
  <c r="CT54" i="23"/>
  <c r="CU54" i="23" s="1"/>
  <c r="CH54" i="23"/>
  <c r="CI54" i="23"/>
  <c r="BV54" i="23"/>
  <c r="BW54" i="23" s="1"/>
  <c r="BD54" i="23"/>
  <c r="BE54" i="23" s="1"/>
  <c r="FN58" i="23"/>
  <c r="FO58" i="23" s="1"/>
  <c r="FZ58" i="23"/>
  <c r="GA58" i="23"/>
  <c r="FT58" i="23"/>
  <c r="FU58" i="23" s="1"/>
  <c r="FH58" i="23"/>
  <c r="FI58" i="23" s="1"/>
  <c r="FB58" i="23"/>
  <c r="FC58" i="23" s="1"/>
  <c r="EV58" i="23"/>
  <c r="EW58" i="23"/>
  <c r="EP58" i="23"/>
  <c r="EQ58" i="23" s="1"/>
  <c r="EJ58" i="23"/>
  <c r="EK58" i="23" s="1"/>
  <c r="DX58" i="23"/>
  <c r="DY58" i="23" s="1"/>
  <c r="ED58" i="23"/>
  <c r="EE58" i="23"/>
  <c r="DR58" i="23"/>
  <c r="DS58" i="23" s="1"/>
  <c r="DF58" i="23"/>
  <c r="DG58" i="23" s="1"/>
  <c r="BP58" i="23"/>
  <c r="BQ58" i="23" s="1"/>
  <c r="CZ58" i="23"/>
  <c r="DA58" i="23"/>
  <c r="CT58" i="23"/>
  <c r="CU58" i="23" s="1"/>
  <c r="CN58" i="23"/>
  <c r="CO58" i="23" s="1"/>
  <c r="CB58" i="23"/>
  <c r="CC58" i="23" s="1"/>
  <c r="CH58" i="23"/>
  <c r="CI58" i="23"/>
  <c r="BD58" i="23"/>
  <c r="BE58" i="23" s="1"/>
  <c r="BV58" i="23"/>
  <c r="BW58" i="23" s="1"/>
  <c r="FN70" i="23"/>
  <c r="FO70" i="23" s="1"/>
  <c r="FZ70" i="23"/>
  <c r="GA70" i="23"/>
  <c r="FT70" i="23"/>
  <c r="FU70" i="23" s="1"/>
  <c r="FH70" i="23"/>
  <c r="FI70" i="23" s="1"/>
  <c r="FB70" i="23"/>
  <c r="FC70" i="23" s="1"/>
  <c r="EV70" i="23"/>
  <c r="EW70" i="23"/>
  <c r="EP70" i="23"/>
  <c r="EQ70" i="23" s="1"/>
  <c r="ED70" i="23"/>
  <c r="EE70" i="23" s="1"/>
  <c r="EJ70" i="23"/>
  <c r="EK70" i="23" s="1"/>
  <c r="DF70" i="23"/>
  <c r="DG70" i="23"/>
  <c r="DX70" i="23"/>
  <c r="DY70" i="23" s="1"/>
  <c r="DR70" i="23"/>
  <c r="DS70" i="23" s="1"/>
  <c r="DL70" i="23"/>
  <c r="DM70" i="23" s="1"/>
  <c r="CH70" i="23"/>
  <c r="CI70" i="23"/>
  <c r="CZ70" i="23"/>
  <c r="DA70" i="23" s="1"/>
  <c r="CT70" i="23"/>
  <c r="CU70" i="23" s="1"/>
  <c r="CN70" i="23"/>
  <c r="CO70" i="23" s="1"/>
  <c r="BJ70" i="23"/>
  <c r="BK70" i="23"/>
  <c r="CB70" i="23"/>
  <c r="CC70" i="23" s="1"/>
  <c r="BD70" i="23"/>
  <c r="BE70" i="23" s="1"/>
  <c r="BV70" i="23"/>
  <c r="BW70" i="23" s="1"/>
  <c r="FZ74" i="23"/>
  <c r="GA74" i="23"/>
  <c r="FN74" i="23"/>
  <c r="FO74" i="23" s="1"/>
  <c r="FT74" i="23"/>
  <c r="FU74" i="23" s="1"/>
  <c r="EV74" i="23"/>
  <c r="EW74" i="23" s="1"/>
  <c r="FH74" i="23"/>
  <c r="FI74" i="23"/>
  <c r="EP74" i="23"/>
  <c r="EQ74" i="23" s="1"/>
  <c r="FB74" i="23"/>
  <c r="FC74" i="23" s="1"/>
  <c r="EJ74" i="23"/>
  <c r="EK74" i="23" s="1"/>
  <c r="ED74" i="23"/>
  <c r="EE74" i="23"/>
  <c r="DR74" i="23"/>
  <c r="DS74" i="23" s="1"/>
  <c r="DL74" i="23"/>
  <c r="DM74" i="23" s="1"/>
  <c r="DX74" i="23"/>
  <c r="DY74" i="23" s="1"/>
  <c r="DF74" i="23"/>
  <c r="DG74" i="23"/>
  <c r="CZ74" i="23"/>
  <c r="DA74" i="23" s="1"/>
  <c r="CT74" i="23"/>
  <c r="CU74" i="23" s="1"/>
  <c r="CN74" i="23"/>
  <c r="CO74" i="23" s="1"/>
  <c r="CH74" i="23"/>
  <c r="CI74" i="23"/>
  <c r="BV74" i="23"/>
  <c r="BW74" i="23" s="1"/>
  <c r="BJ74" i="23"/>
  <c r="BK74" i="23" s="1"/>
  <c r="CB74" i="23"/>
  <c r="CC74" i="23" s="1"/>
  <c r="BD74" i="23"/>
  <c r="BE74" i="23"/>
  <c r="FZ80" i="23"/>
  <c r="GA80" i="23" s="1"/>
  <c r="FH80" i="23"/>
  <c r="FI80" i="23" s="1"/>
  <c r="FN80" i="23"/>
  <c r="FO80" i="23" s="1"/>
  <c r="EP80" i="23"/>
  <c r="EQ80" i="23"/>
  <c r="ED80" i="23"/>
  <c r="EE80" i="23" s="1"/>
  <c r="FT80" i="23"/>
  <c r="FU80" i="23" s="1"/>
  <c r="FB80" i="23"/>
  <c r="FC80" i="23" s="1"/>
  <c r="EJ80" i="23"/>
  <c r="EK80" i="23"/>
  <c r="EV80" i="23"/>
  <c r="EW80" i="23" s="1"/>
  <c r="DX80" i="23"/>
  <c r="DY80" i="23" s="1"/>
  <c r="DL80" i="23"/>
  <c r="DM80" i="23" s="1"/>
  <c r="DF80" i="23"/>
  <c r="DG80" i="23"/>
  <c r="CT80" i="23"/>
  <c r="CU80" i="23" s="1"/>
  <c r="CH80" i="23"/>
  <c r="CI80" i="23" s="1"/>
  <c r="CN80" i="23"/>
  <c r="CO80" i="23" s="1"/>
  <c r="DR80" i="23"/>
  <c r="DS80" i="23"/>
  <c r="CZ80" i="23"/>
  <c r="DA80" i="23" s="1"/>
  <c r="CB80" i="23"/>
  <c r="CC80" i="23" s="1"/>
  <c r="BJ80" i="23"/>
  <c r="BK80" i="23" s="1"/>
  <c r="BD80" i="23"/>
  <c r="BE80" i="23"/>
  <c r="BV80" i="23"/>
  <c r="BW80" i="23" s="1"/>
  <c r="FZ84" i="23"/>
  <c r="GA84" i="23" s="1"/>
  <c r="FN84" i="23"/>
  <c r="FO84" i="23" s="1"/>
  <c r="FB84" i="23"/>
  <c r="FC84" i="23"/>
  <c r="EV84" i="23"/>
  <c r="EW84" i="23" s="1"/>
  <c r="FT84" i="23"/>
  <c r="FU84" i="23" s="1"/>
  <c r="FH84" i="23"/>
  <c r="FI84" i="23" s="1"/>
  <c r="EJ84" i="23"/>
  <c r="EK84" i="23"/>
  <c r="DX84" i="23"/>
  <c r="DY84" i="23" s="1"/>
  <c r="EP84" i="23"/>
  <c r="EQ84" i="23" s="1"/>
  <c r="ED84" i="23"/>
  <c r="EE84" i="23" s="1"/>
  <c r="DR84" i="23"/>
  <c r="DS84" i="23"/>
  <c r="DL84" i="23"/>
  <c r="DM84" i="23" s="1"/>
  <c r="DF84" i="23"/>
  <c r="DG84" i="23" s="1"/>
  <c r="CZ84" i="23"/>
  <c r="DA84" i="23" s="1"/>
  <c r="CT84" i="23"/>
  <c r="CU84" i="23"/>
  <c r="CN84" i="23"/>
  <c r="CO84" i="23" s="1"/>
  <c r="CH84" i="23"/>
  <c r="CI84" i="23" s="1"/>
  <c r="BV84" i="23"/>
  <c r="BW84" i="23" s="1"/>
  <c r="BJ84" i="23"/>
  <c r="BK84" i="23"/>
  <c r="CB84" i="23"/>
  <c r="CC84" i="23" s="1"/>
  <c r="BD84" i="23"/>
  <c r="BE84" i="23" s="1"/>
  <c r="FZ88" i="23"/>
  <c r="GA88" i="23" s="1"/>
  <c r="FN88" i="23"/>
  <c r="FO88" i="23"/>
  <c r="FT88" i="23"/>
  <c r="FU88" i="23" s="1"/>
  <c r="FH88" i="23"/>
  <c r="FI88" i="23" s="1"/>
  <c r="EV88" i="23"/>
  <c r="EW88" i="23" s="1"/>
  <c r="EP88" i="23"/>
  <c r="EQ88" i="23"/>
  <c r="ED88" i="23"/>
  <c r="EE88" i="23" s="1"/>
  <c r="DR88" i="23"/>
  <c r="DS88" i="23" s="1"/>
  <c r="FB88" i="23"/>
  <c r="FC88" i="23" s="1"/>
  <c r="EJ88" i="23"/>
  <c r="EK88" i="23"/>
  <c r="DX88" i="23"/>
  <c r="DY88" i="23" s="1"/>
  <c r="DL88" i="23"/>
  <c r="DM88" i="23" s="1"/>
  <c r="DF88" i="23"/>
  <c r="DG88" i="23" s="1"/>
  <c r="CN88" i="23"/>
  <c r="CO88" i="23"/>
  <c r="CZ88" i="23"/>
  <c r="DA88" i="23" s="1"/>
  <c r="CT88" i="23"/>
  <c r="CU88" i="23" s="1"/>
  <c r="CB88" i="23"/>
  <c r="CC88" i="23" s="1"/>
  <c r="BD88" i="23"/>
  <c r="BE88" i="23"/>
  <c r="CH88" i="23"/>
  <c r="CI88" i="23" s="1"/>
  <c r="BV88" i="23"/>
  <c r="BW88" i="23" s="1"/>
  <c r="BJ88" i="23"/>
  <c r="BK88" i="23" s="1"/>
  <c r="FZ92" i="23"/>
  <c r="GA92" i="23"/>
  <c r="FN92" i="23"/>
  <c r="FO92" i="23" s="1"/>
  <c r="FT92" i="23"/>
  <c r="FU92" i="23" s="1"/>
  <c r="FH92" i="23"/>
  <c r="FI92" i="23" s="1"/>
  <c r="EV92" i="23"/>
  <c r="EW92" i="23"/>
  <c r="FB92" i="23"/>
  <c r="FC92" i="23" s="1"/>
  <c r="EJ92" i="23"/>
  <c r="EK92" i="23" s="1"/>
  <c r="DR92" i="23"/>
  <c r="DS92" i="23" s="1"/>
  <c r="EP92" i="23"/>
  <c r="EQ92" i="23"/>
  <c r="ED92" i="23"/>
  <c r="EE92" i="23" s="1"/>
  <c r="DX92" i="23"/>
  <c r="DY92" i="23" s="1"/>
  <c r="DF92" i="23"/>
  <c r="DG92" i="23" s="1"/>
  <c r="CZ92" i="23"/>
  <c r="DA92" i="23"/>
  <c r="CH92" i="23"/>
  <c r="CI92" i="23" s="1"/>
  <c r="CT92" i="23"/>
  <c r="CU92" i="23" s="1"/>
  <c r="CN92" i="23"/>
  <c r="CO92" i="23" s="1"/>
  <c r="DL92" i="23"/>
  <c r="DM92" i="23"/>
  <c r="BV92" i="23"/>
  <c r="BW92" i="23" s="1"/>
  <c r="BJ92" i="23"/>
  <c r="BK92" i="23" s="1"/>
  <c r="CB92" i="23"/>
  <c r="CC92" i="23" s="1"/>
  <c r="BD92" i="23"/>
  <c r="BE92" i="23"/>
  <c r="FT101" i="23"/>
  <c r="FU101" i="23" s="1"/>
  <c r="FB101" i="23"/>
  <c r="FC101" i="23" s="1"/>
  <c r="FZ101" i="23"/>
  <c r="GA101" i="23" s="1"/>
  <c r="FN101" i="23"/>
  <c r="FO101" i="23"/>
  <c r="FH101" i="23"/>
  <c r="FI101" i="23" s="1"/>
  <c r="EJ101" i="23"/>
  <c r="EK101" i="23" s="1"/>
  <c r="EV101" i="23"/>
  <c r="EW101" i="23" s="1"/>
  <c r="DR101" i="23"/>
  <c r="DS101" i="23"/>
  <c r="DX101" i="23"/>
  <c r="DY101" i="23" s="1"/>
  <c r="EP101" i="23"/>
  <c r="EQ101" i="23" s="1"/>
  <c r="ED101" i="23"/>
  <c r="EE101" i="23" s="1"/>
  <c r="DL101" i="23"/>
  <c r="DM101" i="23"/>
  <c r="DF101" i="23"/>
  <c r="DG101" i="23" s="1"/>
  <c r="CZ101" i="23"/>
  <c r="DA101" i="23" s="1"/>
  <c r="CT101" i="23"/>
  <c r="CU101" i="23" s="1"/>
  <c r="CN101" i="23"/>
  <c r="CO101" i="23"/>
  <c r="CB101" i="23"/>
  <c r="CC101" i="23" s="1"/>
  <c r="BD101" i="23"/>
  <c r="BE101" i="23" s="1"/>
  <c r="CH101" i="23"/>
  <c r="CI101" i="23" s="1"/>
  <c r="BV101" i="23"/>
  <c r="BW101" i="23"/>
  <c r="BJ101" i="23"/>
  <c r="BK101" i="23" s="1"/>
  <c r="FZ107" i="23"/>
  <c r="GA107" i="23" s="1"/>
  <c r="FN107" i="23"/>
  <c r="FO107" i="23" s="1"/>
  <c r="FT107" i="23"/>
  <c r="FU107" i="23"/>
  <c r="FB107" i="23"/>
  <c r="FC107" i="23" s="1"/>
  <c r="FH107" i="23"/>
  <c r="FI107" i="23" s="1"/>
  <c r="EV107" i="23"/>
  <c r="EW107" i="23" s="1"/>
  <c r="EJ107" i="23"/>
  <c r="EK107" i="23"/>
  <c r="EP107" i="23"/>
  <c r="EQ107" i="23" s="1"/>
  <c r="DR107" i="23"/>
  <c r="DS107" i="23" s="1"/>
  <c r="DX107" i="23"/>
  <c r="DY107" i="23" s="1"/>
  <c r="DL107" i="23"/>
  <c r="DM107" i="23"/>
  <c r="DF107" i="23"/>
  <c r="DG107" i="23" s="1"/>
  <c r="ED107" i="23"/>
  <c r="EE107" i="23" s="1"/>
  <c r="CT107" i="23"/>
  <c r="CU107" i="23" s="1"/>
  <c r="CN107" i="23"/>
  <c r="CO107" i="23"/>
  <c r="CH107" i="23"/>
  <c r="CI107" i="23" s="1"/>
  <c r="CZ107" i="23"/>
  <c r="DA107" i="23" s="1"/>
  <c r="BV107" i="23"/>
  <c r="BW107" i="23" s="1"/>
  <c r="BJ107" i="23"/>
  <c r="BK107" i="23"/>
  <c r="CB107" i="23"/>
  <c r="CC107" i="23" s="1"/>
  <c r="BD107" i="23"/>
  <c r="BE107" i="23" s="1"/>
  <c r="FZ111" i="23"/>
  <c r="GA111" i="23" s="1"/>
  <c r="FN111" i="23"/>
  <c r="FO111" i="23"/>
  <c r="FH111" i="23"/>
  <c r="FI111" i="23" s="1"/>
  <c r="FB111" i="23"/>
  <c r="FC111" i="23" s="1"/>
  <c r="FT111" i="23"/>
  <c r="FU111" i="23" s="1"/>
  <c r="EV111" i="23"/>
  <c r="EW111" i="23"/>
  <c r="EJ111" i="23"/>
  <c r="EK111" i="23" s="1"/>
  <c r="DX111" i="23"/>
  <c r="DY111" i="23" s="1"/>
  <c r="EP111" i="23"/>
  <c r="EQ111" i="23" s="1"/>
  <c r="DR111" i="23"/>
  <c r="DS111" i="23"/>
  <c r="ED111" i="23"/>
  <c r="EE111" i="23" s="1"/>
  <c r="DF111" i="23"/>
  <c r="DG111" i="23" s="1"/>
  <c r="DL111" i="23"/>
  <c r="DM111" i="23" s="1"/>
  <c r="CN111" i="23"/>
  <c r="CO111" i="23"/>
  <c r="CZ111" i="23"/>
  <c r="DA111" i="23" s="1"/>
  <c r="CT111" i="23"/>
  <c r="CU111" i="23" s="1"/>
  <c r="CH111" i="23"/>
  <c r="CI111" i="23" s="1"/>
  <c r="BD111" i="23"/>
  <c r="BE111" i="23"/>
  <c r="BV111" i="23"/>
  <c r="BW111" i="23" s="1"/>
  <c r="BJ111" i="23"/>
  <c r="BK111" i="23" s="1"/>
  <c r="CB111" i="23"/>
  <c r="CC111" i="23" s="1"/>
  <c r="FZ115" i="23"/>
  <c r="GA115" i="23"/>
  <c r="FN115" i="23"/>
  <c r="FO115" i="23" s="1"/>
  <c r="FH115" i="23"/>
  <c r="FI115" i="23" s="1"/>
  <c r="FB115" i="23"/>
  <c r="FC115" i="23" s="1"/>
  <c r="FT115" i="23"/>
  <c r="FU115" i="23"/>
  <c r="EV115" i="23"/>
  <c r="EW115" i="23" s="1"/>
  <c r="EP115" i="23"/>
  <c r="EQ115" i="23" s="1"/>
  <c r="EJ115" i="23"/>
  <c r="EK115" i="23" s="1"/>
  <c r="DR115" i="23"/>
  <c r="DS115" i="23"/>
  <c r="ED115" i="23"/>
  <c r="EE115" i="23" s="1"/>
  <c r="DX115" i="23"/>
  <c r="DY115" i="23" s="1"/>
  <c r="DL115" i="23"/>
  <c r="DM115" i="23" s="1"/>
  <c r="CT115" i="23"/>
  <c r="CU115" i="23"/>
  <c r="CN115" i="23"/>
  <c r="CO115" i="23" s="1"/>
  <c r="DF115" i="23"/>
  <c r="DG115" i="23" s="1"/>
  <c r="CH115" i="23"/>
  <c r="CI115" i="23" s="1"/>
  <c r="CZ115" i="23"/>
  <c r="DA115" i="23"/>
  <c r="BV115" i="23"/>
  <c r="BW115" i="23" s="1"/>
  <c r="CB115" i="23"/>
  <c r="CC115" i="23" s="1"/>
  <c r="BJ115" i="23"/>
  <c r="BK115" i="23" s="1"/>
  <c r="BD115" i="23"/>
  <c r="BE115" i="23"/>
  <c r="AL119" i="23"/>
  <c r="AM119" i="23" s="1"/>
  <c r="FN119" i="23"/>
  <c r="FO119" i="23" s="1"/>
  <c r="FZ119" i="23"/>
  <c r="GA119" i="23" s="1"/>
  <c r="FB119" i="23"/>
  <c r="FC119" i="23"/>
  <c r="EJ119" i="23"/>
  <c r="EK119" i="23" s="1"/>
  <c r="EV119" i="23"/>
  <c r="EW119" i="23" s="1"/>
  <c r="FT119" i="23"/>
  <c r="FU119" i="23" s="1"/>
  <c r="DR119" i="23"/>
  <c r="DS119" i="23"/>
  <c r="FH119" i="23"/>
  <c r="FI119" i="23" s="1"/>
  <c r="EP119" i="23"/>
  <c r="EQ119" i="23" s="1"/>
  <c r="DX119" i="23"/>
  <c r="DY119" i="23" s="1"/>
  <c r="ED119" i="23"/>
  <c r="EE119" i="23"/>
  <c r="DL119" i="23"/>
  <c r="DM119" i="23" s="1"/>
  <c r="CT119" i="23"/>
  <c r="CU119" i="23" s="1"/>
  <c r="CN119" i="23"/>
  <c r="CO119" i="23" s="1"/>
  <c r="DF119" i="23"/>
  <c r="DG119" i="23"/>
  <c r="CZ119" i="23"/>
  <c r="DA119" i="23" s="1"/>
  <c r="CH119" i="23"/>
  <c r="CI119" i="23" s="1"/>
  <c r="CB119" i="23"/>
  <c r="CC119" i="23" s="1"/>
  <c r="BJ119" i="23"/>
  <c r="BK119" i="23"/>
  <c r="BD119" i="23"/>
  <c r="BE119" i="23" s="1"/>
  <c r="BV119" i="23"/>
  <c r="BW119" i="23" s="1"/>
  <c r="FZ123" i="23"/>
  <c r="GA123" i="23" s="1"/>
  <c r="FN123" i="23"/>
  <c r="FO123" i="23"/>
  <c r="FT123" i="23"/>
  <c r="FU123" i="23" s="1"/>
  <c r="FH123" i="23"/>
  <c r="FI123" i="23" s="1"/>
  <c r="EV123" i="23"/>
  <c r="EW123" i="23" s="1"/>
  <c r="FB123" i="23"/>
  <c r="FC123" i="23"/>
  <c r="EP123" i="23"/>
  <c r="EQ123" i="23" s="1"/>
  <c r="ED123" i="23"/>
  <c r="EE123" i="23" s="1"/>
  <c r="EJ123" i="23"/>
  <c r="EK123" i="23" s="1"/>
  <c r="DX123" i="23"/>
  <c r="DY123" i="23"/>
  <c r="DF123" i="23"/>
  <c r="DG123" i="23" s="1"/>
  <c r="CZ123" i="23"/>
  <c r="DA123" i="23" s="1"/>
  <c r="CH123" i="23"/>
  <c r="CI123" i="23" s="1"/>
  <c r="DR123" i="23"/>
  <c r="DS123" i="23"/>
  <c r="DL123" i="23"/>
  <c r="DM123" i="23" s="1"/>
  <c r="CT123" i="23"/>
  <c r="CU123" i="23" s="1"/>
  <c r="CN123" i="23"/>
  <c r="CO123" i="23" s="1"/>
  <c r="CB123" i="23"/>
  <c r="CC123" i="23"/>
  <c r="BJ123" i="23"/>
  <c r="BK123" i="23" s="1"/>
  <c r="BD123" i="23"/>
  <c r="BE123" i="23" s="1"/>
  <c r="BV123" i="23"/>
  <c r="BW123" i="23" s="1"/>
  <c r="FZ130" i="23"/>
  <c r="GA130" i="23"/>
  <c r="FN130" i="23"/>
  <c r="FO130" i="23" s="1"/>
  <c r="FT130" i="23"/>
  <c r="FU130" i="23" s="1"/>
  <c r="FB130" i="23"/>
  <c r="FC130" i="23" s="1"/>
  <c r="FH130" i="23"/>
  <c r="FI130" i="23"/>
  <c r="EV130" i="23"/>
  <c r="EW130" i="23" s="1"/>
  <c r="EP130" i="23"/>
  <c r="EQ130" i="23" s="1"/>
  <c r="ED130" i="23"/>
  <c r="EE130" i="23" s="1"/>
  <c r="DX130" i="23"/>
  <c r="DY130" i="23"/>
  <c r="DR130" i="23"/>
  <c r="DS130" i="23" s="1"/>
  <c r="EJ130" i="23"/>
  <c r="EK130" i="23" s="1"/>
  <c r="DL130" i="23"/>
  <c r="DM130" i="23" s="1"/>
  <c r="DF130" i="23"/>
  <c r="DG130" i="23"/>
  <c r="CH130" i="23"/>
  <c r="CI130" i="23" s="1"/>
  <c r="CN130" i="23"/>
  <c r="CO130" i="23" s="1"/>
  <c r="CZ130" i="23"/>
  <c r="DA130" i="23" s="1"/>
  <c r="CT130" i="23"/>
  <c r="CU130" i="23"/>
  <c r="BD130" i="23"/>
  <c r="BE130" i="23" s="1"/>
  <c r="CB130" i="23"/>
  <c r="CC130" i="23" s="1"/>
  <c r="BV130" i="23"/>
  <c r="BW130" i="23" s="1"/>
  <c r="BJ130" i="23"/>
  <c r="BK130" i="23"/>
  <c r="FZ134" i="23"/>
  <c r="GA134" i="23" s="1"/>
  <c r="FN134" i="23"/>
  <c r="FO134" i="23" s="1"/>
  <c r="FT134" i="23"/>
  <c r="FU134" i="23" s="1"/>
  <c r="FB134" i="23"/>
  <c r="FC134" i="23"/>
  <c r="EV134" i="23"/>
  <c r="EW134" i="23" s="1"/>
  <c r="FH134" i="23"/>
  <c r="FI134" i="23" s="1"/>
  <c r="EJ134" i="23"/>
  <c r="EK134" i="23" s="1"/>
  <c r="EP134" i="23"/>
  <c r="EQ134" i="23"/>
  <c r="ED134" i="23"/>
  <c r="EE134" i="23" s="1"/>
  <c r="DX134" i="23"/>
  <c r="DY134" i="23" s="1"/>
  <c r="DF134" i="23"/>
  <c r="DG134" i="23" s="1"/>
  <c r="DR134" i="23"/>
  <c r="DS134" i="23"/>
  <c r="DL134" i="23"/>
  <c r="DM134" i="23" s="1"/>
  <c r="CT134" i="23"/>
  <c r="CU134" i="23" s="1"/>
  <c r="CH134" i="23"/>
  <c r="CI134" i="23" s="1"/>
  <c r="CN134" i="23"/>
  <c r="CO134" i="23"/>
  <c r="CZ134" i="23"/>
  <c r="DA134" i="23" s="1"/>
  <c r="CB134" i="23"/>
  <c r="CC134" i="23" s="1"/>
  <c r="BJ134" i="23"/>
  <c r="BK134" i="23" s="1"/>
  <c r="BD134" i="23"/>
  <c r="BE134" i="23"/>
  <c r="BV134" i="23"/>
  <c r="BW134" i="23" s="1"/>
  <c r="FZ140" i="23"/>
  <c r="GA140" i="23" s="1"/>
  <c r="FN140" i="23"/>
  <c r="FO140" i="23" s="1"/>
  <c r="FH140" i="23"/>
  <c r="FI140" i="23"/>
  <c r="FB140" i="23"/>
  <c r="FC140" i="23" s="1"/>
  <c r="FT140" i="23"/>
  <c r="FU140" i="23" s="1"/>
  <c r="EV140" i="23"/>
  <c r="EW140" i="23" s="1"/>
  <c r="DX140" i="23"/>
  <c r="DY140" i="23"/>
  <c r="EP140" i="23"/>
  <c r="EQ140" i="23" s="1"/>
  <c r="ED140" i="23"/>
  <c r="EE140" i="23" s="1"/>
  <c r="DR140" i="23"/>
  <c r="DS140" i="23" s="1"/>
  <c r="DF140" i="23"/>
  <c r="DG140" i="23"/>
  <c r="DL140" i="23"/>
  <c r="DM140" i="23" s="1"/>
  <c r="EJ140" i="23"/>
  <c r="EK140" i="23" s="1"/>
  <c r="CT140" i="23"/>
  <c r="CU140" i="23" s="1"/>
  <c r="CN140" i="23"/>
  <c r="CO140" i="23"/>
  <c r="CZ140" i="23"/>
  <c r="DA140" i="23" s="1"/>
  <c r="CB140" i="23"/>
  <c r="CC140" i="23" s="1"/>
  <c r="BJ140" i="23"/>
  <c r="BK140" i="23" s="1"/>
  <c r="BD140" i="23"/>
  <c r="BE140" i="23"/>
  <c r="CH140" i="23"/>
  <c r="CI140" i="23" s="1"/>
  <c r="BV140" i="23"/>
  <c r="BW140" i="23" s="1"/>
  <c r="AL144" i="23"/>
  <c r="AM144" i="23" s="1"/>
  <c r="FZ144" i="23"/>
  <c r="GA144" i="23"/>
  <c r="FN144" i="23"/>
  <c r="FO144" i="23" s="1"/>
  <c r="FT144" i="23"/>
  <c r="FU144" i="23" s="1"/>
  <c r="FH144" i="23"/>
  <c r="FI144" i="23" s="1"/>
  <c r="FB144" i="23"/>
  <c r="FC144" i="23"/>
  <c r="EV144" i="23"/>
  <c r="EW144" i="23" s="1"/>
  <c r="EP144" i="23"/>
  <c r="EQ144" i="23" s="1"/>
  <c r="EJ144" i="23"/>
  <c r="EK144" i="23" s="1"/>
  <c r="DR144" i="23"/>
  <c r="DS144" i="23"/>
  <c r="ED144" i="23"/>
  <c r="EE144" i="23" s="1"/>
  <c r="DX144" i="23"/>
  <c r="DY144" i="23" s="1"/>
  <c r="DF144" i="23"/>
  <c r="DG144" i="23" s="1"/>
  <c r="DL144" i="23"/>
  <c r="DM144" i="23"/>
  <c r="CZ144" i="23"/>
  <c r="DA144" i="23" s="1"/>
  <c r="CT144" i="23"/>
  <c r="CU144" i="23" s="1"/>
  <c r="CH144" i="23"/>
  <c r="CI144" i="23" s="1"/>
  <c r="CN144" i="23"/>
  <c r="CO144" i="23"/>
  <c r="BD144" i="23"/>
  <c r="BE144" i="23" s="1"/>
  <c r="CB144" i="23"/>
  <c r="CC144" i="23" s="1"/>
  <c r="BJ144" i="23"/>
  <c r="BK144" i="23" s="1"/>
  <c r="BV144" i="23"/>
  <c r="BW144" i="23"/>
  <c r="FZ148" i="23"/>
  <c r="GA148" i="23" s="1"/>
  <c r="FH148" i="23"/>
  <c r="FI148" i="23" s="1"/>
  <c r="FT148" i="23"/>
  <c r="FU148" i="23" s="1"/>
  <c r="FB148" i="23"/>
  <c r="FC148" i="23"/>
  <c r="EP148" i="23"/>
  <c r="EQ148" i="23" s="1"/>
  <c r="FN148" i="23"/>
  <c r="FO148" i="23" s="1"/>
  <c r="EJ148" i="23"/>
  <c r="EK148" i="23" s="1"/>
  <c r="ED148" i="23"/>
  <c r="EE148" i="23"/>
  <c r="DR148" i="23"/>
  <c r="DS148" i="23" s="1"/>
  <c r="EV148" i="23"/>
  <c r="EW148" i="23" s="1"/>
  <c r="DX148" i="23"/>
  <c r="DY148" i="23" s="1"/>
  <c r="DL148" i="23"/>
  <c r="DM148" i="23"/>
  <c r="DF148" i="23"/>
  <c r="DG148" i="23" s="1"/>
  <c r="CZ148" i="23"/>
  <c r="DA148" i="23" s="1"/>
  <c r="CT148" i="23"/>
  <c r="CU148" i="23" s="1"/>
  <c r="CN148" i="23"/>
  <c r="CO148" i="23"/>
  <c r="CH148" i="23"/>
  <c r="CI148" i="23" s="1"/>
  <c r="BV148" i="23"/>
  <c r="BW148" i="23" s="1"/>
  <c r="BJ148" i="23"/>
  <c r="BK148" i="23" s="1"/>
  <c r="CB148" i="23"/>
  <c r="CC148" i="23"/>
  <c r="BD148" i="23"/>
  <c r="BE148" i="23" s="1"/>
  <c r="FZ152" i="23"/>
  <c r="GA152" i="23" s="1"/>
  <c r="FN152" i="23"/>
  <c r="FO152" i="23" s="1"/>
  <c r="FT152" i="23"/>
  <c r="FU152" i="23"/>
  <c r="FH152" i="23"/>
  <c r="FI152" i="23" s="1"/>
  <c r="EP152" i="23"/>
  <c r="EQ152" i="23" s="1"/>
  <c r="FB152" i="23"/>
  <c r="FC152" i="23" s="1"/>
  <c r="EV152" i="23"/>
  <c r="EW152" i="23"/>
  <c r="DX152" i="23"/>
  <c r="DY152" i="23" s="1"/>
  <c r="ED152" i="23"/>
  <c r="EE152" i="23" s="1"/>
  <c r="DR152" i="23"/>
  <c r="DS152" i="23" s="1"/>
  <c r="EJ152" i="23"/>
  <c r="EK152" i="23"/>
  <c r="DF152" i="23"/>
  <c r="DG152" i="23" s="1"/>
  <c r="DL152" i="23"/>
  <c r="DM152" i="23" s="1"/>
  <c r="CZ152" i="23"/>
  <c r="DA152" i="23" s="1"/>
  <c r="CH152" i="23"/>
  <c r="CI152" i="23"/>
  <c r="CN152" i="23"/>
  <c r="CO152" i="23" s="1"/>
  <c r="CT152" i="23"/>
  <c r="CU152" i="23" s="1"/>
  <c r="CB152" i="23"/>
  <c r="CC152" i="23" s="1"/>
  <c r="BV152" i="23"/>
  <c r="BW152" i="23"/>
  <c r="BD152" i="23"/>
  <c r="BE152" i="23" s="1"/>
  <c r="BJ152" i="23"/>
  <c r="BK152" i="23" s="1"/>
  <c r="FN159" i="23"/>
  <c r="FO159" i="23" s="1"/>
  <c r="FT159" i="23"/>
  <c r="FU159" i="23"/>
  <c r="FZ159" i="23"/>
  <c r="GA159" i="23" s="1"/>
  <c r="FH159" i="23"/>
  <c r="FI159" i="23" s="1"/>
  <c r="FB159" i="23"/>
  <c r="FC159" i="23" s="1"/>
  <c r="EV159" i="23"/>
  <c r="EW159" i="23"/>
  <c r="EP159" i="23"/>
  <c r="EQ159" i="23" s="1"/>
  <c r="EJ159" i="23"/>
  <c r="EK159" i="23" s="1"/>
  <c r="DX159" i="23"/>
  <c r="DY159" i="23" s="1"/>
  <c r="ED159" i="23"/>
  <c r="EE159" i="23"/>
  <c r="DL159" i="23"/>
  <c r="DM159" i="23" s="1"/>
  <c r="DR159" i="23"/>
  <c r="DS159" i="23" s="1"/>
  <c r="DF159" i="23"/>
  <c r="DG159" i="23" s="1"/>
  <c r="CN159" i="23"/>
  <c r="CO159" i="23"/>
  <c r="CZ159" i="23"/>
  <c r="DA159" i="23" s="1"/>
  <c r="CT159" i="23"/>
  <c r="CU159" i="23" s="1"/>
  <c r="CH159" i="23"/>
  <c r="CI159" i="23" s="1"/>
  <c r="BV159" i="23"/>
  <c r="BW159" i="23"/>
  <c r="CB159" i="23"/>
  <c r="CC159" i="23" s="1"/>
  <c r="BJ159" i="23"/>
  <c r="BK159" i="23" s="1"/>
  <c r="BD159" i="23"/>
  <c r="BE159" i="23" s="1"/>
  <c r="FZ163" i="23"/>
  <c r="GA163" i="23"/>
  <c r="FN163" i="23"/>
  <c r="FO163" i="23" s="1"/>
  <c r="FT163" i="23"/>
  <c r="FU163" i="23" s="1"/>
  <c r="FB163" i="23"/>
  <c r="FC163" i="23" s="1"/>
  <c r="FH163" i="23"/>
  <c r="FI163" i="23"/>
  <c r="EV163" i="23"/>
  <c r="EW163" i="23" s="1"/>
  <c r="EJ163" i="23"/>
  <c r="EK163" i="23" s="1"/>
  <c r="EP163" i="23"/>
  <c r="EQ163" i="23" s="1"/>
  <c r="ED163" i="23"/>
  <c r="EE163" i="23"/>
  <c r="DX163" i="23"/>
  <c r="DY163" i="23" s="1"/>
  <c r="DL163" i="23"/>
  <c r="DM163" i="23" s="1"/>
  <c r="DR163" i="23"/>
  <c r="DS163" i="23" s="1"/>
  <c r="DF163" i="23"/>
  <c r="DG163" i="23"/>
  <c r="CT163" i="23"/>
  <c r="CU163" i="23" s="1"/>
  <c r="CN163" i="23"/>
  <c r="CO163" i="23" s="1"/>
  <c r="CZ163" i="23"/>
  <c r="DA163" i="23" s="1"/>
  <c r="CH163" i="23"/>
  <c r="CI163" i="23"/>
  <c r="CB163" i="23"/>
  <c r="CC163" i="23" s="1"/>
  <c r="BJ163" i="23"/>
  <c r="BK163" i="23" s="1"/>
  <c r="BD163" i="23"/>
  <c r="BE163" i="23" s="1"/>
  <c r="BV163" i="23"/>
  <c r="BW163" i="23"/>
  <c r="FN169" i="23"/>
  <c r="FO169" i="23" s="1"/>
  <c r="FT169" i="23"/>
  <c r="FU169" i="23" s="1"/>
  <c r="FB169" i="23"/>
  <c r="FC169" i="23" s="1"/>
  <c r="FH169" i="23"/>
  <c r="FI169" i="23"/>
  <c r="FZ169" i="23"/>
  <c r="GA169" i="23" s="1"/>
  <c r="EV169" i="23"/>
  <c r="EW169" i="23" s="1"/>
  <c r="EP169" i="23"/>
  <c r="EQ169" i="23" s="1"/>
  <c r="EJ169" i="23"/>
  <c r="EK169" i="23"/>
  <c r="DX169" i="23"/>
  <c r="DY169" i="23" s="1"/>
  <c r="ED169" i="23"/>
  <c r="EE169" i="23" s="1"/>
  <c r="DL169" i="23"/>
  <c r="DM169" i="23" s="1"/>
  <c r="DR169" i="23"/>
  <c r="DS169" i="23"/>
  <c r="DF169" i="23"/>
  <c r="DG169" i="23" s="1"/>
  <c r="CT169" i="23"/>
  <c r="CU169" i="23" s="1"/>
  <c r="CN169" i="23"/>
  <c r="CO169" i="23" s="1"/>
  <c r="CZ169" i="23"/>
  <c r="DA169" i="23"/>
  <c r="CB169" i="23"/>
  <c r="CC169" i="23" s="1"/>
  <c r="BD169" i="23"/>
  <c r="BE169" i="23" s="1"/>
  <c r="BV169" i="23"/>
  <c r="BW169" i="23" s="1"/>
  <c r="CH169" i="23"/>
  <c r="CI169" i="23"/>
  <c r="BJ169" i="23"/>
  <c r="BK169" i="23" s="1"/>
  <c r="FZ173" i="23"/>
  <c r="GA173" i="23" s="1"/>
  <c r="FN173" i="23"/>
  <c r="FO173" i="23" s="1"/>
  <c r="FT173" i="23"/>
  <c r="FU173" i="23"/>
  <c r="FB173" i="23"/>
  <c r="FC173" i="23" s="1"/>
  <c r="EV173" i="23"/>
  <c r="EW173" i="23" s="1"/>
  <c r="FH173" i="23"/>
  <c r="FI173" i="23" s="1"/>
  <c r="EP173" i="23"/>
  <c r="EQ173" i="23"/>
  <c r="EJ173" i="23"/>
  <c r="EK173" i="23" s="1"/>
  <c r="DX173" i="23"/>
  <c r="DY173" i="23" s="1"/>
  <c r="DR173" i="23"/>
  <c r="DS173" i="23" s="1"/>
  <c r="DL173" i="23"/>
  <c r="DM173" i="23"/>
  <c r="DF173" i="23"/>
  <c r="DG173" i="23" s="1"/>
  <c r="CZ173" i="23"/>
  <c r="DA173" i="23" s="1"/>
  <c r="CN173" i="23"/>
  <c r="CO173" i="23" s="1"/>
  <c r="CT173" i="23"/>
  <c r="CU173" i="23"/>
  <c r="ED173" i="23"/>
  <c r="EE173" i="23" s="1"/>
  <c r="CB173" i="23"/>
  <c r="CC173" i="23" s="1"/>
  <c r="BV173" i="23"/>
  <c r="BW173" i="23" s="1"/>
  <c r="CH173" i="23"/>
  <c r="CI173" i="23"/>
  <c r="BJ173" i="23"/>
  <c r="BK173" i="23" s="1"/>
  <c r="BD173" i="23"/>
  <c r="BE173" i="23" s="1"/>
  <c r="FZ177" i="23"/>
  <c r="GA177" i="23" s="1"/>
  <c r="FN177" i="23"/>
  <c r="FO177" i="23"/>
  <c r="FT177" i="23"/>
  <c r="FU177" i="23" s="1"/>
  <c r="FB177" i="23"/>
  <c r="FC177" i="23" s="1"/>
  <c r="EV177" i="23"/>
  <c r="EW177" i="23" s="1"/>
  <c r="FH177" i="23"/>
  <c r="FI177" i="23"/>
  <c r="EP177" i="23"/>
  <c r="EQ177" i="23" s="1"/>
  <c r="DX177" i="23"/>
  <c r="DY177" i="23" s="1"/>
  <c r="EJ177" i="23"/>
  <c r="EK177" i="23" s="1"/>
  <c r="ED177" i="23"/>
  <c r="EE177" i="23"/>
  <c r="DR177" i="23"/>
  <c r="DS177" i="23" s="1"/>
  <c r="DF177" i="23"/>
  <c r="DG177" i="23" s="1"/>
  <c r="DL177" i="23"/>
  <c r="DM177" i="23" s="1"/>
  <c r="CH177" i="23"/>
  <c r="CI177" i="23"/>
  <c r="CZ177" i="23"/>
  <c r="DA177" i="23" s="1"/>
  <c r="CT177" i="23"/>
  <c r="CU177" i="23" s="1"/>
  <c r="CN177" i="23"/>
  <c r="CO177" i="23" s="1"/>
  <c r="BV177" i="23"/>
  <c r="BW177" i="23"/>
  <c r="CB177" i="23"/>
  <c r="CC177" i="23" s="1"/>
  <c r="BJ177" i="23"/>
  <c r="BK177" i="23" s="1"/>
  <c r="BD177" i="23"/>
  <c r="BE177" i="23" s="1"/>
  <c r="FZ181" i="23"/>
  <c r="GA181" i="23"/>
  <c r="FN181" i="23"/>
  <c r="FO181" i="23" s="1"/>
  <c r="FT181" i="23"/>
  <c r="FU181" i="23" s="1"/>
  <c r="FB181" i="23"/>
  <c r="FC181" i="23" s="1"/>
  <c r="EV181" i="23"/>
  <c r="EW181" i="23"/>
  <c r="EJ181" i="23"/>
  <c r="EK181" i="23" s="1"/>
  <c r="EP181" i="23"/>
  <c r="EQ181" i="23" s="1"/>
  <c r="FH181" i="23"/>
  <c r="FI181" i="23" s="1"/>
  <c r="DX181" i="23"/>
  <c r="DY181" i="23"/>
  <c r="DR181" i="23"/>
  <c r="DS181" i="23" s="1"/>
  <c r="ED181" i="23"/>
  <c r="EE181" i="23" s="1"/>
  <c r="DL181" i="23"/>
  <c r="DM181" i="23" s="1"/>
  <c r="DF181" i="23"/>
  <c r="DG181" i="23"/>
  <c r="CT181" i="23"/>
  <c r="CU181" i="23" s="1"/>
  <c r="CN181" i="23"/>
  <c r="CO181" i="23" s="1"/>
  <c r="CZ181" i="23"/>
  <c r="DA181" i="23" s="1"/>
  <c r="CB181" i="23"/>
  <c r="CC181" i="23"/>
  <c r="BJ181" i="23"/>
  <c r="BK181" i="23" s="1"/>
  <c r="BD181" i="23"/>
  <c r="BE181" i="23" s="1"/>
  <c r="CH181" i="23"/>
  <c r="CI181" i="23" s="1"/>
  <c r="BV181" i="23"/>
  <c r="BW181" i="23"/>
  <c r="FZ188" i="23"/>
  <c r="GA188" i="23" s="1"/>
  <c r="FN188" i="23"/>
  <c r="FO188" i="23" s="1"/>
  <c r="FT188" i="23"/>
  <c r="FU188" i="23" s="1"/>
  <c r="FH188" i="23"/>
  <c r="FI188" i="23"/>
  <c r="FB188" i="23"/>
  <c r="FC188" i="23" s="1"/>
  <c r="EP188" i="23"/>
  <c r="EQ188" i="23" s="1"/>
  <c r="EV188" i="23"/>
  <c r="EW188" i="23" s="1"/>
  <c r="ED188" i="23"/>
  <c r="EE188" i="23"/>
  <c r="DX188" i="23"/>
  <c r="DY188" i="23" s="1"/>
  <c r="EJ188" i="23"/>
  <c r="EK188" i="23" s="1"/>
  <c r="DR188" i="23"/>
  <c r="DS188" i="23" s="1"/>
  <c r="DF188" i="23"/>
  <c r="DG188" i="23"/>
  <c r="DL188" i="23"/>
  <c r="DM188" i="23" s="1"/>
  <c r="CZ188" i="23"/>
  <c r="DA188" i="23" s="1"/>
  <c r="CN188" i="23"/>
  <c r="CO188" i="23" s="1"/>
  <c r="CT188" i="23"/>
  <c r="CU188" i="23"/>
  <c r="CH188" i="23"/>
  <c r="CI188" i="23" s="1"/>
  <c r="BD188" i="23"/>
  <c r="BE188" i="23" s="1"/>
  <c r="CB188" i="23"/>
  <c r="CC188" i="23" s="1"/>
  <c r="BV188" i="23"/>
  <c r="BW188" i="23"/>
  <c r="BJ188" i="23"/>
  <c r="BK188" i="23" s="1"/>
  <c r="FZ192" i="23"/>
  <c r="GA192" i="23" s="1"/>
  <c r="FN192" i="23"/>
  <c r="FO192" i="23" s="1"/>
  <c r="FT192" i="23"/>
  <c r="FU192" i="23"/>
  <c r="FH192" i="23"/>
  <c r="FI192" i="23" s="1"/>
  <c r="EV192" i="23"/>
  <c r="EW192" i="23" s="1"/>
  <c r="EP192" i="23"/>
  <c r="EQ192" i="23" s="1"/>
  <c r="ED192" i="23"/>
  <c r="EE192" i="23"/>
  <c r="DR192" i="23"/>
  <c r="DS192" i="23" s="1"/>
  <c r="FB192" i="23"/>
  <c r="FC192" i="23" s="1"/>
  <c r="EJ192" i="23"/>
  <c r="EK192" i="23" s="1"/>
  <c r="DX192" i="23"/>
  <c r="DY192" i="23"/>
  <c r="DL192" i="23"/>
  <c r="DM192" i="23" s="1"/>
  <c r="DF192" i="23"/>
  <c r="DG192" i="23" s="1"/>
  <c r="CZ192" i="23"/>
  <c r="DA192" i="23" s="1"/>
  <c r="CT192" i="23"/>
  <c r="CU192" i="23"/>
  <c r="CH192" i="23"/>
  <c r="CI192" i="23" s="1"/>
  <c r="CN192" i="23"/>
  <c r="CO192" i="23" s="1"/>
  <c r="CB192" i="23"/>
  <c r="CC192" i="23" s="1"/>
  <c r="BD192" i="23"/>
  <c r="BE192" i="23"/>
  <c r="BV192" i="23"/>
  <c r="BW192" i="23" s="1"/>
  <c r="BJ192" i="23"/>
  <c r="BK192" i="23" s="1"/>
  <c r="FZ198" i="23"/>
  <c r="GA198" i="23" s="1"/>
  <c r="FN198" i="23"/>
  <c r="FO198" i="23"/>
  <c r="FT198" i="23"/>
  <c r="FU198" i="23" s="1"/>
  <c r="FH198" i="23"/>
  <c r="FI198" i="23" s="1"/>
  <c r="FB198" i="23"/>
  <c r="FC198" i="23" s="1"/>
  <c r="EV198" i="23"/>
  <c r="EW198" i="23"/>
  <c r="EP198" i="23"/>
  <c r="EQ198" i="23" s="1"/>
  <c r="EJ198" i="23"/>
  <c r="EK198" i="23" s="1"/>
  <c r="DR198" i="23"/>
  <c r="DS198" i="23" s="1"/>
  <c r="DX198" i="23"/>
  <c r="DY198" i="23"/>
  <c r="ED198" i="23"/>
  <c r="EE198" i="23" s="1"/>
  <c r="DL198" i="23"/>
  <c r="DM198" i="23" s="1"/>
  <c r="DF198" i="23"/>
  <c r="DG198" i="23" s="1"/>
  <c r="CZ198" i="23"/>
  <c r="DA198" i="23"/>
  <c r="CH198" i="23"/>
  <c r="CI198" i="23" s="1"/>
  <c r="CT198" i="23"/>
  <c r="CU198" i="23" s="1"/>
  <c r="CN198" i="23"/>
  <c r="CO198" i="23" s="1"/>
  <c r="CB198" i="23"/>
  <c r="CC198" i="23"/>
  <c r="BJ198" i="23"/>
  <c r="BK198" i="23" s="1"/>
  <c r="BD198" i="23"/>
  <c r="BE198" i="23" s="1"/>
  <c r="BV198" i="23"/>
  <c r="BW198" i="23" s="1"/>
  <c r="FZ202" i="23"/>
  <c r="GA202" i="23" s="1"/>
  <c r="FN202" i="23"/>
  <c r="FO202" i="23" s="1"/>
  <c r="FT202" i="23"/>
  <c r="FU202" i="23"/>
  <c r="FH202" i="23"/>
  <c r="FI202" i="23" s="1"/>
  <c r="FB202" i="23"/>
  <c r="FC202" i="23"/>
  <c r="EJ202" i="23"/>
  <c r="EK202" i="23" s="1"/>
  <c r="ED202" i="23"/>
  <c r="EE202" i="23" s="1"/>
  <c r="DX202" i="23"/>
  <c r="DY202" i="23" s="1"/>
  <c r="EP202" i="23"/>
  <c r="EQ202" i="23" s="1"/>
  <c r="EV202" i="23"/>
  <c r="EW202" i="23" s="1"/>
  <c r="DR202" i="23"/>
  <c r="DS202" i="23"/>
  <c r="DL202" i="23"/>
  <c r="DM202" i="23" s="1"/>
  <c r="DF202" i="23"/>
  <c r="DG202" i="23"/>
  <c r="CT202" i="23"/>
  <c r="CU202" i="23" s="1"/>
  <c r="CZ202" i="23"/>
  <c r="DA202" i="23" s="1"/>
  <c r="CH202" i="23"/>
  <c r="CI202" i="23" s="1"/>
  <c r="CN202" i="23"/>
  <c r="CO202" i="23" s="1"/>
  <c r="BD202" i="23"/>
  <c r="BE202" i="23" s="1"/>
  <c r="BV202" i="23"/>
  <c r="BW202" i="23"/>
  <c r="CB202" i="23"/>
  <c r="CC202" i="23" s="1"/>
  <c r="BJ202" i="23"/>
  <c r="BK202" i="23"/>
  <c r="FZ206" i="23"/>
  <c r="GA206" i="23" s="1"/>
  <c r="FN206" i="23"/>
  <c r="FO206" i="23" s="1"/>
  <c r="FT206" i="23"/>
  <c r="FU206" i="23" s="1"/>
  <c r="FH206" i="23"/>
  <c r="FI206" i="23" s="1"/>
  <c r="FB206" i="23"/>
  <c r="FC206" i="23" s="1"/>
  <c r="EJ206" i="23"/>
  <c r="EK206" i="23"/>
  <c r="EP206" i="23"/>
  <c r="EQ206" i="23" s="1"/>
  <c r="EV206" i="23"/>
  <c r="EW206" i="23"/>
  <c r="DX206" i="23"/>
  <c r="DY206" i="23" s="1"/>
  <c r="DR206" i="23"/>
  <c r="DS206" i="23" s="1"/>
  <c r="ED206" i="23"/>
  <c r="EE206" i="23" s="1"/>
  <c r="DF206" i="23"/>
  <c r="DG206" i="23" s="1"/>
  <c r="DL206" i="23"/>
  <c r="DM206" i="23" s="1"/>
  <c r="CZ206" i="23"/>
  <c r="DA206" i="23"/>
  <c r="CT206" i="23"/>
  <c r="CU206" i="23" s="1"/>
  <c r="CN206" i="23"/>
  <c r="CO206" i="23"/>
  <c r="CH206" i="23"/>
  <c r="CI206" i="23" s="1"/>
  <c r="CB206" i="23"/>
  <c r="CC206" i="23" s="1"/>
  <c r="BJ206" i="23"/>
  <c r="BK206" i="23" s="1"/>
  <c r="BD206" i="23"/>
  <c r="BE206" i="23" s="1"/>
  <c r="BV206" i="23"/>
  <c r="BW206" i="23" s="1"/>
  <c r="FZ210" i="23"/>
  <c r="GA210" i="23"/>
  <c r="FN210" i="23"/>
  <c r="FO210" i="23" s="1"/>
  <c r="FH210" i="23"/>
  <c r="FI210" i="23"/>
  <c r="FB210" i="23"/>
  <c r="FC210" i="23" s="1"/>
  <c r="EP210" i="23"/>
  <c r="EQ210" i="23" s="1"/>
  <c r="EV210" i="23"/>
  <c r="EW210" i="23" s="1"/>
  <c r="DX210" i="23"/>
  <c r="DY210" i="23" s="1"/>
  <c r="DR210" i="23"/>
  <c r="DS210" i="23"/>
  <c r="FT210" i="23"/>
  <c r="FU210" i="23" s="1"/>
  <c r="EJ210" i="23"/>
  <c r="EK210" i="23"/>
  <c r="ED210" i="23"/>
  <c r="EE210" i="23" s="1"/>
  <c r="DL210" i="23"/>
  <c r="DM210" i="23"/>
  <c r="DF210" i="23"/>
  <c r="DG210" i="23" s="1"/>
  <c r="CN210" i="23"/>
  <c r="CO210" i="23"/>
  <c r="CH210" i="23"/>
  <c r="CI210" i="23" s="1"/>
  <c r="CZ210" i="23"/>
  <c r="DA210" i="23"/>
  <c r="CT210" i="23"/>
  <c r="CU210" i="23" s="1"/>
  <c r="CB210" i="23"/>
  <c r="CC210" i="23"/>
  <c r="BJ210" i="23"/>
  <c r="BK210" i="23" s="1"/>
  <c r="BD210" i="23"/>
  <c r="BE210" i="23"/>
  <c r="BV210" i="23"/>
  <c r="BW210" i="23" s="1"/>
  <c r="FZ214" i="23"/>
  <c r="GA214" i="23"/>
  <c r="FT214" i="23"/>
  <c r="FU214" i="23" s="1"/>
  <c r="FN214" i="23"/>
  <c r="FO214" i="23"/>
  <c r="FH214" i="23"/>
  <c r="FI214" i="23" s="1"/>
  <c r="FB214" i="23"/>
  <c r="FC214" i="23"/>
  <c r="EV214" i="23"/>
  <c r="EW214" i="23" s="1"/>
  <c r="EP214" i="23"/>
  <c r="EQ214" i="23"/>
  <c r="DX214" i="23"/>
  <c r="DY214" i="23" s="1"/>
  <c r="EJ214" i="23"/>
  <c r="EK214" i="23"/>
  <c r="ED214" i="23"/>
  <c r="EE214" i="23" s="1"/>
  <c r="DR214" i="23"/>
  <c r="DS214" i="23"/>
  <c r="DL214" i="23"/>
  <c r="DM214" i="23" s="1"/>
  <c r="DF214" i="23"/>
  <c r="DG214" i="23"/>
  <c r="CT214" i="23"/>
  <c r="CU214" i="23" s="1"/>
  <c r="CN214" i="23"/>
  <c r="CO214" i="23"/>
  <c r="CZ214" i="23"/>
  <c r="DA214" i="23" s="1"/>
  <c r="BJ214" i="23"/>
  <c r="BK214" i="23"/>
  <c r="BD214" i="23"/>
  <c r="BE214" i="23" s="1"/>
  <c r="CB214" i="23"/>
  <c r="CC214" i="23"/>
  <c r="BV214" i="23"/>
  <c r="BW214" i="23" s="1"/>
  <c r="CH214" i="23"/>
  <c r="CI214" i="23"/>
  <c r="FZ221" i="23"/>
  <c r="GA221" i="23" s="1"/>
  <c r="FN221" i="23"/>
  <c r="FO221" i="23"/>
  <c r="FT221" i="23"/>
  <c r="FU221" i="23" s="1"/>
  <c r="FH221" i="23"/>
  <c r="FI221" i="23"/>
  <c r="FB221" i="23"/>
  <c r="FC221" i="23" s="1"/>
  <c r="EV221" i="23"/>
  <c r="EW221" i="23"/>
  <c r="EJ221" i="23"/>
  <c r="EK221" i="23" s="1"/>
  <c r="EP221" i="23"/>
  <c r="EQ221" i="23"/>
  <c r="DX221" i="23"/>
  <c r="DY221" i="23" s="1"/>
  <c r="DR221" i="23"/>
  <c r="DS221" i="23"/>
  <c r="ED221" i="23"/>
  <c r="EE221" i="23" s="1"/>
  <c r="DF221" i="23"/>
  <c r="DG221" i="23"/>
  <c r="DL221" i="23"/>
  <c r="DM221" i="23" s="1"/>
  <c r="CZ221" i="23"/>
  <c r="DA221" i="23"/>
  <c r="CH221" i="23"/>
  <c r="CI221" i="23" s="1"/>
  <c r="CT221" i="23"/>
  <c r="CU221" i="23"/>
  <c r="CN221" i="23"/>
  <c r="CO221" i="23" s="1"/>
  <c r="BD221" i="23"/>
  <c r="BE221" i="23"/>
  <c r="BV221" i="23"/>
  <c r="BW221" i="23" s="1"/>
  <c r="BJ221" i="23"/>
  <c r="BK221" i="23"/>
  <c r="CB221" i="23"/>
  <c r="CC221" i="23" s="1"/>
  <c r="FZ227" i="23"/>
  <c r="GA227" i="23"/>
  <c r="FN227" i="23"/>
  <c r="FO227" i="23" s="1"/>
  <c r="FT227" i="23"/>
  <c r="FU227" i="23"/>
  <c r="FH227" i="23"/>
  <c r="FI227" i="23" s="1"/>
  <c r="FB227" i="23"/>
  <c r="FC227" i="23"/>
  <c r="EV227" i="23"/>
  <c r="EW227" i="23" s="1"/>
  <c r="EP227" i="23"/>
  <c r="EQ227" i="23"/>
  <c r="EJ227" i="23"/>
  <c r="EK227" i="23" s="1"/>
  <c r="ED227" i="23"/>
  <c r="EE227" i="23"/>
  <c r="DX227" i="23"/>
  <c r="DY227" i="23" s="1"/>
  <c r="DR227" i="23"/>
  <c r="DS227" i="23"/>
  <c r="DF227" i="23"/>
  <c r="DG227" i="23" s="1"/>
  <c r="CH227" i="23"/>
  <c r="CI227" i="23"/>
  <c r="CT227" i="23"/>
  <c r="CU227" i="23" s="1"/>
  <c r="CN227" i="23"/>
  <c r="CO227" i="23"/>
  <c r="DL227" i="23"/>
  <c r="DM227" i="23" s="1"/>
  <c r="CZ227" i="23"/>
  <c r="DA227" i="23"/>
  <c r="BJ227" i="23"/>
  <c r="BK227" i="23" s="1"/>
  <c r="CB227" i="23"/>
  <c r="CC227" i="23"/>
  <c r="BD227" i="23"/>
  <c r="BE227" i="23" s="1"/>
  <c r="BV227" i="23"/>
  <c r="BW227" i="23"/>
  <c r="FZ231" i="23"/>
  <c r="GA231" i="23" s="1"/>
  <c r="FN231" i="23"/>
  <c r="FO231" i="23"/>
  <c r="FT231" i="23"/>
  <c r="FU231" i="23" s="1"/>
  <c r="FH231" i="23"/>
  <c r="FI231" i="23"/>
  <c r="FB231" i="23"/>
  <c r="FC231" i="23" s="1"/>
  <c r="EP231" i="23"/>
  <c r="EQ231" i="23"/>
  <c r="EV231" i="23"/>
  <c r="EW231" i="23" s="1"/>
  <c r="ED231" i="23"/>
  <c r="EE231" i="23"/>
  <c r="DR231" i="23"/>
  <c r="DS231" i="23" s="1"/>
  <c r="EJ231" i="23"/>
  <c r="EK231" i="23"/>
  <c r="DX231" i="23"/>
  <c r="DY231" i="23" s="1"/>
  <c r="DL231" i="23"/>
  <c r="DM231" i="23"/>
  <c r="DF231" i="23"/>
  <c r="DG231" i="23" s="1"/>
  <c r="CT231" i="23"/>
  <c r="CU231" i="23"/>
  <c r="CZ231" i="23"/>
  <c r="DA231" i="23" s="1"/>
  <c r="CN231" i="23"/>
  <c r="CO231" i="23"/>
  <c r="CH231" i="23"/>
  <c r="CI231" i="23" s="1"/>
  <c r="BD231" i="23"/>
  <c r="BE231" i="23"/>
  <c r="CB231" i="23"/>
  <c r="CC231" i="23" s="1"/>
  <c r="BV231" i="23"/>
  <c r="BW231" i="23"/>
  <c r="BJ231" i="23"/>
  <c r="BK231" i="23" s="1"/>
  <c r="FZ235" i="23"/>
  <c r="GA235" i="23"/>
  <c r="FN235" i="23"/>
  <c r="FO235" i="23" s="1"/>
  <c r="FT235" i="23"/>
  <c r="FU235" i="23"/>
  <c r="FB235" i="23"/>
  <c r="FC235" i="23" s="1"/>
  <c r="EP235" i="23"/>
  <c r="EQ235" i="23"/>
  <c r="FH235" i="23"/>
  <c r="FI235" i="23" s="1"/>
  <c r="EV235" i="23"/>
  <c r="EW235" i="23"/>
  <c r="DX235" i="23"/>
  <c r="DY235" i="23" s="1"/>
  <c r="EJ235" i="23"/>
  <c r="EK235" i="23"/>
  <c r="DR235" i="23"/>
  <c r="DS235" i="23" s="1"/>
  <c r="DF235" i="23"/>
  <c r="DG235" i="23"/>
  <c r="CN235" i="23"/>
  <c r="CO235" i="23" s="1"/>
  <c r="ED235" i="23"/>
  <c r="EE235" i="23"/>
  <c r="DL235" i="23"/>
  <c r="DM235" i="23" s="1"/>
  <c r="CZ235" i="23"/>
  <c r="DA235" i="23"/>
  <c r="CT235" i="23"/>
  <c r="CU235" i="23" s="1"/>
  <c r="CH235" i="23"/>
  <c r="CI235" i="23"/>
  <c r="CB235" i="23"/>
  <c r="CC235" i="23" s="1"/>
  <c r="BJ235" i="23"/>
  <c r="BK235" i="23"/>
  <c r="BD235" i="23"/>
  <c r="BE235" i="23" s="1"/>
  <c r="BV235" i="23"/>
  <c r="BW235" i="23"/>
  <c r="FZ239" i="23"/>
  <c r="GA239" i="23" s="1"/>
  <c r="FT239" i="23"/>
  <c r="FU239" i="23"/>
  <c r="FB239" i="23"/>
  <c r="FC239" i="23" s="1"/>
  <c r="FN239" i="23"/>
  <c r="FO239" i="23"/>
  <c r="FH239" i="23"/>
  <c r="FI239" i="23" s="1"/>
  <c r="EV239" i="23"/>
  <c r="EW239" i="23"/>
  <c r="EP239" i="23"/>
  <c r="EQ239" i="23" s="1"/>
  <c r="DR239" i="23"/>
  <c r="DS239" i="23"/>
  <c r="EJ239" i="23"/>
  <c r="EK239" i="23" s="1"/>
  <c r="DX239" i="23"/>
  <c r="DY239" i="23"/>
  <c r="ED239" i="23"/>
  <c r="EE239" i="23" s="1"/>
  <c r="DF239" i="23"/>
  <c r="DG239" i="23"/>
  <c r="DL239" i="23"/>
  <c r="DM239" i="23" s="1"/>
  <c r="CH239" i="23"/>
  <c r="CI239" i="23"/>
  <c r="CT239" i="23"/>
  <c r="CU239" i="23" s="1"/>
  <c r="CZ239" i="23"/>
  <c r="DA239" i="23"/>
  <c r="CN239" i="23"/>
  <c r="CO239" i="23" s="1"/>
  <c r="BJ239" i="23"/>
  <c r="BK239" i="23"/>
  <c r="BD239" i="23"/>
  <c r="BE239" i="23" s="1"/>
  <c r="CB239" i="23"/>
  <c r="CC239" i="23"/>
  <c r="BV239" i="23"/>
  <c r="BW239" i="23" s="1"/>
  <c r="FZ243" i="23"/>
  <c r="GA243" i="23"/>
  <c r="FT243" i="23"/>
  <c r="FU243" i="23" s="1"/>
  <c r="FN243" i="23"/>
  <c r="FO243" i="23"/>
  <c r="EV243" i="23"/>
  <c r="EW243" i="23" s="1"/>
  <c r="EP243" i="23"/>
  <c r="EQ243" i="23"/>
  <c r="FH243" i="23"/>
  <c r="FI243" i="23" s="1"/>
  <c r="ED243" i="23"/>
  <c r="EE243" i="23"/>
  <c r="DX243" i="23"/>
  <c r="DY243" i="23" s="1"/>
  <c r="FB243" i="23"/>
  <c r="FC243" i="23"/>
  <c r="EJ243" i="23"/>
  <c r="EK243" i="23" s="1"/>
  <c r="DR243" i="23"/>
  <c r="DS243" i="23"/>
  <c r="DL243" i="23"/>
  <c r="DM243" i="23" s="1"/>
  <c r="DF243" i="23"/>
  <c r="DG243" i="23"/>
  <c r="CZ243" i="23"/>
  <c r="DA243" i="23" s="1"/>
  <c r="CT243" i="23"/>
  <c r="CU243" i="23"/>
  <c r="CH243" i="23"/>
  <c r="CI243" i="23" s="1"/>
  <c r="CN243" i="23"/>
  <c r="CO243" i="23"/>
  <c r="CB243" i="23"/>
  <c r="CC243" i="23" s="1"/>
  <c r="BJ243" i="23"/>
  <c r="BK243" i="23"/>
  <c r="BD243" i="23"/>
  <c r="BE243" i="23" s="1"/>
  <c r="BV243" i="23"/>
  <c r="BW243" i="23"/>
  <c r="FZ250" i="23"/>
  <c r="GA250" i="23" s="1"/>
  <c r="FN250" i="23"/>
  <c r="FO250" i="23"/>
  <c r="FT250" i="23"/>
  <c r="FU250" i="23" s="1"/>
  <c r="FB250" i="23"/>
  <c r="FC250" i="23"/>
  <c r="EP250" i="23"/>
  <c r="EQ250" i="23" s="1"/>
  <c r="EV250" i="23"/>
  <c r="EW250" i="23"/>
  <c r="FH250" i="23"/>
  <c r="FI250" i="23" s="1"/>
  <c r="DX250" i="23"/>
  <c r="DY250" i="23"/>
  <c r="EJ250" i="23"/>
  <c r="EK250" i="23" s="1"/>
  <c r="ED250" i="23"/>
  <c r="EE250" i="23"/>
  <c r="DL250" i="23"/>
  <c r="DM250" i="23" s="1"/>
  <c r="DR250" i="23"/>
  <c r="DS250" i="23"/>
  <c r="DF250" i="23"/>
  <c r="DG250" i="23" s="1"/>
  <c r="CZ250" i="23"/>
  <c r="DA250" i="23"/>
  <c r="CT250" i="23"/>
  <c r="CU250" i="23" s="1"/>
  <c r="CH250" i="23"/>
  <c r="CI250" i="23"/>
  <c r="CN250" i="23"/>
  <c r="CO250" i="23" s="1"/>
  <c r="CB250" i="23"/>
  <c r="CC250" i="23"/>
  <c r="BD250" i="23"/>
  <c r="BE250" i="23" s="1"/>
  <c r="BV250" i="23"/>
  <c r="BW250" i="23"/>
  <c r="BJ250" i="23"/>
  <c r="BK250" i="23" s="1"/>
  <c r="FZ254" i="23"/>
  <c r="GA254" i="23"/>
  <c r="FT254" i="23"/>
  <c r="FU254" i="23" s="1"/>
  <c r="FN254" i="23"/>
  <c r="FO254" i="23"/>
  <c r="FB254" i="23"/>
  <c r="FC254" i="23" s="1"/>
  <c r="EV254" i="23"/>
  <c r="EW254" i="23"/>
  <c r="EP254" i="23"/>
  <c r="EQ254" i="23" s="1"/>
  <c r="FH254" i="23"/>
  <c r="FI254" i="23"/>
  <c r="ED254" i="23"/>
  <c r="EE254" i="23" s="1"/>
  <c r="DX254" i="23"/>
  <c r="DY254" i="23"/>
  <c r="EJ254" i="23"/>
  <c r="EK254" i="23" s="1"/>
  <c r="DR254" i="23"/>
  <c r="DS254" i="23"/>
  <c r="CZ254" i="23"/>
  <c r="DA254" i="23" s="1"/>
  <c r="DF254" i="23"/>
  <c r="DG254" i="23"/>
  <c r="CN254" i="23"/>
  <c r="CO254" i="23" s="1"/>
  <c r="CH254" i="23"/>
  <c r="CI254" i="23"/>
  <c r="CT254" i="23"/>
  <c r="CU254" i="23" s="1"/>
  <c r="DL254" i="23"/>
  <c r="DM254" i="23"/>
  <c r="BD254" i="23"/>
  <c r="BE254" i="23" s="1"/>
  <c r="CB254" i="23"/>
  <c r="CC254" i="23"/>
  <c r="BV254" i="23"/>
  <c r="BW254" i="23" s="1"/>
  <c r="BJ254" i="23"/>
  <c r="BK254" i="23"/>
  <c r="FZ260" i="23"/>
  <c r="GA260" i="23" s="1"/>
  <c r="FT260" i="23"/>
  <c r="FU260" i="23"/>
  <c r="FB260" i="23"/>
  <c r="FC260" i="23" s="1"/>
  <c r="FH260" i="23"/>
  <c r="FI260" i="23"/>
  <c r="EP260" i="23"/>
  <c r="EQ260" i="23" s="1"/>
  <c r="EV260" i="23"/>
  <c r="EW260" i="23"/>
  <c r="FN260" i="23"/>
  <c r="FO260" i="23" s="1"/>
  <c r="DX260" i="23"/>
  <c r="DY260" i="23"/>
  <c r="EJ260" i="23"/>
  <c r="EK260" i="23" s="1"/>
  <c r="ED260" i="23"/>
  <c r="EE260" i="23"/>
  <c r="DL260" i="23"/>
  <c r="DM260" i="23" s="1"/>
  <c r="CZ260" i="23"/>
  <c r="DA260" i="23"/>
  <c r="DF260" i="23"/>
  <c r="DG260" i="23" s="1"/>
  <c r="CN260" i="23"/>
  <c r="CO260" i="23"/>
  <c r="CH260" i="23"/>
  <c r="CI260" i="23" s="1"/>
  <c r="DR260" i="23"/>
  <c r="DS260" i="23"/>
  <c r="CT260" i="23"/>
  <c r="CU260" i="23" s="1"/>
  <c r="BV260" i="23"/>
  <c r="BW260" i="23"/>
  <c r="CB260" i="23"/>
  <c r="CC260" i="23" s="1"/>
  <c r="BJ260" i="23"/>
  <c r="BK260" i="23"/>
  <c r="BD260" i="23"/>
  <c r="BE260" i="23" s="1"/>
  <c r="FZ264" i="23"/>
  <c r="GA264" i="23"/>
  <c r="FT264" i="23"/>
  <c r="FU264" i="23" s="1"/>
  <c r="FN264" i="23"/>
  <c r="FO264" i="23"/>
  <c r="FB264" i="23"/>
  <c r="FC264" i="23" s="1"/>
  <c r="FH264" i="23"/>
  <c r="FI264" i="23"/>
  <c r="EV264" i="23"/>
  <c r="EW264" i="23" s="1"/>
  <c r="EP264" i="23"/>
  <c r="EQ264" i="23"/>
  <c r="EJ264" i="23"/>
  <c r="EK264" i="23" s="1"/>
  <c r="DX264" i="23"/>
  <c r="DY264" i="23"/>
  <c r="CZ264" i="23"/>
  <c r="DA264" i="23" s="1"/>
  <c r="ED264" i="23"/>
  <c r="EE264" i="23"/>
  <c r="DF264" i="23"/>
  <c r="DG264" i="23" s="1"/>
  <c r="DR264" i="23"/>
  <c r="DS264" i="23"/>
  <c r="DL264" i="23"/>
  <c r="DM264" i="23" s="1"/>
  <c r="CN264" i="23"/>
  <c r="CO264" i="23"/>
  <c r="CH264" i="23"/>
  <c r="CI264" i="23" s="1"/>
  <c r="CT264" i="23"/>
  <c r="CU264" i="23"/>
  <c r="BV264" i="23"/>
  <c r="BW264" i="23" s="1"/>
  <c r="BJ264" i="23"/>
  <c r="BK264" i="23"/>
  <c r="CB264" i="23"/>
  <c r="CC264" i="23" s="1"/>
  <c r="BD264" i="23"/>
  <c r="BE264" i="23"/>
  <c r="FZ268" i="23"/>
  <c r="GA268" i="23" s="1"/>
  <c r="FN268" i="23"/>
  <c r="FO268" i="23"/>
  <c r="FT268" i="23"/>
  <c r="FU268" i="23" s="1"/>
  <c r="FB268" i="23"/>
  <c r="FC268" i="23"/>
  <c r="FH268" i="23"/>
  <c r="FI268" i="23" s="1"/>
  <c r="EV268" i="23"/>
  <c r="EW268" i="23"/>
  <c r="ED268" i="23"/>
  <c r="EE268" i="23" s="1"/>
  <c r="EP268" i="23"/>
  <c r="EQ268" i="23"/>
  <c r="EJ268" i="23"/>
  <c r="EK268" i="23" s="1"/>
  <c r="DX268" i="23"/>
  <c r="DY268" i="23"/>
  <c r="DR268" i="23"/>
  <c r="DS268" i="23" s="1"/>
  <c r="DF268" i="23"/>
  <c r="DG268" i="23"/>
  <c r="DL268" i="23"/>
  <c r="DM268" i="23" s="1"/>
  <c r="CZ268" i="23"/>
  <c r="DA268" i="23"/>
  <c r="CN268" i="23"/>
  <c r="CO268" i="23" s="1"/>
  <c r="CT268" i="23"/>
  <c r="CU268" i="23"/>
  <c r="CH268" i="23"/>
  <c r="CI268" i="23" s="1"/>
  <c r="CB268" i="23"/>
  <c r="CC268" i="23"/>
  <c r="BJ268" i="23"/>
  <c r="BK268" i="23" s="1"/>
  <c r="BD268" i="23"/>
  <c r="BE268" i="23"/>
  <c r="BV268" i="23"/>
  <c r="BW268" i="23" s="1"/>
  <c r="FZ272" i="23"/>
  <c r="GA272" i="23"/>
  <c r="FN272" i="23"/>
  <c r="FO272" i="23" s="1"/>
  <c r="FT272" i="23"/>
  <c r="FU272" i="23"/>
  <c r="FH272" i="23"/>
  <c r="FI272" i="23" s="1"/>
  <c r="FB272" i="23"/>
  <c r="FC272" i="23"/>
  <c r="EV272" i="23"/>
  <c r="EW272" i="23" s="1"/>
  <c r="EJ272" i="23"/>
  <c r="EK272" i="23"/>
  <c r="EP272" i="23"/>
  <c r="EQ272" i="23" s="1"/>
  <c r="ED272" i="23"/>
  <c r="EE272" i="23"/>
  <c r="DX272" i="23"/>
  <c r="DY272" i="23" s="1"/>
  <c r="DL272" i="23"/>
  <c r="DM272" i="23"/>
  <c r="DF272" i="23"/>
  <c r="DG272" i="23" s="1"/>
  <c r="CN272" i="23"/>
  <c r="CO272" i="23"/>
  <c r="CH272" i="23"/>
  <c r="CI272" i="23" s="1"/>
  <c r="DR272" i="23"/>
  <c r="DS272" i="23"/>
  <c r="CZ272" i="23"/>
  <c r="DA272" i="23" s="1"/>
  <c r="CT272" i="23"/>
  <c r="CU272" i="23"/>
  <c r="BV272" i="23"/>
  <c r="BW272" i="23" s="1"/>
  <c r="CB272" i="23"/>
  <c r="CC272" i="23"/>
  <c r="BJ272" i="23"/>
  <c r="BK272" i="23" s="1"/>
  <c r="BD272" i="23"/>
  <c r="BE272" i="23"/>
  <c r="FN279" i="23"/>
  <c r="FO279" i="23" s="1"/>
  <c r="FZ279" i="23"/>
  <c r="GA279" i="23"/>
  <c r="FB279" i="23"/>
  <c r="FC279" i="23" s="1"/>
  <c r="FT279" i="23"/>
  <c r="FU279" i="23"/>
  <c r="EP279" i="23"/>
  <c r="EQ279" i="23" s="1"/>
  <c r="DR279" i="23"/>
  <c r="DS279" i="23"/>
  <c r="FH279" i="23"/>
  <c r="FI279" i="23" s="1"/>
  <c r="EJ279" i="23"/>
  <c r="EK279" i="23"/>
  <c r="EV279" i="23"/>
  <c r="EW279" i="23" s="1"/>
  <c r="DX279" i="23"/>
  <c r="DY279" i="23"/>
  <c r="ED279" i="23"/>
  <c r="EE279" i="23" s="1"/>
  <c r="DL279" i="23"/>
  <c r="DM279" i="23"/>
  <c r="CH279" i="23"/>
  <c r="CI279" i="23" s="1"/>
  <c r="CT279" i="23"/>
  <c r="CU279" i="23"/>
  <c r="CN279" i="23"/>
  <c r="CO279" i="23" s="1"/>
  <c r="DF279" i="23"/>
  <c r="DG279" i="23"/>
  <c r="CZ279" i="23"/>
  <c r="DA279" i="23" s="1"/>
  <c r="BJ279" i="23"/>
  <c r="BK279" i="23"/>
  <c r="BD279" i="23"/>
  <c r="BE279" i="23" s="1"/>
  <c r="CB279" i="23"/>
  <c r="CC279" i="23"/>
  <c r="BV279" i="23"/>
  <c r="BW279" i="23" s="1"/>
  <c r="FZ283" i="23"/>
  <c r="GA283" i="23"/>
  <c r="FN283" i="23"/>
  <c r="FO283" i="23" s="1"/>
  <c r="FT283" i="23"/>
  <c r="FU283" i="23"/>
  <c r="FB283" i="23"/>
  <c r="FC283" i="23" s="1"/>
  <c r="FH283" i="23"/>
  <c r="FI283" i="23"/>
  <c r="EV283" i="23"/>
  <c r="EW283" i="23" s="1"/>
  <c r="EJ283" i="23"/>
  <c r="EK283" i="23"/>
  <c r="EP283" i="23"/>
  <c r="EQ283" i="23" s="1"/>
  <c r="ED283" i="23"/>
  <c r="EE283" i="23"/>
  <c r="DX283" i="23"/>
  <c r="DY283" i="23" s="1"/>
  <c r="CZ283" i="23"/>
  <c r="DA283" i="23"/>
  <c r="DL283" i="23"/>
  <c r="DM283" i="23" s="1"/>
  <c r="DR283" i="23"/>
  <c r="DS283" i="23"/>
  <c r="CT283" i="23"/>
  <c r="CU283" i="23" s="1"/>
  <c r="CN283" i="23"/>
  <c r="CO283" i="23"/>
  <c r="CH283" i="23"/>
  <c r="CI283" i="23" s="1"/>
  <c r="DF283" i="23"/>
  <c r="DG283" i="23"/>
  <c r="BJ283" i="23"/>
  <c r="BK283" i="23" s="1"/>
  <c r="BD283" i="23"/>
  <c r="BE283" i="23"/>
  <c r="CB283" i="23"/>
  <c r="CC283" i="23" s="1"/>
  <c r="BV283" i="23"/>
  <c r="BW283" i="23"/>
  <c r="FZ289" i="23"/>
  <c r="GA289" i="23" s="1"/>
  <c r="FN289" i="23"/>
  <c r="FO289" i="23"/>
  <c r="FT289" i="23"/>
  <c r="FU289" i="23" s="1"/>
  <c r="FH289" i="23"/>
  <c r="FI289" i="23"/>
  <c r="FB289" i="23"/>
  <c r="FC289" i="23" s="1"/>
  <c r="EV289" i="23"/>
  <c r="EW289" i="23"/>
  <c r="EP289" i="23"/>
  <c r="EQ289" i="23" s="1"/>
  <c r="ED289" i="23"/>
  <c r="EE289" i="23"/>
  <c r="DR289" i="23"/>
  <c r="DS289" i="23" s="1"/>
  <c r="DX289" i="23"/>
  <c r="DY289" i="23"/>
  <c r="DF289" i="23"/>
  <c r="DG289" i="23" s="1"/>
  <c r="EJ289" i="23"/>
  <c r="EK289" i="23"/>
  <c r="DL289" i="23"/>
  <c r="DM289" i="23" s="1"/>
  <c r="CZ289" i="23"/>
  <c r="DA289" i="23"/>
  <c r="CN289" i="23"/>
  <c r="CO289" i="23" s="1"/>
  <c r="CT289" i="23"/>
  <c r="CU289" i="23"/>
  <c r="CH289" i="23"/>
  <c r="CI289" i="23" s="1"/>
  <c r="BJ289" i="23"/>
  <c r="BK289" i="23"/>
  <c r="BD289" i="23"/>
  <c r="BE289" i="23" s="1"/>
  <c r="BV289" i="23"/>
  <c r="BW289" i="23"/>
  <c r="CB289" i="23"/>
  <c r="CC289" i="23" s="1"/>
  <c r="FZ293" i="23"/>
  <c r="GA293" i="23"/>
  <c r="FN293" i="23"/>
  <c r="FO293" i="23" s="1"/>
  <c r="FB293" i="23"/>
  <c r="FC293" i="23"/>
  <c r="FT293" i="23"/>
  <c r="FU293" i="23" s="1"/>
  <c r="FH293" i="23"/>
  <c r="FI293" i="23"/>
  <c r="EV293" i="23"/>
  <c r="EW293" i="23" s="1"/>
  <c r="EP293" i="23"/>
  <c r="EQ293" i="23"/>
  <c r="DX293" i="23"/>
  <c r="DY293" i="23" s="1"/>
  <c r="ED293" i="23"/>
  <c r="EE293" i="23"/>
  <c r="DR293" i="23"/>
  <c r="DS293" i="23" s="1"/>
  <c r="EJ293" i="23"/>
  <c r="EK293" i="23"/>
  <c r="DL293" i="23"/>
  <c r="DM293" i="23" s="1"/>
  <c r="DF293" i="23"/>
  <c r="DG293" i="23"/>
  <c r="CT293" i="23"/>
  <c r="CU293" i="23" s="1"/>
  <c r="CN293" i="23"/>
  <c r="CO293" i="23"/>
  <c r="CZ293" i="23"/>
  <c r="DA293" i="23" s="1"/>
  <c r="CH293" i="23"/>
  <c r="CI293" i="23"/>
  <c r="CB293" i="23"/>
  <c r="CC293" i="23" s="1"/>
  <c r="BJ293" i="23"/>
  <c r="BK293" i="23"/>
  <c r="BD293" i="23"/>
  <c r="BE293" i="23" s="1"/>
  <c r="BV293" i="23"/>
  <c r="BW293" i="23"/>
  <c r="FZ297" i="23"/>
  <c r="GA297" i="23" s="1"/>
  <c r="FN297" i="23"/>
  <c r="FO297" i="23"/>
  <c r="FT297" i="23"/>
  <c r="FU297" i="23" s="1"/>
  <c r="FB297" i="23"/>
  <c r="FC297" i="23"/>
  <c r="FH297" i="23"/>
  <c r="FI297" i="23" s="1"/>
  <c r="EP297" i="23"/>
  <c r="EQ297" i="23"/>
  <c r="DX297" i="23"/>
  <c r="DY297" i="23" s="1"/>
  <c r="EJ297" i="23"/>
  <c r="EK297" i="23"/>
  <c r="DR297" i="23"/>
  <c r="DS297" i="23" s="1"/>
  <c r="EV297" i="23"/>
  <c r="EW297" i="23"/>
  <c r="ED297" i="23"/>
  <c r="EE297" i="23" s="1"/>
  <c r="CZ297" i="23"/>
  <c r="DA297" i="23"/>
  <c r="DL297" i="23"/>
  <c r="DM297" i="23" s="1"/>
  <c r="DF297" i="23"/>
  <c r="DG297" i="23"/>
  <c r="CT297" i="23"/>
  <c r="CU297" i="23" s="1"/>
  <c r="CN297" i="23"/>
  <c r="CO297" i="23"/>
  <c r="CH297" i="23"/>
  <c r="CI297" i="23" s="1"/>
  <c r="CB297" i="23"/>
  <c r="CC297" i="23"/>
  <c r="BJ297" i="23"/>
  <c r="BK297" i="23" s="1"/>
  <c r="BV297" i="23"/>
  <c r="BW297" i="23"/>
  <c r="BD297" i="23"/>
  <c r="BE297" i="23" s="1"/>
  <c r="FZ301" i="23"/>
  <c r="GA301" i="23"/>
  <c r="FN301" i="23"/>
  <c r="FO301" i="23" s="1"/>
  <c r="FT301" i="23"/>
  <c r="FU301" i="23"/>
  <c r="FB301" i="23"/>
  <c r="FC301" i="23" s="1"/>
  <c r="FH301" i="23"/>
  <c r="FI301" i="23"/>
  <c r="EJ301" i="23"/>
  <c r="EK301" i="23" s="1"/>
  <c r="EP301" i="23"/>
  <c r="EQ301" i="23"/>
  <c r="DX301" i="23"/>
  <c r="DY301" i="23" s="1"/>
  <c r="EV301" i="23"/>
  <c r="EW301" i="23"/>
  <c r="DR301" i="23"/>
  <c r="DS301" i="23" s="1"/>
  <c r="ED301" i="23"/>
  <c r="EE301" i="23"/>
  <c r="DL301" i="23"/>
  <c r="DM301" i="23" s="1"/>
  <c r="DF301" i="23"/>
  <c r="DG301" i="23"/>
  <c r="CZ301" i="23"/>
  <c r="DA301" i="23" s="1"/>
  <c r="CT301" i="23"/>
  <c r="CU301" i="23"/>
  <c r="CN301" i="23"/>
  <c r="CO301" i="23" s="1"/>
  <c r="BV301" i="23"/>
  <c r="BW301" i="23"/>
  <c r="CB301" i="23"/>
  <c r="CC301" i="23" s="1"/>
  <c r="BJ301" i="23"/>
  <c r="BK301" i="23"/>
  <c r="CH301" i="23"/>
  <c r="CI301" i="23" s="1"/>
  <c r="BD301" i="23"/>
  <c r="BE301" i="23"/>
  <c r="FZ308" i="23"/>
  <c r="GA308" i="23" s="1"/>
  <c r="FN308" i="23"/>
  <c r="FO308" i="23"/>
  <c r="FT308" i="23"/>
  <c r="FU308" i="23" s="1"/>
  <c r="FB308" i="23"/>
  <c r="FC308" i="23"/>
  <c r="FH308" i="23"/>
  <c r="FI308" i="23" s="1"/>
  <c r="DX308" i="23"/>
  <c r="DY308" i="23"/>
  <c r="EV308" i="23"/>
  <c r="EW308" i="23" s="1"/>
  <c r="DR308" i="23"/>
  <c r="DS308" i="23"/>
  <c r="EP308" i="23"/>
  <c r="EQ308" i="23" s="1"/>
  <c r="ED308" i="23"/>
  <c r="EE308" i="23"/>
  <c r="EJ308" i="23"/>
  <c r="EK308" i="23" s="1"/>
  <c r="DF308" i="23"/>
  <c r="DG308" i="23"/>
  <c r="CZ308" i="23"/>
  <c r="DA308" i="23" s="1"/>
  <c r="CN308" i="23"/>
  <c r="CO308" i="23"/>
  <c r="CT308" i="23"/>
  <c r="CU308" i="23" s="1"/>
  <c r="DL308" i="23"/>
  <c r="DM308" i="23"/>
  <c r="BD308" i="23"/>
  <c r="BE308" i="23" s="1"/>
  <c r="CH308" i="23"/>
  <c r="CI308" i="23"/>
  <c r="BV308" i="23"/>
  <c r="BW308" i="23" s="1"/>
  <c r="BJ308" i="23"/>
  <c r="BK308" i="23"/>
  <c r="CB308" i="23"/>
  <c r="CC308" i="23" s="1"/>
  <c r="FZ312" i="23"/>
  <c r="GA312" i="23"/>
  <c r="FN312" i="23"/>
  <c r="FO312" i="23" s="1"/>
  <c r="FB312" i="23"/>
  <c r="FC312" i="23"/>
  <c r="FH312" i="23"/>
  <c r="FI312" i="23" s="1"/>
  <c r="FT312" i="23"/>
  <c r="FU312" i="23"/>
  <c r="EP312" i="23"/>
  <c r="EQ312" i="23" s="1"/>
  <c r="DR312" i="23"/>
  <c r="DS312" i="23"/>
  <c r="EV312" i="23"/>
  <c r="EW312" i="23" s="1"/>
  <c r="EJ312" i="23"/>
  <c r="EK312" i="23"/>
  <c r="DX312" i="23"/>
  <c r="DY312" i="23" s="1"/>
  <c r="ED312" i="23"/>
  <c r="EE312" i="23"/>
  <c r="DL312" i="23"/>
  <c r="DM312" i="23" s="1"/>
  <c r="DF312" i="23"/>
  <c r="DG312" i="23"/>
  <c r="CT312" i="23"/>
  <c r="CU312" i="23" s="1"/>
  <c r="CH312" i="23"/>
  <c r="CI312" i="23"/>
  <c r="CN312" i="23"/>
  <c r="CO312" i="23" s="1"/>
  <c r="CZ312" i="23"/>
  <c r="DA312" i="23"/>
  <c r="BV312" i="23"/>
  <c r="BW312" i="23" s="1"/>
  <c r="CB312" i="23"/>
  <c r="CC312" i="23"/>
  <c r="BD312" i="23"/>
  <c r="BE312" i="23" s="1"/>
  <c r="BJ312" i="23"/>
  <c r="BK312" i="23"/>
  <c r="FZ318" i="23"/>
  <c r="GA318" i="23" s="1"/>
  <c r="FN318" i="23"/>
  <c r="FO318" i="23"/>
  <c r="FT318" i="23"/>
  <c r="FU318" i="23" s="1"/>
  <c r="FB318" i="23"/>
  <c r="FC318" i="23"/>
  <c r="FH318" i="23"/>
  <c r="FI318" i="23" s="1"/>
  <c r="EP318" i="23"/>
  <c r="EQ318" i="23"/>
  <c r="EV318" i="23"/>
  <c r="EW318" i="23" s="1"/>
  <c r="EJ318" i="23"/>
  <c r="EK318" i="23"/>
  <c r="DR318" i="23"/>
  <c r="DS318" i="23" s="1"/>
  <c r="ED318" i="23"/>
  <c r="EE318" i="23"/>
  <c r="DX318" i="23"/>
  <c r="DY318" i="23" s="1"/>
  <c r="DF318" i="23"/>
  <c r="DG318" i="23"/>
  <c r="DL318" i="23"/>
  <c r="DM318" i="23" s="1"/>
  <c r="CZ318" i="23"/>
  <c r="DA318" i="23"/>
  <c r="CH318" i="23"/>
  <c r="CI318" i="23" s="1"/>
  <c r="CT318" i="23"/>
  <c r="CU318" i="23"/>
  <c r="CN318" i="23"/>
  <c r="CO318" i="23" s="1"/>
  <c r="BJ318" i="23"/>
  <c r="BK318" i="23"/>
  <c r="BV318" i="23"/>
  <c r="BW318" i="23" s="1"/>
  <c r="BD318" i="23"/>
  <c r="BE318" i="23"/>
  <c r="CB318" i="23"/>
  <c r="CC318" i="23" s="1"/>
  <c r="FN322" i="23"/>
  <c r="FO322" i="23"/>
  <c r="FZ322" i="23"/>
  <c r="GA322" i="23" s="1"/>
  <c r="FT322" i="23"/>
  <c r="FU322" i="23"/>
  <c r="FH322" i="23"/>
  <c r="FI322" i="23" s="1"/>
  <c r="FB322" i="23"/>
  <c r="FC322" i="23"/>
  <c r="EV322" i="23"/>
  <c r="EW322" i="23" s="1"/>
  <c r="EP322" i="23"/>
  <c r="EQ322" i="23"/>
  <c r="EJ322" i="23"/>
  <c r="EK322" i="23" s="1"/>
  <c r="DX322" i="23"/>
  <c r="DY322" i="23"/>
  <c r="ED322" i="23"/>
  <c r="EE322" i="23" s="1"/>
  <c r="DR322" i="23"/>
  <c r="DS322" i="23"/>
  <c r="DL322" i="23"/>
  <c r="DM322" i="23" s="1"/>
  <c r="CN322" i="23"/>
  <c r="CO322" i="23"/>
  <c r="CB322" i="23"/>
  <c r="CC322" i="23" s="1"/>
  <c r="DF322" i="23"/>
  <c r="DG322" i="23"/>
  <c r="CZ322" i="23"/>
  <c r="DA322" i="23" s="1"/>
  <c r="CH322" i="23"/>
  <c r="CI322" i="23"/>
  <c r="CT322" i="23"/>
  <c r="CU322" i="23" s="1"/>
  <c r="BD322" i="23"/>
  <c r="BE322" i="23"/>
  <c r="BV322" i="23"/>
  <c r="BW322" i="23" s="1"/>
  <c r="BJ322" i="23"/>
  <c r="BK322" i="23"/>
  <c r="FZ326" i="23"/>
  <c r="GA326" i="23" s="1"/>
  <c r="FN326" i="23"/>
  <c r="FO326" i="23"/>
  <c r="FB326" i="23"/>
  <c r="FC326" i="23" s="1"/>
  <c r="EV326" i="23"/>
  <c r="EW326" i="23"/>
  <c r="FH326" i="23"/>
  <c r="FI326" i="23" s="1"/>
  <c r="EP326" i="23"/>
  <c r="EQ326" i="23"/>
  <c r="EJ326" i="23"/>
  <c r="EK326" i="23" s="1"/>
  <c r="FT326" i="23"/>
  <c r="FU326" i="23"/>
  <c r="DR326" i="23"/>
  <c r="DS326" i="23" s="1"/>
  <c r="DX326" i="23"/>
  <c r="DY326" i="23"/>
  <c r="DL326" i="23"/>
  <c r="DM326" i="23" s="1"/>
  <c r="DF326" i="23"/>
  <c r="DG326" i="23"/>
  <c r="CZ326" i="23"/>
  <c r="DA326" i="23" s="1"/>
  <c r="CN326" i="23"/>
  <c r="CO326" i="23"/>
  <c r="ED326" i="23"/>
  <c r="EE326" i="23" s="1"/>
  <c r="CT326" i="23"/>
  <c r="CU326" i="23"/>
  <c r="CH326" i="23"/>
  <c r="CI326" i="23" s="1"/>
  <c r="BV326" i="23"/>
  <c r="BW326" i="23"/>
  <c r="BD326" i="23"/>
  <c r="BE326" i="23" s="1"/>
  <c r="CB326" i="23"/>
  <c r="CC326" i="23"/>
  <c r="BJ326" i="23"/>
  <c r="BK326" i="23" s="1"/>
  <c r="FZ330" i="23"/>
  <c r="GA330" i="23"/>
  <c r="FN330" i="23"/>
  <c r="FO330" i="23" s="1"/>
  <c r="FB330" i="23"/>
  <c r="FC330" i="23"/>
  <c r="EP330" i="23"/>
  <c r="EQ330" i="23" s="1"/>
  <c r="FH330" i="23"/>
  <c r="FI330" i="23"/>
  <c r="DX330" i="23"/>
  <c r="DY330" i="23" s="1"/>
  <c r="FT330" i="23"/>
  <c r="FU330" i="23"/>
  <c r="EV330" i="23"/>
  <c r="EW330" i="23" s="1"/>
  <c r="DR330" i="23"/>
  <c r="DS330" i="23"/>
  <c r="ED330" i="23"/>
  <c r="EE330" i="23" s="1"/>
  <c r="DF330" i="23"/>
  <c r="DG330" i="23"/>
  <c r="DL330" i="23"/>
  <c r="DM330" i="23" s="1"/>
  <c r="CZ330" i="23"/>
  <c r="DA330" i="23"/>
  <c r="CN330" i="23"/>
  <c r="CO330" i="23" s="1"/>
  <c r="EJ330" i="23"/>
  <c r="EK330" i="23"/>
  <c r="CT330" i="23"/>
  <c r="CU330" i="23" s="1"/>
  <c r="CH330" i="23"/>
  <c r="CI330" i="23"/>
  <c r="BV330" i="23"/>
  <c r="BW330" i="23" s="1"/>
  <c r="BD330" i="23"/>
  <c r="BE330" i="23"/>
  <c r="CB330" i="23"/>
  <c r="CC330" i="23" s="1"/>
  <c r="BJ330" i="23"/>
  <c r="BK330" i="23"/>
  <c r="FZ334" i="23"/>
  <c r="GA334" i="23" s="1"/>
  <c r="FN334" i="23"/>
  <c r="FO334" i="23"/>
  <c r="FT334" i="23"/>
  <c r="FU334" i="23" s="1"/>
  <c r="EV334" i="23"/>
  <c r="EW334" i="23"/>
  <c r="EP334" i="23"/>
  <c r="EQ334" i="23" s="1"/>
  <c r="FH334" i="23"/>
  <c r="FI334" i="23"/>
  <c r="FB334" i="23"/>
  <c r="FC334" i="23" s="1"/>
  <c r="ED334" i="23"/>
  <c r="EE334" i="23"/>
  <c r="DX334" i="23"/>
  <c r="DY334" i="23" s="1"/>
  <c r="EJ334" i="23"/>
  <c r="EK334" i="23"/>
  <c r="DR334" i="23"/>
  <c r="DS334" i="23" s="1"/>
  <c r="DL334" i="23"/>
  <c r="DM334" i="23"/>
  <c r="DF334" i="23"/>
  <c r="DG334" i="23" s="1"/>
  <c r="CZ334" i="23"/>
  <c r="DA334" i="23"/>
  <c r="CN334" i="23"/>
  <c r="CO334" i="23" s="1"/>
  <c r="CT334" i="23"/>
  <c r="CU334" i="23"/>
  <c r="CH334" i="23"/>
  <c r="CI334" i="23" s="1"/>
  <c r="CB334" i="23"/>
  <c r="CC334" i="23"/>
  <c r="BV334" i="23"/>
  <c r="BW334" i="23" s="1"/>
  <c r="BD334" i="23"/>
  <c r="BE334" i="23"/>
  <c r="BJ334" i="23"/>
  <c r="BK334" i="23" s="1"/>
  <c r="FZ341" i="23"/>
  <c r="GA341" i="23"/>
  <c r="FN341" i="23"/>
  <c r="FO341" i="23" s="1"/>
  <c r="FT341" i="23"/>
  <c r="FU341" i="23"/>
  <c r="FH341" i="23"/>
  <c r="FI341" i="23" s="1"/>
  <c r="FB341" i="23"/>
  <c r="FC341" i="23"/>
  <c r="EV341" i="23"/>
  <c r="EW341" i="23" s="1"/>
  <c r="EJ341" i="23"/>
  <c r="EK341" i="23"/>
  <c r="DX341" i="23"/>
  <c r="DY341" i="23" s="1"/>
  <c r="DR341" i="23"/>
  <c r="DS341" i="23"/>
  <c r="EP341" i="23"/>
  <c r="EQ341" i="23" s="1"/>
  <c r="ED341" i="23"/>
  <c r="EE341" i="23"/>
  <c r="DL341" i="23"/>
  <c r="DM341" i="23" s="1"/>
  <c r="DF341" i="23"/>
  <c r="DG341" i="23"/>
  <c r="CH341" i="23"/>
  <c r="CI341" i="23" s="1"/>
  <c r="CB341" i="23"/>
  <c r="CC341" i="23"/>
  <c r="CZ341" i="23"/>
  <c r="DA341" i="23" s="1"/>
  <c r="CT341" i="23"/>
  <c r="CU341" i="23"/>
  <c r="CN341" i="23"/>
  <c r="CO341" i="23" s="1"/>
  <c r="BV341" i="23"/>
  <c r="BW341" i="23"/>
  <c r="BD341" i="23"/>
  <c r="BE341" i="23" s="1"/>
  <c r="BJ341" i="23"/>
  <c r="BK341" i="23"/>
  <c r="FZ347" i="23"/>
  <c r="GA347" i="23" s="1"/>
  <c r="FN347" i="23"/>
  <c r="FO347" i="23"/>
  <c r="FT347" i="23"/>
  <c r="FU347" i="23" s="1"/>
  <c r="FB347" i="23"/>
  <c r="FC347" i="23"/>
  <c r="FH347" i="23"/>
  <c r="FI347" i="23" s="1"/>
  <c r="EJ347" i="23"/>
  <c r="EK347" i="23"/>
  <c r="EP347" i="23"/>
  <c r="EQ347" i="23" s="1"/>
  <c r="EV347" i="23"/>
  <c r="EW347" i="23"/>
  <c r="ED347" i="23"/>
  <c r="EE347" i="23" s="1"/>
  <c r="DX347" i="23"/>
  <c r="DY347" i="23"/>
  <c r="DR347" i="23"/>
  <c r="DS347" i="23" s="1"/>
  <c r="DF347" i="23"/>
  <c r="DG347" i="23"/>
  <c r="CH347" i="23"/>
  <c r="CI347" i="23" s="1"/>
  <c r="CZ347" i="23"/>
  <c r="DA347" i="23"/>
  <c r="CN347" i="23"/>
  <c r="CO347" i="23" s="1"/>
  <c r="CB347" i="23"/>
  <c r="CC347" i="23"/>
  <c r="DL347" i="23"/>
  <c r="DM347" i="23" s="1"/>
  <c r="CT347" i="23"/>
  <c r="CU347" i="23"/>
  <c r="BV347" i="23"/>
  <c r="BW347" i="23" s="1"/>
  <c r="BJ347" i="23"/>
  <c r="BK347" i="23"/>
  <c r="BD347" i="23"/>
  <c r="BE347" i="23" s="1"/>
  <c r="FZ350" i="23"/>
  <c r="GA350" i="23"/>
  <c r="FH350" i="23"/>
  <c r="FI350" i="23" s="1"/>
  <c r="FN350" i="23"/>
  <c r="FO350" i="23"/>
  <c r="FT350" i="23"/>
  <c r="FU350" i="23" s="1"/>
  <c r="FB350" i="23"/>
  <c r="FC350" i="23"/>
  <c r="EV350" i="23"/>
  <c r="EW350" i="23" s="1"/>
  <c r="EP350" i="23"/>
  <c r="EQ350" i="23"/>
  <c r="EJ350" i="23"/>
  <c r="EK350" i="23" s="1"/>
  <c r="ED350" i="23"/>
  <c r="EE350" i="23"/>
  <c r="DX350" i="23"/>
  <c r="DY350" i="23" s="1"/>
  <c r="DR350" i="23"/>
  <c r="DS350" i="23"/>
  <c r="DF350" i="23"/>
  <c r="DG350" i="23" s="1"/>
  <c r="DL350" i="23"/>
  <c r="DM350" i="23"/>
  <c r="CT350" i="23"/>
  <c r="CU350" i="23" s="1"/>
  <c r="CH350" i="23"/>
  <c r="CI350" i="23"/>
  <c r="CB350" i="23"/>
  <c r="CC350" i="23" s="1"/>
  <c r="CZ350" i="23"/>
  <c r="DA350" i="23"/>
  <c r="CN350" i="23"/>
  <c r="CO350" i="23" s="1"/>
  <c r="BD350" i="23"/>
  <c r="BE350" i="23"/>
  <c r="BV350" i="23"/>
  <c r="BW350" i="23" s="1"/>
  <c r="BJ350" i="23"/>
  <c r="BK350" i="23"/>
  <c r="FZ354" i="23"/>
  <c r="GA354" i="23" s="1"/>
  <c r="FN354" i="23"/>
  <c r="FO354" i="23"/>
  <c r="FT354" i="23"/>
  <c r="FU354" i="23" s="1"/>
  <c r="FH354" i="23"/>
  <c r="FI354" i="23"/>
  <c r="EV354" i="23"/>
  <c r="EW354" i="23" s="1"/>
  <c r="FB354" i="23"/>
  <c r="FC354" i="23"/>
  <c r="EJ354" i="23"/>
  <c r="EK354" i="23" s="1"/>
  <c r="EP354" i="23"/>
  <c r="EQ354" i="23"/>
  <c r="ED354" i="23"/>
  <c r="EE354" i="23" s="1"/>
  <c r="DX354" i="23"/>
  <c r="DY354" i="23"/>
  <c r="DR354" i="23"/>
  <c r="DS354" i="23" s="1"/>
  <c r="DL354" i="23"/>
  <c r="DM354" i="23"/>
  <c r="DF354" i="23"/>
  <c r="DG354" i="23" s="1"/>
  <c r="CN354" i="23"/>
  <c r="CO354" i="23"/>
  <c r="CH354" i="23"/>
  <c r="CI354" i="23" s="1"/>
  <c r="CT354" i="23"/>
  <c r="CU354" i="23"/>
  <c r="CZ354" i="23"/>
  <c r="DA354" i="23" s="1"/>
  <c r="CB354" i="23"/>
  <c r="CC354" i="23"/>
  <c r="BV354" i="23"/>
  <c r="BW354" i="23" s="1"/>
  <c r="BJ354" i="23"/>
  <c r="BK354" i="23"/>
  <c r="BD354" i="23"/>
  <c r="BE354" i="23" s="1"/>
  <c r="FZ358" i="23"/>
  <c r="GA358" i="23"/>
  <c r="FN358" i="23"/>
  <c r="FO358" i="23" s="1"/>
  <c r="FT358" i="23"/>
  <c r="FU358" i="23"/>
  <c r="FH358" i="23"/>
  <c r="FI358" i="23" s="1"/>
  <c r="FB358" i="23"/>
  <c r="FC358" i="23"/>
  <c r="EP358" i="23"/>
  <c r="EQ358" i="23" s="1"/>
  <c r="EJ358" i="23"/>
  <c r="EK358" i="23"/>
  <c r="ED358" i="23"/>
  <c r="EE358" i="23" s="1"/>
  <c r="EV358" i="23"/>
  <c r="EW358" i="23"/>
  <c r="DX358" i="23"/>
  <c r="DY358" i="23" s="1"/>
  <c r="DR358" i="23"/>
  <c r="DS358" i="23"/>
  <c r="DF358" i="23"/>
  <c r="DG358" i="23" s="1"/>
  <c r="DL358" i="23"/>
  <c r="DM358" i="23"/>
  <c r="CN358" i="23"/>
  <c r="CO358" i="23" s="1"/>
  <c r="CZ358" i="23"/>
  <c r="DA358" i="23"/>
  <c r="CB358" i="23"/>
  <c r="CC358" i="23" s="1"/>
  <c r="CT358" i="23"/>
  <c r="CU358" i="23"/>
  <c r="CH358" i="23"/>
  <c r="CI358" i="23" s="1"/>
  <c r="BV358" i="23"/>
  <c r="BW358" i="23"/>
  <c r="BJ358" i="23"/>
  <c r="BK358" i="23" s="1"/>
  <c r="BD358" i="23"/>
  <c r="BE358" i="23"/>
  <c r="FZ362" i="23"/>
  <c r="GA362" i="23" s="1"/>
  <c r="FN362" i="23"/>
  <c r="FO362" i="23"/>
  <c r="FT362" i="23"/>
  <c r="FU362" i="23" s="1"/>
  <c r="FH362" i="23"/>
  <c r="FI362" i="23"/>
  <c r="FB362" i="23"/>
  <c r="FC362" i="23" s="1"/>
  <c r="EP362" i="23"/>
  <c r="EQ362" i="23"/>
  <c r="DR362" i="23"/>
  <c r="DS362" i="23" s="1"/>
  <c r="EJ362" i="23"/>
  <c r="EK362" i="23"/>
  <c r="EV362" i="23"/>
  <c r="EW362" i="23" s="1"/>
  <c r="ED362" i="23"/>
  <c r="EE362" i="23"/>
  <c r="CZ362" i="23"/>
  <c r="DA362" i="23" s="1"/>
  <c r="CH362" i="23"/>
  <c r="CI362" i="23"/>
  <c r="CB362" i="23"/>
  <c r="CC362" i="23" s="1"/>
  <c r="DL362" i="23"/>
  <c r="DM362" i="23"/>
  <c r="CT362" i="23"/>
  <c r="CU362" i="23" s="1"/>
  <c r="DF362" i="23"/>
  <c r="DG362" i="23"/>
  <c r="CN362" i="23"/>
  <c r="CO362" i="23" s="1"/>
  <c r="DX362" i="23"/>
  <c r="DY362" i="23"/>
  <c r="BV362" i="23"/>
  <c r="BW362" i="23" s="1"/>
  <c r="BD362" i="23"/>
  <c r="BE362" i="23"/>
  <c r="BJ362" i="23"/>
  <c r="BK362" i="23" s="1"/>
  <c r="FZ369" i="23"/>
  <c r="GA369" i="23"/>
  <c r="FN369" i="23"/>
  <c r="FO369" i="23" s="1"/>
  <c r="FT369" i="23"/>
  <c r="FU369" i="23"/>
  <c r="FH369" i="23"/>
  <c r="FI369" i="23" s="1"/>
  <c r="EV369" i="23"/>
  <c r="EW369" i="23"/>
  <c r="FB369" i="23"/>
  <c r="FC369" i="23" s="1"/>
  <c r="EJ369" i="23"/>
  <c r="EK369" i="23"/>
  <c r="ED369" i="23"/>
  <c r="EE369" i="23" s="1"/>
  <c r="DX369" i="23"/>
  <c r="DY369" i="23"/>
  <c r="DR369" i="23"/>
  <c r="DS369" i="23" s="1"/>
  <c r="EP369" i="23"/>
  <c r="EQ369" i="23"/>
  <c r="DF369" i="23"/>
  <c r="DG369" i="23" s="1"/>
  <c r="CZ369" i="23"/>
  <c r="DA369" i="23"/>
  <c r="DL369" i="23"/>
  <c r="DM369" i="23" s="1"/>
  <c r="CN369" i="23"/>
  <c r="CO369" i="23"/>
  <c r="CT369" i="23"/>
  <c r="CU369" i="23" s="1"/>
  <c r="CH369" i="23"/>
  <c r="CI369" i="23"/>
  <c r="BJ369" i="23"/>
  <c r="BK369" i="23" s="1"/>
  <c r="BD369" i="23"/>
  <c r="BE369" i="23"/>
  <c r="CB369" i="23"/>
  <c r="CC369" i="23" s="1"/>
  <c r="BV369" i="23"/>
  <c r="BW369" i="23"/>
  <c r="AL373" i="23"/>
  <c r="AM373" i="23" s="1"/>
  <c r="FZ373" i="23"/>
  <c r="GA373" i="23"/>
  <c r="FN373" i="23"/>
  <c r="FO373" i="23" s="1"/>
  <c r="FT373" i="23"/>
  <c r="FU373" i="23"/>
  <c r="FH373" i="23"/>
  <c r="FI373" i="23" s="1"/>
  <c r="FB373" i="23"/>
  <c r="FC373" i="23"/>
  <c r="EP373" i="23"/>
  <c r="EQ373" i="23" s="1"/>
  <c r="EJ373" i="23"/>
  <c r="EK373" i="23"/>
  <c r="EV373" i="23"/>
  <c r="EW373" i="23" s="1"/>
  <c r="DX373" i="23"/>
  <c r="DY373" i="23"/>
  <c r="DR373" i="23"/>
  <c r="DS373" i="23" s="1"/>
  <c r="ED373" i="23"/>
  <c r="EE373" i="23"/>
  <c r="DF373" i="23"/>
  <c r="DG373" i="23" s="1"/>
  <c r="CZ373" i="23"/>
  <c r="DA373" i="23"/>
  <c r="CB373" i="23"/>
  <c r="CC373" i="23" s="1"/>
  <c r="CT373" i="23"/>
  <c r="CU373" i="23"/>
  <c r="CN373" i="23"/>
  <c r="CO373" i="23" s="1"/>
  <c r="CH373" i="23"/>
  <c r="CI373" i="23"/>
  <c r="DL373" i="23"/>
  <c r="DM373" i="23" s="1"/>
  <c r="BJ373" i="23"/>
  <c r="BK373" i="23"/>
  <c r="BD373" i="23"/>
  <c r="BE373" i="23" s="1"/>
  <c r="BV373" i="23"/>
  <c r="BW373" i="23"/>
  <c r="FZ379" i="23"/>
  <c r="GA379" i="23" s="1"/>
  <c r="FN379" i="23"/>
  <c r="FO379" i="23"/>
  <c r="FH379" i="23"/>
  <c r="FI379" i="23" s="1"/>
  <c r="EV379" i="23"/>
  <c r="EW379" i="23"/>
  <c r="FT379" i="23"/>
  <c r="FU379" i="23" s="1"/>
  <c r="EP379" i="23"/>
  <c r="EQ379" i="23"/>
  <c r="EJ379" i="23"/>
  <c r="EK379" i="23" s="1"/>
  <c r="FB379" i="23"/>
  <c r="FC379" i="23"/>
  <c r="ED379" i="23"/>
  <c r="EE379" i="23" s="1"/>
  <c r="DX379" i="23"/>
  <c r="DY379" i="23"/>
  <c r="DR379" i="23"/>
  <c r="DS379" i="23" s="1"/>
  <c r="CZ379" i="23"/>
  <c r="DA379" i="23"/>
  <c r="DF379" i="23"/>
  <c r="DG379" i="23" s="1"/>
  <c r="DL379" i="23"/>
  <c r="DM379" i="23"/>
  <c r="CN379" i="23"/>
  <c r="CO379" i="23" s="1"/>
  <c r="CH379" i="23"/>
  <c r="CI379" i="23"/>
  <c r="CB379" i="23"/>
  <c r="CC379" i="23" s="1"/>
  <c r="CT379" i="23"/>
  <c r="CU379" i="23"/>
  <c r="BJ379" i="23"/>
  <c r="BK379" i="23" s="1"/>
  <c r="BD379" i="23"/>
  <c r="BE379" i="23"/>
  <c r="BV379" i="23"/>
  <c r="BW379" i="23" s="1"/>
  <c r="FZ383" i="23"/>
  <c r="GA383" i="23"/>
  <c r="FN383" i="23"/>
  <c r="FO383" i="23" s="1"/>
  <c r="FH383" i="23"/>
  <c r="FI383" i="23"/>
  <c r="FT383" i="23"/>
  <c r="FU383" i="23" s="1"/>
  <c r="FB383" i="23"/>
  <c r="FC383" i="23"/>
  <c r="EJ383" i="23"/>
  <c r="EK383" i="23" s="1"/>
  <c r="EP383" i="23"/>
  <c r="EQ383" i="23"/>
  <c r="EV383" i="23"/>
  <c r="EW383" i="23" s="1"/>
  <c r="DX383" i="23"/>
  <c r="DY383" i="23"/>
  <c r="DR383" i="23"/>
  <c r="DS383" i="23" s="1"/>
  <c r="ED383" i="23"/>
  <c r="EE383" i="23"/>
  <c r="DL383" i="23"/>
  <c r="DM383" i="23" s="1"/>
  <c r="DF383" i="23"/>
  <c r="DG383" i="23"/>
  <c r="CZ383" i="23"/>
  <c r="DA383" i="23" s="1"/>
  <c r="CN383" i="23"/>
  <c r="CO383" i="23"/>
  <c r="CH383" i="23"/>
  <c r="CI383" i="23" s="1"/>
  <c r="CB383" i="23"/>
  <c r="CC383" i="23"/>
  <c r="CT383" i="23"/>
  <c r="CU383" i="23" s="1"/>
  <c r="BD383" i="23"/>
  <c r="BE383" i="23"/>
  <c r="BV383" i="23"/>
  <c r="BW383" i="23" s="1"/>
  <c r="BJ383" i="23"/>
  <c r="BK383" i="23"/>
  <c r="FZ387" i="23"/>
  <c r="GA387" i="23" s="1"/>
  <c r="FN387" i="23"/>
  <c r="FO387" i="23"/>
  <c r="FT387" i="23"/>
  <c r="FU387" i="23" s="1"/>
  <c r="FH387" i="23"/>
  <c r="FI387" i="23"/>
  <c r="FB387" i="23"/>
  <c r="FC387" i="23" s="1"/>
  <c r="EV387" i="23"/>
  <c r="EW387" i="23"/>
  <c r="EP387" i="23"/>
  <c r="EQ387" i="23" s="1"/>
  <c r="EJ387" i="23"/>
  <c r="EK387" i="23"/>
  <c r="DX387" i="23"/>
  <c r="DY387" i="23" s="1"/>
  <c r="DR387" i="23"/>
  <c r="DS387" i="23"/>
  <c r="ED387" i="23"/>
  <c r="EE387" i="23" s="1"/>
  <c r="DF387" i="23"/>
  <c r="DG387" i="23"/>
  <c r="DL387" i="23"/>
  <c r="DM387" i="23" s="1"/>
  <c r="CZ387" i="23"/>
  <c r="DA387" i="23"/>
  <c r="CH387" i="23"/>
  <c r="CI387" i="23" s="1"/>
  <c r="CT387" i="23"/>
  <c r="CU387" i="23"/>
  <c r="CN387" i="23"/>
  <c r="CO387" i="23" s="1"/>
  <c r="BD387" i="23"/>
  <c r="BE387" i="23"/>
  <c r="CB387" i="23"/>
  <c r="CC387" i="23" s="1"/>
  <c r="BJ387" i="23"/>
  <c r="BK387" i="23"/>
  <c r="BV387" i="23"/>
  <c r="BW387" i="23" s="1"/>
  <c r="FZ391" i="23"/>
  <c r="GA391" i="23"/>
  <c r="FT391" i="23"/>
  <c r="FU391" i="23" s="1"/>
  <c r="FN391" i="23"/>
  <c r="FO391" i="23"/>
  <c r="FH391" i="23"/>
  <c r="FI391" i="23" s="1"/>
  <c r="FB391" i="23"/>
  <c r="FC391" i="23"/>
  <c r="EV391" i="23"/>
  <c r="EW391" i="23" s="1"/>
  <c r="EP391" i="23"/>
  <c r="EQ391" i="23"/>
  <c r="EJ391" i="23"/>
  <c r="EK391" i="23" s="1"/>
  <c r="DX391" i="23"/>
  <c r="DY391" i="23"/>
  <c r="DR391" i="23"/>
  <c r="DS391" i="23" s="1"/>
  <c r="ED391" i="23"/>
  <c r="EE391" i="23"/>
  <c r="DL391" i="23"/>
  <c r="DM391" i="23" s="1"/>
  <c r="CZ391" i="23"/>
  <c r="DA391" i="23"/>
  <c r="CH391" i="23"/>
  <c r="CI391" i="23" s="1"/>
  <c r="DF391" i="23"/>
  <c r="DG391" i="23"/>
  <c r="CT391" i="23"/>
  <c r="CU391" i="23" s="1"/>
  <c r="CN391" i="23"/>
  <c r="CO391" i="23"/>
  <c r="CB391" i="23"/>
  <c r="CC391" i="23" s="1"/>
  <c r="BJ391" i="23"/>
  <c r="BK391" i="23"/>
  <c r="BV391" i="23"/>
  <c r="BW391" i="23" s="1"/>
  <c r="BD391" i="23"/>
  <c r="BE391" i="23"/>
  <c r="FZ398" i="23"/>
  <c r="GA398" i="23" s="1"/>
  <c r="FN398" i="23"/>
  <c r="FO398" i="23"/>
  <c r="FT398" i="23"/>
  <c r="FU398" i="23" s="1"/>
  <c r="FH398" i="23"/>
  <c r="FI398" i="23"/>
  <c r="EP398" i="23"/>
  <c r="EQ398" i="23" s="1"/>
  <c r="FB398" i="23"/>
  <c r="FC398" i="23"/>
  <c r="EV398" i="23"/>
  <c r="EW398" i="23" s="1"/>
  <c r="EJ398" i="23"/>
  <c r="EK398" i="23"/>
  <c r="DR398" i="23"/>
  <c r="DS398" i="23" s="1"/>
  <c r="DL398" i="23"/>
  <c r="DM398" i="23"/>
  <c r="ED398" i="23"/>
  <c r="EE398" i="23" s="1"/>
  <c r="DX398" i="23"/>
  <c r="DY398" i="23"/>
  <c r="DF398" i="23"/>
  <c r="DG398" i="23" s="1"/>
  <c r="CZ398" i="23"/>
  <c r="DA398" i="23"/>
  <c r="CN398" i="23"/>
  <c r="CO398" i="23" s="1"/>
  <c r="CT398" i="23"/>
  <c r="CU398" i="23"/>
  <c r="CH398" i="23"/>
  <c r="CI398" i="23" s="1"/>
  <c r="BV398" i="23"/>
  <c r="BW398" i="23"/>
  <c r="BD398" i="23"/>
  <c r="BE398" i="23" s="1"/>
  <c r="BJ398" i="23"/>
  <c r="BK398" i="23"/>
  <c r="CB398" i="23"/>
  <c r="CC398" i="23" s="1"/>
  <c r="FN402" i="23"/>
  <c r="FO402" i="23"/>
  <c r="FT402" i="23"/>
  <c r="FU402" i="23" s="1"/>
  <c r="FZ402" i="23"/>
  <c r="GA402" i="23"/>
  <c r="FH402" i="23"/>
  <c r="FI402" i="23" s="1"/>
  <c r="EV402" i="23"/>
  <c r="EW402" i="23"/>
  <c r="FB402" i="23"/>
  <c r="FC402" i="23" s="1"/>
  <c r="EP402" i="23"/>
  <c r="EQ402" i="23"/>
  <c r="EJ402" i="23"/>
  <c r="EK402" i="23" s="1"/>
  <c r="DX402" i="23"/>
  <c r="DY402" i="23"/>
  <c r="ED402" i="23"/>
  <c r="EE402" i="23" s="1"/>
  <c r="DR402" i="23"/>
  <c r="DS402" i="23"/>
  <c r="DL402" i="23"/>
  <c r="DM402" i="23" s="1"/>
  <c r="CH402" i="23"/>
  <c r="CI402" i="23"/>
  <c r="CT402" i="23"/>
  <c r="CU402" i="23" s="1"/>
  <c r="CN402" i="23"/>
  <c r="CO402" i="23"/>
  <c r="CB402" i="23"/>
  <c r="CC402" i="23" s="1"/>
  <c r="DF402" i="23"/>
  <c r="DG402" i="23"/>
  <c r="CZ402" i="23"/>
  <c r="DA402" i="23" s="1"/>
  <c r="BJ402" i="23"/>
  <c r="BK402" i="23"/>
  <c r="BV402" i="23"/>
  <c r="BW402" i="23" s="1"/>
  <c r="BD402" i="23"/>
  <c r="BE402" i="23"/>
  <c r="FZ408" i="23"/>
  <c r="GA408" i="23" s="1"/>
  <c r="FN408" i="23"/>
  <c r="FO408" i="23"/>
  <c r="FT408" i="23"/>
  <c r="FU408" i="23" s="1"/>
  <c r="FH408" i="23"/>
  <c r="FI408" i="23"/>
  <c r="EV408" i="23"/>
  <c r="EW408" i="23" s="1"/>
  <c r="EP408" i="23"/>
  <c r="EQ408" i="23"/>
  <c r="FB408" i="23"/>
  <c r="FC408" i="23" s="1"/>
  <c r="EJ408" i="23"/>
  <c r="EK408" i="23"/>
  <c r="DX408" i="23"/>
  <c r="DY408" i="23" s="1"/>
  <c r="ED408" i="23"/>
  <c r="EE408" i="23"/>
  <c r="DR408" i="23"/>
  <c r="DS408" i="23" s="1"/>
  <c r="DF408" i="23"/>
  <c r="DG408" i="23"/>
  <c r="DL408" i="23"/>
  <c r="DM408" i="23" s="1"/>
  <c r="CZ408" i="23"/>
  <c r="DA408" i="23"/>
  <c r="CH408" i="23"/>
  <c r="CI408" i="23" s="1"/>
  <c r="CB408" i="23"/>
  <c r="CC408" i="23"/>
  <c r="CN408" i="23"/>
  <c r="CO408" i="23" s="1"/>
  <c r="CT408" i="23"/>
  <c r="CU408" i="23"/>
  <c r="BD408" i="23"/>
  <c r="BE408" i="23" s="1"/>
  <c r="BJ408" i="23"/>
  <c r="BK408" i="23" s="1"/>
  <c r="BV408" i="23"/>
  <c r="BW408" i="23" s="1"/>
  <c r="FN412" i="23"/>
  <c r="FO412" i="23" s="1"/>
  <c r="FZ412" i="23"/>
  <c r="GA412" i="23" s="1"/>
  <c r="FH412" i="23"/>
  <c r="FI412" i="23" s="1"/>
  <c r="FT412" i="23"/>
  <c r="FU412" i="23" s="1"/>
  <c r="EP412" i="23"/>
  <c r="EQ412" i="23" s="1"/>
  <c r="EV412" i="23"/>
  <c r="EW412" i="23" s="1"/>
  <c r="EJ412" i="23"/>
  <c r="EK412" i="23" s="1"/>
  <c r="DX412" i="23"/>
  <c r="DY412" i="23" s="1"/>
  <c r="FB412" i="23"/>
  <c r="FC412" i="23" s="1"/>
  <c r="DR412" i="23"/>
  <c r="DS412" i="23" s="1"/>
  <c r="DF412" i="23"/>
  <c r="DG412" i="23" s="1"/>
  <c r="CZ412" i="23"/>
  <c r="DA412" i="23" s="1"/>
  <c r="ED412" i="23"/>
  <c r="EE412" i="23" s="1"/>
  <c r="CH412" i="23"/>
  <c r="CI412" i="23" s="1"/>
  <c r="DL412" i="23"/>
  <c r="DM412" i="23" s="1"/>
  <c r="CT412" i="23"/>
  <c r="CU412" i="23" s="1"/>
  <c r="CN412" i="23"/>
  <c r="CO412" i="23" s="1"/>
  <c r="CB412" i="23"/>
  <c r="CC412" i="23" s="1"/>
  <c r="BD412" i="23"/>
  <c r="BE412" i="23" s="1"/>
  <c r="BJ412" i="23"/>
  <c r="BK412" i="23" s="1"/>
  <c r="BV412" i="23"/>
  <c r="BW412" i="23" s="1"/>
  <c r="FN416" i="23"/>
  <c r="FO416" i="23" s="1"/>
  <c r="FT416" i="23"/>
  <c r="FU416" i="23" s="1"/>
  <c r="FB416" i="23"/>
  <c r="FC416" i="23" s="1"/>
  <c r="EV416" i="23"/>
  <c r="EW416" i="23" s="1"/>
  <c r="EJ416" i="23"/>
  <c r="EK416" i="23" s="1"/>
  <c r="EP416" i="23"/>
  <c r="EQ416" i="23" s="1"/>
  <c r="FH416" i="23"/>
  <c r="FI416" i="23" s="1"/>
  <c r="ED416" i="23"/>
  <c r="EE416" i="23" s="1"/>
  <c r="DR416" i="23"/>
  <c r="DS416" i="23" s="1"/>
  <c r="DL416" i="23"/>
  <c r="DM416" i="23" s="1"/>
  <c r="FZ416" i="23"/>
  <c r="GA416" i="23" s="1"/>
  <c r="DX416" i="23"/>
  <c r="DY416" i="23" s="1"/>
  <c r="DF416" i="23"/>
  <c r="DG416" i="23" s="1"/>
  <c r="CZ416" i="23"/>
  <c r="DA416" i="23" s="1"/>
  <c r="CB416" i="23"/>
  <c r="CC416" i="23" s="1"/>
  <c r="CT416" i="23"/>
  <c r="CU416" i="23" s="1"/>
  <c r="CN416" i="23"/>
  <c r="CO416" i="23" s="1"/>
  <c r="CH416" i="23"/>
  <c r="CI416" i="23" s="1"/>
  <c r="BV416" i="23"/>
  <c r="BW416" i="23" s="1"/>
  <c r="BD416" i="23"/>
  <c r="BE416" i="23" s="1"/>
  <c r="BJ416" i="23"/>
  <c r="BK416" i="23" s="1"/>
  <c r="FZ420" i="23"/>
  <c r="GA420" i="23" s="1"/>
  <c r="FN420" i="23"/>
  <c r="FO420" i="23" s="1"/>
  <c r="FH420" i="23"/>
  <c r="FI420" i="23" s="1"/>
  <c r="FT420" i="23"/>
  <c r="FU420" i="23" s="1"/>
  <c r="FB420" i="23"/>
  <c r="FC420" i="23" s="1"/>
  <c r="EP420" i="23"/>
  <c r="EQ420" i="23" s="1"/>
  <c r="EV420" i="23"/>
  <c r="EW420" i="23" s="1"/>
  <c r="EJ420" i="23"/>
  <c r="EK420" i="23" s="1"/>
  <c r="DR420" i="23"/>
  <c r="DS420" i="23" s="1"/>
  <c r="DX420" i="23"/>
  <c r="DY420" i="23" s="1"/>
  <c r="ED420" i="23"/>
  <c r="EE420" i="23" s="1"/>
  <c r="DL420" i="23"/>
  <c r="DM420" i="23" s="1"/>
  <c r="DF420" i="23"/>
  <c r="DG420" i="23" s="1"/>
  <c r="CZ420" i="23"/>
  <c r="DA420" i="23" s="1"/>
  <c r="CB420" i="23"/>
  <c r="CC420" i="23" s="1"/>
  <c r="CN420" i="23"/>
  <c r="CO420" i="23" s="1"/>
  <c r="CH420" i="23"/>
  <c r="CI420" i="23" s="1"/>
  <c r="CT420" i="23"/>
  <c r="CU420" i="23" s="1"/>
  <c r="BV420" i="23"/>
  <c r="BW420" i="23" s="1"/>
  <c r="BJ420" i="23"/>
  <c r="BK420" i="23" s="1"/>
  <c r="BD420" i="23"/>
  <c r="BE420" i="23" s="1"/>
  <c r="FN430" i="23"/>
  <c r="FO430" i="23" s="1"/>
  <c r="FZ430" i="23"/>
  <c r="GA430" i="23" s="1"/>
  <c r="FT430" i="23"/>
  <c r="FU430" i="23" s="1"/>
  <c r="FH430" i="23"/>
  <c r="FI430" i="23" s="1"/>
  <c r="EV430" i="23"/>
  <c r="EW430" i="23" s="1"/>
  <c r="EP430" i="23"/>
  <c r="EQ430" i="23" s="1"/>
  <c r="FB430" i="23"/>
  <c r="FC430" i="23" s="1"/>
  <c r="DR430" i="23"/>
  <c r="DS430" i="23" s="1"/>
  <c r="EJ430" i="23"/>
  <c r="EK430" i="23" s="1"/>
  <c r="ED430" i="23"/>
  <c r="EE430" i="23" s="1"/>
  <c r="DX430" i="23"/>
  <c r="DY430" i="23" s="1"/>
  <c r="CZ430" i="23"/>
  <c r="DA430" i="23" s="1"/>
  <c r="DF430" i="23"/>
  <c r="DG430" i="23" s="1"/>
  <c r="CT430" i="23"/>
  <c r="CU430" i="23" s="1"/>
  <c r="CH430" i="23"/>
  <c r="CI430" i="23" s="1"/>
  <c r="CB430" i="23"/>
  <c r="CC430" i="23" s="1"/>
  <c r="DL430" i="23"/>
  <c r="DM430" i="23" s="1"/>
  <c r="CN430" i="23"/>
  <c r="CO430" i="23" s="1"/>
  <c r="BV430" i="23"/>
  <c r="BW430" i="23" s="1"/>
  <c r="BJ430" i="23"/>
  <c r="BK430" i="23" s="1"/>
  <c r="BD430" i="23"/>
  <c r="BE430" i="23" s="1"/>
  <c r="FZ434" i="23"/>
  <c r="GA434" i="23" s="1"/>
  <c r="FN434" i="23"/>
  <c r="FO434" i="23" s="1"/>
  <c r="FT434" i="23"/>
  <c r="FU434" i="23" s="1"/>
  <c r="FB434" i="23"/>
  <c r="FC434" i="23" s="1"/>
  <c r="FH434" i="23"/>
  <c r="FI434" i="23" s="1"/>
  <c r="EV434" i="23"/>
  <c r="EW434" i="23" s="1"/>
  <c r="EP434" i="23"/>
  <c r="EQ434" i="23" s="1"/>
  <c r="EJ434" i="23"/>
  <c r="EK434" i="23" s="1"/>
  <c r="ED434" i="23"/>
  <c r="EE434" i="23" s="1"/>
  <c r="DX434" i="23"/>
  <c r="DY434" i="23" s="1"/>
  <c r="CZ434" i="23"/>
  <c r="DA434" i="23" s="1"/>
  <c r="DL434" i="23"/>
  <c r="DM434" i="23" s="1"/>
  <c r="DF434" i="23"/>
  <c r="DG434" i="23" s="1"/>
  <c r="DR434" i="23"/>
  <c r="DS434" i="23" s="1"/>
  <c r="CH434" i="23"/>
  <c r="CI434" i="23" s="1"/>
  <c r="CT434" i="23"/>
  <c r="CU434" i="23" s="1"/>
  <c r="CB434" i="23"/>
  <c r="CC434" i="23" s="1"/>
  <c r="CN434" i="23"/>
  <c r="CO434" i="23" s="1"/>
  <c r="BV434" i="23"/>
  <c r="BW434" i="23" s="1"/>
  <c r="BJ434" i="23"/>
  <c r="BK434" i="23" s="1"/>
  <c r="BD434" i="23"/>
  <c r="BE434" i="23" s="1"/>
  <c r="FN440" i="23"/>
  <c r="FO440" i="23" s="1"/>
  <c r="FZ440" i="23"/>
  <c r="GA440" i="23" s="1"/>
  <c r="FT440" i="23"/>
  <c r="FU440" i="23" s="1"/>
  <c r="FH440" i="23"/>
  <c r="FI440" i="23" s="1"/>
  <c r="FB440" i="23"/>
  <c r="FC440" i="23" s="1"/>
  <c r="EV440" i="23"/>
  <c r="EW440" i="23" s="1"/>
  <c r="EP440" i="23"/>
  <c r="EQ440" i="23" s="1"/>
  <c r="ED440" i="23"/>
  <c r="EE440" i="23" s="1"/>
  <c r="EJ440" i="23"/>
  <c r="EK440" i="23" s="1"/>
  <c r="DR440" i="23"/>
  <c r="DS440" i="23" s="1"/>
  <c r="DL440" i="23"/>
  <c r="DM440" i="23" s="1"/>
  <c r="DF440" i="23"/>
  <c r="DG440" i="23" s="1"/>
  <c r="CZ440" i="23"/>
  <c r="DA440" i="23" s="1"/>
  <c r="CN440" i="23"/>
  <c r="CO440" i="23" s="1"/>
  <c r="CH440" i="23"/>
  <c r="CI440" i="23" s="1"/>
  <c r="DX440" i="23"/>
  <c r="DY440" i="23" s="1"/>
  <c r="CT440" i="23"/>
  <c r="CU440" i="23" s="1"/>
  <c r="CB440" i="23"/>
  <c r="CC440" i="23" s="1"/>
  <c r="BV440" i="23"/>
  <c r="BW440" i="23" s="1"/>
  <c r="BJ440" i="23"/>
  <c r="BK440" i="23" s="1"/>
  <c r="BD440" i="23"/>
  <c r="BE440" i="23" s="1"/>
  <c r="FZ444" i="23"/>
  <c r="GA444" i="23" s="1"/>
  <c r="FN444" i="23"/>
  <c r="FO444" i="23" s="1"/>
  <c r="FT444" i="23"/>
  <c r="FU444" i="23" s="1"/>
  <c r="FB444" i="23"/>
  <c r="FC444" i="23" s="1"/>
  <c r="FH444" i="23"/>
  <c r="FI444" i="23" s="1"/>
  <c r="EV444" i="23"/>
  <c r="EW444" i="23" s="1"/>
  <c r="ED444" i="23"/>
  <c r="EE444" i="23" s="1"/>
  <c r="EP444" i="23"/>
  <c r="EQ444" i="23" s="1"/>
  <c r="EJ444" i="23"/>
  <c r="EK444" i="23" s="1"/>
  <c r="DX444" i="23"/>
  <c r="DY444" i="23" s="1"/>
  <c r="DR444" i="23"/>
  <c r="DS444" i="23" s="1"/>
  <c r="DL444" i="23"/>
  <c r="DM444" i="23" s="1"/>
  <c r="CZ444" i="23"/>
  <c r="DA444" i="23" s="1"/>
  <c r="DF444" i="23"/>
  <c r="DG444" i="23" s="1"/>
  <c r="CH444" i="23"/>
  <c r="CI444" i="23" s="1"/>
  <c r="CT444" i="23"/>
  <c r="CU444" i="23" s="1"/>
  <c r="CN444" i="23"/>
  <c r="CO444" i="23" s="1"/>
  <c r="BV444" i="23"/>
  <c r="BW444" i="23" s="1"/>
  <c r="CB444" i="23"/>
  <c r="CC444" i="23" s="1"/>
  <c r="BD444" i="23"/>
  <c r="BE444" i="23" s="1"/>
  <c r="BJ444" i="23"/>
  <c r="BK444" i="23" s="1"/>
  <c r="FZ448" i="23"/>
  <c r="GA448" i="23" s="1"/>
  <c r="FT448" i="23"/>
  <c r="FU448" i="23" s="1"/>
  <c r="FN448" i="23"/>
  <c r="FO448" i="23" s="1"/>
  <c r="FH448" i="23"/>
  <c r="FI448" i="23" s="1"/>
  <c r="FB448" i="23"/>
  <c r="FC448" i="23" s="1"/>
  <c r="EV448" i="23"/>
  <c r="EW448" i="23" s="1"/>
  <c r="DR448" i="23"/>
  <c r="DS448" i="23" s="1"/>
  <c r="EJ448" i="23"/>
  <c r="EK448" i="23" s="1"/>
  <c r="EP448" i="23"/>
  <c r="EQ448" i="23" s="1"/>
  <c r="DX448" i="23"/>
  <c r="DY448" i="23" s="1"/>
  <c r="DL448" i="23"/>
  <c r="DM448" i="23" s="1"/>
  <c r="CZ448" i="23"/>
  <c r="DA448" i="23" s="1"/>
  <c r="DF448" i="23"/>
  <c r="DG448" i="23" s="1"/>
  <c r="CH448" i="23"/>
  <c r="CI448" i="23" s="1"/>
  <c r="CB448" i="23"/>
  <c r="CC448" i="23" s="1"/>
  <c r="CT448" i="23"/>
  <c r="CU448" i="23" s="1"/>
  <c r="ED448" i="23"/>
  <c r="EE448" i="23" s="1"/>
  <c r="CN448" i="23"/>
  <c r="CO448" i="23" s="1"/>
  <c r="BV448" i="23"/>
  <c r="BW448" i="23" s="1"/>
  <c r="BJ448" i="23"/>
  <c r="BK448" i="23" s="1"/>
  <c r="BD448" i="23"/>
  <c r="BE448" i="23" s="1"/>
  <c r="FZ452" i="23"/>
  <c r="GA452" i="23" s="1"/>
  <c r="FN452" i="23"/>
  <c r="FO452" i="23" s="1"/>
  <c r="FH452" i="23"/>
  <c r="FI452" i="23" s="1"/>
  <c r="EV452" i="23"/>
  <c r="EW452" i="23" s="1"/>
  <c r="FT452" i="23"/>
  <c r="FU452" i="23" s="1"/>
  <c r="FB452" i="23"/>
  <c r="FC452" i="23" s="1"/>
  <c r="EP452" i="23"/>
  <c r="EQ452" i="23" s="1"/>
  <c r="EJ452" i="23"/>
  <c r="EK452" i="23" s="1"/>
  <c r="ED452" i="23"/>
  <c r="EE452" i="23" s="1"/>
  <c r="DX452" i="23"/>
  <c r="DY452" i="23" s="1"/>
  <c r="DL452" i="23"/>
  <c r="DM452" i="23" s="1"/>
  <c r="DR452" i="23"/>
  <c r="DS452" i="23" s="1"/>
  <c r="CZ452" i="23"/>
  <c r="DA452" i="23" s="1"/>
  <c r="CT452" i="23"/>
  <c r="CU452" i="23" s="1"/>
  <c r="CN452" i="23"/>
  <c r="CO452" i="23" s="1"/>
  <c r="CH452" i="23"/>
  <c r="CI452" i="23" s="1"/>
  <c r="CB452" i="23"/>
  <c r="CC452" i="23" s="1"/>
  <c r="DF452" i="23"/>
  <c r="DG452" i="23" s="1"/>
  <c r="BJ452" i="23"/>
  <c r="BK452" i="23" s="1"/>
  <c r="BV452" i="23"/>
  <c r="BW452" i="23" s="1"/>
  <c r="BD452" i="23"/>
  <c r="BE452" i="23" s="1"/>
  <c r="AL29" i="23"/>
  <c r="AM29" i="23" s="1"/>
  <c r="AL32" i="23"/>
  <c r="AM32" i="23" s="1"/>
  <c r="AX60" i="23"/>
  <c r="AY60" i="23" s="1"/>
  <c r="AR60" i="23"/>
  <c r="AS60" i="23" s="1"/>
  <c r="AL60" i="23"/>
  <c r="AM60" i="23" s="1"/>
  <c r="BP24" i="23"/>
  <c r="BQ24" i="23" s="1"/>
  <c r="AX24" i="23"/>
  <c r="AY24" i="23" s="1"/>
  <c r="AR24" i="23"/>
  <c r="AS24" i="23" s="1"/>
  <c r="AX47" i="23"/>
  <c r="AY47" i="23" s="1"/>
  <c r="AR47" i="23"/>
  <c r="AS47" i="23" s="1"/>
  <c r="AL47" i="23"/>
  <c r="AM47" i="23" s="1"/>
  <c r="AL59" i="23"/>
  <c r="AM59" i="23" s="1"/>
  <c r="AX59" i="23"/>
  <c r="AY59" i="23" s="1"/>
  <c r="AR59" i="23"/>
  <c r="AS59" i="23" s="1"/>
  <c r="BP74" i="23"/>
  <c r="BQ74" i="23" s="1"/>
  <c r="AR74" i="23"/>
  <c r="AS74" i="23" s="1"/>
  <c r="AX74" i="23"/>
  <c r="AY74" i="23" s="1"/>
  <c r="BP84" i="23"/>
  <c r="BQ84" i="23" s="1"/>
  <c r="AR84" i="23"/>
  <c r="AS84" i="23" s="1"/>
  <c r="AX84" i="23"/>
  <c r="AY84" i="23" s="1"/>
  <c r="AL84" i="23"/>
  <c r="AM84" i="23" s="1"/>
  <c r="BP107" i="23"/>
  <c r="BQ107" i="23" s="1"/>
  <c r="AX107" i="23"/>
  <c r="AY107" i="23" s="1"/>
  <c r="AR107" i="23"/>
  <c r="AS107" i="23" s="1"/>
  <c r="BP123" i="23"/>
  <c r="BQ123" i="23" s="1"/>
  <c r="AR123" i="23"/>
  <c r="AS123" i="23" s="1"/>
  <c r="AX123" i="23"/>
  <c r="AY123" i="23" s="1"/>
  <c r="BP140" i="23"/>
  <c r="BQ140" i="23" s="1"/>
  <c r="AX140" i="23"/>
  <c r="AY140" i="23" s="1"/>
  <c r="AR140" i="23"/>
  <c r="AS140" i="23" s="1"/>
  <c r="BP159" i="23"/>
  <c r="BQ159" i="23" s="1"/>
  <c r="AX159" i="23"/>
  <c r="AY159" i="23" s="1"/>
  <c r="AR159" i="23"/>
  <c r="AS159" i="23" s="1"/>
  <c r="BP176" i="23"/>
  <c r="BQ176" i="23" s="1"/>
  <c r="AX176" i="23"/>
  <c r="AY176" i="23" s="1"/>
  <c r="AR176" i="23"/>
  <c r="AS176" i="23" s="1"/>
  <c r="BP191" i="23"/>
  <c r="BQ191" i="23" s="1"/>
  <c r="AX191" i="23"/>
  <c r="AY191" i="23" s="1"/>
  <c r="AR191" i="23"/>
  <c r="AS191" i="23" s="1"/>
  <c r="BP201" i="23"/>
  <c r="BQ201" i="23" s="1"/>
  <c r="AX201" i="23"/>
  <c r="AY201" i="23" s="1"/>
  <c r="AR201" i="23"/>
  <c r="AS201" i="23" s="1"/>
  <c r="BP213" i="23"/>
  <c r="BQ213" i="23" s="1"/>
  <c r="AX213" i="23"/>
  <c r="AY213" i="23" s="1"/>
  <c r="AR213" i="23"/>
  <c r="AS213" i="23" s="1"/>
  <c r="BP224" i="23"/>
  <c r="BQ224" i="23" s="1"/>
  <c r="AX224" i="23"/>
  <c r="AY224" i="23" s="1"/>
  <c r="AR224" i="23"/>
  <c r="AS224" i="23" s="1"/>
  <c r="BP237" i="23"/>
  <c r="BQ237" i="23" s="1"/>
  <c r="AX237" i="23"/>
  <c r="AY237" i="23" s="1"/>
  <c r="AR237" i="23"/>
  <c r="AS237" i="23" s="1"/>
  <c r="BP257" i="23"/>
  <c r="BQ257" i="23" s="1"/>
  <c r="AX257" i="23"/>
  <c r="AY257" i="23" s="1"/>
  <c r="AR257" i="23"/>
  <c r="AS257" i="23" s="1"/>
  <c r="BP279" i="23"/>
  <c r="BQ279" i="23" s="1"/>
  <c r="AX279" i="23"/>
  <c r="AY279" i="23" s="1"/>
  <c r="AR279" i="23"/>
  <c r="AS279" i="23" s="1"/>
  <c r="BP351" i="23"/>
  <c r="BQ351" i="23" s="1"/>
  <c r="AX351" i="23"/>
  <c r="AY351" i="23" s="1"/>
  <c r="AR351" i="23"/>
  <c r="AS351" i="23" s="1"/>
  <c r="BP363" i="23"/>
  <c r="BQ363" i="23" s="1"/>
  <c r="AX363" i="23"/>
  <c r="AY363" i="23" s="1"/>
  <c r="AR363" i="23"/>
  <c r="AS363" i="23" s="1"/>
  <c r="BP379" i="23"/>
  <c r="BQ379" i="23" s="1"/>
  <c r="AX379" i="23"/>
  <c r="AY379" i="23" s="1"/>
  <c r="AR379" i="23"/>
  <c r="AS379" i="23" s="1"/>
  <c r="BP391" i="23"/>
  <c r="BQ391" i="23" s="1"/>
  <c r="AX391" i="23"/>
  <c r="AY391" i="23" s="1"/>
  <c r="AR391" i="23"/>
  <c r="AS391" i="23" s="1"/>
  <c r="BP411" i="23"/>
  <c r="BQ411" i="23" s="1"/>
  <c r="AX411" i="23"/>
  <c r="AY411" i="23" s="1"/>
  <c r="AR411" i="23"/>
  <c r="AS411" i="23" s="1"/>
  <c r="AL31" i="23"/>
  <c r="AM31" i="23" s="1"/>
  <c r="AL130" i="23"/>
  <c r="AM130" i="23" s="1"/>
  <c r="AL140" i="23"/>
  <c r="AM140" i="23" s="1"/>
  <c r="AL437" i="23"/>
  <c r="AM437" i="23" s="1"/>
  <c r="AL441" i="23"/>
  <c r="AM441" i="23" s="1"/>
  <c r="AL415" i="23"/>
  <c r="AM415" i="23" s="1"/>
  <c r="AL351" i="23"/>
  <c r="AM351" i="23" s="1"/>
  <c r="AL269" i="23"/>
  <c r="AM269" i="23" s="1"/>
  <c r="AL452" i="23"/>
  <c r="AM452" i="23" s="1"/>
  <c r="AX61" i="23"/>
  <c r="AY61" i="23" s="1"/>
  <c r="AR61" i="23"/>
  <c r="AS61" i="23" s="1"/>
  <c r="AL61" i="23"/>
  <c r="AM61" i="23" s="1"/>
  <c r="BP34" i="23"/>
  <c r="BQ34" i="23" s="1"/>
  <c r="AX34" i="23"/>
  <c r="AY34" i="23" s="1"/>
  <c r="AR34" i="23"/>
  <c r="AS34" i="23" s="1"/>
  <c r="AX39" i="23"/>
  <c r="AY39" i="23" s="1"/>
  <c r="AL39" i="23"/>
  <c r="AM39" i="23" s="1"/>
  <c r="AR39" i="23"/>
  <c r="AS39" i="23" s="1"/>
  <c r="AX42" i="23"/>
  <c r="AY42" i="23" s="1"/>
  <c r="AR42" i="23"/>
  <c r="AS42" i="23" s="1"/>
  <c r="AL42" i="23"/>
  <c r="AM42" i="23" s="1"/>
  <c r="AX48" i="23"/>
  <c r="AY48" i="23" s="1"/>
  <c r="AL48" i="23"/>
  <c r="AM48" i="23" s="1"/>
  <c r="AR48" i="23"/>
  <c r="AS48" i="23" s="1"/>
  <c r="AR52" i="23"/>
  <c r="AS52" i="23" s="1"/>
  <c r="AL52" i="23"/>
  <c r="AM52" i="23" s="1"/>
  <c r="AX52" i="23"/>
  <c r="AY52" i="23" s="1"/>
  <c r="AX56" i="23"/>
  <c r="AY56" i="23" s="1"/>
  <c r="AR56" i="23"/>
  <c r="AS56" i="23" s="1"/>
  <c r="AL56" i="23"/>
  <c r="AM56" i="23" s="1"/>
  <c r="BP71" i="23"/>
  <c r="BQ71" i="23" s="1"/>
  <c r="AX71" i="23"/>
  <c r="AY71" i="23" s="1"/>
  <c r="AL71" i="23"/>
  <c r="AM71" i="23" s="1"/>
  <c r="AR71" i="23"/>
  <c r="AS71" i="23" s="1"/>
  <c r="BP77" i="23"/>
  <c r="BQ77" i="23" s="1"/>
  <c r="AR77" i="23"/>
  <c r="AS77" i="23" s="1"/>
  <c r="AX77" i="23"/>
  <c r="AY77" i="23" s="1"/>
  <c r="BP81" i="23"/>
  <c r="BQ81" i="23" s="1"/>
  <c r="AX81" i="23"/>
  <c r="AY81" i="23" s="1"/>
  <c r="AR81" i="23"/>
  <c r="AS81" i="23" s="1"/>
  <c r="BP85" i="23"/>
  <c r="BQ85" i="23" s="1"/>
  <c r="AX85" i="23"/>
  <c r="AY85" i="23" s="1"/>
  <c r="AR85" i="23"/>
  <c r="AS85" i="23" s="1"/>
  <c r="BP88" i="23"/>
  <c r="BQ88" i="23" s="1"/>
  <c r="AR88" i="23"/>
  <c r="AS88" i="23" s="1"/>
  <c r="AX88" i="23"/>
  <c r="AY88" i="23" s="1"/>
  <c r="BP92" i="23"/>
  <c r="BQ92" i="23" s="1"/>
  <c r="AX92" i="23"/>
  <c r="AY92" i="23" s="1"/>
  <c r="AR92" i="23"/>
  <c r="AS92" i="23" s="1"/>
  <c r="BP98" i="23"/>
  <c r="BQ98" i="23" s="1"/>
  <c r="AX98" i="23"/>
  <c r="AY98" i="23" s="1"/>
  <c r="AR98" i="23"/>
  <c r="AS98" i="23" s="1"/>
  <c r="BP102" i="23"/>
  <c r="BQ102" i="23" s="1"/>
  <c r="AR102" i="23"/>
  <c r="AS102" i="23" s="1"/>
  <c r="AX102" i="23"/>
  <c r="AY102" i="23" s="1"/>
  <c r="BP108" i="23"/>
  <c r="BQ108" i="23" s="1"/>
  <c r="AX108" i="23"/>
  <c r="AY108" i="23" s="1"/>
  <c r="AR108" i="23"/>
  <c r="AS108" i="23" s="1"/>
  <c r="BP112" i="23"/>
  <c r="BQ112" i="23" s="1"/>
  <c r="AR112" i="23"/>
  <c r="AS112" i="23" s="1"/>
  <c r="AX112" i="23"/>
  <c r="AY112" i="23" s="1"/>
  <c r="BP116" i="23"/>
  <c r="BQ116" i="23" s="1"/>
  <c r="AR116" i="23"/>
  <c r="AS116" i="23" s="1"/>
  <c r="AX116" i="23"/>
  <c r="AY116" i="23" s="1"/>
  <c r="BP120" i="23"/>
  <c r="BQ120" i="23" s="1"/>
  <c r="AX120" i="23"/>
  <c r="AY120" i="23" s="1"/>
  <c r="AR120" i="23"/>
  <c r="AS120" i="23" s="1"/>
  <c r="BP124" i="23"/>
  <c r="BQ124" i="23" s="1"/>
  <c r="AX124" i="23"/>
  <c r="AY124" i="23" s="1"/>
  <c r="AR124" i="23"/>
  <c r="AS124" i="23" s="1"/>
  <c r="BP131" i="23"/>
  <c r="BQ131" i="23" s="1"/>
  <c r="AX131" i="23"/>
  <c r="AY131" i="23" s="1"/>
  <c r="AR131" i="23"/>
  <c r="AS131" i="23" s="1"/>
  <c r="BP137" i="23"/>
  <c r="BQ137" i="23" s="1"/>
  <c r="AX137" i="23"/>
  <c r="AY137" i="23" s="1"/>
  <c r="AR137" i="23"/>
  <c r="AS137" i="23" s="1"/>
  <c r="BP141" i="23"/>
  <c r="BQ141" i="23" s="1"/>
  <c r="AR141" i="23"/>
  <c r="AS141" i="23" s="1"/>
  <c r="AX141" i="23"/>
  <c r="AY141" i="23" s="1"/>
  <c r="BP145" i="23"/>
  <c r="BQ145" i="23" s="1"/>
  <c r="AR145" i="23"/>
  <c r="AS145" i="23" s="1"/>
  <c r="AX145" i="23"/>
  <c r="AY145" i="23" s="1"/>
  <c r="BP149" i="23"/>
  <c r="BQ149" i="23" s="1"/>
  <c r="AX149" i="23"/>
  <c r="AY149" i="23" s="1"/>
  <c r="AR149" i="23"/>
  <c r="AS149" i="23" s="1"/>
  <c r="BP153" i="23"/>
  <c r="BQ153" i="23" s="1"/>
  <c r="AX153" i="23"/>
  <c r="AY153" i="23" s="1"/>
  <c r="AR153" i="23"/>
  <c r="AS153" i="23" s="1"/>
  <c r="BP160" i="23"/>
  <c r="BQ160" i="23" s="1"/>
  <c r="AX160" i="23"/>
  <c r="AY160" i="23" s="1"/>
  <c r="AR160" i="23"/>
  <c r="AS160" i="23" s="1"/>
  <c r="BP163" i="23"/>
  <c r="BQ163" i="23" s="1"/>
  <c r="AX163" i="23"/>
  <c r="AY163" i="23" s="1"/>
  <c r="AR163" i="23"/>
  <c r="AS163" i="23" s="1"/>
  <c r="BP169" i="23"/>
  <c r="BQ169" i="23" s="1"/>
  <c r="AR169" i="23"/>
  <c r="AS169" i="23" s="1"/>
  <c r="AX169" i="23"/>
  <c r="AY169" i="23" s="1"/>
  <c r="BP173" i="23"/>
  <c r="BQ173" i="23" s="1"/>
  <c r="AX173" i="23"/>
  <c r="AY173" i="23" s="1"/>
  <c r="AR173" i="23"/>
  <c r="AS173" i="23" s="1"/>
  <c r="BP177" i="23"/>
  <c r="BQ177" i="23" s="1"/>
  <c r="AR177" i="23"/>
  <c r="AS177" i="23" s="1"/>
  <c r="AX177" i="23"/>
  <c r="AY177" i="23" s="1"/>
  <c r="BP181" i="23"/>
  <c r="BQ181" i="23" s="1"/>
  <c r="AX181" i="23"/>
  <c r="AY181" i="23" s="1"/>
  <c r="AR181" i="23"/>
  <c r="AS181" i="23" s="1"/>
  <c r="BP188" i="23"/>
  <c r="BQ188" i="23" s="1"/>
  <c r="AX188" i="23"/>
  <c r="AY188" i="23" s="1"/>
  <c r="AR188" i="23"/>
  <c r="AS188" i="23" s="1"/>
  <c r="BP192" i="23"/>
  <c r="BQ192" i="23" s="1"/>
  <c r="AX192" i="23"/>
  <c r="AY192" i="23" s="1"/>
  <c r="AR192" i="23"/>
  <c r="AS192" i="23" s="1"/>
  <c r="BP198" i="23"/>
  <c r="BQ198" i="23" s="1"/>
  <c r="AX198" i="23"/>
  <c r="AY198" i="23" s="1"/>
  <c r="AR198" i="23"/>
  <c r="AS198" i="23" s="1"/>
  <c r="BP202" i="23"/>
  <c r="BQ202" i="23" s="1"/>
  <c r="AX202" i="23"/>
  <c r="AY202" i="23" s="1"/>
  <c r="AR202" i="23"/>
  <c r="AS202" i="23" s="1"/>
  <c r="BP206" i="23"/>
  <c r="BQ206" i="23" s="1"/>
  <c r="AX206" i="23"/>
  <c r="AY206" i="23" s="1"/>
  <c r="AR206" i="23"/>
  <c r="AS206" i="23" s="1"/>
  <c r="BP210" i="23"/>
  <c r="BQ210" i="23" s="1"/>
  <c r="AX210" i="23"/>
  <c r="AY210" i="23" s="1"/>
  <c r="AR210" i="23"/>
  <c r="AS210" i="23" s="1"/>
  <c r="BP214" i="23"/>
  <c r="BQ214" i="23" s="1"/>
  <c r="AX214" i="23"/>
  <c r="AY214" i="23" s="1"/>
  <c r="AR214" i="23"/>
  <c r="AS214" i="23" s="1"/>
  <c r="BP221" i="23"/>
  <c r="BQ221" i="23" s="1"/>
  <c r="AX221" i="23"/>
  <c r="AY221" i="23" s="1"/>
  <c r="AR221" i="23"/>
  <c r="AS221" i="23" s="1"/>
  <c r="BP227" i="23"/>
  <c r="BQ227" i="23" s="1"/>
  <c r="AX227" i="23"/>
  <c r="AY227" i="23" s="1"/>
  <c r="AR227" i="23"/>
  <c r="AS227" i="23" s="1"/>
  <c r="BP231" i="23"/>
  <c r="BQ231" i="23" s="1"/>
  <c r="AX231" i="23"/>
  <c r="AY231" i="23" s="1"/>
  <c r="AR231" i="23"/>
  <c r="AS231" i="23" s="1"/>
  <c r="BP234" i="23"/>
  <c r="BQ234" i="23" s="1"/>
  <c r="AX234" i="23"/>
  <c r="AY234" i="23" s="1"/>
  <c r="AR234" i="23"/>
  <c r="AS234" i="23" s="1"/>
  <c r="BP238" i="23"/>
  <c r="BQ238" i="23" s="1"/>
  <c r="AX238" i="23"/>
  <c r="AY238" i="23" s="1"/>
  <c r="AR238" i="23"/>
  <c r="AS238" i="23" s="1"/>
  <c r="BP242" i="23"/>
  <c r="BQ242" i="23" s="1"/>
  <c r="AX242" i="23"/>
  <c r="AY242" i="23" s="1"/>
  <c r="AR242" i="23"/>
  <c r="AS242" i="23" s="1"/>
  <c r="BP249" i="23"/>
  <c r="BQ249" i="23" s="1"/>
  <c r="AX249" i="23"/>
  <c r="AY249" i="23" s="1"/>
  <c r="AR249" i="23"/>
  <c r="AS249" i="23" s="1"/>
  <c r="BP258" i="23"/>
  <c r="BQ258" i="23" s="1"/>
  <c r="AX258" i="23"/>
  <c r="AY258" i="23" s="1"/>
  <c r="AR258" i="23"/>
  <c r="AS258" i="23" s="1"/>
  <c r="BP262" i="23"/>
  <c r="BQ262" i="23" s="1"/>
  <c r="AX262" i="23"/>
  <c r="AY262" i="23" s="1"/>
  <c r="AR262" i="23"/>
  <c r="AS262" i="23" s="1"/>
  <c r="BP266" i="23"/>
  <c r="BQ266" i="23" s="1"/>
  <c r="AR266" i="23"/>
  <c r="AS266" i="23" s="1"/>
  <c r="AX266" i="23"/>
  <c r="AY266" i="23" s="1"/>
  <c r="BP270" i="23"/>
  <c r="BQ270" i="23" s="1"/>
  <c r="AX270" i="23"/>
  <c r="AY270" i="23" s="1"/>
  <c r="AR270" i="23"/>
  <c r="AS270" i="23" s="1"/>
  <c r="BP273" i="23"/>
  <c r="BQ273" i="23" s="1"/>
  <c r="AX273" i="23"/>
  <c r="AY273" i="23" s="1"/>
  <c r="AR273" i="23"/>
  <c r="AS273" i="23" s="1"/>
  <c r="BP280" i="23"/>
  <c r="BQ280" i="23" s="1"/>
  <c r="AX280" i="23"/>
  <c r="AY280" i="23" s="1"/>
  <c r="AR280" i="23"/>
  <c r="AS280" i="23" s="1"/>
  <c r="BP283" i="23"/>
  <c r="BQ283" i="23" s="1"/>
  <c r="AX283" i="23"/>
  <c r="AY283" i="23" s="1"/>
  <c r="AR283" i="23"/>
  <c r="AS283" i="23" s="1"/>
  <c r="BP289" i="23"/>
  <c r="BQ289" i="23" s="1"/>
  <c r="AX289" i="23"/>
  <c r="AY289" i="23" s="1"/>
  <c r="AR289" i="23"/>
  <c r="AS289" i="23" s="1"/>
  <c r="BP293" i="23"/>
  <c r="BQ293" i="23" s="1"/>
  <c r="AX293" i="23"/>
  <c r="AY293" i="23" s="1"/>
  <c r="AR293" i="23"/>
  <c r="AS293" i="23" s="1"/>
  <c r="BP297" i="23"/>
  <c r="BQ297" i="23" s="1"/>
  <c r="AX297" i="23"/>
  <c r="AY297" i="23" s="1"/>
  <c r="AR297" i="23"/>
  <c r="AS297" i="23" s="1"/>
  <c r="BP301" i="23"/>
  <c r="BQ301" i="23" s="1"/>
  <c r="AX301" i="23"/>
  <c r="AY301" i="23" s="1"/>
  <c r="AR301" i="23"/>
  <c r="AS301" i="23" s="1"/>
  <c r="BP308" i="23"/>
  <c r="BQ308" i="23" s="1"/>
  <c r="AX308" i="23"/>
  <c r="AY308" i="23" s="1"/>
  <c r="AR308" i="23"/>
  <c r="AS308" i="23" s="1"/>
  <c r="BP312" i="23"/>
  <c r="BQ312" i="23" s="1"/>
  <c r="AX312" i="23"/>
  <c r="AY312" i="23" s="1"/>
  <c r="AR312" i="23"/>
  <c r="AS312" i="23" s="1"/>
  <c r="BP318" i="23"/>
  <c r="BQ318" i="23" s="1"/>
  <c r="AX318" i="23"/>
  <c r="AY318" i="23" s="1"/>
  <c r="AR318" i="23"/>
  <c r="AS318" i="23" s="1"/>
  <c r="BP322" i="23"/>
  <c r="BQ322" i="23" s="1"/>
  <c r="AX322" i="23"/>
  <c r="AY322" i="23" s="1"/>
  <c r="AR322" i="23"/>
  <c r="AS322" i="23" s="1"/>
  <c r="BP326" i="23"/>
  <c r="BQ326" i="23" s="1"/>
  <c r="AR326" i="23"/>
  <c r="AS326" i="23" s="1"/>
  <c r="AX326" i="23"/>
  <c r="AY326" i="23" s="1"/>
  <c r="BP330" i="23"/>
  <c r="BQ330" i="23" s="1"/>
  <c r="AX330" i="23"/>
  <c r="AY330" i="23" s="1"/>
  <c r="AR330" i="23"/>
  <c r="AS330" i="23" s="1"/>
  <c r="BP333" i="23"/>
  <c r="BQ333" i="23" s="1"/>
  <c r="AR333" i="23"/>
  <c r="AS333" i="23" s="1"/>
  <c r="AX333" i="23"/>
  <c r="AY333" i="23" s="1"/>
  <c r="BP340" i="23"/>
  <c r="BQ340" i="23" s="1"/>
  <c r="AX340" i="23"/>
  <c r="AY340" i="23" s="1"/>
  <c r="AR340" i="23"/>
  <c r="AS340" i="23" s="1"/>
  <c r="BP344" i="23"/>
  <c r="BQ344" i="23" s="1"/>
  <c r="AR344" i="23"/>
  <c r="AS344" i="23" s="1"/>
  <c r="AX344" i="23"/>
  <c r="AY344" i="23" s="1"/>
  <c r="BP352" i="23"/>
  <c r="BQ352" i="23" s="1"/>
  <c r="AX352" i="23"/>
  <c r="AY352" i="23" s="1"/>
  <c r="AR352" i="23"/>
  <c r="AS352" i="23" s="1"/>
  <c r="BP356" i="23"/>
  <c r="BQ356" i="23" s="1"/>
  <c r="AX356" i="23"/>
  <c r="AY356" i="23" s="1"/>
  <c r="AR356" i="23"/>
  <c r="AS356" i="23" s="1"/>
  <c r="BP360" i="23"/>
  <c r="BQ360" i="23" s="1"/>
  <c r="AX360" i="23"/>
  <c r="AY360" i="23" s="1"/>
  <c r="AR360" i="23"/>
  <c r="AS360" i="23" s="1"/>
  <c r="BP364" i="23"/>
  <c r="BQ364" i="23" s="1"/>
  <c r="AX364" i="23"/>
  <c r="AY364" i="23" s="1"/>
  <c r="AR364" i="23"/>
  <c r="AS364" i="23" s="1"/>
  <c r="BP371" i="23"/>
  <c r="BQ371" i="23" s="1"/>
  <c r="AX371" i="23"/>
  <c r="AY371" i="23" s="1"/>
  <c r="AR371" i="23"/>
  <c r="AS371" i="23" s="1"/>
  <c r="BP374" i="23"/>
  <c r="BQ374" i="23" s="1"/>
  <c r="AR374" i="23"/>
  <c r="AS374" i="23" s="1"/>
  <c r="AX374" i="23"/>
  <c r="AY374" i="23" s="1"/>
  <c r="BP380" i="23"/>
  <c r="BQ380" i="23" s="1"/>
  <c r="AX380" i="23"/>
  <c r="AY380" i="23" s="1"/>
  <c r="AR380" i="23"/>
  <c r="AS380" i="23" s="1"/>
  <c r="BP384" i="23"/>
  <c r="BQ384" i="23" s="1"/>
  <c r="AX384" i="23"/>
  <c r="AY384" i="23" s="1"/>
  <c r="AR384" i="23"/>
  <c r="AS384" i="23" s="1"/>
  <c r="BP388" i="23"/>
  <c r="BQ388" i="23" s="1"/>
  <c r="AX388" i="23"/>
  <c r="AY388" i="23" s="1"/>
  <c r="AR388" i="23"/>
  <c r="AS388" i="23" s="1"/>
  <c r="BP392" i="23"/>
  <c r="BQ392" i="23" s="1"/>
  <c r="AX392" i="23"/>
  <c r="AY392" i="23" s="1"/>
  <c r="AR392" i="23"/>
  <c r="AS392" i="23" s="1"/>
  <c r="BP398" i="23"/>
  <c r="BQ398" i="23" s="1"/>
  <c r="AX398" i="23"/>
  <c r="AY398" i="23" s="1"/>
  <c r="AR398" i="23"/>
  <c r="AS398" i="23" s="1"/>
  <c r="BP402" i="23"/>
  <c r="BQ402" i="23" s="1"/>
  <c r="AR402" i="23"/>
  <c r="AS402" i="23" s="1"/>
  <c r="AX402" i="23"/>
  <c r="AY402" i="23" s="1"/>
  <c r="BP408" i="23"/>
  <c r="BQ408" i="23" s="1"/>
  <c r="AX408" i="23"/>
  <c r="AY408" i="23" s="1"/>
  <c r="AR408" i="23"/>
  <c r="AS408" i="23" s="1"/>
  <c r="BP412" i="23"/>
  <c r="BQ412" i="23" s="1"/>
  <c r="AX412" i="23"/>
  <c r="AY412" i="23" s="1"/>
  <c r="AR412" i="23"/>
  <c r="AS412" i="23" s="1"/>
  <c r="BP416" i="23"/>
  <c r="BQ416" i="23" s="1"/>
  <c r="AX416" i="23"/>
  <c r="AY416" i="23" s="1"/>
  <c r="AR416" i="23"/>
  <c r="AS416" i="23" s="1"/>
  <c r="BP420" i="23"/>
  <c r="BQ420" i="23" s="1"/>
  <c r="AX420" i="23"/>
  <c r="AY420" i="23" s="1"/>
  <c r="AR420" i="23"/>
  <c r="AS420" i="23" s="1"/>
  <c r="BP429" i="23"/>
  <c r="BQ429" i="23" s="1"/>
  <c r="AX429" i="23"/>
  <c r="AY429" i="23" s="1"/>
  <c r="AR429" i="23"/>
  <c r="AS429" i="23" s="1"/>
  <c r="BP433" i="23"/>
  <c r="BQ433" i="23" s="1"/>
  <c r="AX433" i="23"/>
  <c r="AY433" i="23" s="1"/>
  <c r="AR433" i="23"/>
  <c r="AS433" i="23" s="1"/>
  <c r="BP438" i="23"/>
  <c r="BQ438" i="23" s="1"/>
  <c r="AR438" i="23"/>
  <c r="AS438" i="23" s="1"/>
  <c r="AX438" i="23"/>
  <c r="AY438" i="23" s="1"/>
  <c r="BP442" i="23"/>
  <c r="BQ442" i="23" s="1"/>
  <c r="AX442" i="23"/>
  <c r="AY442" i="23" s="1"/>
  <c r="AR442" i="23"/>
  <c r="AS442" i="23" s="1"/>
  <c r="BP446" i="23"/>
  <c r="BQ446" i="23" s="1"/>
  <c r="AX446" i="23"/>
  <c r="AY446" i="23" s="1"/>
  <c r="AR446" i="23"/>
  <c r="AS446" i="23" s="1"/>
  <c r="BP449" i="23"/>
  <c r="BQ449" i="23" s="1"/>
  <c r="AX449" i="23"/>
  <c r="AY449" i="23" s="1"/>
  <c r="AR449" i="23"/>
  <c r="AS449" i="23" s="1"/>
  <c r="BP453" i="23"/>
  <c r="BQ453" i="23" s="1"/>
  <c r="AX453" i="23"/>
  <c r="AY453" i="23" s="1"/>
  <c r="AR453" i="23"/>
  <c r="AS453" i="23" s="1"/>
  <c r="AX38" i="23"/>
  <c r="AY38" i="23" s="1"/>
  <c r="AR38" i="23"/>
  <c r="AS38" i="23" s="1"/>
  <c r="AL38" i="23"/>
  <c r="AM38" i="23" s="1"/>
  <c r="AX51" i="23"/>
  <c r="AY51" i="23" s="1"/>
  <c r="AL51" i="23"/>
  <c r="AM51" i="23" s="1"/>
  <c r="AR51" i="23"/>
  <c r="AS51" i="23" s="1"/>
  <c r="BP70" i="23"/>
  <c r="BQ70" i="23" s="1"/>
  <c r="AX70" i="23"/>
  <c r="AY70" i="23" s="1"/>
  <c r="AR70" i="23"/>
  <c r="AS70" i="23" s="1"/>
  <c r="BP80" i="23"/>
  <c r="BQ80" i="23" s="1"/>
  <c r="AX80" i="23"/>
  <c r="AY80" i="23" s="1"/>
  <c r="AR80" i="23"/>
  <c r="AS80" i="23" s="1"/>
  <c r="BP91" i="23"/>
  <c r="BQ91" i="23" s="1"/>
  <c r="AX91" i="23"/>
  <c r="AY91" i="23" s="1"/>
  <c r="AR91" i="23"/>
  <c r="AS91" i="23" s="1"/>
  <c r="BP115" i="23"/>
  <c r="BQ115" i="23" s="1"/>
  <c r="AR115" i="23"/>
  <c r="AS115" i="23" s="1"/>
  <c r="AX115" i="23"/>
  <c r="AY115" i="23" s="1"/>
  <c r="BP130" i="23"/>
  <c r="BQ130" i="23" s="1"/>
  <c r="AX130" i="23"/>
  <c r="AY130" i="23" s="1"/>
  <c r="AR130" i="23"/>
  <c r="AS130" i="23" s="1"/>
  <c r="BP148" i="23"/>
  <c r="BQ148" i="23" s="1"/>
  <c r="AX148" i="23"/>
  <c r="AY148" i="23" s="1"/>
  <c r="AR148" i="23"/>
  <c r="AS148" i="23" s="1"/>
  <c r="BP168" i="23"/>
  <c r="BQ168" i="23" s="1"/>
  <c r="AX168" i="23"/>
  <c r="AY168" i="23" s="1"/>
  <c r="AR168" i="23"/>
  <c r="AS168" i="23" s="1"/>
  <c r="BP180" i="23"/>
  <c r="BQ180" i="23" s="1"/>
  <c r="AX180" i="23"/>
  <c r="AY180" i="23" s="1"/>
  <c r="AR180" i="23"/>
  <c r="AS180" i="23" s="1"/>
  <c r="BP197" i="23"/>
  <c r="BQ197" i="23" s="1"/>
  <c r="AX197" i="23"/>
  <c r="AY197" i="23" s="1"/>
  <c r="AR197" i="23"/>
  <c r="AS197" i="23" s="1"/>
  <c r="BP209" i="23"/>
  <c r="BQ209" i="23" s="1"/>
  <c r="AX209" i="23"/>
  <c r="AY209" i="23" s="1"/>
  <c r="AR209" i="23"/>
  <c r="AS209" i="23" s="1"/>
  <c r="BP220" i="23"/>
  <c r="BQ220" i="23" s="1"/>
  <c r="AX220" i="23"/>
  <c r="AY220" i="23" s="1"/>
  <c r="AR220" i="23"/>
  <c r="AS220" i="23" s="1"/>
  <c r="BP230" i="23"/>
  <c r="BQ230" i="23" s="1"/>
  <c r="AX230" i="23"/>
  <c r="AY230" i="23" s="1"/>
  <c r="AR230" i="23"/>
  <c r="AS230" i="23" s="1"/>
  <c r="BP248" i="23"/>
  <c r="BQ248" i="23" s="1"/>
  <c r="AX248" i="23"/>
  <c r="AY248" i="23" s="1"/>
  <c r="AR248" i="23"/>
  <c r="AS248" i="23" s="1"/>
  <c r="BP265" i="23"/>
  <c r="BQ265" i="23" s="1"/>
  <c r="AX265" i="23"/>
  <c r="AY265" i="23" s="1"/>
  <c r="AR265" i="23"/>
  <c r="AS265" i="23" s="1"/>
  <c r="BP272" i="23"/>
  <c r="BQ272" i="23" s="1"/>
  <c r="AX272" i="23"/>
  <c r="AY272" i="23" s="1"/>
  <c r="AR272" i="23"/>
  <c r="AS272" i="23" s="1"/>
  <c r="BP292" i="23"/>
  <c r="BQ292" i="23" s="1"/>
  <c r="AX292" i="23"/>
  <c r="AY292" i="23" s="1"/>
  <c r="AR292" i="23"/>
  <c r="AS292" i="23" s="1"/>
  <c r="BP300" i="23"/>
  <c r="BQ300" i="23" s="1"/>
  <c r="AX300" i="23"/>
  <c r="AY300" i="23" s="1"/>
  <c r="AR300" i="23"/>
  <c r="AS300" i="23" s="1"/>
  <c r="BP317" i="23"/>
  <c r="BQ317" i="23" s="1"/>
  <c r="AX317" i="23"/>
  <c r="AY317" i="23" s="1"/>
  <c r="AR317" i="23"/>
  <c r="AS317" i="23" s="1"/>
  <c r="BP325" i="23"/>
  <c r="BQ325" i="23" s="1"/>
  <c r="AX325" i="23"/>
  <c r="AY325" i="23" s="1"/>
  <c r="AR325" i="23"/>
  <c r="AS325" i="23" s="1"/>
  <c r="BP343" i="23"/>
  <c r="BQ343" i="23" s="1"/>
  <c r="AX343" i="23"/>
  <c r="AY343" i="23" s="1"/>
  <c r="AR343" i="23"/>
  <c r="AS343" i="23" s="1"/>
  <c r="BP359" i="23"/>
  <c r="BQ359" i="23" s="1"/>
  <c r="AX359" i="23"/>
  <c r="AY359" i="23" s="1"/>
  <c r="AR359" i="23"/>
  <c r="AS359" i="23" s="1"/>
  <c r="BP373" i="23"/>
  <c r="BQ373" i="23" s="1"/>
  <c r="AX373" i="23"/>
  <c r="AY373" i="23" s="1"/>
  <c r="AR373" i="23"/>
  <c r="AS373" i="23" s="1"/>
  <c r="BP387" i="23"/>
  <c r="BQ387" i="23" s="1"/>
  <c r="AX387" i="23"/>
  <c r="AY387" i="23" s="1"/>
  <c r="AR387" i="23"/>
  <c r="AS387" i="23" s="1"/>
  <c r="BP401" i="23"/>
  <c r="BQ401" i="23" s="1"/>
  <c r="AX401" i="23"/>
  <c r="AY401" i="23" s="1"/>
  <c r="AR401" i="23"/>
  <c r="AS401" i="23" s="1"/>
  <c r="BP415" i="23"/>
  <c r="BQ415" i="23" s="1"/>
  <c r="AX415" i="23"/>
  <c r="AY415" i="23" s="1"/>
  <c r="AR415" i="23"/>
  <c r="AS415" i="23" s="1"/>
  <c r="BP428" i="23"/>
  <c r="BQ428" i="23" s="1"/>
  <c r="AX428" i="23"/>
  <c r="AY428" i="23" s="1"/>
  <c r="AR428" i="23"/>
  <c r="AS428" i="23" s="1"/>
  <c r="BP437" i="23"/>
  <c r="BQ437" i="23" s="1"/>
  <c r="AX437" i="23"/>
  <c r="AY437" i="23" s="1"/>
  <c r="AR437" i="23"/>
  <c r="AS437" i="23" s="1"/>
  <c r="BP445" i="23"/>
  <c r="BQ445" i="23" s="1"/>
  <c r="AR445" i="23"/>
  <c r="AS445" i="23" s="1"/>
  <c r="AX445" i="23"/>
  <c r="AY445" i="23" s="1"/>
  <c r="AL387" i="23"/>
  <c r="AM387" i="23" s="1"/>
  <c r="AL391" i="23"/>
  <c r="AM391" i="23" s="1"/>
  <c r="AL80" i="23"/>
  <c r="AM80" i="23" s="1"/>
  <c r="AL176" i="23"/>
  <c r="AM176" i="23" s="1"/>
  <c r="AL224" i="23"/>
  <c r="AM224" i="23" s="1"/>
  <c r="AL209" i="23"/>
  <c r="AM209" i="23" s="1"/>
  <c r="AL248" i="23"/>
  <c r="AM248" i="23" s="1"/>
  <c r="AL159" i="23"/>
  <c r="AM159" i="23" s="1"/>
  <c r="AL355" i="23"/>
  <c r="AM355" i="23" s="1"/>
  <c r="AL279" i="23"/>
  <c r="AM279" i="23" s="1"/>
  <c r="AL257" i="23"/>
  <c r="AM257" i="23" s="1"/>
  <c r="AL123" i="23"/>
  <c r="AM123" i="23" s="1"/>
  <c r="AL401" i="23"/>
  <c r="AM401" i="23" s="1"/>
  <c r="AX62" i="23"/>
  <c r="AY62" i="23" s="1"/>
  <c r="AL62" i="23"/>
  <c r="AM62" i="23" s="1"/>
  <c r="AR62" i="23"/>
  <c r="AS62" i="23" s="1"/>
  <c r="BP30" i="23"/>
  <c r="BQ30" i="23" s="1"/>
  <c r="AX30" i="23"/>
  <c r="AY30" i="23" s="1"/>
  <c r="AR30" i="23"/>
  <c r="AS30" i="23" s="1"/>
  <c r="AX43" i="23"/>
  <c r="AY43" i="23" s="1"/>
  <c r="AR43" i="23"/>
  <c r="AS43" i="23" s="1"/>
  <c r="AL43" i="23"/>
  <c r="AM43" i="23" s="1"/>
  <c r="AX49" i="23"/>
  <c r="AY49" i="23" s="1"/>
  <c r="AR49" i="23"/>
  <c r="AS49" i="23" s="1"/>
  <c r="AL49" i="23"/>
  <c r="AM49" i="23" s="1"/>
  <c r="AX53" i="23"/>
  <c r="AY53" i="23" s="1"/>
  <c r="AR53" i="23"/>
  <c r="AS53" i="23" s="1"/>
  <c r="AL53" i="23"/>
  <c r="AM53" i="23" s="1"/>
  <c r="AL57" i="23"/>
  <c r="AM57" i="23" s="1"/>
  <c r="AR57" i="23"/>
  <c r="AS57" i="23" s="1"/>
  <c r="AX57" i="23"/>
  <c r="AY57" i="23" s="1"/>
  <c r="BP68" i="23"/>
  <c r="BQ68" i="23" s="1"/>
  <c r="AX68" i="23"/>
  <c r="AY68" i="23" s="1"/>
  <c r="AR68" i="23"/>
  <c r="AS68" i="23" s="1"/>
  <c r="BP72" i="23"/>
  <c r="BQ72" i="23" s="1"/>
  <c r="AR72" i="23"/>
  <c r="AS72" i="23" s="1"/>
  <c r="AX72" i="23"/>
  <c r="AY72" i="23" s="1"/>
  <c r="BP78" i="23"/>
  <c r="BQ78" i="23" s="1"/>
  <c r="AR78" i="23"/>
  <c r="AS78" i="23" s="1"/>
  <c r="AX78" i="23"/>
  <c r="AY78" i="23" s="1"/>
  <c r="BP82" i="23"/>
  <c r="BQ82" i="23" s="1"/>
  <c r="AR82" i="23"/>
  <c r="AS82" i="23" s="1"/>
  <c r="AX82" i="23"/>
  <c r="AY82" i="23" s="1"/>
  <c r="BP86" i="23"/>
  <c r="BQ86" i="23" s="1"/>
  <c r="AR86" i="23"/>
  <c r="AS86" i="23" s="1"/>
  <c r="AX86" i="23"/>
  <c r="AY86" i="23" s="1"/>
  <c r="BP89" i="23"/>
  <c r="BQ89" i="23" s="1"/>
  <c r="AX89" i="23"/>
  <c r="AY89" i="23" s="1"/>
  <c r="AR89" i="23"/>
  <c r="AS89" i="23" s="1"/>
  <c r="BP93" i="23"/>
  <c r="BQ93" i="23" s="1"/>
  <c r="AR93" i="23"/>
  <c r="AS93" i="23" s="1"/>
  <c r="AX93" i="23"/>
  <c r="AY93" i="23" s="1"/>
  <c r="BP99" i="23"/>
  <c r="BQ99" i="23" s="1"/>
  <c r="AR99" i="23"/>
  <c r="AS99" i="23" s="1"/>
  <c r="AX99" i="23"/>
  <c r="AY99" i="23" s="1"/>
  <c r="BP103" i="23"/>
  <c r="BQ103" i="23" s="1"/>
  <c r="AX103" i="23"/>
  <c r="AY103" i="23" s="1"/>
  <c r="AR103" i="23"/>
  <c r="AS103" i="23" s="1"/>
  <c r="BP109" i="23"/>
  <c r="BQ109" i="23" s="1"/>
  <c r="AR109" i="23"/>
  <c r="AS109" i="23" s="1"/>
  <c r="AX109" i="23"/>
  <c r="AY109" i="23" s="1"/>
  <c r="BP113" i="23"/>
  <c r="BQ113" i="23" s="1"/>
  <c r="AX113" i="23"/>
  <c r="AY113" i="23" s="1"/>
  <c r="AR113" i="23"/>
  <c r="AS113" i="23" s="1"/>
  <c r="BP117" i="23"/>
  <c r="BQ117" i="23" s="1"/>
  <c r="AR117" i="23"/>
  <c r="AS117" i="23" s="1"/>
  <c r="AX117" i="23"/>
  <c r="AY117" i="23" s="1"/>
  <c r="BP121" i="23"/>
  <c r="BQ121" i="23" s="1"/>
  <c r="AX121" i="23"/>
  <c r="AY121" i="23" s="1"/>
  <c r="AR121" i="23"/>
  <c r="AS121" i="23" s="1"/>
  <c r="BP128" i="23"/>
  <c r="BQ128" i="23" s="1"/>
  <c r="AX128" i="23"/>
  <c r="AY128" i="23" s="1"/>
  <c r="AR128" i="23"/>
  <c r="AS128" i="23" s="1"/>
  <c r="BP132" i="23"/>
  <c r="BQ132" i="23" s="1"/>
  <c r="AR132" i="23"/>
  <c r="AS132" i="23" s="1"/>
  <c r="AX132" i="23"/>
  <c r="AY132" i="23" s="1"/>
  <c r="BP138" i="23"/>
  <c r="BQ138" i="23" s="1"/>
  <c r="AX138" i="23"/>
  <c r="AY138" i="23" s="1"/>
  <c r="AR138" i="23"/>
  <c r="AS138" i="23" s="1"/>
  <c r="BP142" i="23"/>
  <c r="BQ142" i="23" s="1"/>
  <c r="AX142" i="23"/>
  <c r="AY142" i="23" s="1"/>
  <c r="AR142" i="23"/>
  <c r="AS142" i="23" s="1"/>
  <c r="BP146" i="23"/>
  <c r="BQ146" i="23" s="1"/>
  <c r="AX146" i="23"/>
  <c r="AY146" i="23" s="1"/>
  <c r="AR146" i="23"/>
  <c r="AS146" i="23" s="1"/>
  <c r="BP150" i="23"/>
  <c r="BQ150" i="23" s="1"/>
  <c r="AX150" i="23"/>
  <c r="AY150" i="23" s="1"/>
  <c r="AR150" i="23"/>
  <c r="AS150" i="23" s="1"/>
  <c r="BP154" i="23"/>
  <c r="BQ154" i="23" s="1"/>
  <c r="AX154" i="23"/>
  <c r="AY154" i="23" s="1"/>
  <c r="AR154" i="23"/>
  <c r="AS154" i="23" s="1"/>
  <c r="BP161" i="23"/>
  <c r="BQ161" i="23" s="1"/>
  <c r="AX161" i="23"/>
  <c r="AY161" i="23" s="1"/>
  <c r="AR161" i="23"/>
  <c r="AS161" i="23" s="1"/>
  <c r="BP164" i="23"/>
  <c r="BQ164" i="23" s="1"/>
  <c r="AX164" i="23"/>
  <c r="AY164" i="23" s="1"/>
  <c r="AR164" i="23"/>
  <c r="AS164" i="23" s="1"/>
  <c r="BP170" i="23"/>
  <c r="BQ170" i="23" s="1"/>
  <c r="AX170" i="23"/>
  <c r="AY170" i="23" s="1"/>
  <c r="AR170" i="23"/>
  <c r="AS170" i="23" s="1"/>
  <c r="BP174" i="23"/>
  <c r="BQ174" i="23" s="1"/>
  <c r="AX174" i="23"/>
  <c r="AY174" i="23" s="1"/>
  <c r="AR174" i="23"/>
  <c r="AS174" i="23" s="1"/>
  <c r="BP178" i="23"/>
  <c r="BQ178" i="23" s="1"/>
  <c r="AR178" i="23"/>
  <c r="AS178" i="23" s="1"/>
  <c r="AX178" i="23"/>
  <c r="AY178" i="23" s="1"/>
  <c r="BP182" i="23"/>
  <c r="BQ182" i="23" s="1"/>
  <c r="AR182" i="23"/>
  <c r="AS182" i="23" s="1"/>
  <c r="AX182" i="23"/>
  <c r="AY182" i="23" s="1"/>
  <c r="BP189" i="23"/>
  <c r="BQ189" i="23" s="1"/>
  <c r="AR189" i="23"/>
  <c r="AS189" i="23" s="1"/>
  <c r="AX189" i="23"/>
  <c r="AY189" i="23" s="1"/>
  <c r="BP193" i="23"/>
  <c r="BQ193" i="23" s="1"/>
  <c r="AX193" i="23"/>
  <c r="AY193" i="23" s="1"/>
  <c r="AR193" i="23"/>
  <c r="AS193" i="23" s="1"/>
  <c r="BP199" i="23"/>
  <c r="BQ199" i="23" s="1"/>
  <c r="AR199" i="23"/>
  <c r="AS199" i="23" s="1"/>
  <c r="AX199" i="23"/>
  <c r="AY199" i="23" s="1"/>
  <c r="BP203" i="23"/>
  <c r="BQ203" i="23" s="1"/>
  <c r="AX203" i="23"/>
  <c r="AY203" i="23" s="1"/>
  <c r="AR203" i="23"/>
  <c r="AS203" i="23" s="1"/>
  <c r="BP207" i="23"/>
  <c r="BQ207" i="23" s="1"/>
  <c r="AR207" i="23"/>
  <c r="AS207" i="23" s="1"/>
  <c r="AX207" i="23"/>
  <c r="AY207" i="23" s="1"/>
  <c r="BP211" i="23"/>
  <c r="BQ211" i="23" s="1"/>
  <c r="AX211" i="23"/>
  <c r="AY211" i="23" s="1"/>
  <c r="AR211" i="23"/>
  <c r="AS211" i="23" s="1"/>
  <c r="BP218" i="23"/>
  <c r="BQ218" i="23" s="1"/>
  <c r="AX218" i="23"/>
  <c r="AY218" i="23" s="1"/>
  <c r="AR218" i="23"/>
  <c r="AS218" i="23" s="1"/>
  <c r="BP222" i="23"/>
  <c r="BQ222" i="23" s="1"/>
  <c r="AX222" i="23"/>
  <c r="AY222" i="23" s="1"/>
  <c r="AR222" i="23"/>
  <c r="AS222" i="23" s="1"/>
  <c r="BP228" i="23"/>
  <c r="BQ228" i="23" s="1"/>
  <c r="AX228" i="23"/>
  <c r="AY228" i="23" s="1"/>
  <c r="AR228" i="23"/>
  <c r="AS228" i="23" s="1"/>
  <c r="BP232" i="23"/>
  <c r="BQ232" i="23" s="1"/>
  <c r="AX232" i="23"/>
  <c r="AY232" i="23" s="1"/>
  <c r="AR232" i="23"/>
  <c r="AS232" i="23" s="1"/>
  <c r="BP235" i="23"/>
  <c r="BQ235" i="23" s="1"/>
  <c r="AX235" i="23"/>
  <c r="AY235" i="23" s="1"/>
  <c r="AR235" i="23"/>
  <c r="AS235" i="23" s="1"/>
  <c r="BP239" i="23"/>
  <c r="BQ239" i="23" s="1"/>
  <c r="AX239" i="23"/>
  <c r="AY239" i="23" s="1"/>
  <c r="AR239" i="23"/>
  <c r="AS239" i="23" s="1"/>
  <c r="BP243" i="23"/>
  <c r="BQ243" i="23" s="1"/>
  <c r="AX243" i="23"/>
  <c r="AY243" i="23" s="1"/>
  <c r="AR243" i="23"/>
  <c r="AS243" i="23" s="1"/>
  <c r="BP250" i="23"/>
  <c r="BQ250" i="23" s="1"/>
  <c r="AX250" i="23"/>
  <c r="AY250" i="23" s="1"/>
  <c r="AR250" i="23"/>
  <c r="AS250" i="23" s="1"/>
  <c r="BP253" i="23"/>
  <c r="BQ253" i="23" s="1"/>
  <c r="AR253" i="23"/>
  <c r="AS253" i="23" s="1"/>
  <c r="AX253" i="23"/>
  <c r="AY253" i="23" s="1"/>
  <c r="BP259" i="23"/>
  <c r="BQ259" i="23" s="1"/>
  <c r="AX259" i="23"/>
  <c r="AY259" i="23" s="1"/>
  <c r="AR259" i="23"/>
  <c r="AS259" i="23" s="1"/>
  <c r="BP263" i="23"/>
  <c r="BQ263" i="23" s="1"/>
  <c r="AX263" i="23"/>
  <c r="AY263" i="23" s="1"/>
  <c r="AR263" i="23"/>
  <c r="AS263" i="23" s="1"/>
  <c r="BP267" i="23"/>
  <c r="BQ267" i="23" s="1"/>
  <c r="AX267" i="23"/>
  <c r="AY267" i="23" s="1"/>
  <c r="AR267" i="23"/>
  <c r="AS267" i="23" s="1"/>
  <c r="BP274" i="23"/>
  <c r="BQ274" i="23" s="1"/>
  <c r="AX274" i="23"/>
  <c r="AY274" i="23" s="1"/>
  <c r="AR274" i="23"/>
  <c r="AS274" i="23" s="1"/>
  <c r="BP281" i="23"/>
  <c r="BQ281" i="23" s="1"/>
  <c r="AX281" i="23"/>
  <c r="AY281" i="23" s="1"/>
  <c r="AR281" i="23"/>
  <c r="AS281" i="23" s="1"/>
  <c r="BP284" i="23"/>
  <c r="BQ284" i="23" s="1"/>
  <c r="AX284" i="23"/>
  <c r="AY284" i="23" s="1"/>
  <c r="AR284" i="23"/>
  <c r="AS284" i="23" s="1"/>
  <c r="BP290" i="23"/>
  <c r="BQ290" i="23" s="1"/>
  <c r="AX290" i="23"/>
  <c r="AY290" i="23" s="1"/>
  <c r="AR290" i="23"/>
  <c r="AS290" i="23" s="1"/>
  <c r="BP294" i="23"/>
  <c r="BQ294" i="23" s="1"/>
  <c r="AX294" i="23"/>
  <c r="AY294" i="23" s="1"/>
  <c r="AR294" i="23"/>
  <c r="AS294" i="23" s="1"/>
  <c r="BP298" i="23"/>
  <c r="BQ298" i="23" s="1"/>
  <c r="AX298" i="23"/>
  <c r="AY298" i="23" s="1"/>
  <c r="AR298" i="23"/>
  <c r="AS298" i="23" s="1"/>
  <c r="BP302" i="23"/>
  <c r="BQ302" i="23" s="1"/>
  <c r="AX302" i="23"/>
  <c r="AY302" i="23" s="1"/>
  <c r="AR302" i="23"/>
  <c r="AS302" i="23" s="1"/>
  <c r="BP309" i="23"/>
  <c r="BQ309" i="23" s="1"/>
  <c r="AR309" i="23"/>
  <c r="AS309" i="23" s="1"/>
  <c r="AX309" i="23"/>
  <c r="AY309" i="23" s="1"/>
  <c r="BP313" i="23"/>
  <c r="BQ313" i="23" s="1"/>
  <c r="AR313" i="23"/>
  <c r="AS313" i="23" s="1"/>
  <c r="AX313" i="23"/>
  <c r="AY313" i="23" s="1"/>
  <c r="BP319" i="23"/>
  <c r="BQ319" i="23" s="1"/>
  <c r="AX319" i="23"/>
  <c r="AY319" i="23" s="1"/>
  <c r="AR319" i="23"/>
  <c r="AS319" i="23" s="1"/>
  <c r="BP323" i="23"/>
  <c r="BQ323" i="23" s="1"/>
  <c r="AX323" i="23"/>
  <c r="AY323" i="23" s="1"/>
  <c r="AR323" i="23"/>
  <c r="AS323" i="23" s="1"/>
  <c r="BP327" i="23"/>
  <c r="BQ327" i="23" s="1"/>
  <c r="AX327" i="23"/>
  <c r="AY327" i="23" s="1"/>
  <c r="AR327" i="23"/>
  <c r="AS327" i="23" s="1"/>
  <c r="BP331" i="23"/>
  <c r="BQ331" i="23" s="1"/>
  <c r="AX331" i="23"/>
  <c r="AY331" i="23" s="1"/>
  <c r="AR331" i="23"/>
  <c r="AS331" i="23" s="1"/>
  <c r="BP334" i="23"/>
  <c r="BQ334" i="23" s="1"/>
  <c r="AX334" i="23"/>
  <c r="AY334" i="23" s="1"/>
  <c r="AR334" i="23"/>
  <c r="AS334" i="23" s="1"/>
  <c r="BP341" i="23"/>
  <c r="BQ341" i="23" s="1"/>
  <c r="AX341" i="23"/>
  <c r="AY341" i="23" s="1"/>
  <c r="AR341" i="23"/>
  <c r="AS341" i="23" s="1"/>
  <c r="BP347" i="23"/>
  <c r="BQ347" i="23" s="1"/>
  <c r="AX347" i="23"/>
  <c r="AY347" i="23" s="1"/>
  <c r="AR347" i="23"/>
  <c r="AS347" i="23" s="1"/>
  <c r="BP353" i="23"/>
  <c r="BQ353" i="23" s="1"/>
  <c r="AX353" i="23"/>
  <c r="AY353" i="23" s="1"/>
  <c r="AR353" i="23"/>
  <c r="AS353" i="23" s="1"/>
  <c r="BP357" i="23"/>
  <c r="BQ357" i="23" s="1"/>
  <c r="AX357" i="23"/>
  <c r="AY357" i="23" s="1"/>
  <c r="AR357" i="23"/>
  <c r="AS357" i="23" s="1"/>
  <c r="BP361" i="23"/>
  <c r="BQ361" i="23" s="1"/>
  <c r="AX361" i="23"/>
  <c r="AY361" i="23" s="1"/>
  <c r="AR361" i="23"/>
  <c r="AS361" i="23" s="1"/>
  <c r="BP368" i="23"/>
  <c r="BQ368" i="23" s="1"/>
  <c r="AX368" i="23"/>
  <c r="AY368" i="23" s="1"/>
  <c r="AR368" i="23"/>
  <c r="AS368" i="23" s="1"/>
  <c r="BP372" i="23"/>
  <c r="BQ372" i="23" s="1"/>
  <c r="AX372" i="23"/>
  <c r="AY372" i="23" s="1"/>
  <c r="AR372" i="23"/>
  <c r="AS372" i="23" s="1"/>
  <c r="BP377" i="23"/>
  <c r="BQ377" i="23" s="1"/>
  <c r="AX377" i="23"/>
  <c r="AY377" i="23" s="1"/>
  <c r="AR377" i="23"/>
  <c r="AS377" i="23" s="1"/>
  <c r="BP381" i="23"/>
  <c r="BQ381" i="23" s="1"/>
  <c r="AX381" i="23"/>
  <c r="AY381" i="23" s="1"/>
  <c r="AR381" i="23"/>
  <c r="AS381" i="23" s="1"/>
  <c r="BP385" i="23"/>
  <c r="BQ385" i="23" s="1"/>
  <c r="AX385" i="23"/>
  <c r="AY385" i="23" s="1"/>
  <c r="AR385" i="23"/>
  <c r="AS385" i="23" s="1"/>
  <c r="BP389" i="23"/>
  <c r="BQ389" i="23" s="1"/>
  <c r="AX389" i="23"/>
  <c r="AY389" i="23" s="1"/>
  <c r="AR389" i="23"/>
  <c r="AS389" i="23" s="1"/>
  <c r="BP393" i="23"/>
  <c r="BQ393" i="23" s="1"/>
  <c r="AX393" i="23"/>
  <c r="AY393" i="23" s="1"/>
  <c r="AR393" i="23"/>
  <c r="AS393" i="23" s="1"/>
  <c r="BP399" i="23"/>
  <c r="BQ399" i="23" s="1"/>
  <c r="AX399" i="23"/>
  <c r="AY399" i="23" s="1"/>
  <c r="AR399" i="23"/>
  <c r="AS399" i="23" s="1"/>
  <c r="BP403" i="23"/>
  <c r="BQ403" i="23" s="1"/>
  <c r="AX403" i="23"/>
  <c r="AY403" i="23" s="1"/>
  <c r="AR403" i="23"/>
  <c r="AS403" i="23" s="1"/>
  <c r="BP409" i="23"/>
  <c r="BQ409" i="23" s="1"/>
  <c r="AX409" i="23"/>
  <c r="AY409" i="23" s="1"/>
  <c r="AR409" i="23"/>
  <c r="AS409" i="23" s="1"/>
  <c r="BP413" i="23"/>
  <c r="BQ413" i="23" s="1"/>
  <c r="AX413" i="23"/>
  <c r="AY413" i="23" s="1"/>
  <c r="AR413" i="23"/>
  <c r="AS413" i="23" s="1"/>
  <c r="BP417" i="23"/>
  <c r="BQ417" i="23" s="1"/>
  <c r="AX417" i="23"/>
  <c r="AY417" i="23" s="1"/>
  <c r="AR417" i="23"/>
  <c r="AS417" i="23" s="1"/>
  <c r="BP421" i="23"/>
  <c r="BQ421" i="23" s="1"/>
  <c r="AX421" i="23"/>
  <c r="AY421" i="23" s="1"/>
  <c r="AR421" i="23"/>
  <c r="AS421" i="23" s="1"/>
  <c r="BP430" i="23"/>
  <c r="BQ430" i="23" s="1"/>
  <c r="AX430" i="23"/>
  <c r="AY430" i="23" s="1"/>
  <c r="AR430" i="23"/>
  <c r="AS430" i="23" s="1"/>
  <c r="BP434" i="23"/>
  <c r="BQ434" i="23" s="1"/>
  <c r="AR434" i="23"/>
  <c r="AS434" i="23" s="1"/>
  <c r="AX434" i="23"/>
  <c r="AY434" i="23" s="1"/>
  <c r="BP439" i="23"/>
  <c r="BQ439" i="23" s="1"/>
  <c r="AX439" i="23"/>
  <c r="AY439" i="23" s="1"/>
  <c r="AR439" i="23"/>
  <c r="AS439" i="23" s="1"/>
  <c r="BP443" i="23"/>
  <c r="BQ443" i="23" s="1"/>
  <c r="AX443" i="23"/>
  <c r="AY443" i="23" s="1"/>
  <c r="AR443" i="23"/>
  <c r="AS443" i="23" s="1"/>
  <c r="BP447" i="23"/>
  <c r="BQ447" i="23" s="1"/>
  <c r="AX447" i="23"/>
  <c r="AY447" i="23" s="1"/>
  <c r="AR447" i="23"/>
  <c r="AS447" i="23" s="1"/>
  <c r="BP450" i="23"/>
  <c r="BQ450" i="23" s="1"/>
  <c r="AR450" i="23"/>
  <c r="AS450" i="23" s="1"/>
  <c r="AX450" i="23"/>
  <c r="AY450" i="23" s="1"/>
  <c r="BP454" i="23"/>
  <c r="BQ454" i="23" s="1"/>
  <c r="AX454" i="23"/>
  <c r="AY454" i="23" s="1"/>
  <c r="AR454" i="23"/>
  <c r="AS454" i="23" s="1"/>
  <c r="AX64" i="23"/>
  <c r="AY64" i="23" s="1"/>
  <c r="AL64" i="23"/>
  <c r="AM64" i="23" s="1"/>
  <c r="AR64" i="23"/>
  <c r="AS64" i="23" s="1"/>
  <c r="BP29" i="23"/>
  <c r="BQ29" i="23" s="1"/>
  <c r="AX29" i="23"/>
  <c r="AY29" i="23" s="1"/>
  <c r="AR29" i="23"/>
  <c r="AS29" i="23" s="1"/>
  <c r="AR41" i="23"/>
  <c r="AS41" i="23" s="1"/>
  <c r="AX41" i="23"/>
  <c r="AY41" i="23" s="1"/>
  <c r="AL41" i="23"/>
  <c r="AM41" i="23" s="1"/>
  <c r="AR55" i="23"/>
  <c r="AS55" i="23" s="1"/>
  <c r="AX55" i="23"/>
  <c r="AY55" i="23" s="1"/>
  <c r="AL55" i="23"/>
  <c r="AM55" i="23" s="1"/>
  <c r="BP101" i="23"/>
  <c r="BQ101" i="23" s="1"/>
  <c r="AX101" i="23"/>
  <c r="AY101" i="23" s="1"/>
  <c r="AR101" i="23"/>
  <c r="AS101" i="23" s="1"/>
  <c r="BP111" i="23"/>
  <c r="BQ111" i="23" s="1"/>
  <c r="AX111" i="23"/>
  <c r="AY111" i="23" s="1"/>
  <c r="AR111" i="23"/>
  <c r="AS111" i="23" s="1"/>
  <c r="BP119" i="23"/>
  <c r="BQ119" i="23" s="1"/>
  <c r="AR119" i="23"/>
  <c r="AS119" i="23" s="1"/>
  <c r="AX119" i="23"/>
  <c r="AY119" i="23" s="1"/>
  <c r="BP134" i="23"/>
  <c r="BQ134" i="23" s="1"/>
  <c r="AX134" i="23"/>
  <c r="AY134" i="23" s="1"/>
  <c r="AR134" i="23"/>
  <c r="AS134" i="23" s="1"/>
  <c r="BP144" i="23"/>
  <c r="BQ144" i="23" s="1"/>
  <c r="AX144" i="23"/>
  <c r="AY144" i="23" s="1"/>
  <c r="AR144" i="23"/>
  <c r="AS144" i="23" s="1"/>
  <c r="BP152" i="23"/>
  <c r="BQ152" i="23" s="1"/>
  <c r="AX152" i="23"/>
  <c r="AY152" i="23" s="1"/>
  <c r="AR152" i="23"/>
  <c r="AS152" i="23" s="1"/>
  <c r="BP162" i="23"/>
  <c r="BQ162" i="23" s="1"/>
  <c r="AX162" i="23"/>
  <c r="AY162" i="23" s="1"/>
  <c r="AR162" i="23"/>
  <c r="AS162" i="23" s="1"/>
  <c r="BP172" i="23"/>
  <c r="BQ172" i="23" s="1"/>
  <c r="AR172" i="23"/>
  <c r="AS172" i="23" s="1"/>
  <c r="AX172" i="23"/>
  <c r="AY172" i="23" s="1"/>
  <c r="BP184" i="23"/>
  <c r="BQ184" i="23" s="1"/>
  <c r="AR184" i="23"/>
  <c r="AS184" i="23" s="1"/>
  <c r="AX184" i="23"/>
  <c r="AY184" i="23" s="1"/>
  <c r="BP205" i="23"/>
  <c r="BQ205" i="23" s="1"/>
  <c r="AX205" i="23"/>
  <c r="AY205" i="23" s="1"/>
  <c r="AR205" i="23"/>
  <c r="AS205" i="23" s="1"/>
  <c r="BP241" i="23"/>
  <c r="BQ241" i="23" s="1"/>
  <c r="AX241" i="23"/>
  <c r="AY241" i="23" s="1"/>
  <c r="AR241" i="23"/>
  <c r="AS241" i="23" s="1"/>
  <c r="BP252" i="23"/>
  <c r="BQ252" i="23" s="1"/>
  <c r="AX252" i="23"/>
  <c r="AY252" i="23" s="1"/>
  <c r="AR252" i="23"/>
  <c r="AS252" i="23" s="1"/>
  <c r="BP261" i="23"/>
  <c r="BQ261" i="23" s="1"/>
  <c r="AX261" i="23"/>
  <c r="AY261" i="23" s="1"/>
  <c r="AR261" i="23"/>
  <c r="AS261" i="23" s="1"/>
  <c r="BP269" i="23"/>
  <c r="BQ269" i="23" s="1"/>
  <c r="AX269" i="23"/>
  <c r="AY269" i="23" s="1"/>
  <c r="AR269" i="23"/>
  <c r="AS269" i="23" s="1"/>
  <c r="BP282" i="23"/>
  <c r="BQ282" i="23" s="1"/>
  <c r="AX282" i="23"/>
  <c r="AY282" i="23" s="1"/>
  <c r="AR282" i="23"/>
  <c r="AS282" i="23" s="1"/>
  <c r="BP288" i="23"/>
  <c r="BQ288" i="23" s="1"/>
  <c r="AR288" i="23"/>
  <c r="AS288" i="23" s="1"/>
  <c r="AX288" i="23"/>
  <c r="AY288" i="23" s="1"/>
  <c r="BP296" i="23"/>
  <c r="BQ296" i="23" s="1"/>
  <c r="AX296" i="23"/>
  <c r="AY296" i="23" s="1"/>
  <c r="AR296" i="23"/>
  <c r="AS296" i="23" s="1"/>
  <c r="BP304" i="23"/>
  <c r="BQ304" i="23" s="1"/>
  <c r="AX304" i="23"/>
  <c r="AY304" i="23" s="1"/>
  <c r="AR304" i="23"/>
  <c r="AS304" i="23" s="1"/>
  <c r="BP311" i="23"/>
  <c r="BQ311" i="23" s="1"/>
  <c r="AX311" i="23"/>
  <c r="AY311" i="23" s="1"/>
  <c r="AR311" i="23"/>
  <c r="AS311" i="23" s="1"/>
  <c r="BP321" i="23"/>
  <c r="BQ321" i="23" s="1"/>
  <c r="AR321" i="23"/>
  <c r="AS321" i="23" s="1"/>
  <c r="AX321" i="23"/>
  <c r="AY321" i="23" s="1"/>
  <c r="BP329" i="23"/>
  <c r="BQ329" i="23" s="1"/>
  <c r="AX329" i="23"/>
  <c r="AY329" i="23" s="1"/>
  <c r="AR329" i="23"/>
  <c r="AS329" i="23" s="1"/>
  <c r="BP339" i="23"/>
  <c r="BQ339" i="23" s="1"/>
  <c r="AX339" i="23"/>
  <c r="AY339" i="23" s="1"/>
  <c r="AR339" i="23"/>
  <c r="AS339" i="23" s="1"/>
  <c r="BP349" i="23"/>
  <c r="BQ349" i="23" s="1"/>
  <c r="AX349" i="23"/>
  <c r="AY349" i="23" s="1"/>
  <c r="AR349" i="23"/>
  <c r="AS349" i="23" s="1"/>
  <c r="BP355" i="23"/>
  <c r="BQ355" i="23" s="1"/>
  <c r="AR355" i="23"/>
  <c r="AS355" i="23" s="1"/>
  <c r="AX355" i="23"/>
  <c r="AY355" i="23" s="1"/>
  <c r="BP370" i="23"/>
  <c r="BQ370" i="23" s="1"/>
  <c r="AX370" i="23"/>
  <c r="AY370" i="23" s="1"/>
  <c r="AR370" i="23"/>
  <c r="AS370" i="23" s="1"/>
  <c r="BP383" i="23"/>
  <c r="BQ383" i="23" s="1"/>
  <c r="AX383" i="23"/>
  <c r="AY383" i="23" s="1"/>
  <c r="AR383" i="23"/>
  <c r="AS383" i="23" s="1"/>
  <c r="BP407" i="23"/>
  <c r="BQ407" i="23" s="1"/>
  <c r="AX407" i="23"/>
  <c r="AY407" i="23" s="1"/>
  <c r="AR407" i="23"/>
  <c r="AS407" i="23" s="1"/>
  <c r="BP419" i="23"/>
  <c r="BQ419" i="23" s="1"/>
  <c r="AX419" i="23"/>
  <c r="AY419" i="23" s="1"/>
  <c r="AR419" i="23"/>
  <c r="AS419" i="23" s="1"/>
  <c r="BP423" i="23"/>
  <c r="BQ423" i="23" s="1"/>
  <c r="AX423" i="23"/>
  <c r="AY423" i="23" s="1"/>
  <c r="AR423" i="23"/>
  <c r="AS423" i="23" s="1"/>
  <c r="BP432" i="23"/>
  <c r="BQ432" i="23" s="1"/>
  <c r="AX432" i="23"/>
  <c r="AY432" i="23" s="1"/>
  <c r="AR432" i="23"/>
  <c r="AS432" i="23" s="1"/>
  <c r="BP441" i="23"/>
  <c r="BQ441" i="23" s="1"/>
  <c r="AX441" i="23"/>
  <c r="AY441" i="23" s="1"/>
  <c r="AR441" i="23"/>
  <c r="AS441" i="23" s="1"/>
  <c r="BP452" i="23"/>
  <c r="BQ452" i="23" s="1"/>
  <c r="AX452" i="23"/>
  <c r="AY452" i="23" s="1"/>
  <c r="AR452" i="23"/>
  <c r="AS452" i="23" s="1"/>
  <c r="AL115" i="23"/>
  <c r="AM115" i="23" s="1"/>
  <c r="AL325" i="23"/>
  <c r="AM325" i="23" s="1"/>
  <c r="AL134" i="23"/>
  <c r="AM134" i="23" s="1"/>
  <c r="AL379" i="23"/>
  <c r="AM379" i="23" s="1"/>
  <c r="AL191" i="23"/>
  <c r="AM191" i="23" s="1"/>
  <c r="AL197" i="23"/>
  <c r="AM197" i="23" s="1"/>
  <c r="AL230" i="23"/>
  <c r="AM230" i="23" s="1"/>
  <c r="AL168" i="23"/>
  <c r="AM168" i="23" s="1"/>
  <c r="AL288" i="23"/>
  <c r="AM288" i="23" s="1"/>
  <c r="AL148" i="23"/>
  <c r="AM148" i="23" s="1"/>
  <c r="AL74" i="23"/>
  <c r="AM74" i="23" s="1"/>
  <c r="AL107" i="23"/>
  <c r="AM107" i="23" s="1"/>
  <c r="AL411" i="23"/>
  <c r="AM411" i="23" s="1"/>
  <c r="AL359" i="23"/>
  <c r="AM359" i="23" s="1"/>
  <c r="AL265" i="23"/>
  <c r="AM265" i="23" s="1"/>
  <c r="AL343" i="23"/>
  <c r="AM343" i="23" s="1"/>
  <c r="AR63" i="23"/>
  <c r="AS63" i="23" s="1"/>
  <c r="AL63" i="23"/>
  <c r="AM63" i="23" s="1"/>
  <c r="AX63" i="23"/>
  <c r="AY63" i="23" s="1"/>
  <c r="BP33" i="23"/>
  <c r="BQ33" i="23" s="1"/>
  <c r="AR33" i="23"/>
  <c r="AS33" i="23" s="1"/>
  <c r="AX33" i="23"/>
  <c r="AY33" i="23" s="1"/>
  <c r="AX40" i="23"/>
  <c r="AY40" i="23" s="1"/>
  <c r="AR40" i="23"/>
  <c r="AS40" i="23" s="1"/>
  <c r="AL40" i="23"/>
  <c r="AM40" i="23" s="1"/>
  <c r="AX44" i="23"/>
  <c r="AY44" i="23" s="1"/>
  <c r="AR44" i="23"/>
  <c r="AS44" i="23" s="1"/>
  <c r="AL44" i="23"/>
  <c r="AM44" i="23" s="1"/>
  <c r="AX50" i="23"/>
  <c r="AY50" i="23" s="1"/>
  <c r="AL50" i="23"/>
  <c r="AM50" i="23" s="1"/>
  <c r="AR50" i="23"/>
  <c r="AS50" i="23" s="1"/>
  <c r="AX54" i="23"/>
  <c r="AY54" i="23" s="1"/>
  <c r="AL54" i="23"/>
  <c r="AM54" i="23" s="1"/>
  <c r="AR54" i="23"/>
  <c r="AS54" i="23" s="1"/>
  <c r="AX58" i="23"/>
  <c r="AY58" i="23" s="1"/>
  <c r="AL58" i="23"/>
  <c r="AM58" i="23" s="1"/>
  <c r="AR58" i="23"/>
  <c r="AS58" i="23" s="1"/>
  <c r="BP69" i="23"/>
  <c r="BQ69" i="23" s="1"/>
  <c r="AR69" i="23"/>
  <c r="AS69" i="23" s="1"/>
  <c r="AX69" i="23"/>
  <c r="AY69" i="23" s="1"/>
  <c r="BP73" i="23"/>
  <c r="BQ73" i="23" s="1"/>
  <c r="AR73" i="23"/>
  <c r="AS73" i="23" s="1"/>
  <c r="AX73" i="23"/>
  <c r="AY73" i="23" s="1"/>
  <c r="BP79" i="23"/>
  <c r="BQ79" i="23" s="1"/>
  <c r="AX79" i="23"/>
  <c r="AY79" i="23" s="1"/>
  <c r="AL79" i="23"/>
  <c r="AM79" i="23" s="1"/>
  <c r="AR79" i="23"/>
  <c r="AS79" i="23" s="1"/>
  <c r="BP83" i="23"/>
  <c r="BQ83" i="23" s="1"/>
  <c r="AX83" i="23"/>
  <c r="AY83" i="23" s="1"/>
  <c r="AR83" i="23"/>
  <c r="AS83" i="23" s="1"/>
  <c r="BP87" i="23"/>
  <c r="BQ87" i="23" s="1"/>
  <c r="AX87" i="23"/>
  <c r="AY87" i="23" s="1"/>
  <c r="AR87" i="23"/>
  <c r="AS87" i="23" s="1"/>
  <c r="BP90" i="23"/>
  <c r="BQ90" i="23" s="1"/>
  <c r="AX90" i="23"/>
  <c r="AY90" i="23" s="1"/>
  <c r="AR90" i="23"/>
  <c r="AS90" i="23" s="1"/>
  <c r="BP94" i="23"/>
  <c r="BQ94" i="23" s="1"/>
  <c r="AX94" i="23"/>
  <c r="AY94" i="23" s="1"/>
  <c r="AR94" i="23"/>
  <c r="AS94" i="23" s="1"/>
  <c r="BP100" i="23"/>
  <c r="BQ100" i="23" s="1"/>
  <c r="AX100" i="23"/>
  <c r="AY100" i="23" s="1"/>
  <c r="AR100" i="23"/>
  <c r="AS100" i="23" s="1"/>
  <c r="BP104" i="23"/>
  <c r="BQ104" i="23" s="1"/>
  <c r="AX104" i="23"/>
  <c r="AY104" i="23" s="1"/>
  <c r="AR104" i="23"/>
  <c r="AS104" i="23" s="1"/>
  <c r="BP110" i="23"/>
  <c r="BQ110" i="23" s="1"/>
  <c r="AR110" i="23"/>
  <c r="AS110" i="23" s="1"/>
  <c r="AX110" i="23"/>
  <c r="AY110" i="23" s="1"/>
  <c r="BP114" i="23"/>
  <c r="BQ114" i="23" s="1"/>
  <c r="AX114" i="23"/>
  <c r="AY114" i="23" s="1"/>
  <c r="AR114" i="23"/>
  <c r="AS114" i="23" s="1"/>
  <c r="BP118" i="23"/>
  <c r="BQ118" i="23" s="1"/>
  <c r="AR118" i="23"/>
  <c r="AS118" i="23" s="1"/>
  <c r="AX118" i="23"/>
  <c r="AY118" i="23" s="1"/>
  <c r="BP122" i="23"/>
  <c r="BQ122" i="23" s="1"/>
  <c r="AX122" i="23"/>
  <c r="AY122" i="23" s="1"/>
  <c r="AR122" i="23"/>
  <c r="AS122" i="23" s="1"/>
  <c r="BP129" i="23"/>
  <c r="BQ129" i="23" s="1"/>
  <c r="AX129" i="23"/>
  <c r="AY129" i="23" s="1"/>
  <c r="AR129" i="23"/>
  <c r="AS129" i="23" s="1"/>
  <c r="BP133" i="23"/>
  <c r="BQ133" i="23" s="1"/>
  <c r="AX133" i="23"/>
  <c r="AY133" i="23" s="1"/>
  <c r="AR133" i="23"/>
  <c r="AS133" i="23" s="1"/>
  <c r="BP139" i="23"/>
  <c r="BQ139" i="23" s="1"/>
  <c r="AX139" i="23"/>
  <c r="AY139" i="23" s="1"/>
  <c r="AR139" i="23"/>
  <c r="AS139" i="23" s="1"/>
  <c r="BP143" i="23"/>
  <c r="BQ143" i="23" s="1"/>
  <c r="AX143" i="23"/>
  <c r="AY143" i="23" s="1"/>
  <c r="AR143" i="23"/>
  <c r="AS143" i="23" s="1"/>
  <c r="BP147" i="23"/>
  <c r="BQ147" i="23" s="1"/>
  <c r="AR147" i="23"/>
  <c r="AS147" i="23" s="1"/>
  <c r="AX147" i="23"/>
  <c r="AY147" i="23" s="1"/>
  <c r="BP151" i="23"/>
  <c r="BQ151" i="23" s="1"/>
  <c r="AR151" i="23"/>
  <c r="AS151" i="23" s="1"/>
  <c r="AX151" i="23"/>
  <c r="AY151" i="23" s="1"/>
  <c r="BP158" i="23"/>
  <c r="BQ158" i="23" s="1"/>
  <c r="AX158" i="23"/>
  <c r="AY158" i="23" s="1"/>
  <c r="AR158" i="23"/>
  <c r="AS158" i="23" s="1"/>
  <c r="BP167" i="23"/>
  <c r="BQ167" i="23" s="1"/>
  <c r="AX167" i="23"/>
  <c r="AY167" i="23" s="1"/>
  <c r="AR167" i="23"/>
  <c r="AS167" i="23" s="1"/>
  <c r="BP171" i="23"/>
  <c r="BQ171" i="23" s="1"/>
  <c r="AX171" i="23"/>
  <c r="AY171" i="23" s="1"/>
  <c r="AR171" i="23"/>
  <c r="AS171" i="23" s="1"/>
  <c r="BP175" i="23"/>
  <c r="BQ175" i="23" s="1"/>
  <c r="AR175" i="23"/>
  <c r="AS175" i="23" s="1"/>
  <c r="AX175" i="23"/>
  <c r="AY175" i="23" s="1"/>
  <c r="BP179" i="23"/>
  <c r="BQ179" i="23" s="1"/>
  <c r="AR179" i="23"/>
  <c r="AS179" i="23" s="1"/>
  <c r="AX179" i="23"/>
  <c r="AY179" i="23" s="1"/>
  <c r="BP183" i="23"/>
  <c r="BQ183" i="23" s="1"/>
  <c r="AX183" i="23"/>
  <c r="AY183" i="23" s="1"/>
  <c r="AR183" i="23"/>
  <c r="AS183" i="23" s="1"/>
  <c r="BP190" i="23"/>
  <c r="BQ190" i="23" s="1"/>
  <c r="AX190" i="23"/>
  <c r="AY190" i="23" s="1"/>
  <c r="AR190" i="23"/>
  <c r="AS190" i="23" s="1"/>
  <c r="BP194" i="23"/>
  <c r="BQ194" i="23" s="1"/>
  <c r="AX194" i="23"/>
  <c r="AY194" i="23" s="1"/>
  <c r="AR194" i="23"/>
  <c r="AS194" i="23" s="1"/>
  <c r="BP200" i="23"/>
  <c r="BQ200" i="23" s="1"/>
  <c r="AX200" i="23"/>
  <c r="AY200" i="23" s="1"/>
  <c r="AR200" i="23"/>
  <c r="AS200" i="23" s="1"/>
  <c r="BP204" i="23"/>
  <c r="BQ204" i="23" s="1"/>
  <c r="AX204" i="23"/>
  <c r="AY204" i="23" s="1"/>
  <c r="AR204" i="23"/>
  <c r="AS204" i="23" s="1"/>
  <c r="BP208" i="23"/>
  <c r="BQ208" i="23" s="1"/>
  <c r="AX208" i="23"/>
  <c r="AY208" i="23" s="1"/>
  <c r="AR208" i="23"/>
  <c r="AS208" i="23" s="1"/>
  <c r="BP212" i="23"/>
  <c r="BQ212" i="23" s="1"/>
  <c r="AX212" i="23"/>
  <c r="AY212" i="23" s="1"/>
  <c r="AR212" i="23"/>
  <c r="AS212" i="23" s="1"/>
  <c r="BP219" i="23"/>
  <c r="BQ219" i="23" s="1"/>
  <c r="AX219" i="23"/>
  <c r="AY219" i="23" s="1"/>
  <c r="AR219" i="23"/>
  <c r="AS219" i="23" s="1"/>
  <c r="BP223" i="23"/>
  <c r="BQ223" i="23" s="1"/>
  <c r="AX223" i="23"/>
  <c r="AY223" i="23" s="1"/>
  <c r="AR223" i="23"/>
  <c r="AS223" i="23" s="1"/>
  <c r="BP229" i="23"/>
  <c r="BQ229" i="23" s="1"/>
  <c r="AR229" i="23"/>
  <c r="AS229" i="23" s="1"/>
  <c r="AX229" i="23"/>
  <c r="AY229" i="23" s="1"/>
  <c r="BP233" i="23"/>
  <c r="BQ233" i="23" s="1"/>
  <c r="AR233" i="23"/>
  <c r="AS233" i="23" s="1"/>
  <c r="AX233" i="23"/>
  <c r="AY233" i="23" s="1"/>
  <c r="BP236" i="23"/>
  <c r="BQ236" i="23" s="1"/>
  <c r="AX236" i="23"/>
  <c r="AY236" i="23" s="1"/>
  <c r="AR236" i="23"/>
  <c r="AS236" i="23" s="1"/>
  <c r="BP240" i="23"/>
  <c r="BQ240" i="23" s="1"/>
  <c r="AR240" i="23"/>
  <c r="AS240" i="23" s="1"/>
  <c r="AX240" i="23"/>
  <c r="AY240" i="23" s="1"/>
  <c r="BP244" i="23"/>
  <c r="BQ244" i="23" s="1"/>
  <c r="AX244" i="23"/>
  <c r="AY244" i="23" s="1"/>
  <c r="AR244" i="23"/>
  <c r="AS244" i="23" s="1"/>
  <c r="BP251" i="23"/>
  <c r="BQ251" i="23" s="1"/>
  <c r="AX251" i="23"/>
  <c r="AY251" i="23" s="1"/>
  <c r="AR251" i="23"/>
  <c r="AS251" i="23" s="1"/>
  <c r="BP254" i="23"/>
  <c r="BQ254" i="23" s="1"/>
  <c r="AX254" i="23"/>
  <c r="AY254" i="23" s="1"/>
  <c r="AR254" i="23"/>
  <c r="AS254" i="23" s="1"/>
  <c r="BP260" i="23"/>
  <c r="BQ260" i="23" s="1"/>
  <c r="AX260" i="23"/>
  <c r="AY260" i="23" s="1"/>
  <c r="AR260" i="23"/>
  <c r="AS260" i="23" s="1"/>
  <c r="BP264" i="23"/>
  <c r="BQ264" i="23" s="1"/>
  <c r="AX264" i="23"/>
  <c r="AY264" i="23" s="1"/>
  <c r="AR264" i="23"/>
  <c r="AS264" i="23" s="1"/>
  <c r="BP268" i="23"/>
  <c r="BQ268" i="23" s="1"/>
  <c r="AR268" i="23"/>
  <c r="AS268" i="23" s="1"/>
  <c r="AX268" i="23"/>
  <c r="AY268" i="23" s="1"/>
  <c r="BP271" i="23"/>
  <c r="BQ271" i="23" s="1"/>
  <c r="AX271" i="23"/>
  <c r="AY271" i="23" s="1"/>
  <c r="AR271" i="23"/>
  <c r="AS271" i="23" s="1"/>
  <c r="BP278" i="23"/>
  <c r="BQ278" i="23" s="1"/>
  <c r="AX278" i="23"/>
  <c r="AY278" i="23" s="1"/>
  <c r="AR278" i="23"/>
  <c r="AS278" i="23" s="1"/>
  <c r="AL282" i="23"/>
  <c r="AM282" i="23" s="1"/>
  <c r="BP287" i="23"/>
  <c r="BQ287" i="23" s="1"/>
  <c r="AX287" i="23"/>
  <c r="AY287" i="23" s="1"/>
  <c r="AR287" i="23"/>
  <c r="AS287" i="23" s="1"/>
  <c r="BP291" i="23"/>
  <c r="BQ291" i="23" s="1"/>
  <c r="AX291" i="23"/>
  <c r="AY291" i="23" s="1"/>
  <c r="AR291" i="23"/>
  <c r="AS291" i="23" s="1"/>
  <c r="BP295" i="23"/>
  <c r="BQ295" i="23" s="1"/>
  <c r="AX295" i="23"/>
  <c r="AY295" i="23" s="1"/>
  <c r="AR295" i="23"/>
  <c r="AS295" i="23" s="1"/>
  <c r="BP299" i="23"/>
  <c r="BQ299" i="23" s="1"/>
  <c r="AX299" i="23"/>
  <c r="AY299" i="23" s="1"/>
  <c r="AR299" i="23"/>
  <c r="AS299" i="23" s="1"/>
  <c r="BP303" i="23"/>
  <c r="BQ303" i="23" s="1"/>
  <c r="AX303" i="23"/>
  <c r="AY303" i="23" s="1"/>
  <c r="AR303" i="23"/>
  <c r="AS303" i="23" s="1"/>
  <c r="BP310" i="23"/>
  <c r="BQ310" i="23" s="1"/>
  <c r="AX310" i="23"/>
  <c r="AY310" i="23" s="1"/>
  <c r="AR310" i="23"/>
  <c r="AS310" i="23" s="1"/>
  <c r="BP314" i="23"/>
  <c r="BQ314" i="23" s="1"/>
  <c r="AX314" i="23"/>
  <c r="AY314" i="23" s="1"/>
  <c r="AR314" i="23"/>
  <c r="AS314" i="23" s="1"/>
  <c r="BP320" i="23"/>
  <c r="BQ320" i="23" s="1"/>
  <c r="AX320" i="23"/>
  <c r="AY320" i="23" s="1"/>
  <c r="AR320" i="23"/>
  <c r="AS320" i="23" s="1"/>
  <c r="BP324" i="23"/>
  <c r="BQ324" i="23" s="1"/>
  <c r="AX324" i="23"/>
  <c r="AY324" i="23" s="1"/>
  <c r="AR324" i="23"/>
  <c r="AS324" i="23" s="1"/>
  <c r="BP328" i="23"/>
  <c r="BQ328" i="23" s="1"/>
  <c r="AR328" i="23"/>
  <c r="AS328" i="23" s="1"/>
  <c r="AX328" i="23"/>
  <c r="AY328" i="23" s="1"/>
  <c r="BP332" i="23"/>
  <c r="BQ332" i="23" s="1"/>
  <c r="AX332" i="23"/>
  <c r="AY332" i="23" s="1"/>
  <c r="AR332" i="23"/>
  <c r="AS332" i="23" s="1"/>
  <c r="BP338" i="23"/>
  <c r="BQ338" i="23" s="1"/>
  <c r="AR338" i="23"/>
  <c r="AS338" i="23" s="1"/>
  <c r="AX338" i="23"/>
  <c r="AY338" i="23" s="1"/>
  <c r="BP342" i="23"/>
  <c r="BQ342" i="23" s="1"/>
  <c r="AX342" i="23"/>
  <c r="AY342" i="23" s="1"/>
  <c r="AR342" i="23"/>
  <c r="AS342" i="23" s="1"/>
  <c r="BP348" i="23"/>
  <c r="BQ348" i="23" s="1"/>
  <c r="AR348" i="23"/>
  <c r="AS348" i="23" s="1"/>
  <c r="AX348" i="23"/>
  <c r="AY348" i="23" s="1"/>
  <c r="BP350" i="23"/>
  <c r="BQ350" i="23" s="1"/>
  <c r="AX350" i="23"/>
  <c r="AY350" i="23" s="1"/>
  <c r="AR350" i="23"/>
  <c r="AS350" i="23" s="1"/>
  <c r="BP354" i="23"/>
  <c r="BQ354" i="23" s="1"/>
  <c r="AX354" i="23"/>
  <c r="AY354" i="23" s="1"/>
  <c r="AR354" i="23"/>
  <c r="AS354" i="23" s="1"/>
  <c r="BP358" i="23"/>
  <c r="BQ358" i="23" s="1"/>
  <c r="AX358" i="23"/>
  <c r="AY358" i="23" s="1"/>
  <c r="AR358" i="23"/>
  <c r="AS358" i="23" s="1"/>
  <c r="BP362" i="23"/>
  <c r="BQ362" i="23" s="1"/>
  <c r="AX362" i="23"/>
  <c r="AY362" i="23" s="1"/>
  <c r="AR362" i="23"/>
  <c r="AS362" i="23" s="1"/>
  <c r="BP369" i="23"/>
  <c r="BQ369" i="23" s="1"/>
  <c r="AX369" i="23"/>
  <c r="AY369" i="23" s="1"/>
  <c r="AR369" i="23"/>
  <c r="AS369" i="23" s="1"/>
  <c r="BP378" i="23"/>
  <c r="BQ378" i="23" s="1"/>
  <c r="AX378" i="23"/>
  <c r="AY378" i="23" s="1"/>
  <c r="AR378" i="23"/>
  <c r="AS378" i="23" s="1"/>
  <c r="BP382" i="23"/>
  <c r="BQ382" i="23" s="1"/>
  <c r="AX382" i="23"/>
  <c r="AY382" i="23" s="1"/>
  <c r="AR382" i="23"/>
  <c r="AS382" i="23" s="1"/>
  <c r="BP386" i="23"/>
  <c r="BQ386" i="23" s="1"/>
  <c r="AX386" i="23"/>
  <c r="AY386" i="23" s="1"/>
  <c r="AR386" i="23"/>
  <c r="AS386" i="23" s="1"/>
  <c r="BP390" i="23"/>
  <c r="BQ390" i="23" s="1"/>
  <c r="AX390" i="23"/>
  <c r="AY390" i="23" s="1"/>
  <c r="AR390" i="23"/>
  <c r="AS390" i="23" s="1"/>
  <c r="BP394" i="23"/>
  <c r="BQ394" i="23" s="1"/>
  <c r="AX394" i="23"/>
  <c r="AY394" i="23" s="1"/>
  <c r="AR394" i="23"/>
  <c r="AS394" i="23" s="1"/>
  <c r="BP400" i="23"/>
  <c r="BQ400" i="23" s="1"/>
  <c r="AX400" i="23"/>
  <c r="AY400" i="23" s="1"/>
  <c r="AR400" i="23"/>
  <c r="AS400" i="23" s="1"/>
  <c r="BP404" i="23"/>
  <c r="BQ404" i="23" s="1"/>
  <c r="AX404" i="23"/>
  <c r="AY404" i="23" s="1"/>
  <c r="AR404" i="23"/>
  <c r="AS404" i="23" s="1"/>
  <c r="BP410" i="23"/>
  <c r="BQ410" i="23" s="1"/>
  <c r="AX410" i="23"/>
  <c r="AY410" i="23" s="1"/>
  <c r="AR410" i="23"/>
  <c r="AS410" i="23" s="1"/>
  <c r="BP414" i="23"/>
  <c r="BQ414" i="23" s="1"/>
  <c r="AX414" i="23"/>
  <c r="AY414" i="23" s="1"/>
  <c r="AR414" i="23"/>
  <c r="AS414" i="23" s="1"/>
  <c r="BP418" i="23"/>
  <c r="BQ418" i="23" s="1"/>
  <c r="AX418" i="23"/>
  <c r="AY418" i="23" s="1"/>
  <c r="AR418" i="23"/>
  <c r="AS418" i="23" s="1"/>
  <c r="BP422" i="23"/>
  <c r="BQ422" i="23" s="1"/>
  <c r="AX422" i="23"/>
  <c r="AY422" i="23" s="1"/>
  <c r="AR422" i="23"/>
  <c r="AS422" i="23" s="1"/>
  <c r="BP424" i="23"/>
  <c r="BQ424" i="23" s="1"/>
  <c r="AR424" i="23"/>
  <c r="AS424" i="23" s="1"/>
  <c r="AX424" i="23"/>
  <c r="AY424" i="23" s="1"/>
  <c r="BP431" i="23"/>
  <c r="BQ431" i="23" s="1"/>
  <c r="AX431" i="23"/>
  <c r="AY431" i="23" s="1"/>
  <c r="AR431" i="23"/>
  <c r="AS431" i="23" s="1"/>
  <c r="BP440" i="23"/>
  <c r="BQ440" i="23" s="1"/>
  <c r="AR440" i="23"/>
  <c r="AS440" i="23" s="1"/>
  <c r="AX440" i="23"/>
  <c r="AY440" i="23" s="1"/>
  <c r="BP444" i="23"/>
  <c r="BQ444" i="23" s="1"/>
  <c r="AX444" i="23"/>
  <c r="AY444" i="23" s="1"/>
  <c r="AR444" i="23"/>
  <c r="AS444" i="23" s="1"/>
  <c r="BP448" i="23"/>
  <c r="BQ448" i="23" s="1"/>
  <c r="AX448" i="23"/>
  <c r="AY448" i="23" s="1"/>
  <c r="AR448" i="23"/>
  <c r="AS448" i="23" s="1"/>
  <c r="BP451" i="23"/>
  <c r="BQ451" i="23" s="1"/>
  <c r="AX451" i="23"/>
  <c r="AY451" i="23" s="1"/>
  <c r="AR451" i="23"/>
  <c r="AS451" i="23" s="1"/>
  <c r="AL30" i="23"/>
  <c r="AM30" i="23" s="1"/>
  <c r="AL25" i="23"/>
  <c r="AM25" i="23" s="1"/>
  <c r="AF77" i="23"/>
  <c r="AG77" i="23" s="1"/>
  <c r="AL77" i="23"/>
  <c r="AM77" i="23" s="1"/>
  <c r="AF81" i="23"/>
  <c r="AG81" i="23" s="1"/>
  <c r="AL81" i="23"/>
  <c r="AM81" i="23" s="1"/>
  <c r="AF85" i="23"/>
  <c r="AG85" i="23" s="1"/>
  <c r="AL85" i="23"/>
  <c r="AM85" i="23" s="1"/>
  <c r="AF145" i="23"/>
  <c r="AG145" i="23" s="1"/>
  <c r="AL145" i="23"/>
  <c r="AM145" i="23" s="1"/>
  <c r="AF149" i="23"/>
  <c r="AG149" i="23" s="1"/>
  <c r="AL149" i="23"/>
  <c r="AM149" i="23" s="1"/>
  <c r="AF151" i="23"/>
  <c r="AG151" i="23" s="1"/>
  <c r="AL151" i="23"/>
  <c r="AM151" i="23" s="1"/>
  <c r="AF158" i="23"/>
  <c r="AG158" i="23" s="1"/>
  <c r="AL158" i="23"/>
  <c r="AM158" i="23" s="1"/>
  <c r="AF188" i="23"/>
  <c r="AG188" i="23" s="1"/>
  <c r="AL188" i="23"/>
  <c r="AM188" i="23" s="1"/>
  <c r="AF192" i="23"/>
  <c r="AG192" i="23" s="1"/>
  <c r="AL192" i="23"/>
  <c r="AM192" i="23" s="1"/>
  <c r="AF205" i="23"/>
  <c r="AG205" i="23" s="1"/>
  <c r="AL205" i="23"/>
  <c r="AM205" i="23" s="1"/>
  <c r="AF228" i="23"/>
  <c r="AG228" i="23" s="1"/>
  <c r="AL228" i="23"/>
  <c r="AM228" i="23" s="1"/>
  <c r="AF244" i="23"/>
  <c r="AG244" i="23" s="1"/>
  <c r="AL244" i="23"/>
  <c r="AM244" i="23" s="1"/>
  <c r="AF294" i="23"/>
  <c r="AG294" i="23" s="1"/>
  <c r="AL294" i="23"/>
  <c r="AM294" i="23" s="1"/>
  <c r="AF347" i="23"/>
  <c r="AG347" i="23" s="1"/>
  <c r="AL347" i="23"/>
  <c r="AM347" i="23" s="1"/>
  <c r="AF357" i="23"/>
  <c r="AG357" i="23" s="1"/>
  <c r="AL357" i="23"/>
  <c r="AM357" i="23" s="1"/>
  <c r="AF368" i="23"/>
  <c r="AG368" i="23" s="1"/>
  <c r="AL368" i="23"/>
  <c r="AM368" i="23" s="1"/>
  <c r="AF384" i="23"/>
  <c r="AG384" i="23" s="1"/>
  <c r="AL384" i="23"/>
  <c r="AM384" i="23" s="1"/>
  <c r="AF424" i="23"/>
  <c r="AG424" i="23" s="1"/>
  <c r="AL424" i="23"/>
  <c r="AM424" i="23" s="1"/>
  <c r="AF431" i="23"/>
  <c r="AG431" i="23" s="1"/>
  <c r="AL431" i="23"/>
  <c r="AM431" i="23" s="1"/>
  <c r="AF447" i="23"/>
  <c r="AG447" i="23" s="1"/>
  <c r="AL447" i="23"/>
  <c r="AM447" i="23" s="1"/>
  <c r="AF451" i="23"/>
  <c r="AG451" i="23" s="1"/>
  <c r="AL451" i="23"/>
  <c r="AM451" i="23" s="1"/>
  <c r="AL201" i="23"/>
  <c r="AM201" i="23" s="1"/>
  <c r="AL213" i="23"/>
  <c r="AM213" i="23" s="1"/>
  <c r="AL91" i="23"/>
  <c r="AM91" i="23" s="1"/>
  <c r="AL341" i="23"/>
  <c r="AM341" i="23" s="1"/>
  <c r="AL334" i="23"/>
  <c r="AM334" i="23" s="1"/>
  <c r="AL179" i="23"/>
  <c r="AM179" i="23" s="1"/>
  <c r="AL222" i="23"/>
  <c r="AM222" i="23" s="1"/>
  <c r="AL141" i="23"/>
  <c r="AM141" i="23" s="1"/>
  <c r="AL124" i="23"/>
  <c r="AM124" i="23" s="1"/>
  <c r="AF102" i="23"/>
  <c r="AG102" i="23" s="1"/>
  <c r="AL102" i="23"/>
  <c r="AM102" i="23" s="1"/>
  <c r="AF108" i="23"/>
  <c r="AG108" i="23" s="1"/>
  <c r="AL108" i="23"/>
  <c r="AM108" i="23" s="1"/>
  <c r="AF118" i="23"/>
  <c r="AG118" i="23" s="1"/>
  <c r="AL118" i="23"/>
  <c r="AM118" i="23" s="1"/>
  <c r="AF129" i="23"/>
  <c r="AG129" i="23" s="1"/>
  <c r="AL129" i="23"/>
  <c r="AM129" i="23" s="1"/>
  <c r="AF133" i="23"/>
  <c r="AG133" i="23" s="1"/>
  <c r="AL133" i="23"/>
  <c r="AM133" i="23" s="1"/>
  <c r="AF152" i="23"/>
  <c r="AG152" i="23" s="1"/>
  <c r="AL152" i="23"/>
  <c r="AM152" i="23" s="1"/>
  <c r="AF193" i="23"/>
  <c r="AG193" i="23" s="1"/>
  <c r="AL193" i="23"/>
  <c r="AM193" i="23" s="1"/>
  <c r="AF261" i="23"/>
  <c r="AG261" i="23" s="1"/>
  <c r="AL261" i="23"/>
  <c r="AM261" i="23" s="1"/>
  <c r="AF267" i="23"/>
  <c r="AG267" i="23" s="1"/>
  <c r="AL267" i="23"/>
  <c r="AM267" i="23" s="1"/>
  <c r="AF312" i="23"/>
  <c r="AG312" i="23" s="1"/>
  <c r="AL312" i="23"/>
  <c r="AM312" i="23" s="1"/>
  <c r="AF329" i="23"/>
  <c r="AG329" i="23" s="1"/>
  <c r="AL329" i="23"/>
  <c r="AM329" i="23" s="1"/>
  <c r="AF338" i="23"/>
  <c r="AG338" i="23" s="1"/>
  <c r="AL338" i="23"/>
  <c r="AM338" i="23" s="1"/>
  <c r="AF358" i="23"/>
  <c r="AG358" i="23" s="1"/>
  <c r="AL358" i="23"/>
  <c r="AM358" i="23" s="1"/>
  <c r="AF362" i="23"/>
  <c r="AG362" i="23" s="1"/>
  <c r="AL362" i="23"/>
  <c r="AM362" i="23" s="1"/>
  <c r="AF369" i="23"/>
  <c r="AG369" i="23" s="1"/>
  <c r="AL369" i="23"/>
  <c r="AM369" i="23" s="1"/>
  <c r="AF410" i="23"/>
  <c r="AG410" i="23" s="1"/>
  <c r="AL410" i="23"/>
  <c r="AM410" i="23" s="1"/>
  <c r="AF432" i="23"/>
  <c r="AG432" i="23" s="1"/>
  <c r="AL432" i="23"/>
  <c r="AM432" i="23" s="1"/>
  <c r="AF438" i="23"/>
  <c r="AG438" i="23" s="1"/>
  <c r="AL438" i="23"/>
  <c r="AM438" i="23" s="1"/>
  <c r="AL250" i="23"/>
  <c r="AM250" i="23" s="1"/>
  <c r="AL239" i="23"/>
  <c r="AM239" i="23" s="1"/>
  <c r="AF24" i="23"/>
  <c r="AG24" i="23" s="1"/>
  <c r="AL24" i="23"/>
  <c r="AM24" i="23" s="1"/>
  <c r="AF34" i="23"/>
  <c r="AG34" i="23" s="1"/>
  <c r="AL34" i="23"/>
  <c r="AM34" i="23" s="1"/>
  <c r="AF73" i="23"/>
  <c r="AG73" i="23" s="1"/>
  <c r="AL73" i="23"/>
  <c r="AM73" i="23" s="1"/>
  <c r="AF139" i="23"/>
  <c r="AG139" i="23" s="1"/>
  <c r="AL139" i="23"/>
  <c r="AM139" i="23" s="1"/>
  <c r="AF153" i="23"/>
  <c r="AG153" i="23" s="1"/>
  <c r="AL153" i="23"/>
  <c r="AM153" i="23" s="1"/>
  <c r="AF170" i="23"/>
  <c r="AG170" i="23" s="1"/>
  <c r="AL170" i="23"/>
  <c r="AM170" i="23" s="1"/>
  <c r="AL200" i="23"/>
  <c r="AM200" i="23" s="1"/>
  <c r="AF203" i="23"/>
  <c r="AG203" i="23" s="1"/>
  <c r="AL203" i="23"/>
  <c r="AM203" i="23" s="1"/>
  <c r="AF218" i="23"/>
  <c r="AG218" i="23" s="1"/>
  <c r="AL218" i="23"/>
  <c r="AM218" i="23" s="1"/>
  <c r="AF238" i="23"/>
  <c r="AG238" i="23" s="1"/>
  <c r="AL238" i="23"/>
  <c r="AM238" i="23" s="1"/>
  <c r="AF268" i="23"/>
  <c r="AG268" i="23" s="1"/>
  <c r="AL268" i="23"/>
  <c r="AM268" i="23" s="1"/>
  <c r="AF272" i="23"/>
  <c r="AG272" i="23" s="1"/>
  <c r="AL272" i="23"/>
  <c r="AM272" i="23" s="1"/>
  <c r="AF289" i="23"/>
  <c r="AG289" i="23" s="1"/>
  <c r="AL289" i="23"/>
  <c r="AM289" i="23" s="1"/>
  <c r="AF302" i="23"/>
  <c r="AG302" i="23" s="1"/>
  <c r="AL302" i="23"/>
  <c r="AM302" i="23" s="1"/>
  <c r="AF319" i="23"/>
  <c r="AG319" i="23" s="1"/>
  <c r="AL319" i="23"/>
  <c r="AM319" i="23" s="1"/>
  <c r="AF323" i="23"/>
  <c r="AG323" i="23" s="1"/>
  <c r="AL323" i="23"/>
  <c r="AM323" i="23" s="1"/>
  <c r="AF327" i="23"/>
  <c r="AG327" i="23" s="1"/>
  <c r="AL327" i="23"/>
  <c r="AM327" i="23" s="1"/>
  <c r="AF389" i="23"/>
  <c r="AG389" i="23" s="1"/>
  <c r="AL389" i="23"/>
  <c r="AM389" i="23" s="1"/>
  <c r="AF398" i="23"/>
  <c r="AG398" i="23" s="1"/>
  <c r="AL398" i="23"/>
  <c r="AM398" i="23" s="1"/>
  <c r="AF402" i="23"/>
  <c r="AG402" i="23" s="1"/>
  <c r="AL402" i="23"/>
  <c r="AM402" i="23" s="1"/>
  <c r="AF419" i="23"/>
  <c r="AG419" i="23" s="1"/>
  <c r="AL419" i="23"/>
  <c r="AM419" i="23" s="1"/>
  <c r="AF433" i="23"/>
  <c r="AG433" i="23" s="1"/>
  <c r="AL433" i="23"/>
  <c r="AM433" i="23" s="1"/>
  <c r="AF449" i="23"/>
  <c r="AG449" i="23" s="1"/>
  <c r="AL449" i="23"/>
  <c r="AM449" i="23" s="1"/>
  <c r="AF453" i="23"/>
  <c r="AG453" i="23" s="1"/>
  <c r="AL453" i="23"/>
  <c r="AM453" i="23" s="1"/>
  <c r="AF70" i="23"/>
  <c r="AG70" i="23" s="1"/>
  <c r="AL70" i="23"/>
  <c r="AM70" i="23" s="1"/>
  <c r="AF87" i="23"/>
  <c r="AG87" i="23" s="1"/>
  <c r="AL87" i="23"/>
  <c r="AM87" i="23" s="1"/>
  <c r="AF100" i="23"/>
  <c r="AG100" i="23" s="1"/>
  <c r="AL100" i="23"/>
  <c r="AM100" i="23" s="1"/>
  <c r="AF104" i="23"/>
  <c r="AG104" i="23" s="1"/>
  <c r="AL104" i="23"/>
  <c r="AM104" i="23" s="1"/>
  <c r="AF120" i="23"/>
  <c r="AG120" i="23" s="1"/>
  <c r="AL120" i="23"/>
  <c r="AM120" i="23" s="1"/>
  <c r="AF137" i="23"/>
  <c r="AG137" i="23" s="1"/>
  <c r="AL137" i="23"/>
  <c r="AM137" i="23" s="1"/>
  <c r="AL171" i="23"/>
  <c r="AM171" i="23" s="1"/>
  <c r="AF178" i="23"/>
  <c r="AG178" i="23" s="1"/>
  <c r="AL178" i="23"/>
  <c r="AM178" i="23" s="1"/>
  <c r="AF184" i="23"/>
  <c r="AG184" i="23" s="1"/>
  <c r="AL184" i="23"/>
  <c r="AM184" i="23" s="1"/>
  <c r="AF227" i="23"/>
  <c r="AG227" i="23" s="1"/>
  <c r="AL227" i="23"/>
  <c r="AM227" i="23" s="1"/>
  <c r="AF243" i="23"/>
  <c r="AG243" i="23" s="1"/>
  <c r="AL243" i="23"/>
  <c r="AM243" i="23" s="1"/>
  <c r="AF259" i="23"/>
  <c r="AG259" i="23" s="1"/>
  <c r="AL259" i="23"/>
  <c r="AM259" i="23" s="1"/>
  <c r="AF263" i="23"/>
  <c r="AG263" i="23" s="1"/>
  <c r="AL263" i="23"/>
  <c r="AM263" i="23" s="1"/>
  <c r="AF284" i="23"/>
  <c r="AG284" i="23" s="1"/>
  <c r="AL284" i="23"/>
  <c r="AM284" i="23" s="1"/>
  <c r="AL328" i="23"/>
  <c r="AM328" i="23" s="1"/>
  <c r="AF331" i="23"/>
  <c r="AG331" i="23" s="1"/>
  <c r="AL331" i="23"/>
  <c r="AM331" i="23" s="1"/>
  <c r="AF360" i="23"/>
  <c r="AG360" i="23" s="1"/>
  <c r="AL360" i="23"/>
  <c r="AM360" i="23" s="1"/>
  <c r="AF383" i="23"/>
  <c r="AG383" i="23" s="1"/>
  <c r="AL383" i="23"/>
  <c r="AM383" i="23" s="1"/>
  <c r="AF390" i="23"/>
  <c r="AG390" i="23" s="1"/>
  <c r="AL390" i="23"/>
  <c r="AM390" i="23" s="1"/>
  <c r="AL393" i="23"/>
  <c r="AM393" i="23" s="1"/>
  <c r="AF403" i="23"/>
  <c r="AG403" i="23" s="1"/>
  <c r="AL403" i="23"/>
  <c r="AM403" i="23" s="1"/>
  <c r="AF416" i="23"/>
  <c r="AG416" i="23" s="1"/>
  <c r="AL416" i="23"/>
  <c r="AM416" i="23" s="1"/>
  <c r="AF420" i="23"/>
  <c r="AG420" i="23" s="1"/>
  <c r="AL420" i="23"/>
  <c r="AM420" i="23" s="1"/>
  <c r="BA26" i="23"/>
  <c r="AX26" i="23"/>
  <c r="AY26" i="23"/>
  <c r="AX25" i="23"/>
  <c r="AY25" i="23" s="1"/>
  <c r="AX28" i="23"/>
  <c r="AY28" i="23" s="1"/>
  <c r="AX32" i="23"/>
  <c r="AY32" i="23" s="1"/>
  <c r="AO27" i="23"/>
  <c r="AL27" i="23"/>
  <c r="AM27" i="23"/>
  <c r="AU26" i="23"/>
  <c r="AR26" i="23"/>
  <c r="AS26" i="23" s="1"/>
  <c r="BS12" i="23"/>
  <c r="BM32" i="23"/>
  <c r="BJ32" i="23"/>
  <c r="BK32" i="23"/>
  <c r="CE26" i="23"/>
  <c r="CB26" i="23"/>
  <c r="CC26" i="23" s="1"/>
  <c r="BY27" i="23"/>
  <c r="BV27" i="23"/>
  <c r="BW27" i="23"/>
  <c r="BY31" i="23"/>
  <c r="BV31" i="23"/>
  <c r="BW31" i="23" s="1"/>
  <c r="CH14" i="23"/>
  <c r="CI14" i="23" s="1"/>
  <c r="CH18" i="23"/>
  <c r="CI18" i="23"/>
  <c r="CH28" i="23"/>
  <c r="CI28" i="23" s="1"/>
  <c r="CN13" i="23"/>
  <c r="CO13" i="23"/>
  <c r="CN26" i="23"/>
  <c r="CO26" i="23" s="1"/>
  <c r="CN31" i="23"/>
  <c r="CO31" i="23"/>
  <c r="CW15" i="23"/>
  <c r="CT15" i="23"/>
  <c r="CU15" i="23"/>
  <c r="DC32" i="23"/>
  <c r="CZ32" i="23"/>
  <c r="DA32" i="23" s="1"/>
  <c r="AU14" i="23"/>
  <c r="AR14" i="23"/>
  <c r="AS14" i="23"/>
  <c r="DO25" i="23"/>
  <c r="DL25" i="23"/>
  <c r="DM25" i="23" s="1"/>
  <c r="CQ28" i="23"/>
  <c r="CN28" i="23"/>
  <c r="CO28" i="23"/>
  <c r="AO14" i="23"/>
  <c r="AL14" i="23"/>
  <c r="AM14" i="23" s="1"/>
  <c r="CW12" i="23"/>
  <c r="CT12" i="23"/>
  <c r="CU12" i="23" s="1"/>
  <c r="CZ13" i="23"/>
  <c r="DA13" i="23"/>
  <c r="CZ19" i="23"/>
  <c r="DA19" i="23" s="1"/>
  <c r="CZ25" i="23"/>
  <c r="DA25" i="23"/>
  <c r="CZ31" i="23"/>
  <c r="DA31" i="23" s="1"/>
  <c r="DO31" i="23"/>
  <c r="DL31" i="23"/>
  <c r="DM31" i="23"/>
  <c r="BJ14" i="23"/>
  <c r="BK14" i="23" s="1"/>
  <c r="BJ16" i="23"/>
  <c r="BK16" i="23"/>
  <c r="BJ25" i="23"/>
  <c r="BK25" i="23" s="1"/>
  <c r="BV14" i="23"/>
  <c r="BW14" i="23"/>
  <c r="BV18" i="23"/>
  <c r="BW18" i="23" s="1"/>
  <c r="BV28" i="23"/>
  <c r="BW28" i="23" s="1"/>
  <c r="BV32" i="23"/>
  <c r="BW32" i="23" s="1"/>
  <c r="CB13" i="23"/>
  <c r="CC13" i="23"/>
  <c r="CB17" i="23"/>
  <c r="CC17" i="23" s="1"/>
  <c r="CB27" i="23"/>
  <c r="CC27" i="23"/>
  <c r="CB31" i="23"/>
  <c r="CC31" i="23" s="1"/>
  <c r="CH15" i="23"/>
  <c r="CI15" i="23"/>
  <c r="CH25" i="23"/>
  <c r="CI25" i="23" s="1"/>
  <c r="CQ32" i="23"/>
  <c r="CN32" i="23"/>
  <c r="CO32" i="23"/>
  <c r="CW18" i="23"/>
  <c r="CT18" i="23"/>
  <c r="CU18" i="23" s="1"/>
  <c r="CW26" i="23"/>
  <c r="CT26" i="23"/>
  <c r="CU26" i="23"/>
  <c r="DC28" i="23"/>
  <c r="CZ28" i="23"/>
  <c r="DA28" i="23" s="1"/>
  <c r="DU25" i="23"/>
  <c r="DR25" i="23"/>
  <c r="DS25" i="23" s="1"/>
  <c r="ED15" i="23"/>
  <c r="EE15" i="23"/>
  <c r="DR18" i="23"/>
  <c r="DS18" i="23" s="1"/>
  <c r="DU18" i="23"/>
  <c r="ED27" i="23"/>
  <c r="EE27" i="23"/>
  <c r="EJ25" i="23"/>
  <c r="EK25" i="23" s="1"/>
  <c r="EJ27" i="23"/>
  <c r="EK27" i="23"/>
  <c r="ES28" i="23"/>
  <c r="EP28" i="23"/>
  <c r="EQ28" i="23"/>
  <c r="FK15" i="23"/>
  <c r="FH15" i="23"/>
  <c r="FI15" i="23" s="1"/>
  <c r="EM31" i="23"/>
  <c r="EJ31" i="23"/>
  <c r="EK31" i="23"/>
  <c r="EY13" i="23"/>
  <c r="EV13" i="23"/>
  <c r="EW13" i="23"/>
  <c r="FE26" i="23"/>
  <c r="FB26" i="23"/>
  <c r="FC26" i="23"/>
  <c r="FH19" i="23"/>
  <c r="FI19" i="23"/>
  <c r="FH31" i="23"/>
  <c r="FI31" i="23"/>
  <c r="FT28" i="23"/>
  <c r="FU28" i="23"/>
  <c r="FT32" i="23"/>
  <c r="FU32" i="23"/>
  <c r="FN14" i="23"/>
  <c r="FO14" i="23"/>
  <c r="FQ17" i="23"/>
  <c r="FN27" i="23"/>
  <c r="FO27" i="23"/>
  <c r="FN31" i="23"/>
  <c r="FO31" i="23" s="1"/>
  <c r="FN25" i="23"/>
  <c r="FO25" i="23" s="1"/>
  <c r="FZ12" i="23"/>
  <c r="GA12" i="23" s="1"/>
  <c r="FZ25" i="23"/>
  <c r="GA25" i="23"/>
  <c r="FZ27" i="23"/>
  <c r="GA27" i="23" s="1"/>
  <c r="GC27" i="23"/>
  <c r="EP15" i="23"/>
  <c r="EQ15" i="23"/>
  <c r="FB27" i="23"/>
  <c r="FC27" i="23"/>
  <c r="FB31" i="23"/>
  <c r="FC31" i="23"/>
  <c r="FH25" i="23"/>
  <c r="FI25" i="23"/>
  <c r="FH27" i="23"/>
  <c r="FI27" i="23"/>
  <c r="FH32" i="23"/>
  <c r="FI32" i="23"/>
  <c r="FT15" i="23"/>
  <c r="FU15" i="23"/>
  <c r="FT19" i="23"/>
  <c r="FU19" i="23"/>
  <c r="FT25" i="23"/>
  <c r="FU25" i="23"/>
  <c r="FN18" i="23"/>
  <c r="FO18" i="23"/>
  <c r="FN28" i="23"/>
  <c r="FO28" i="23"/>
  <c r="FZ31" i="23"/>
  <c r="GA31" i="23"/>
  <c r="GC31" i="23"/>
  <c r="FZ26" i="23"/>
  <c r="GA26" i="23" s="1"/>
  <c r="AF30" i="23"/>
  <c r="AG30" i="23"/>
  <c r="AF19" i="23"/>
  <c r="AG19" i="23" s="1"/>
  <c r="AF25" i="23"/>
  <c r="AG25" i="23" s="1"/>
  <c r="AI30" i="23"/>
  <c r="AF12" i="23"/>
  <c r="AG12" i="23"/>
  <c r="AF13" i="23"/>
  <c r="AG13" i="23"/>
  <c r="AF28" i="23"/>
  <c r="AG28" i="23"/>
  <c r="DF42" i="23" l="1"/>
  <c r="DG42" i="23" s="1"/>
  <c r="DR42" i="23"/>
  <c r="FB42" i="23"/>
  <c r="FT42" i="23"/>
  <c r="FU42" i="23" s="1"/>
  <c r="BD62" i="23"/>
  <c r="BE62" i="23" s="1"/>
  <c r="CB62" i="23"/>
  <c r="CC62" i="23" s="1"/>
  <c r="AF62" i="23"/>
  <c r="AG62" i="23" s="1"/>
  <c r="BP42" i="23"/>
  <c r="CZ42" i="23"/>
  <c r="DA42" i="23" s="1"/>
  <c r="ED42" i="23"/>
  <c r="EP42" i="23"/>
  <c r="FN42" i="23"/>
  <c r="FO42" i="23" s="1"/>
  <c r="FZ42" i="23"/>
  <c r="GA42" i="23" s="1"/>
  <c r="BV62" i="23"/>
  <c r="BW62" i="23" s="1"/>
  <c r="AL350" i="23"/>
  <c r="AM350" i="23" s="1"/>
  <c r="AL371" i="23"/>
  <c r="AM371" i="23" s="1"/>
  <c r="AR28" i="23"/>
  <c r="AS28" i="23" s="1"/>
  <c r="BP32" i="23"/>
  <c r="BQ32" i="23" s="1"/>
  <c r="BV12" i="23"/>
  <c r="BW12" i="23" s="1"/>
  <c r="DC15" i="23"/>
  <c r="CZ15" i="23"/>
  <c r="DA15" i="23" s="1"/>
  <c r="CK20" i="23"/>
  <c r="CH20" i="23"/>
  <c r="CI20" i="23" s="1"/>
  <c r="CK26" i="23"/>
  <c r="CH26" i="23"/>
  <c r="CI26" i="23" s="1"/>
  <c r="CK16" i="23"/>
  <c r="CH16" i="23"/>
  <c r="CI16" i="23" s="1"/>
  <c r="CK27" i="23"/>
  <c r="CH27" i="23"/>
  <c r="CI27" i="23" s="1"/>
  <c r="CQ15" i="23"/>
  <c r="CN15" i="23"/>
  <c r="CO15" i="23" s="1"/>
  <c r="CW20" i="23"/>
  <c r="CT20" i="23"/>
  <c r="CU20" i="23" s="1"/>
  <c r="FK28" i="23"/>
  <c r="FH28" i="23"/>
  <c r="FI28" i="23" s="1"/>
  <c r="DL26" i="23"/>
  <c r="DM26" i="23" s="1"/>
  <c r="EY17" i="23"/>
  <c r="FE18" i="23"/>
  <c r="FB18" i="23"/>
  <c r="FC18" i="23" s="1"/>
  <c r="AF32" i="23"/>
  <c r="AG32" i="23" s="1"/>
  <c r="AI32" i="23"/>
  <c r="GC32" i="23"/>
  <c r="FZ32" i="23"/>
  <c r="GA32" i="23" s="1"/>
  <c r="AF31" i="23"/>
  <c r="AG31" i="23" s="1"/>
  <c r="AI31" i="23"/>
  <c r="AF20" i="23"/>
  <c r="AG20" i="23" s="1"/>
  <c r="AF26" i="23"/>
  <c r="AG26" i="23" s="1"/>
</calcChain>
</file>

<file path=xl/sharedStrings.xml><?xml version="1.0" encoding="utf-8"?>
<sst xmlns="http://schemas.openxmlformats.org/spreadsheetml/2006/main" count="10532" uniqueCount="638">
  <si>
    <t>*Default path is current path.</t>
  </si>
  <si>
    <t>○</t>
  </si>
  <si>
    <t>*If not be up, the macro should be modified.</t>
  </si>
  <si>
    <t>About Generate-IN:</t>
  </si>
  <si>
    <t>The SheetName input is required.</t>
  </si>
  <si>
    <t>Please copy response stream here↓</t>
  </si>
  <si>
    <t>Analyze the response data from Response filepath or ResponseStream to CaseNo column.</t>
  </si>
  <si>
    <t>API呼出元情報</t>
    <rPh sb="3" eb="5">
      <t>ヨビダシ</t>
    </rPh>
    <rPh sb="5" eb="6">
      <t>モト</t>
    </rPh>
    <rPh sb="6" eb="8">
      <t>ジョウホウ</t>
    </rPh>
    <phoneticPr fontId="3"/>
  </si>
  <si>
    <t>呼出元システム</t>
    <rPh sb="0" eb="2">
      <t>ヨビダシ</t>
    </rPh>
    <rPh sb="2" eb="3">
      <t>モト</t>
    </rPh>
    <phoneticPr fontId="3"/>
  </si>
  <si>
    <t>API処理状態</t>
    <rPh sb="3" eb="5">
      <t>ショリ</t>
    </rPh>
    <rPh sb="5" eb="7">
      <t>ジョウタイ</t>
    </rPh>
    <phoneticPr fontId="3"/>
  </si>
  <si>
    <r>
      <t xml:space="preserve">*The start point of ATOM fix-size cell must be </t>
    </r>
    <r>
      <rPr>
        <b/>
        <sz val="11"/>
        <rFont val="ＭＳ Ｐゴシック"/>
        <family val="3"/>
        <charset val="128"/>
      </rPr>
      <t>P8</t>
    </r>
    <r>
      <rPr>
        <sz val="11"/>
        <rFont val="ＭＳ Ｐゴシック"/>
        <family val="3"/>
        <charset val="128"/>
      </rPr>
      <t xml:space="preserve"> and the xml's must be </t>
    </r>
    <r>
      <rPr>
        <b/>
        <sz val="11"/>
        <rFont val="ＭＳ Ｐゴシック"/>
        <family val="3"/>
        <charset val="128"/>
      </rPr>
      <t>W8</t>
    </r>
  </si>
  <si>
    <t>The response filename must be API-ID_out_CaseNo.txt</t>
  </si>
  <si>
    <t>エラーコードは8行目で固定表示。</t>
  </si>
  <si>
    <t>About Analyze-OUT、Analyze-OUTXML</t>
  </si>
  <si>
    <t>API名称</t>
    <rPh sb="3" eb="5">
      <t>メイショウ</t>
    </rPh>
    <phoneticPr fontId="3"/>
  </si>
  <si>
    <t>API名称(英名)</t>
    <rPh sb="3" eb="5">
      <t>メイショウ</t>
    </rPh>
    <rPh sb="6" eb="8">
      <t>エイメイ</t>
    </rPh>
    <phoneticPr fontId="3"/>
  </si>
  <si>
    <t>要求名前空間（URI）</t>
    <rPh sb="0" eb="2">
      <t>ヨウキュウ</t>
    </rPh>
    <phoneticPr fontId="3"/>
  </si>
  <si>
    <t>応答名前空間（URI）</t>
    <rPh sb="0" eb="2">
      <t>オウトウ</t>
    </rPh>
    <phoneticPr fontId="3"/>
  </si>
  <si>
    <t>共通</t>
    <rPh sb="0" eb="2">
      <t>キョウツウ</t>
    </rPh>
    <phoneticPr fontId="3"/>
  </si>
  <si>
    <t>固定長形式</t>
    <rPh sb="0" eb="3">
      <t>コテイチョウ</t>
    </rPh>
    <rPh sb="3" eb="5">
      <t>ケイシキ</t>
    </rPh>
    <phoneticPr fontId="3"/>
  </si>
  <si>
    <t>XML形式</t>
    <rPh sb="3" eb="5">
      <t>ケイシキ</t>
    </rPh>
    <phoneticPr fontId="3"/>
  </si>
  <si>
    <t>項番</t>
    <rPh sb="0" eb="1">
      <t>コウ</t>
    </rPh>
    <rPh sb="1" eb="2">
      <t>バン</t>
    </rPh>
    <phoneticPr fontId="3"/>
  </si>
  <si>
    <t>項目名（要素名）</t>
    <rPh sb="0" eb="2">
      <t>コウモク</t>
    </rPh>
    <rPh sb="2" eb="3">
      <t>メイ</t>
    </rPh>
    <rPh sb="4" eb="6">
      <t>ヨウソ</t>
    </rPh>
    <rPh sb="6" eb="7">
      <t>メイ</t>
    </rPh>
    <phoneticPr fontId="3"/>
  </si>
  <si>
    <t>繰返</t>
    <rPh sb="0" eb="1">
      <t>ク</t>
    </rPh>
    <rPh sb="1" eb="2">
      <t>カエ</t>
    </rPh>
    <phoneticPr fontId="3"/>
  </si>
  <si>
    <t>必須</t>
    <rPh sb="0" eb="2">
      <t>ヒッス</t>
    </rPh>
    <phoneticPr fontId="3"/>
  </si>
  <si>
    <t>相関</t>
    <rPh sb="0" eb="2">
      <t>ソウカン</t>
    </rPh>
    <phoneticPr fontId="3"/>
  </si>
  <si>
    <t>相関
2</t>
    <rPh sb="0" eb="2">
      <t>ソウカン</t>
    </rPh>
    <phoneticPr fontId="3"/>
  </si>
  <si>
    <t>内容説明</t>
    <rPh sb="0" eb="2">
      <t>ナイヨウ</t>
    </rPh>
    <rPh sb="2" eb="4">
      <t>セツメイ</t>
    </rPh>
    <phoneticPr fontId="3"/>
  </si>
  <si>
    <t>項目順</t>
    <rPh sb="0" eb="2">
      <t>コウモク</t>
    </rPh>
    <rPh sb="2" eb="3">
      <t>ジュン</t>
    </rPh>
    <phoneticPr fontId="3"/>
  </si>
  <si>
    <t>繰返グループ</t>
    <rPh sb="0" eb="2">
      <t>クリカエ</t>
    </rPh>
    <phoneticPr fontId="3"/>
  </si>
  <si>
    <t>最大繰返回数</t>
    <rPh sb="0" eb="2">
      <t>サイダイ</t>
    </rPh>
    <rPh sb="2" eb="4">
      <t>クリカエ</t>
    </rPh>
    <rPh sb="4" eb="6">
      <t>カイスウ</t>
    </rPh>
    <phoneticPr fontId="3"/>
  </si>
  <si>
    <t>備考</t>
    <rPh sb="0" eb="2">
      <t>ビコウ</t>
    </rPh>
    <phoneticPr fontId="3"/>
  </si>
  <si>
    <t>階層</t>
    <rPh sb="0" eb="2">
      <t>カイソウ</t>
    </rPh>
    <phoneticPr fontId="3"/>
  </si>
  <si>
    <t>タグ名</t>
    <rPh sb="2" eb="3">
      <t>メイ</t>
    </rPh>
    <phoneticPr fontId="3"/>
  </si>
  <si>
    <t>min桁</t>
    <rPh sb="3" eb="4">
      <t>ケタ</t>
    </rPh>
    <phoneticPr fontId="3"/>
  </si>
  <si>
    <t>max桁</t>
    <rPh sb="3" eb="4">
      <t>ケタ</t>
    </rPh>
    <phoneticPr fontId="3"/>
  </si>
  <si>
    <t>API（入力）</t>
    <rPh sb="4" eb="6">
      <t>ニュウリョク</t>
    </rPh>
    <phoneticPr fontId="3"/>
  </si>
  <si>
    <r>
      <t>ルート</t>
    </r>
    <r>
      <rPr>
        <sz val="11"/>
        <rFont val="ＭＳ Ｐゴシック"/>
        <family val="3"/>
        <charset val="128"/>
      </rPr>
      <t>（入力）</t>
    </r>
    <rPh sb="4" eb="6">
      <t>ニュウリョク</t>
    </rPh>
    <phoneticPr fontId="3"/>
  </si>
  <si>
    <t>API（出力）</t>
    <rPh sb="4" eb="6">
      <t>シュツリョク</t>
    </rPh>
    <phoneticPr fontId="3"/>
  </si>
  <si>
    <t>ルート（出力）</t>
    <rPh sb="4" eb="6">
      <t>シュツリョク</t>
    </rPh>
    <phoneticPr fontId="3"/>
  </si>
  <si>
    <t>api-response</t>
  </si>
  <si>
    <t>API共通情報</t>
    <rPh sb="3" eb="5">
      <t>キョウツウ</t>
    </rPh>
    <phoneticPr fontId="3"/>
  </si>
  <si>
    <r>
      <t>APIを識別するコード</t>
    </r>
    <r>
      <rPr>
        <sz val="11"/>
        <rFont val="ＭＳ Ｐゴシック"/>
        <family val="3"/>
        <charset val="128"/>
      </rPr>
      <t>（API-ID）を設定。
設定内容は「付録C FMCオンラインAPI補足資料」を参照。</t>
    </r>
    <rPh sb="4" eb="6">
      <t>シキベツ</t>
    </rPh>
    <rPh sb="20" eb="22">
      <t>セッテイ</t>
    </rPh>
    <phoneticPr fontId="3"/>
  </si>
  <si>
    <t>API-IDは4桁</t>
    <rPh sb="8" eb="9">
      <t>ケタ</t>
    </rPh>
    <phoneticPr fontId="3"/>
  </si>
  <si>
    <r>
      <t xml:space="preserve">APIのバージョンを設定。
</t>
    </r>
    <r>
      <rPr>
        <sz val="11"/>
        <rFont val="ＭＳ Ｐゴシック"/>
        <family val="3"/>
        <charset val="128"/>
      </rPr>
      <t>「10」固定。</t>
    </r>
    <rPh sb="10" eb="12">
      <t>セッテイ</t>
    </rPh>
    <rPh sb="18" eb="20">
      <t>コテイ</t>
    </rPh>
    <phoneticPr fontId="3"/>
  </si>
  <si>
    <t>10</t>
  </si>
  <si>
    <t>API処理日時</t>
    <rPh sb="3" eb="5">
      <t>ショリ</t>
    </rPh>
    <rPh sb="5" eb="7">
      <t>ニチジ</t>
    </rPh>
    <phoneticPr fontId="3"/>
  </si>
  <si>
    <t>呼出元システムID</t>
    <rPh sb="0" eb="2">
      <t>ヨビダシ</t>
    </rPh>
    <rPh sb="2" eb="3">
      <t>モト</t>
    </rPh>
    <phoneticPr fontId="3"/>
  </si>
  <si>
    <t>API呼出側のシステムID("FMC")を設定。</t>
    <rPh sb="5" eb="6">
      <t>ガワ</t>
    </rPh>
    <rPh sb="21" eb="23">
      <t>セッテイ</t>
    </rPh>
    <phoneticPr fontId="3"/>
  </si>
  <si>
    <t>au代理店コード</t>
    <rPh sb="2" eb="5">
      <t>ダイリテン</t>
    </rPh>
    <phoneticPr fontId="3"/>
  </si>
  <si>
    <r>
      <t xml:space="preserve">au代理店コードを設定。
</t>
    </r>
    <r>
      <rPr>
        <sz val="11"/>
        <rFont val="ＭＳ Ｐゴシック"/>
        <family val="3"/>
        <charset val="128"/>
      </rPr>
      <t xml:space="preserve">下記の条件を全て満たす場合のみ非必須。
満たさない場合は、必須。
API識別：H001（申込情報照会API）
呼出元：EKIDEN（絵喜伝）
</t>
    </r>
    <rPh sb="9" eb="11">
      <t>セッテイ</t>
    </rPh>
    <rPh sb="14" eb="16">
      <t>カキ</t>
    </rPh>
    <rPh sb="17" eb="19">
      <t>ジョウケン</t>
    </rPh>
    <rPh sb="20" eb="21">
      <t>スベ</t>
    </rPh>
    <rPh sb="22" eb="23">
      <t>ミ</t>
    </rPh>
    <rPh sb="25" eb="27">
      <t>バアイ</t>
    </rPh>
    <rPh sb="29" eb="30">
      <t>ヒ</t>
    </rPh>
    <rPh sb="30" eb="32">
      <t>ヒッス</t>
    </rPh>
    <rPh sb="34" eb="35">
      <t>ミ</t>
    </rPh>
    <rPh sb="39" eb="41">
      <t>バアイ</t>
    </rPh>
    <rPh sb="43" eb="45">
      <t>ヒッス</t>
    </rPh>
    <rPh sb="58" eb="60">
      <t>モウシコミ</t>
    </rPh>
    <rPh sb="60" eb="62">
      <t>ジョウホウ</t>
    </rPh>
    <rPh sb="62" eb="64">
      <t>ショウカイ</t>
    </rPh>
    <rPh sb="69" eb="71">
      <t>ヨビダ</t>
    </rPh>
    <rPh sb="71" eb="72">
      <t>モト</t>
    </rPh>
    <rPh sb="80" eb="81">
      <t>エ</t>
    </rPh>
    <rPh sb="81" eb="82">
      <t>キ</t>
    </rPh>
    <rPh sb="82" eb="83">
      <t>デン</t>
    </rPh>
    <phoneticPr fontId="3"/>
  </si>
  <si>
    <t>担当者ID</t>
    <rPh sb="0" eb="3">
      <t>タントウシャ</t>
    </rPh>
    <phoneticPr fontId="3"/>
  </si>
  <si>
    <t>au代理店コードの受付担当者ID</t>
    <rPh sb="9" eb="11">
      <t>ウケツケ</t>
    </rPh>
    <rPh sb="11" eb="14">
      <t>タントウシャ</t>
    </rPh>
    <phoneticPr fontId="3"/>
  </si>
  <si>
    <t>ショップ端末IPアドレス</t>
    <rPh sb="4" eb="6">
      <t>タンマツ</t>
    </rPh>
    <phoneticPr fontId="3"/>
  </si>
  <si>
    <t>画面名</t>
    <rPh sb="0" eb="2">
      <t>ガメン</t>
    </rPh>
    <rPh sb="2" eb="3">
      <t>メイ</t>
    </rPh>
    <phoneticPr fontId="3"/>
  </si>
  <si>
    <t xml:space="preserve">入力時：初期値を設定
出力時：各APIの応答内容を設定
　※リファレンスについては、「マッピング一覧」シート参照。
</t>
    <rPh sb="0" eb="2">
      <t>ニュウリョク</t>
    </rPh>
    <rPh sb="11" eb="13">
      <t>シュツリョク</t>
    </rPh>
    <rPh sb="15" eb="16">
      <t>カク</t>
    </rPh>
    <rPh sb="20" eb="22">
      <t>オウトウ</t>
    </rPh>
    <rPh sb="22" eb="24">
      <t>ナイヨウ</t>
    </rPh>
    <rPh sb="25" eb="27">
      <t>セッテイ</t>
    </rPh>
    <rPh sb="48" eb="50">
      <t>イチラン</t>
    </rPh>
    <rPh sb="54" eb="56">
      <t>サンショウ</t>
    </rPh>
    <phoneticPr fontId="3"/>
  </si>
  <si>
    <t>0</t>
  </si>
  <si>
    <t>O</t>
  </si>
  <si>
    <r>
      <t>API呼出を行ったPASCAL、絵喜伝</t>
    </r>
    <r>
      <rPr>
        <sz val="11"/>
        <rFont val="ＭＳ Ｐゴシック"/>
        <family val="3"/>
        <charset val="128"/>
      </rPr>
      <t>、ORANGE端末のIPアドレスを設定。</t>
    </r>
    <r>
      <rPr>
        <sz val="11"/>
        <rFont val="ＭＳ Ｐゴシック"/>
        <family val="3"/>
        <charset val="128"/>
      </rPr>
      <t xml:space="preserve">
</t>
    </r>
    <rPh sb="6" eb="7">
      <t>オコナ</t>
    </rPh>
    <rPh sb="16" eb="19">
      <t>エキデン</t>
    </rPh>
    <rPh sb="26" eb="28">
      <t>タンマツ</t>
    </rPh>
    <rPh sb="36" eb="38">
      <t>セッテイ</t>
    </rPh>
    <phoneticPr fontId="3"/>
  </si>
  <si>
    <r>
      <t>各FMCオンライン呼出元のシステム名
タブレット端末："PASCAL"</t>
    </r>
    <r>
      <rPr>
        <sz val="11"/>
        <rFont val="ＭＳ Ｐゴシック"/>
        <family val="3"/>
        <charset val="128"/>
      </rPr>
      <t xml:space="preserve">
絵喜伝："EKIDEN"
ORANGE："ORANGE"</t>
    </r>
    <r>
      <rPr>
        <sz val="11"/>
        <rFont val="ＭＳ Ｐゴシック"/>
        <family val="3"/>
        <charset val="128"/>
      </rPr>
      <t xml:space="preserve">
</t>
    </r>
    <rPh sb="0" eb="1">
      <t>カク</t>
    </rPh>
    <rPh sb="9" eb="11">
      <t>ヨビダシ</t>
    </rPh>
    <rPh sb="11" eb="12">
      <t>モト</t>
    </rPh>
    <rPh sb="17" eb="18">
      <t>メイ</t>
    </rPh>
    <rPh sb="24" eb="26">
      <t>タンマツ</t>
    </rPh>
    <rPh sb="36" eb="37">
      <t>エ</t>
    </rPh>
    <rPh sb="37" eb="38">
      <t>キ</t>
    </rPh>
    <rPh sb="38" eb="39">
      <t>デン</t>
    </rPh>
    <phoneticPr fontId="3"/>
  </si>
  <si>
    <t>試験観点</t>
  </si>
  <si>
    <t>対象案件</t>
    <rPh sb="0" eb="2">
      <t>タイショウ</t>
    </rPh>
    <rPh sb="2" eb="4">
      <t>アンケン</t>
    </rPh>
    <phoneticPr fontId="3"/>
  </si>
  <si>
    <t>機能</t>
    <rPh sb="0" eb="2">
      <t>キノウ</t>
    </rPh>
    <phoneticPr fontId="3"/>
  </si>
  <si>
    <t>NO</t>
    <phoneticPr fontId="4"/>
  </si>
  <si>
    <t>概要</t>
    <rPh sb="0" eb="2">
      <t>ガイヨウ</t>
    </rPh>
    <phoneticPr fontId="3"/>
  </si>
  <si>
    <t>確認内容</t>
  </si>
  <si>
    <t>結果</t>
    <rPh sb="0" eb="2">
      <t>ケッカ</t>
    </rPh>
    <phoneticPr fontId="4"/>
  </si>
  <si>
    <t>確認者</t>
    <rPh sb="0" eb="2">
      <t>カクニン</t>
    </rPh>
    <rPh sb="2" eb="3">
      <t>シャ</t>
    </rPh>
    <phoneticPr fontId="4"/>
  </si>
  <si>
    <t>確認日</t>
    <rPh sb="0" eb="2">
      <t>カクニン</t>
    </rPh>
    <rPh sb="2" eb="3">
      <t>ヒ</t>
    </rPh>
    <phoneticPr fontId="4"/>
  </si>
  <si>
    <t>確認No</t>
    <rPh sb="0" eb="2">
      <t>カクニン</t>
    </rPh>
    <phoneticPr fontId="3"/>
  </si>
  <si>
    <t>ログ出力</t>
    <rPh sb="2" eb="4">
      <t>シュツリョク</t>
    </rPh>
    <phoneticPr fontId="3"/>
  </si>
  <si>
    <t>-</t>
    <phoneticPr fontId="3"/>
  </si>
  <si>
    <t>条件</t>
    <phoneticPr fontId="3"/>
  </si>
  <si>
    <t>I</t>
  </si>
  <si>
    <t>※データシートが条件通りに設定されていることを確認すること</t>
    <rPh sb="8" eb="10">
      <t>ジョウケン</t>
    </rPh>
    <rPh sb="10" eb="11">
      <t>ドオ</t>
    </rPh>
    <rPh sb="13" eb="15">
      <t>セッテイ</t>
    </rPh>
    <rPh sb="23" eb="25">
      <t>カクニン</t>
    </rPh>
    <phoneticPr fontId="3"/>
  </si>
  <si>
    <t>NWエリア検索</t>
    <rPh sb="5" eb="7">
      <t>ケンサク</t>
    </rPh>
    <phoneticPr fontId="3"/>
  </si>
  <si>
    <t>FMCオンラインAPIパラメータ</t>
  </si>
  <si>
    <t>I/O</t>
    <phoneticPr fontId="3"/>
  </si>
  <si>
    <t>○</t>
    <phoneticPr fontId="3"/>
  </si>
  <si>
    <t>I</t>
    <phoneticPr fontId="3"/>
  </si>
  <si>
    <t>O</t>
    <phoneticPr fontId="3"/>
  </si>
  <si>
    <t>X</t>
    <phoneticPr fontId="3"/>
  </si>
  <si>
    <t>△</t>
    <phoneticPr fontId="3"/>
  </si>
  <si>
    <r>
      <t>api-</t>
    </r>
    <r>
      <rPr>
        <sz val="11"/>
        <rFont val="ＭＳ Ｐゴシック"/>
        <family val="3"/>
        <charset val="128"/>
      </rPr>
      <t>agency-cd</t>
    </r>
    <phoneticPr fontId="3"/>
  </si>
  <si>
    <r>
      <t>api-pson-chg-</t>
    </r>
    <r>
      <rPr>
        <sz val="11"/>
        <rFont val="ＭＳ Ｐゴシック"/>
        <family val="3"/>
        <charset val="128"/>
      </rPr>
      <t>id</t>
    </r>
    <phoneticPr fontId="3"/>
  </si>
  <si>
    <t>CASE0010</t>
    <phoneticPr fontId="3"/>
  </si>
  <si>
    <t>\d{1,3}\.\d{1,3}\.\d{1,3}\.\d{1,3}</t>
    <phoneticPr fontId="3"/>
  </si>
  <si>
    <t>api-ip-add</t>
    <phoneticPr fontId="3"/>
  </si>
  <si>
    <r>
      <t>PASCAL,EKIDEN</t>
    </r>
    <r>
      <rPr>
        <sz val="11"/>
        <rFont val="ＭＳ Ｐゴシック"/>
        <family val="3"/>
        <charset val="128"/>
      </rPr>
      <t>,ORANGE</t>
    </r>
    <phoneticPr fontId="3"/>
  </si>
  <si>
    <t>api-sys-name</t>
    <phoneticPr fontId="3"/>
  </si>
  <si>
    <r>
      <t>各FMCオンライン呼出元の画面名（ID)</t>
    </r>
    <r>
      <rPr>
        <strike/>
        <sz val="11"/>
        <color indexed="10"/>
        <rFont val="ＭＳ Ｐゴシック"/>
        <family val="3"/>
        <charset val="128"/>
      </rPr>
      <t/>
    </r>
    <rPh sb="0" eb="1">
      <t>カク</t>
    </rPh>
    <rPh sb="9" eb="11">
      <t>ヨビダシ</t>
    </rPh>
    <rPh sb="11" eb="12">
      <t>モト</t>
    </rPh>
    <rPh sb="13" eb="15">
      <t>ガメン</t>
    </rPh>
    <rPh sb="15" eb="16">
      <t>メイ</t>
    </rPh>
    <phoneticPr fontId="3"/>
  </si>
  <si>
    <t>api-title-name</t>
    <phoneticPr fontId="3"/>
  </si>
  <si>
    <t xml:space="preserve">入力時：初期値を設定
出力時：下記、API呼出結果を設定
　"00"：正常終了
　"01"：フォーマットエラー(入力XML不正)
　"02"：APIバージョン不正
　"03"：呼び出し元システムID不正
　"04"：設定ファイルエラー
　"05"：データ不正
　"80"：メンテナンス中(内部)
　"81"：システム利用時間外エラー
　"82"：メンテナンス中(外部)
　"90"：DBエラー(GATE内部)
　"91"：DBエラー(GATE外部)
　"92"：内部連携エラー
　"93"：外部連携エラー
　"99"：システムエラー(その他エラー)
</t>
    <phoneticPr fontId="3"/>
  </si>
  <si>
    <t>要求項目（初期値スペース）だが応答時に応答内容を設定して返す</t>
    <phoneticPr fontId="3"/>
  </si>
  <si>
    <t>api-status</t>
    <phoneticPr fontId="3"/>
  </si>
  <si>
    <t>00</t>
  </si>
  <si>
    <t>エラーフラグ</t>
    <phoneticPr fontId="3"/>
  </si>
  <si>
    <t>err-flg</t>
    <phoneticPr fontId="3"/>
  </si>
  <si>
    <t>result2</t>
  </si>
  <si>
    <t>0-1</t>
    <phoneticPr fontId="3"/>
  </si>
  <si>
    <t>0-2</t>
    <phoneticPr fontId="3"/>
  </si>
  <si>
    <t>M</t>
    <phoneticPr fontId="3"/>
  </si>
  <si>
    <t>　-【B004】エリア検索結果取得</t>
    <rPh sb="11" eb="13">
      <t>ケンサク</t>
    </rPh>
    <rPh sb="13" eb="15">
      <t>ケッカ</t>
    </rPh>
    <rPh sb="15" eb="17">
      <t>シュトク</t>
    </rPh>
    <phoneticPr fontId="3"/>
  </si>
  <si>
    <t>API-ID</t>
    <phoneticPr fontId="3"/>
  </si>
  <si>
    <t>B004</t>
    <phoneticPr fontId="3"/>
  </si>
  <si>
    <t>エリア検索結果取得</t>
    <phoneticPr fontId="3"/>
  </si>
  <si>
    <t>search_area</t>
    <phoneticPr fontId="3"/>
  </si>
  <si>
    <t>http://kddi.com/smc/fmconline/nwarea/schema/search_area_request</t>
    <phoneticPr fontId="3"/>
  </si>
  <si>
    <t>http://kddi.com/smc/fmconline/nwarea/schema/search_area_response</t>
    <phoneticPr fontId="3"/>
  </si>
  <si>
    <t>Ref</t>
    <phoneticPr fontId="3"/>
  </si>
  <si>
    <t>ﾊﾞｲﾄ</t>
    <phoneticPr fontId="3"/>
  </si>
  <si>
    <t>ﾀｲﾌﾟ</t>
    <phoneticPr fontId="3"/>
  </si>
  <si>
    <t>I/O</t>
    <phoneticPr fontId="3"/>
  </si>
  <si>
    <t>ﾀｲﾌﾟ</t>
    <phoneticPr fontId="3"/>
  </si>
  <si>
    <t>I/O</t>
    <phoneticPr fontId="3"/>
  </si>
  <si>
    <t>1_in</t>
    <phoneticPr fontId="3"/>
  </si>
  <si>
    <t>1_out</t>
    <phoneticPr fontId="3"/>
  </si>
  <si>
    <t>期待値
（固定長）</t>
    <phoneticPr fontId="3"/>
  </si>
  <si>
    <t>OK/NG
（固定）</t>
    <phoneticPr fontId="3"/>
  </si>
  <si>
    <t>期待値</t>
    <phoneticPr fontId="3"/>
  </si>
  <si>
    <t>OK/NG</t>
    <phoneticPr fontId="3"/>
  </si>
  <si>
    <t>○</t>
    <phoneticPr fontId="3"/>
  </si>
  <si>
    <t>api-request</t>
    <phoneticPr fontId="3"/>
  </si>
  <si>
    <t>I</t>
    <phoneticPr fontId="3"/>
  </si>
  <si>
    <t>0000</t>
  </si>
  <si>
    <t>O</t>
    <phoneticPr fontId="3"/>
  </si>
  <si>
    <t>api-com-info</t>
    <phoneticPr fontId="3"/>
  </si>
  <si>
    <t>API識別</t>
    <phoneticPr fontId="3"/>
  </si>
  <si>
    <t>X</t>
    <phoneticPr fontId="3"/>
  </si>
  <si>
    <t>api-id</t>
    <phoneticPr fontId="3"/>
  </si>
  <si>
    <t xml:space="preserve">B004 </t>
    <phoneticPr fontId="3"/>
  </si>
  <si>
    <t>APIバージョン</t>
    <phoneticPr fontId="3"/>
  </si>
  <si>
    <t>○</t>
    <phoneticPr fontId="3"/>
  </si>
  <si>
    <t>X</t>
    <phoneticPr fontId="3"/>
  </si>
  <si>
    <t>I/O</t>
    <phoneticPr fontId="3"/>
  </si>
  <si>
    <t>api-var</t>
    <phoneticPr fontId="3"/>
  </si>
  <si>
    <t>API呼出日時を設定　形式：yyyymmddhhmmss</t>
    <phoneticPr fontId="3"/>
  </si>
  <si>
    <t>api-dtime</t>
    <phoneticPr fontId="3"/>
  </si>
  <si>
    <t>api-caller-info</t>
    <phoneticPr fontId="3"/>
  </si>
  <si>
    <t>api-sys-id</t>
    <phoneticPr fontId="3"/>
  </si>
  <si>
    <t>FMC</t>
    <phoneticPr fontId="3"/>
  </si>
  <si>
    <t>E845001</t>
    <phoneticPr fontId="3"/>
  </si>
  <si>
    <t>192.168.134.174</t>
    <phoneticPr fontId="3"/>
  </si>
  <si>
    <t>ORANGE</t>
    <phoneticPr fontId="3"/>
  </si>
  <si>
    <t>APIパラメータ</t>
  </si>
  <si>
    <t>api-prm</t>
  </si>
  <si>
    <t>address-code</t>
  </si>
  <si>
    <t>電話番号</t>
  </si>
  <si>
    <t>"-"（ハイフン）抜きの電話番号</t>
    <rPh sb="12" eb="14">
      <t>デンワ</t>
    </rPh>
    <rPh sb="14" eb="16">
      <t>バンゴウ</t>
    </rPh>
    <phoneticPr fontId="3"/>
  </si>
  <si>
    <t>tel</t>
  </si>
  <si>
    <t>0334439999</t>
    <phoneticPr fontId="3"/>
  </si>
  <si>
    <t>郵便番号</t>
  </si>
  <si>
    <t>"-"（ハイフン）抜きの郵便番号</t>
    <rPh sb="9" eb="10">
      <t>ヌ</t>
    </rPh>
    <rPh sb="12" eb="16">
      <t>ユウビンバンゴウ</t>
    </rPh>
    <phoneticPr fontId="3"/>
  </si>
  <si>
    <t>post</t>
  </si>
  <si>
    <t>住居種別</t>
    <phoneticPr fontId="3"/>
  </si>
  <si>
    <t xml:space="preserve">0：一戸建て
1：マンション・アパートなど
</t>
    <phoneticPr fontId="3"/>
  </si>
  <si>
    <t>0,1</t>
    <phoneticPr fontId="3"/>
  </si>
  <si>
    <t>building-type</t>
  </si>
  <si>
    <t>顧客種別</t>
    <phoneticPr fontId="3"/>
  </si>
  <si>
    <t xml:space="preserve">0：個人
1：法人
</t>
    <phoneticPr fontId="3"/>
  </si>
  <si>
    <t>customer-type</t>
  </si>
  <si>
    <t>申込サービス区分</t>
    <phoneticPr fontId="3"/>
  </si>
  <si>
    <t>service-kbn</t>
    <phoneticPr fontId="3"/>
  </si>
  <si>
    <t>X</t>
  </si>
  <si>
    <t>共通マンションID</t>
    <rPh sb="0" eb="2">
      <t>キョウツウ</t>
    </rPh>
    <phoneticPr fontId="3"/>
  </si>
  <si>
    <t>common-mansion-id</t>
    <phoneticPr fontId="3"/>
  </si>
  <si>
    <t>番地</t>
    <rPh sb="0" eb="2">
      <t>バンチ</t>
    </rPh>
    <phoneticPr fontId="3"/>
  </si>
  <si>
    <t>申込サービス区分が「02:ひかりoneホーム(S)」の場合、番地を設定。</t>
    <rPh sb="0" eb="2">
      <t>モウシコミ</t>
    </rPh>
    <rPh sb="6" eb="8">
      <t>クブン</t>
    </rPh>
    <rPh sb="27" eb="29">
      <t>バアイ</t>
    </rPh>
    <rPh sb="30" eb="32">
      <t>バンチ</t>
    </rPh>
    <rPh sb="33" eb="35">
      <t>セッテイ</t>
    </rPh>
    <phoneticPr fontId="3"/>
  </si>
  <si>
    <t>N</t>
    <phoneticPr fontId="3"/>
  </si>
  <si>
    <t>I/O</t>
    <phoneticPr fontId="3"/>
  </si>
  <si>
    <t>banchi</t>
    <phoneticPr fontId="3"/>
  </si>
  <si>
    <t>I</t>
    <phoneticPr fontId="3"/>
  </si>
  <si>
    <t>号</t>
    <rPh sb="0" eb="1">
      <t>ゴウ</t>
    </rPh>
    <phoneticPr fontId="3"/>
  </si>
  <si>
    <t>申込サービス区分が「02:ひかりoneホーム(S)」の場合、号を設定。</t>
    <rPh sb="30" eb="31">
      <t>ゴウ</t>
    </rPh>
    <rPh sb="32" eb="34">
      <t>セッテイ</t>
    </rPh>
    <phoneticPr fontId="3"/>
  </si>
  <si>
    <t>N</t>
    <phoneticPr fontId="3"/>
  </si>
  <si>
    <t>I/O</t>
    <phoneticPr fontId="3"/>
  </si>
  <si>
    <t>gou</t>
    <phoneticPr fontId="3"/>
  </si>
  <si>
    <t>I</t>
    <phoneticPr fontId="3"/>
  </si>
  <si>
    <t>O</t>
    <phoneticPr fontId="3"/>
  </si>
  <si>
    <t>pc-res</t>
  </si>
  <si>
    <r>
      <t>3Mエリア提供状況照会（外部API）</t>
    </r>
    <r>
      <rPr>
        <sz val="11"/>
        <rFont val="ＭＳ Ｐゴシック"/>
        <family val="3"/>
        <charset val="128"/>
      </rPr>
      <t xml:space="preserve">、ホームＳ一部エリアサービス提供可否返却（外部API）にて返却されたエラーコードを設定
</t>
    </r>
    <rPh sb="5" eb="7">
      <t>テイキョウ</t>
    </rPh>
    <rPh sb="7" eb="9">
      <t>ジョウキョウ</t>
    </rPh>
    <rPh sb="9" eb="11">
      <t>ショウカイ</t>
    </rPh>
    <rPh sb="12" eb="14">
      <t>ガイブ</t>
    </rPh>
    <rPh sb="39" eb="41">
      <t>ガイブ</t>
    </rPh>
    <rPh sb="47" eb="49">
      <t>ヘンキャク</t>
    </rPh>
    <rPh sb="59" eb="61">
      <t>セッテイ</t>
    </rPh>
    <phoneticPr fontId="3"/>
  </si>
  <si>
    <t>dabi-err-code</t>
    <phoneticPr fontId="3"/>
  </si>
  <si>
    <t>マニュアル表示ボタンのフラグ</t>
  </si>
  <si>
    <t>exp-button</t>
  </si>
  <si>
    <t>サービス情報繰返し回数</t>
    <rPh sb="6" eb="8">
      <t>クリカエ</t>
    </rPh>
    <rPh sb="9" eb="11">
      <t>カイスウ</t>
    </rPh>
    <phoneticPr fontId="3"/>
  </si>
  <si>
    <t>サービス情報リストの繰返し回数を設定</t>
    <rPh sb="4" eb="6">
      <t>ジョウホウ</t>
    </rPh>
    <rPh sb="10" eb="12">
      <t>クリカエ</t>
    </rPh>
    <rPh sb="13" eb="15">
      <t>カイスウ</t>
    </rPh>
    <rPh sb="16" eb="18">
      <t>セッテイ</t>
    </rPh>
    <phoneticPr fontId="3"/>
  </si>
  <si>
    <t>auservicelist-loop-cnt</t>
    <phoneticPr fontId="3"/>
  </si>
  <si>
    <t>auservicelist</t>
  </si>
  <si>
    <t>外部APIの返却値が1桁の場合、先頭に「0」を付加</t>
    <rPh sb="0" eb="2">
      <t>ガイブ</t>
    </rPh>
    <rPh sb="6" eb="8">
      <t>ヘンキャク</t>
    </rPh>
    <rPh sb="8" eb="9">
      <t>チ</t>
    </rPh>
    <rPh sb="11" eb="12">
      <t>ケタ</t>
    </rPh>
    <rPh sb="13" eb="15">
      <t>バアイ</t>
    </rPh>
    <rPh sb="16" eb="18">
      <t>セントウ</t>
    </rPh>
    <rPh sb="23" eb="25">
      <t>フカ</t>
    </rPh>
    <phoneticPr fontId="3"/>
  </si>
  <si>
    <t>sale-code</t>
    <phoneticPr fontId="3"/>
  </si>
  <si>
    <t>0-3</t>
  </si>
  <si>
    <t>service-kbn-detail</t>
  </si>
  <si>
    <t>サービス名</t>
  </si>
  <si>
    <t>0-4</t>
  </si>
  <si>
    <t>service-name</t>
    <phoneticPr fontId="3"/>
  </si>
  <si>
    <t>M</t>
  </si>
  <si>
    <t>0-5</t>
  </si>
  <si>
    <t>service-name-note</t>
    <phoneticPr fontId="3"/>
  </si>
  <si>
    <t>提供サービス①</t>
  </si>
  <si>
    <t>0-6</t>
  </si>
  <si>
    <t>supplyServiceName1</t>
  </si>
  <si>
    <t>提供サービス②</t>
  </si>
  <si>
    <t>0-7</t>
  </si>
  <si>
    <t>supplyServiceName2</t>
  </si>
  <si>
    <t>0-8</t>
  </si>
  <si>
    <t>result1</t>
  </si>
  <si>
    <t>結果②</t>
  </si>
  <si>
    <t>0-9</t>
  </si>
  <si>
    <t>0-10</t>
  </si>
  <si>
    <t>three-m-discnt-kbn</t>
    <phoneticPr fontId="3"/>
  </si>
  <si>
    <t>備考①-1</t>
  </si>
  <si>
    <t>0-11</t>
  </si>
  <si>
    <t>memo1-1</t>
  </si>
  <si>
    <t>備考①-2</t>
  </si>
  <si>
    <t>0-12</t>
  </si>
  <si>
    <t>memo1-2</t>
  </si>
  <si>
    <t>備考①-3</t>
  </si>
  <si>
    <t>0-13</t>
  </si>
  <si>
    <t>memo1-3</t>
  </si>
  <si>
    <t>備考②-1</t>
  </si>
  <si>
    <t>0-14</t>
  </si>
  <si>
    <t>memo2-1</t>
  </si>
  <si>
    <t>備考②-2</t>
  </si>
  <si>
    <t>0-15</t>
  </si>
  <si>
    <t>memo2-2</t>
  </si>
  <si>
    <t>備考②-3</t>
  </si>
  <si>
    <t>0-16</t>
  </si>
  <si>
    <t>memo2-3</t>
  </si>
  <si>
    <t>備考フラグ</t>
  </si>
  <si>
    <t>0-17</t>
  </si>
  <si>
    <t>bikou-flg</t>
    <phoneticPr fontId="3"/>
  </si>
  <si>
    <t>マニュアルURL</t>
  </si>
  <si>
    <t>0-18</t>
  </si>
  <si>
    <t>manual-url</t>
    <phoneticPr fontId="3"/>
  </si>
  <si>
    <t>0-19</t>
  </si>
  <si>
    <t>num_portability_flg</t>
    <phoneticPr fontId="3"/>
  </si>
  <si>
    <t>0-20</t>
  </si>
  <si>
    <t>show_flg</t>
    <phoneticPr fontId="3"/>
  </si>
  <si>
    <t>0-21</t>
  </si>
  <si>
    <t>service-type</t>
    <phoneticPr fontId="3"/>
  </si>
  <si>
    <t>0-22</t>
  </si>
  <si>
    <t>mansion-tou-id</t>
    <phoneticPr fontId="3"/>
  </si>
  <si>
    <t>0-23</t>
  </si>
  <si>
    <t>gr-no</t>
  </si>
  <si>
    <t>サービス種別コード</t>
  </si>
  <si>
    <t>0-24</t>
  </si>
  <si>
    <t>service-code</t>
  </si>
  <si>
    <t>0-25</t>
  </si>
  <si>
    <t>kaisen-speed</t>
  </si>
  <si>
    <t>0-26</t>
  </si>
  <si>
    <t>carrier-cd</t>
    <phoneticPr fontId="3"/>
  </si>
  <si>
    <t>0-27</t>
  </si>
  <si>
    <t>返却する半角文字は「?」のみ</t>
    <phoneticPr fontId="3"/>
  </si>
  <si>
    <t>carrier-name</t>
    <phoneticPr fontId="3"/>
  </si>
  <si>
    <t>0-28</t>
    <phoneticPr fontId="3"/>
  </si>
  <si>
    <t>gc-cd</t>
    <phoneticPr fontId="3"/>
  </si>
  <si>
    <t>0-29</t>
    <phoneticPr fontId="3"/>
  </si>
  <si>
    <t>O</t>
    <phoneticPr fontId="3"/>
  </si>
  <si>
    <t>net-tel-tv-kbn</t>
    <phoneticPr fontId="3"/>
  </si>
  <si>
    <t>net-tel-tv-kbn</t>
    <phoneticPr fontId="3"/>
  </si>
  <si>
    <t>X</t>
    <phoneticPr fontId="3"/>
  </si>
  <si>
    <t>gc-cd</t>
    <phoneticPr fontId="3"/>
  </si>
  <si>
    <t>service-kbn</t>
    <phoneticPr fontId="3"/>
  </si>
  <si>
    <t>carrier-cd</t>
    <phoneticPr fontId="3"/>
  </si>
  <si>
    <t>sale-code</t>
    <phoneticPr fontId="3"/>
  </si>
  <si>
    <t>service-kbn</t>
    <phoneticPr fontId="3"/>
  </si>
  <si>
    <t>O</t>
    <phoneticPr fontId="3"/>
  </si>
  <si>
    <t>service-kbn</t>
    <phoneticPr fontId="3"/>
  </si>
  <si>
    <t>返却する半角文字は「?」のみ</t>
    <phoneticPr fontId="3"/>
  </si>
  <si>
    <t>carrier-name</t>
    <phoneticPr fontId="3"/>
  </si>
  <si>
    <t>M</t>
    <phoneticPr fontId="3"/>
  </si>
  <si>
    <t>service-name</t>
    <phoneticPr fontId="3"/>
  </si>
  <si>
    <t>service-name-note</t>
    <phoneticPr fontId="3"/>
  </si>
  <si>
    <t>X</t>
    <phoneticPr fontId="3"/>
  </si>
  <si>
    <t>three-m-discnt-kbn</t>
    <phoneticPr fontId="3"/>
  </si>
  <si>
    <t>bikou-flg</t>
    <phoneticPr fontId="3"/>
  </si>
  <si>
    <t>manual-url</t>
    <phoneticPr fontId="3"/>
  </si>
  <si>
    <t>num_portability_flg</t>
    <phoneticPr fontId="3"/>
  </si>
  <si>
    <t>show_flg</t>
    <phoneticPr fontId="3"/>
  </si>
  <si>
    <t>service-type</t>
    <phoneticPr fontId="3"/>
  </si>
  <si>
    <t>mansion-tou-id</t>
    <phoneticPr fontId="3"/>
  </si>
  <si>
    <t>返却する半角文字は「?」のみ</t>
    <phoneticPr fontId="3"/>
  </si>
  <si>
    <t>carrier-name</t>
    <phoneticPr fontId="3"/>
  </si>
  <si>
    <t>M</t>
    <phoneticPr fontId="3"/>
  </si>
  <si>
    <t>I/O</t>
    <phoneticPr fontId="3"/>
  </si>
  <si>
    <r>
      <t>00,02,04,A0,A1,A2,A3,</t>
    </r>
    <r>
      <rPr>
        <sz val="11"/>
        <rFont val="ＭＳ Ｐゴシック"/>
        <family val="3"/>
        <charset val="128"/>
      </rPr>
      <t>A4,A5,A7,</t>
    </r>
    <r>
      <rPr>
        <sz val="11"/>
        <color indexed="10"/>
        <rFont val="ＭＳ Ｐゴシック"/>
        <family val="3"/>
        <charset val="128"/>
      </rPr>
      <t>A8,A9,</t>
    </r>
    <r>
      <rPr>
        <sz val="11"/>
        <rFont val="ＭＳ Ｐゴシック"/>
        <family val="3"/>
        <charset val="128"/>
      </rPr>
      <t>10,11,B0,B1,B2,B3,B4,B5,B6,B7,</t>
    </r>
    <r>
      <rPr>
        <sz val="11"/>
        <color indexed="10"/>
        <rFont val="ＭＳ Ｐゴシック"/>
        <family val="3"/>
        <charset val="128"/>
      </rPr>
      <t>B8,B9,</t>
    </r>
    <r>
      <rPr>
        <sz val="11"/>
        <rFont val="ＭＳ Ｐゴシック"/>
        <family val="3"/>
        <charset val="128"/>
      </rPr>
      <t>C0,C1</t>
    </r>
    <phoneticPr fontId="3"/>
  </si>
  <si>
    <t>X</t>
    <phoneticPr fontId="3"/>
  </si>
  <si>
    <t>0-0</t>
    <phoneticPr fontId="3"/>
  </si>
  <si>
    <t>サービス種別</t>
  </si>
  <si>
    <t>20170707120000</t>
    <phoneticPr fontId="3"/>
  </si>
  <si>
    <t>住所コード</t>
    <phoneticPr fontId="3"/>
  </si>
  <si>
    <t>外部API返却値</t>
    <rPh sb="0" eb="2">
      <t>ガイブ</t>
    </rPh>
    <rPh sb="5" eb="7">
      <t>ヘンキャク</t>
    </rPh>
    <rPh sb="7" eb="8">
      <t>チ</t>
    </rPh>
    <phoneticPr fontId="3"/>
  </si>
  <si>
    <t>ID001</t>
    <phoneticPr fontId="3"/>
  </si>
  <si>
    <t>ID002</t>
    <phoneticPr fontId="3"/>
  </si>
  <si>
    <t>5_in</t>
    <phoneticPr fontId="3"/>
  </si>
  <si>
    <t>5_out</t>
    <phoneticPr fontId="3"/>
  </si>
  <si>
    <t>A2</t>
  </si>
  <si>
    <t>11</t>
  </si>
  <si>
    <t>B2</t>
  </si>
  <si>
    <t>B7</t>
    <phoneticPr fontId="3"/>
  </si>
  <si>
    <t>K2</t>
    <phoneticPr fontId="3"/>
  </si>
  <si>
    <t>①bbcnwarea-app.log
　エラー発生していないこと</t>
    <rPh sb="23" eb="25">
      <t>ハッセイ</t>
    </rPh>
    <phoneticPr fontId="3"/>
  </si>
  <si>
    <t>00</t>
    <phoneticPr fontId="3"/>
  </si>
  <si>
    <r>
      <t xml:space="preserve">検索対象とするサービス区分を設定
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A7：ひかりJホーム
</t>
    </r>
    <r>
      <rPr>
        <sz val="11"/>
        <color indexed="10"/>
        <rFont val="ＭＳ Ｐゴシック"/>
        <family val="3"/>
        <charset val="128"/>
      </rPr>
      <t>A8：光コラボホーム
A9：光コラボホーム ゆいまーるひかり</t>
    </r>
    <r>
      <rPr>
        <sz val="11"/>
        <rFont val="ＭＳ Ｐゴシック"/>
        <family val="3"/>
        <charset val="128"/>
      </rPr>
      <t xml:space="preserve">
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B7:ひかりJマンション
</t>
    </r>
    <r>
      <rPr>
        <sz val="11"/>
        <color indexed="10"/>
        <rFont val="ＭＳ Ｐゴシック"/>
        <family val="3"/>
        <charset val="128"/>
      </rPr>
      <t>B8：光コラボマンション
B9：光コラボマンション  ゆいまーるひかり</t>
    </r>
    <r>
      <rPr>
        <sz val="11"/>
        <rFont val="ＭＳ Ｐゴシック"/>
        <family val="3"/>
        <charset val="128"/>
      </rPr>
      <t xml:space="preserve">
C0:WiMAXハイブリッドルータ
C1:ホームプラス</t>
    </r>
    <r>
      <rPr>
        <strike/>
        <sz val="11"/>
        <rFont val="ＭＳ Ｐゴシック"/>
        <family val="3"/>
        <charset val="128"/>
      </rPr>
      <t xml:space="preserve">
</t>
    </r>
    <phoneticPr fontId="3"/>
  </si>
  <si>
    <r>
      <t>マンション一覧結果取得API(B005)の返却値を設定
・住居種別が"1"、かつ申込サービス区分が未設定、「10:ひかりone マンション」、「11:ａｕひかりちゅらマンション」、「B0:CTCサービスマンション」、「B1:K-Opticomサービスマンション」、「B2:CATVサービスマンション」、「B3:STNetサービスマンション」、「B4:ENECOMサービスマンション」、｢B5：QTNetサービスマンション｣</t>
    </r>
    <r>
      <rPr>
        <sz val="11"/>
        <rFont val="ＭＳ Ｐゴシック"/>
        <family val="3"/>
        <charset val="128"/>
      </rPr>
      <t>、「B6:マンションISPサービス」、「B7:ひかりJマンション」、</t>
    </r>
    <r>
      <rPr>
        <sz val="11"/>
        <color indexed="10"/>
        <rFont val="ＭＳ Ｐゴシック"/>
        <family val="3"/>
        <charset val="128"/>
      </rPr>
      <t>「B8：光コラボマンション」、「B9：光コラボマンション  ゆいまーるひかり」、</t>
    </r>
    <r>
      <rPr>
        <sz val="11"/>
        <rFont val="ＭＳ Ｐゴシック"/>
        <family val="3"/>
        <charset val="128"/>
      </rPr>
      <t xml:space="preserve">「C0:WiMAXハイブリッドルータ」の場合、必須
</t>
    </r>
    <phoneticPr fontId="3"/>
  </si>
  <si>
    <t>個別結果コード</t>
    <phoneticPr fontId="3"/>
  </si>
  <si>
    <t>△</t>
    <phoneticPr fontId="3"/>
  </si>
  <si>
    <r>
      <t>API呼出結果を設定。
呼出元システムが「ORANGE」</t>
    </r>
    <r>
      <rPr>
        <sz val="11"/>
        <rFont val="ＭＳ Ｐゴシック"/>
        <family val="3"/>
        <charset val="128"/>
      </rPr>
      <t>または「EKIDEN」の場合、
　”0000”：正常
　”0001”：データ非存在
　”0100”：外部APIエラー
呼出元システムが「PASCAL」の場合、
　”0000”：正常
　”0100”：不正住所エラー
　”0101”：番号区画不一致エラー</t>
    </r>
    <phoneticPr fontId="3"/>
  </si>
  <si>
    <t>DABINCIエラーコード</t>
    <phoneticPr fontId="3"/>
  </si>
  <si>
    <t xml:space="preserve">1：「マニュアル」カラム表示、「表示」ボタン表示
0：「マニュアル」カラム非表示、「表示」ボタン非表示
</t>
    <phoneticPr fontId="3"/>
  </si>
  <si>
    <t xml:space="preserve">①応答内容が正しいこと
　API処理状態：「01：フォーマットエラー」
</t>
    <rPh sb="6" eb="7">
      <t>タダ</t>
    </rPh>
    <phoneticPr fontId="3"/>
  </si>
  <si>
    <t>01</t>
    <phoneticPr fontId="3"/>
  </si>
  <si>
    <t>①bbcnwarea-app.log
・下記が出力されていること
　01001I（フォーマットエラー）</t>
    <phoneticPr fontId="3"/>
  </si>
  <si>
    <t>1</t>
  </si>
  <si>
    <t>2_out</t>
  </si>
  <si>
    <t>サービス情報リスト</t>
    <phoneticPr fontId="2"/>
  </si>
  <si>
    <t>△</t>
    <phoneticPr fontId="2"/>
  </si>
  <si>
    <t>サービス種別の昇順で設定</t>
    <rPh sb="4" eb="6">
      <t>シュベツ</t>
    </rPh>
    <rPh sb="7" eb="9">
      <t>ショウジュン</t>
    </rPh>
    <rPh sb="10" eb="12">
      <t>セッテイ</t>
    </rPh>
    <phoneticPr fontId="2"/>
  </si>
  <si>
    <t>販売状況コード</t>
    <rPh sb="0" eb="2">
      <t>ハンバイ</t>
    </rPh>
    <rPh sb="2" eb="4">
      <t>ジョウキョウ</t>
    </rPh>
    <phoneticPr fontId="2"/>
  </si>
  <si>
    <r>
      <t>3Mエリア提供状況照会（外部API）</t>
    </r>
    <r>
      <rPr>
        <sz val="11"/>
        <rFont val="ＭＳ Ｐゴシック"/>
        <family val="3"/>
        <charset val="128"/>
      </rPr>
      <t xml:space="preserve">、ホームＳ一部エリアサービス提供可否返却（外部API）にて返却されたサービス提供状況を設定
</t>
    </r>
  </si>
  <si>
    <t>申込サービス区分</t>
    <phoneticPr fontId="2"/>
  </si>
  <si>
    <r>
      <t xml:space="preserve">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A7：ひかりJホーム
</t>
    </r>
    <r>
      <rPr>
        <sz val="11"/>
        <color indexed="10"/>
        <rFont val="ＭＳ Ｐゴシック"/>
        <family val="3"/>
        <charset val="128"/>
      </rPr>
      <t>A8：光コラボホーム
A9：光コラボホーム ゆいまーるひかり</t>
    </r>
    <r>
      <rPr>
        <sz val="11"/>
        <rFont val="ＭＳ Ｐゴシック"/>
        <family val="3"/>
        <charset val="128"/>
      </rPr>
      <t xml:space="preserve">
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B7：ひかりJマンション
</t>
    </r>
    <r>
      <rPr>
        <sz val="11"/>
        <color indexed="10"/>
        <rFont val="ＭＳ Ｐゴシック"/>
        <family val="3"/>
        <charset val="128"/>
      </rPr>
      <t>B8：光コラボマンション
B9：光コラボマンション ゆいまーるひかり</t>
    </r>
    <r>
      <rPr>
        <sz val="11"/>
        <rFont val="ＭＳ Ｐゴシック"/>
        <family val="3"/>
        <charset val="128"/>
      </rPr>
      <t xml:space="preserve">
C0:WiMAXハイブリッドルータ
C1:ホームプラス
</t>
    </r>
  </si>
  <si>
    <t>申込サービス区分詳細</t>
    <phoneticPr fontId="2"/>
  </si>
  <si>
    <t>※1311案件より未使用項目</t>
    <rPh sb="5" eb="7">
      <t>アンケン</t>
    </rPh>
    <rPh sb="9" eb="12">
      <t>ミシヨウ</t>
    </rPh>
    <rPh sb="12" eb="14">
      <t>コウモク</t>
    </rPh>
    <phoneticPr fontId="2"/>
  </si>
  <si>
    <t>各エリア検索結果に対応するサービス名</t>
    <rPh sb="0" eb="1">
      <t>カク</t>
    </rPh>
    <rPh sb="4" eb="6">
      <t>ケンサク</t>
    </rPh>
    <rPh sb="6" eb="8">
      <t>ケッカ</t>
    </rPh>
    <rPh sb="9" eb="11">
      <t>タイオウ</t>
    </rPh>
    <rPh sb="17" eb="18">
      <t>メイ</t>
    </rPh>
    <phoneticPr fontId="2"/>
  </si>
  <si>
    <t>サービス名補足</t>
    <rPh sb="4" eb="5">
      <t>メイ</t>
    </rPh>
    <rPh sb="5" eb="7">
      <t>ホソク</t>
    </rPh>
    <phoneticPr fontId="2"/>
  </si>
  <si>
    <t>サービス名直下に表示する文言を設定</t>
    <rPh sb="4" eb="5">
      <t>メイ</t>
    </rPh>
    <rPh sb="5" eb="7">
      <t>チョッカ</t>
    </rPh>
    <rPh sb="8" eb="10">
      <t>ヒョウジ</t>
    </rPh>
    <rPh sb="12" eb="14">
      <t>モンゴン</t>
    </rPh>
    <rPh sb="15" eb="17">
      <t>セッテイ</t>
    </rPh>
    <phoneticPr fontId="2"/>
  </si>
  <si>
    <r>
      <t>申込サービス区分が「00:ひかりone ホーム」</t>
    </r>
    <r>
      <rPr>
        <sz val="11"/>
        <rFont val="ＭＳ Ｐゴシック"/>
        <family val="3"/>
        <charset val="128"/>
      </rPr>
      <t xml:space="preserve">、「02:ひかりoneホーム(S)」、「04:ａｕひかりちゅらホーム」、「10:ひかりone マンション」、「11:ａｕひかりちゅらマンション」の場合、
「インターネット/TV」を表す文言を設定。
</t>
    </r>
  </si>
  <si>
    <r>
      <t>申込サービス区分が「00:ひかりone ホーム」、「02:ひかりoneホーム(S)」、</t>
    </r>
    <r>
      <rPr>
        <sz val="11"/>
        <rFont val="ＭＳ Ｐゴシック"/>
        <family val="3"/>
        <charset val="128"/>
      </rPr>
      <t xml:space="preserve">「04:ａｕひかりちゅらホーム」、「10:ひかりone マンション」、「11:ａｕひかりちゅらマンション」の場合、
「電話」を表す文言を設定。
</t>
    </r>
  </si>
  <si>
    <t>結果①</t>
    <phoneticPr fontId="2"/>
  </si>
  <si>
    <r>
      <t>1：○　</t>
    </r>
    <r>
      <rPr>
        <sz val="11"/>
        <rFont val="ＭＳ Ｐゴシック"/>
        <family val="3"/>
        <charset val="128"/>
      </rPr>
      <t>(サービス提供可能)
2：△　(サービス提供予定)
3：×　(サービス提供不可)
9：（データ無）</t>
    </r>
  </si>
  <si>
    <r>
      <t>1：○　</t>
    </r>
    <r>
      <rPr>
        <sz val="11"/>
        <rFont val="ＭＳ Ｐゴシック"/>
        <family val="3"/>
        <charset val="128"/>
      </rPr>
      <t xml:space="preserve">(サービス提供可能)
2：△　(サービス提供予定)
3：×　(サービス提供不可)
5：×　(緊急呼提供可)
サービス区分＝"00"または"02"または"04"または"10"または"11"の場合のみ、「5：×(緊急呼提供可)」は設定される。
</t>
    </r>
  </si>
  <si>
    <t>3M割提携</t>
    <rPh sb="2" eb="3">
      <t>ワリ</t>
    </rPh>
    <rPh sb="3" eb="5">
      <t>テイケイ</t>
    </rPh>
    <phoneticPr fontId="2"/>
  </si>
  <si>
    <t xml:space="preserve">0:未提供
1:NET+TEL / NET+TV / TEL+TV
2:NET+TEL / NET+TV
3:NET+TEL / TEL +TV
4:NET+TV / TEL+TV
5:NET+TEL
6:NET+TV
7:TEL+TV
</t>
    <phoneticPr fontId="2"/>
  </si>
  <si>
    <t>申込サービス区分毎の販売状況の文言を設定。</t>
    <rPh sb="0" eb="2">
      <t>モウシコミ</t>
    </rPh>
    <rPh sb="6" eb="8">
      <t>クブン</t>
    </rPh>
    <rPh sb="8" eb="9">
      <t>ゴト</t>
    </rPh>
    <rPh sb="10" eb="12">
      <t>ハンバイ</t>
    </rPh>
    <rPh sb="12" eb="14">
      <t>ジョウキョウ</t>
    </rPh>
    <rPh sb="15" eb="17">
      <t>モンゴン</t>
    </rPh>
    <rPh sb="18" eb="20">
      <t>セッテイ</t>
    </rPh>
    <phoneticPr fontId="2"/>
  </si>
  <si>
    <r>
      <t>・申込サービス区分が「00:ひかりone ホーム」</t>
    </r>
    <r>
      <rPr>
        <sz val="11"/>
        <rFont val="ＭＳ Ｐゴシック"/>
        <family val="3"/>
        <charset val="128"/>
      </rPr>
      <t xml:space="preserve">で、かつ3Mエリア提供状況照会－戸建API結果の備考フラグが1の場合、固定文言を設定。
</t>
    </r>
  </si>
  <si>
    <t>予備項目</t>
    <rPh sb="0" eb="2">
      <t>ヨビ</t>
    </rPh>
    <rPh sb="2" eb="4">
      <t>コウモク</t>
    </rPh>
    <phoneticPr fontId="2"/>
  </si>
  <si>
    <r>
      <t>申込サービス区分が「00:ひかりone ホーム」、「02:ひかりoneホーム(S)」、</t>
    </r>
    <r>
      <rPr>
        <sz val="11"/>
        <rFont val="ＭＳ Ｐゴシック"/>
        <family val="3"/>
        <charset val="128"/>
      </rPr>
      <t>「04:ａｕひかりちゅらホーム」、「10:ひかりone マンション」、「11:ａｕひかりちゅらマンション」の場合で、且つ結果①が「○」または「△」の場合で、且つ緊急呼提供エリアが提供不可の場合、電話サービスが提供できないことを表す文言を設定。</t>
    </r>
  </si>
  <si>
    <r>
      <t>3Mエリア提供状況照会－戸建API</t>
    </r>
    <r>
      <rPr>
        <sz val="11"/>
        <rFont val="ＭＳ Ｐゴシック"/>
        <family val="3"/>
        <charset val="128"/>
      </rPr>
      <t xml:space="preserve">結果の備考フラグ
0:なし
1:あり
この項目が設定されるサービスは「00:ひかりoneホーム」、「02:ひかりoneホーム(S)」の場合のみ。
</t>
    </r>
  </si>
  <si>
    <t>番号ポータビリティ可能フラグ</t>
    <rPh sb="0" eb="2">
      <t>バンゴウ</t>
    </rPh>
    <rPh sb="9" eb="11">
      <t>カノウ</t>
    </rPh>
    <phoneticPr fontId="2"/>
  </si>
  <si>
    <r>
      <t xml:space="preserve">0:番号ポータビリティ不可
1:番号ポータビリティ可能
</t>
    </r>
    <r>
      <rPr>
        <sz val="11"/>
        <rFont val="ＭＳ Ｐゴシック"/>
        <family val="3"/>
        <charset val="128"/>
      </rPr>
      <t xml:space="preserve">この項目が設定されるサービスは「00:ひかりoneホーム」、「02:ひかりoneホーム(S)」、「04:ａｕひかりちゅらホーム」、「10:ひかりoneマンション」、「11:ａｕひかりちゅらマンション」、「C1:ホームプラス」
の場合のみ。
</t>
    </r>
  </si>
  <si>
    <t>表示可否フラグ</t>
    <rPh sb="0" eb="2">
      <t>ヒョウジ</t>
    </rPh>
    <rPh sb="2" eb="4">
      <t>カヒ</t>
    </rPh>
    <phoneticPr fontId="2"/>
  </si>
  <si>
    <r>
      <rPr>
        <sz val="11"/>
        <rFont val="ＭＳ Ｐゴシック"/>
        <family val="3"/>
        <charset val="128"/>
      </rPr>
      <t>当該サービス情報を画面に表示するか否かを示す。
0:表示しない
1:表示する
「呼び出し元システム名」と外部API（3Ｍエリア提供状況照会－戸建/3Mエリア提供状況照会－マンション</t>
    </r>
    <r>
      <rPr>
        <sz val="11"/>
        <rFont val="ＭＳ Ｐゴシック"/>
        <family val="3"/>
        <charset val="128"/>
      </rPr>
      <t xml:space="preserve">)から返却される、サービス種別に紐付く申込サービス区分、申込サービス詳細区分を元に、エリア検索結果表示制御マスタから表示有無を取得し、設定する。
</t>
    </r>
  </si>
  <si>
    <r>
      <t xml:space="preserve">00：ひかりｏｎｅマンション
01：ひかりｏｎｅホームＮ、
　　　ひかりoneホーム(S)
07：ひかりｏｎｅホーム
A1：ａｕひかりちゅらホーム
A2：ａｕひかりちゅらマンション
B1：CATVホーム
B2：CATVマンション
C1：FTTH(K-Opticom)ホーム
C2：FTTH(K-Opticom)マンション
D1：FTTH(CTC)ホーム
D2：FTTH(CTC)マンション
E1：WiMAXハイブリッドルータ
F1：FTTH(STNet)ホーム
F2：FTTH(STNet)マンション
G1：FTTH(ENECOM)ホーム
G2：FTTH(ENECOM)マンション
</t>
    </r>
    <r>
      <rPr>
        <sz val="11"/>
        <rFont val="ＭＳ Ｐゴシック"/>
        <family val="3"/>
        <charset val="128"/>
      </rPr>
      <t xml:space="preserve">H1：FTTH(QTNet)ホーム
H2：FTTH(QTNet)マンション
K1：ひかりJホーム
K2：ひかりJマンション
J1:ホームプラス
</t>
    </r>
    <r>
      <rPr>
        <sz val="11"/>
        <color indexed="10"/>
        <rFont val="ＭＳ Ｐゴシック"/>
        <family val="3"/>
        <charset val="128"/>
      </rPr>
      <t xml:space="preserve">L1：光コラボホーム 
L2：光コラボマンション 
N1：光コラボホーム ゆいまーるひかり
N2：光コラボマンション ゆいまーるひかり
</t>
    </r>
    <r>
      <rPr>
        <sz val="11"/>
        <rFont val="ＭＳ Ｐゴシック"/>
        <family val="3"/>
        <charset val="128"/>
      </rPr>
      <t xml:space="preserve">Z2：マンションISP
ZZ：※エリア検索を実施しないサービスのサービス種別
</t>
    </r>
  </si>
  <si>
    <t>マンション棟ID</t>
    <rPh sb="5" eb="6">
      <t>トウ</t>
    </rPh>
    <phoneticPr fontId="2"/>
  </si>
  <si>
    <t>この項目が設定されるサービスは「11:ａｕひかりちゅらマンション」の場合のみ</t>
    <phoneticPr fontId="2"/>
  </si>
  <si>
    <t>契約Gr番号</t>
    <phoneticPr fontId="2"/>
  </si>
  <si>
    <t>回線速度区分</t>
    <rPh sb="0" eb="2">
      <t>カイセン</t>
    </rPh>
    <rPh sb="2" eb="4">
      <t>ソクド</t>
    </rPh>
    <rPh sb="4" eb="6">
      <t>クブン</t>
    </rPh>
    <phoneticPr fontId="2"/>
  </si>
  <si>
    <t>事業者コード</t>
    <rPh sb="0" eb="3">
      <t>ジギョウシャ</t>
    </rPh>
    <phoneticPr fontId="2"/>
  </si>
  <si>
    <t>3Mエリア提供状況照会－戸建API、または3Mエリア提供状況照会－マンションAPI結果に事業者コードが存在する場合、その事業者コードを設定</t>
    <rPh sb="44" eb="47">
      <t>ジギョウシャ</t>
    </rPh>
    <rPh sb="51" eb="53">
      <t>ソンザイ</t>
    </rPh>
    <rPh sb="55" eb="57">
      <t>バアイ</t>
    </rPh>
    <rPh sb="60" eb="63">
      <t>ジギョウシャ</t>
    </rPh>
    <rPh sb="67" eb="69">
      <t>セッテイ</t>
    </rPh>
    <phoneticPr fontId="2"/>
  </si>
  <si>
    <t>事業者名</t>
    <rPh sb="0" eb="3">
      <t>ジギョウシャ</t>
    </rPh>
    <rPh sb="3" eb="4">
      <t>メイ</t>
    </rPh>
    <phoneticPr fontId="2"/>
  </si>
  <si>
    <t>3Mエリア提供状況照会－戸建API、または3Mエリア提供状況照会－マンションAPI結果に事業者名が存在する場合、その事業者名を設定</t>
    <rPh sb="44" eb="47">
      <t>ジギョウシャ</t>
    </rPh>
    <rPh sb="47" eb="48">
      <t>メイ</t>
    </rPh>
    <rPh sb="49" eb="51">
      <t>ソンザイ</t>
    </rPh>
    <rPh sb="53" eb="55">
      <t>バアイ</t>
    </rPh>
    <rPh sb="58" eb="61">
      <t>ジギョウシャ</t>
    </rPh>
    <rPh sb="61" eb="62">
      <t>メイ</t>
    </rPh>
    <rPh sb="63" eb="65">
      <t>セッテイ</t>
    </rPh>
    <phoneticPr fontId="2"/>
  </si>
  <si>
    <t>GCコード</t>
    <phoneticPr fontId="2"/>
  </si>
  <si>
    <t>申込サービス区分に応じて呼び出したAPIから、下記の項目値が設定されて返却された場合、その値を設定する
　3Mエリア提供状況照会－戸建API
　　・・・ auひかりGCコード
　3Mエリア提供状況照会－マンションAPI
　　・・・ auひかりGCコード</t>
    <rPh sb="0" eb="2">
      <t>モウシコミ</t>
    </rPh>
    <rPh sb="6" eb="8">
      <t>クブン</t>
    </rPh>
    <rPh sb="9" eb="10">
      <t>オウ</t>
    </rPh>
    <rPh sb="12" eb="13">
      <t>ヨ</t>
    </rPh>
    <rPh sb="14" eb="15">
      <t>ダ</t>
    </rPh>
    <rPh sb="23" eb="25">
      <t>カキ</t>
    </rPh>
    <rPh sb="26" eb="28">
      <t>コウモク</t>
    </rPh>
    <rPh sb="28" eb="29">
      <t>アタイ</t>
    </rPh>
    <rPh sb="30" eb="32">
      <t>セッテイ</t>
    </rPh>
    <rPh sb="35" eb="37">
      <t>ヘンキャク</t>
    </rPh>
    <rPh sb="40" eb="42">
      <t>バアイ</t>
    </rPh>
    <rPh sb="45" eb="46">
      <t>アタイ</t>
    </rPh>
    <rPh sb="47" eb="49">
      <t>セッテイ</t>
    </rPh>
    <phoneticPr fontId="2"/>
  </si>
  <si>
    <t>NET/TEL/TV提供区分</t>
    <rPh sb="10" eb="12">
      <t>テイキョウ</t>
    </rPh>
    <rPh sb="12" eb="14">
      <t>クブン</t>
    </rPh>
    <phoneticPr fontId="2"/>
  </si>
  <si>
    <t xml:space="preserve">NET/TEL/TV提供区分を設定
1：NET＋TEL
2：NETのみ
3：TELのみ
4：TVのみ
5：NET+TEL+TV
6：NET+TV
7：TEL+TV
9：その他
</t>
    <phoneticPr fontId="2"/>
  </si>
  <si>
    <t>17d0199_auひかり高速化(5G、10G対応)</t>
    <phoneticPr fontId="3"/>
  </si>
  <si>
    <t>①bbcnwarea-app.log
・下記が出力されていること
　93002C（外部XMLチェックエラー）</t>
    <phoneticPr fontId="3"/>
  </si>
  <si>
    <t xml:space="preserve">正常応答内容編集
</t>
    <rPh sb="0" eb="2">
      <t>セイジョウ</t>
    </rPh>
    <rPh sb="2" eb="4">
      <t>オウトウ</t>
    </rPh>
    <rPh sb="4" eb="6">
      <t>ナイヨウ</t>
    </rPh>
    <rPh sb="6" eb="8">
      <t>ヘンシュウ</t>
    </rPh>
    <phoneticPr fontId="3"/>
  </si>
  <si>
    <t>&lt;3Mエリア提供状況照会(戸建)API&gt;</t>
    <rPh sb="5" eb="7">
      <t>テイキョウ</t>
    </rPh>
    <rPh sb="7" eb="9">
      <t>ジョウキョウ</t>
    </rPh>
    <rPh sb="9" eb="11">
      <t>ショウカイ</t>
    </rPh>
    <rPh sb="12" eb="14">
      <t>コダ</t>
    </rPh>
    <phoneticPr fontId="3"/>
  </si>
  <si>
    <t xml:space="preserve">①下記項目が設定されること
　販売状況コード
　申込サービス区分
　サービス名
　提供サービス①
　提供サービス②
　結果①
　結果②
　3M割提携
　備考①-1
　備考②-1　※
　備考フラグ
　マニュアルURL
　番号ポータビリティ可能フラグ　※
　表示可否フラグ
　サービス種別
　事業者コード
　事業者名
　GCコード
　NET/TEL/TV提供区分
</t>
    <rPh sb="1" eb="3">
      <t>カキ</t>
    </rPh>
    <rPh sb="3" eb="5">
      <t>コウモク</t>
    </rPh>
    <rPh sb="6" eb="8">
      <t>セッテイ</t>
    </rPh>
    <rPh sb="15" eb="17">
      <t>ハンバイ</t>
    </rPh>
    <rPh sb="17" eb="19">
      <t>ジョウキョウ</t>
    </rPh>
    <rPh sb="24" eb="26">
      <t>モウシコミ</t>
    </rPh>
    <rPh sb="30" eb="32">
      <t>クブン</t>
    </rPh>
    <rPh sb="38" eb="39">
      <t>メイ</t>
    </rPh>
    <rPh sb="41" eb="43">
      <t>テイキョウ</t>
    </rPh>
    <rPh sb="50" eb="52">
      <t>テイキョウ</t>
    </rPh>
    <rPh sb="59" eb="61">
      <t>ケッカ</t>
    </rPh>
    <rPh sb="64" eb="66">
      <t>ケッカ</t>
    </rPh>
    <rPh sb="71" eb="72">
      <t>ワ</t>
    </rPh>
    <rPh sb="72" eb="74">
      <t>テイケイ</t>
    </rPh>
    <rPh sb="76" eb="78">
      <t>ビコウ</t>
    </rPh>
    <rPh sb="83" eb="85">
      <t>ビコウ</t>
    </rPh>
    <rPh sb="92" eb="94">
      <t>ビコウ</t>
    </rPh>
    <rPh sb="109" eb="111">
      <t>バンゴウ</t>
    </rPh>
    <rPh sb="118" eb="120">
      <t>カノウ</t>
    </rPh>
    <rPh sb="127" eb="129">
      <t>ヒョウジ</t>
    </rPh>
    <rPh sb="129" eb="131">
      <t>カヒ</t>
    </rPh>
    <rPh sb="140" eb="142">
      <t>シュベツ</t>
    </rPh>
    <rPh sb="144" eb="147">
      <t>ジギョウシャ</t>
    </rPh>
    <rPh sb="152" eb="155">
      <t>ジギョウシャ</t>
    </rPh>
    <rPh sb="155" eb="156">
      <t>メイ</t>
    </rPh>
    <rPh sb="175" eb="177">
      <t>テイキョウ</t>
    </rPh>
    <rPh sb="177" eb="179">
      <t>クブン</t>
    </rPh>
    <phoneticPr fontId="3"/>
  </si>
  <si>
    <t>&lt;ホームS一部エリアサービス提供可否返却)API&gt;</t>
    <rPh sb="5" eb="7">
      <t>イチブ</t>
    </rPh>
    <rPh sb="14" eb="16">
      <t>テイキョウ</t>
    </rPh>
    <rPh sb="16" eb="18">
      <t>カヒ</t>
    </rPh>
    <rPh sb="18" eb="20">
      <t>ヘンキャク</t>
    </rPh>
    <phoneticPr fontId="3"/>
  </si>
  <si>
    <t xml:space="preserve">①下記項目が設定されること
　販売状況コード
　申込サービス区分
　結果①　※
　備考①-1　※
</t>
    <rPh sb="1" eb="3">
      <t>カキ</t>
    </rPh>
    <rPh sb="3" eb="5">
      <t>コウモク</t>
    </rPh>
    <rPh sb="6" eb="8">
      <t>セッテイ</t>
    </rPh>
    <rPh sb="15" eb="17">
      <t>ハンバイ</t>
    </rPh>
    <rPh sb="17" eb="19">
      <t>ジョウキョウ</t>
    </rPh>
    <rPh sb="24" eb="26">
      <t>モウシコミ</t>
    </rPh>
    <rPh sb="30" eb="32">
      <t>クブン</t>
    </rPh>
    <rPh sb="34" eb="36">
      <t>ケッカ</t>
    </rPh>
    <rPh sb="41" eb="43">
      <t>ビコウ</t>
    </rPh>
    <phoneticPr fontId="3"/>
  </si>
  <si>
    <t>&lt;3Mエリア提供状況照会(マンション)API&gt;</t>
    <rPh sb="5" eb="7">
      <t>テイキョウ</t>
    </rPh>
    <rPh sb="7" eb="9">
      <t>ジョウキョウ</t>
    </rPh>
    <rPh sb="9" eb="11">
      <t>ショウカイ</t>
    </rPh>
    <phoneticPr fontId="3"/>
  </si>
  <si>
    <t xml:space="preserve">①下記項目が設定されること
　販売状況コード
　申込サービス区分
　サービス名
　提供サービス①
　提供サービス②
　結果①
　結果②
　3M割提携
　備考①-1
　備考②-1　※
　マニュアルURL
　番号ポータビリティ可能フラグ　※
　表示可否フラグ
　サービス種別
　事業者コード
　事業者名
　GCコード
　NET/TEL/TV提供区分
</t>
    <rPh sb="1" eb="3">
      <t>カキ</t>
    </rPh>
    <rPh sb="3" eb="5">
      <t>コウモク</t>
    </rPh>
    <rPh sb="6" eb="8">
      <t>セッテイ</t>
    </rPh>
    <rPh sb="15" eb="17">
      <t>ハンバイ</t>
    </rPh>
    <rPh sb="17" eb="19">
      <t>ジョウキョウ</t>
    </rPh>
    <rPh sb="24" eb="26">
      <t>モウシコミ</t>
    </rPh>
    <rPh sb="30" eb="32">
      <t>クブン</t>
    </rPh>
    <rPh sb="38" eb="39">
      <t>メイ</t>
    </rPh>
    <rPh sb="41" eb="43">
      <t>テイキョウ</t>
    </rPh>
    <rPh sb="50" eb="52">
      <t>テイキョウ</t>
    </rPh>
    <rPh sb="59" eb="61">
      <t>ケッカ</t>
    </rPh>
    <rPh sb="64" eb="66">
      <t>ケッカ</t>
    </rPh>
    <rPh sb="71" eb="72">
      <t>ワ</t>
    </rPh>
    <rPh sb="72" eb="74">
      <t>テイケイ</t>
    </rPh>
    <rPh sb="76" eb="78">
      <t>ビコウ</t>
    </rPh>
    <rPh sb="83" eb="85">
      <t>ビコウ</t>
    </rPh>
    <rPh sb="102" eb="104">
      <t>バンゴウ</t>
    </rPh>
    <rPh sb="111" eb="113">
      <t>カノウ</t>
    </rPh>
    <rPh sb="120" eb="122">
      <t>ヒョウジ</t>
    </rPh>
    <rPh sb="122" eb="124">
      <t>カヒ</t>
    </rPh>
    <rPh sb="133" eb="135">
      <t>シュベツ</t>
    </rPh>
    <rPh sb="137" eb="140">
      <t>ジギョウシャ</t>
    </rPh>
    <rPh sb="145" eb="148">
      <t>ジギョウシャ</t>
    </rPh>
    <rPh sb="148" eb="149">
      <t>メイ</t>
    </rPh>
    <rPh sb="168" eb="170">
      <t>テイキョウ</t>
    </rPh>
    <rPh sb="170" eb="172">
      <t>クブン</t>
    </rPh>
    <phoneticPr fontId="3"/>
  </si>
  <si>
    <t xml:space="preserve">①下記項目が設定されること
　販売状況コード
　申込サービス区分
　サービス名
　提供サービス①
　提供サービス②
　結果①
　結果②
　3M割提携
　備考①-1
　備考②-1　※
　マニュアルURL
　番号ポータビリティ可能フラグ　※
　表示可否フラグ
　サービス種別
　マンション棟ID
　契約Gr番号
　サービス種別コード
　回線速度区分
　事業者コード
　事業者名
　GCコード
　NET/TEL/TV提供区分
</t>
    <rPh sb="1" eb="3">
      <t>カキ</t>
    </rPh>
    <rPh sb="3" eb="5">
      <t>コウモク</t>
    </rPh>
    <rPh sb="6" eb="8">
      <t>セッテイ</t>
    </rPh>
    <rPh sb="15" eb="17">
      <t>ハンバイ</t>
    </rPh>
    <rPh sb="17" eb="19">
      <t>ジョウキョウ</t>
    </rPh>
    <rPh sb="24" eb="26">
      <t>モウシコミ</t>
    </rPh>
    <rPh sb="30" eb="32">
      <t>クブン</t>
    </rPh>
    <rPh sb="38" eb="39">
      <t>メイ</t>
    </rPh>
    <rPh sb="41" eb="43">
      <t>テイキョウ</t>
    </rPh>
    <rPh sb="50" eb="52">
      <t>テイキョウ</t>
    </rPh>
    <rPh sb="59" eb="61">
      <t>ケッカ</t>
    </rPh>
    <rPh sb="64" eb="66">
      <t>ケッカ</t>
    </rPh>
    <rPh sb="71" eb="72">
      <t>ワ</t>
    </rPh>
    <rPh sb="72" eb="74">
      <t>テイケイ</t>
    </rPh>
    <rPh sb="76" eb="78">
      <t>ビコウ</t>
    </rPh>
    <rPh sb="83" eb="85">
      <t>ビコウ</t>
    </rPh>
    <rPh sb="102" eb="104">
      <t>バンゴウ</t>
    </rPh>
    <rPh sb="111" eb="113">
      <t>カノウ</t>
    </rPh>
    <rPh sb="120" eb="122">
      <t>ヒョウジ</t>
    </rPh>
    <rPh sb="122" eb="124">
      <t>カヒ</t>
    </rPh>
    <rPh sb="133" eb="135">
      <t>シュベツ</t>
    </rPh>
    <rPh sb="142" eb="143">
      <t>トウ</t>
    </rPh>
    <rPh sb="147" eb="149">
      <t>ケイヤク</t>
    </rPh>
    <rPh sb="151" eb="153">
      <t>バンゴウ</t>
    </rPh>
    <rPh sb="159" eb="161">
      <t>シュベツ</t>
    </rPh>
    <rPh sb="166" eb="168">
      <t>カイセン</t>
    </rPh>
    <rPh sb="168" eb="170">
      <t>ソクド</t>
    </rPh>
    <rPh sb="170" eb="172">
      <t>クブン</t>
    </rPh>
    <rPh sb="174" eb="177">
      <t>ジギョウシャ</t>
    </rPh>
    <rPh sb="182" eb="185">
      <t>ジギョウシャ</t>
    </rPh>
    <rPh sb="185" eb="186">
      <t>メイ</t>
    </rPh>
    <rPh sb="205" eb="207">
      <t>テイキョウ</t>
    </rPh>
    <rPh sb="207" eb="209">
      <t>クブン</t>
    </rPh>
    <phoneticPr fontId="3"/>
  </si>
  <si>
    <t>&lt;3Mエリア提供状況照会(戸建)API&gt;</t>
    <rPh sb="5" eb="7">
      <t>テイキョウ</t>
    </rPh>
    <rPh sb="7" eb="9">
      <t>ジョウキョウ</t>
    </rPh>
    <rPh sb="9" eb="11">
      <t>ショウカイ</t>
    </rPh>
    <rPh sb="13" eb="15">
      <t>コダ</t>
    </rPh>
    <phoneticPr fontId="3"/>
  </si>
  <si>
    <t xml:space="preserve">①下記項目が設定されること
　販売状況コード
　申込サービス区分
　サービス名
　結果①
　3M割提携
　備考①-1
　マニュアルURL
　表示可否フラグ
　サービス種別
　事業者コード
　事業者名
　GCコード
　NET/TEL/TV提供区分
</t>
    <rPh sb="1" eb="3">
      <t>カキ</t>
    </rPh>
    <rPh sb="3" eb="5">
      <t>コウモク</t>
    </rPh>
    <rPh sb="6" eb="8">
      <t>セッテイ</t>
    </rPh>
    <rPh sb="15" eb="17">
      <t>ハンバイ</t>
    </rPh>
    <rPh sb="17" eb="19">
      <t>ジョウキョウ</t>
    </rPh>
    <rPh sb="24" eb="26">
      <t>モウシコミ</t>
    </rPh>
    <rPh sb="30" eb="32">
      <t>クブン</t>
    </rPh>
    <rPh sb="38" eb="39">
      <t>メイ</t>
    </rPh>
    <rPh sb="41" eb="43">
      <t>ケッカ</t>
    </rPh>
    <rPh sb="48" eb="49">
      <t>ワ</t>
    </rPh>
    <rPh sb="49" eb="51">
      <t>テイケイ</t>
    </rPh>
    <rPh sb="53" eb="55">
      <t>ビコウ</t>
    </rPh>
    <rPh sb="70" eb="72">
      <t>ヒョウジ</t>
    </rPh>
    <rPh sb="72" eb="74">
      <t>カヒ</t>
    </rPh>
    <rPh sb="83" eb="85">
      <t>シュベツ</t>
    </rPh>
    <rPh sb="87" eb="90">
      <t>ジギョウシャ</t>
    </rPh>
    <rPh sb="95" eb="98">
      <t>ジギョウシャ</t>
    </rPh>
    <rPh sb="98" eb="99">
      <t>メイ</t>
    </rPh>
    <rPh sb="118" eb="120">
      <t>テイキョウ</t>
    </rPh>
    <rPh sb="120" eb="122">
      <t>クブン</t>
    </rPh>
    <phoneticPr fontId="3"/>
  </si>
  <si>
    <t xml:space="preserve">&lt;3Mエリア提供状況照会API&gt;
・住所種別「一戸建て」の場合
　　3Mエリア提供状況照会(戸建)API
・住所種別「マンション・アパートなど」の場合
　　3Mエリア提供状況照会(マンション)API
</t>
    <rPh sb="5" eb="7">
      <t>テイキョウ</t>
    </rPh>
    <rPh sb="7" eb="9">
      <t>ジョウキョウ</t>
    </rPh>
    <rPh sb="9" eb="11">
      <t>ショウカイ</t>
    </rPh>
    <rPh sb="18" eb="20">
      <t>ジュウショ</t>
    </rPh>
    <rPh sb="20" eb="22">
      <t>シュベツ</t>
    </rPh>
    <rPh sb="23" eb="25">
      <t>イッコ</t>
    </rPh>
    <rPh sb="25" eb="26">
      <t>ダ</t>
    </rPh>
    <rPh sb="29" eb="31">
      <t>バアイ</t>
    </rPh>
    <rPh sb="46" eb="48">
      <t>コダ</t>
    </rPh>
    <rPh sb="54" eb="56">
      <t>ジュウショ</t>
    </rPh>
    <rPh sb="56" eb="58">
      <t>シュベツ</t>
    </rPh>
    <rPh sb="73" eb="75">
      <t>バアイ</t>
    </rPh>
    <phoneticPr fontId="3"/>
  </si>
  <si>
    <t xml:space="preserve">①下記項目が設定されること
　販売状況コード
　申込サービス区分
　サービス名
　結果①
　3M割提携
　備考①-1
　マニュアルURL
　番号ポータビリティ可能フラグ　※
　表示可否フラグ
　サービス種別
　事業者コード
　事業者名
　GCコード
　NET/TEL/TV提供区分
</t>
    <rPh sb="1" eb="3">
      <t>カキ</t>
    </rPh>
    <rPh sb="3" eb="5">
      <t>コウモク</t>
    </rPh>
    <rPh sb="6" eb="8">
      <t>セッテイ</t>
    </rPh>
    <rPh sb="15" eb="17">
      <t>ハンバイ</t>
    </rPh>
    <rPh sb="17" eb="19">
      <t>ジョウキョウ</t>
    </rPh>
    <rPh sb="24" eb="26">
      <t>モウシコミ</t>
    </rPh>
    <rPh sb="30" eb="32">
      <t>クブン</t>
    </rPh>
    <rPh sb="38" eb="39">
      <t>メイ</t>
    </rPh>
    <rPh sb="41" eb="43">
      <t>ケッカ</t>
    </rPh>
    <rPh sb="48" eb="49">
      <t>ワ</t>
    </rPh>
    <rPh sb="49" eb="51">
      <t>テイケイ</t>
    </rPh>
    <rPh sb="53" eb="55">
      <t>ビコウ</t>
    </rPh>
    <rPh sb="70" eb="72">
      <t>バンゴウ</t>
    </rPh>
    <rPh sb="79" eb="81">
      <t>カノウ</t>
    </rPh>
    <rPh sb="88" eb="90">
      <t>ヒョウジ</t>
    </rPh>
    <rPh sb="90" eb="92">
      <t>カヒ</t>
    </rPh>
    <rPh sb="101" eb="103">
      <t>シュベツ</t>
    </rPh>
    <rPh sb="105" eb="108">
      <t>ジギョウシャ</t>
    </rPh>
    <rPh sb="113" eb="116">
      <t>ジギョウシャ</t>
    </rPh>
    <rPh sb="116" eb="117">
      <t>メイ</t>
    </rPh>
    <rPh sb="136" eb="138">
      <t>テイキョウ</t>
    </rPh>
    <rPh sb="138" eb="140">
      <t>クブン</t>
    </rPh>
    <phoneticPr fontId="3"/>
  </si>
  <si>
    <r>
      <t>&lt;3Mエリア提供状況照会(戸建)API&gt;
①確認内容
　事業者コード：正常値
　事業者名：</t>
    </r>
    <r>
      <rPr>
        <b/>
        <sz val="9"/>
        <rFont val="ＭＳ ゴシック"/>
        <family val="3"/>
        <charset val="128"/>
      </rPr>
      <t>未設定</t>
    </r>
    <rPh sb="21" eb="23">
      <t>カクニン</t>
    </rPh>
    <rPh sb="23" eb="25">
      <t>ナイヨウビコウ</t>
    </rPh>
    <rPh sb="28" eb="31">
      <t>ジギョウシャ</t>
    </rPh>
    <rPh sb="35" eb="38">
      <t>セイジョウチ</t>
    </rPh>
    <rPh sb="40" eb="43">
      <t>ジギョウシャ</t>
    </rPh>
    <rPh sb="43" eb="44">
      <t>メイ</t>
    </rPh>
    <rPh sb="45" eb="48">
      <t>ミセッテイ</t>
    </rPh>
    <phoneticPr fontId="3"/>
  </si>
  <si>
    <t>ID010</t>
  </si>
  <si>
    <t>ID011</t>
  </si>
  <si>
    <t>ID012</t>
  </si>
  <si>
    <t>ID014</t>
  </si>
  <si>
    <t>ID015</t>
  </si>
  <si>
    <t>ID016</t>
  </si>
  <si>
    <t>ID017</t>
  </si>
  <si>
    <t>ID018</t>
  </si>
  <si>
    <t>ID019</t>
  </si>
  <si>
    <t>ID020</t>
  </si>
  <si>
    <t>ID021</t>
  </si>
  <si>
    <t>ID022</t>
  </si>
  <si>
    <t>ID023</t>
  </si>
  <si>
    <t>ID024</t>
  </si>
  <si>
    <t>ID025</t>
  </si>
  <si>
    <t>pattern</t>
    <phoneticPr fontId="3"/>
  </si>
  <si>
    <r>
      <t>申込サービス区分が「00:ひかりone ホーム」</t>
    </r>
    <r>
      <rPr>
        <sz val="11"/>
        <rFont val="ＭＳ Ｐゴシック"/>
        <family val="3"/>
        <charset val="128"/>
      </rPr>
      <t xml:space="preserve">、「02:ひかりoneホーム(S)」、「04:ａｕひかりちゅらホーム」、「10:ひかりone マンション」、「11:ａｕひかりちゅらマンション」の場合、
「インターネット/TV」を表す文言を設定。
</t>
    </r>
    <phoneticPr fontId="3"/>
  </si>
  <si>
    <t>インターネット/TV</t>
  </si>
  <si>
    <t>インターネット/TV</t>
    <phoneticPr fontId="3"/>
  </si>
  <si>
    <t>電話</t>
    <rPh sb="0" eb="1">
      <t>デンワ</t>
    </rPh>
    <phoneticPr fontId="3"/>
  </si>
  <si>
    <r>
      <t xml:space="preserve">00：ひかりｏｎｅマンション
01：ひかりｏｎｅホームＮ、
　　　ひかりoneホーム(S)
07：ひかりｏｎｅホーム
A1：ａｕひかりちゅらホーム
A2：ａｕひかりちゅらマンション
B1：CATVホーム
B2：CATVマンション
C1：FTTH(K-Opticom)ホーム
C2：FTTH(K-Opticom)マンション
D1：FTTH(CTC)ホーム
D2：FTTH(CTC)マンション
E1：WiMAXハイブリッドルータ
F1：FTTH(STNet)ホーム
F2：FTTH(STNet)マンション
G1：FTTH(ENECOM)ホーム
G2：FTTH(ENECOM)マンション
</t>
    </r>
    <r>
      <rPr>
        <sz val="11"/>
        <rFont val="ＭＳ Ｐゴシック"/>
        <family val="3"/>
        <charset val="128"/>
      </rPr>
      <t xml:space="preserve">H1：FTTH(QTNet)ホーム
H2：FTTH(QTNet)マンション
K1：ひかりJホーム
K2：ひかりJマンション
J1:ホームプラス
</t>
    </r>
    <r>
      <rPr>
        <sz val="11"/>
        <color indexed="10"/>
        <rFont val="ＭＳ Ｐゴシック"/>
        <family val="3"/>
        <charset val="128"/>
      </rPr>
      <t xml:space="preserve">L1：光コラボホーム 
L2：光コラボマンション 
N1：光コラボホーム ゆいまーるひかり
N2：光コラボマンション ゆいまーるひかり
</t>
    </r>
    <r>
      <rPr>
        <sz val="11"/>
        <rFont val="ＭＳ Ｐゴシック"/>
        <family val="3"/>
        <charset val="128"/>
      </rPr>
      <t xml:space="preserve">Z2：マンションISP
</t>
    </r>
    <phoneticPr fontId="3"/>
  </si>
  <si>
    <r>
      <t xml:space="preserve">00:ひかりone ホーム
02:ひかりoneホーム(S)
04:ａｕひかりちゅらホーム
A0:CTCサービスホーム
A1:K-Opticomサービスホーム
A2:CATVサービスホーム
A3:STNetサービスホーム
A4:ENECOMサービスホーム
</t>
    </r>
    <r>
      <rPr>
        <sz val="11"/>
        <rFont val="ＭＳ Ｐゴシック"/>
        <family val="3"/>
        <charset val="128"/>
      </rPr>
      <t xml:space="preserve">A5：QTNetサービスホーム
A7：ひかりJホーム
</t>
    </r>
    <r>
      <rPr>
        <sz val="11"/>
        <color indexed="10"/>
        <rFont val="ＭＳ Ｐゴシック"/>
        <family val="3"/>
        <charset val="128"/>
      </rPr>
      <t>A8：光コラボホーム
A9：光コラボホーム ゆいまーるひかり</t>
    </r>
    <r>
      <rPr>
        <sz val="11"/>
        <rFont val="ＭＳ Ｐゴシック"/>
        <family val="3"/>
        <charset val="128"/>
      </rPr>
      <t xml:space="preserve">
10:ひかりone マンション
11:ａｕひかりちゅらマンション
B0:CTCサービスマンション
B1:K-Opticomサービスマンション
B2:CATVサービスマンション
B3:STNetサービスマンション
B4:ENECOMサービスマンション
B5：QTNetサービスマンション
B6:マンションISPサービス
B7：ひかりJマンション
</t>
    </r>
    <r>
      <rPr>
        <sz val="11"/>
        <color indexed="10"/>
        <rFont val="ＭＳ Ｐゴシック"/>
        <family val="3"/>
        <charset val="128"/>
      </rPr>
      <t>B8：光コラボマンション
B9：光コラボマンション ゆいまーるひかり</t>
    </r>
    <r>
      <rPr>
        <sz val="11"/>
        <rFont val="ＭＳ Ｐゴシック"/>
        <family val="3"/>
        <charset val="128"/>
      </rPr>
      <t xml:space="preserve">
C0:WiMAXハイブリッドルータ
C1:ホームプラス
</t>
    </r>
    <phoneticPr fontId="3"/>
  </si>
  <si>
    <t>ORANGE01</t>
  </si>
  <si>
    <t>ａｕひかり ホーム</t>
    <phoneticPr fontId="3"/>
  </si>
  <si>
    <t>申込受付中。</t>
  </si>
  <si>
    <t>07</t>
    <phoneticPr fontId="3"/>
  </si>
  <si>
    <t>02</t>
    <phoneticPr fontId="3"/>
  </si>
  <si>
    <t>ａｕひかり ホーム（Ｓ）</t>
    <phoneticPr fontId="3"/>
  </si>
  <si>
    <r>
      <t>申込サービス区分が「00:ひかりone ホーム」、「02:ひかりoneホーム(S)」、</t>
    </r>
    <r>
      <rPr>
        <sz val="11"/>
        <rFont val="ＭＳ Ｐゴシック"/>
        <family val="3"/>
        <charset val="128"/>
      </rPr>
      <t xml:space="preserve">「04:ａｕひかりちゅらホーム」、「10:ひかりone マンション」、「11:ａｕひかりちゅらマンション」の場合、
「電話」を表す文言を設定。
</t>
    </r>
    <phoneticPr fontId="3"/>
  </si>
  <si>
    <t>電話</t>
    <phoneticPr fontId="3"/>
  </si>
  <si>
    <t>04</t>
    <phoneticPr fontId="3"/>
  </si>
  <si>
    <t>A1</t>
    <phoneticPr fontId="3"/>
  </si>
  <si>
    <t>A2</t>
    <phoneticPr fontId="3"/>
  </si>
  <si>
    <t>ケーブルテレビ</t>
  </si>
  <si>
    <t>ケーブルテレビ</t>
    <phoneticPr fontId="3"/>
  </si>
  <si>
    <t>申込受付中。</t>
    <phoneticPr fontId="3"/>
  </si>
  <si>
    <t>B1</t>
    <phoneticPr fontId="3"/>
  </si>
  <si>
    <t>5</t>
  </si>
  <si>
    <t>ｅｏ光 ホーム</t>
    <phoneticPr fontId="3"/>
  </si>
  <si>
    <t>C1</t>
    <phoneticPr fontId="3"/>
  </si>
  <si>
    <t>A0</t>
    <phoneticPr fontId="3"/>
  </si>
  <si>
    <t>コミュファ光 ホーム</t>
  </si>
  <si>
    <t>D1</t>
    <phoneticPr fontId="3"/>
  </si>
  <si>
    <t>A3</t>
    <phoneticPr fontId="3"/>
  </si>
  <si>
    <t>F1</t>
    <phoneticPr fontId="3"/>
  </si>
  <si>
    <t>A4</t>
    <phoneticPr fontId="3"/>
  </si>
  <si>
    <t>メガ・エッグ　ファイバー</t>
    <phoneticPr fontId="3"/>
  </si>
  <si>
    <t>G1</t>
    <phoneticPr fontId="3"/>
  </si>
  <si>
    <t>A5</t>
    <phoneticPr fontId="3"/>
  </si>
  <si>
    <t>ＢＢＩＱホームタイプ</t>
  </si>
  <si>
    <t>H1</t>
    <phoneticPr fontId="3"/>
  </si>
  <si>
    <t>A7</t>
    <phoneticPr fontId="3"/>
  </si>
  <si>
    <t>K1</t>
    <phoneticPr fontId="3"/>
  </si>
  <si>
    <t>J1</t>
    <phoneticPr fontId="3"/>
  </si>
  <si>
    <t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t>
    <phoneticPr fontId="3"/>
  </si>
  <si>
    <t>E1</t>
    <phoneticPr fontId="3"/>
  </si>
  <si>
    <t>C0</t>
    <phoneticPr fontId="3"/>
  </si>
  <si>
    <t>auひかりマンション</t>
  </si>
  <si>
    <t>0000001</t>
    <phoneticPr fontId="3"/>
  </si>
  <si>
    <t>h017065146</t>
  </si>
  <si>
    <t>C2</t>
    <phoneticPr fontId="3"/>
  </si>
  <si>
    <t>03902</t>
    <phoneticPr fontId="3"/>
  </si>
  <si>
    <t>株式会社ケイ・オプティコム</t>
  </si>
  <si>
    <t>B0</t>
    <phoneticPr fontId="3"/>
  </si>
  <si>
    <t>コミュファ光 マンション</t>
  </si>
  <si>
    <t>D2</t>
    <phoneticPr fontId="3"/>
  </si>
  <si>
    <t>B3</t>
    <phoneticPr fontId="3"/>
  </si>
  <si>
    <t>F2</t>
    <phoneticPr fontId="3"/>
  </si>
  <si>
    <t>G2</t>
    <phoneticPr fontId="3"/>
  </si>
  <si>
    <t>株式会社エネルギア・コミュニケーションズ</t>
  </si>
  <si>
    <t>03904</t>
    <phoneticPr fontId="3"/>
  </si>
  <si>
    <t>B5</t>
    <phoneticPr fontId="3"/>
  </si>
  <si>
    <t>ＢＢＩＱマンションタイプ</t>
  </si>
  <si>
    <t>H2</t>
    <phoneticPr fontId="3"/>
  </si>
  <si>
    <t>ＱＴＮｅｔ（ＢＢＩＱ）</t>
  </si>
  <si>
    <t>03900</t>
    <phoneticPr fontId="3"/>
  </si>
  <si>
    <t>03960</t>
    <phoneticPr fontId="3"/>
  </si>
  <si>
    <t>日本ネットワークイネイブラー株式会社</t>
  </si>
  <si>
    <t>03903</t>
    <phoneticPr fontId="3"/>
  </si>
  <si>
    <t>株式会社ＳＴＮｅｔ</t>
  </si>
  <si>
    <t>B4</t>
    <phoneticPr fontId="3"/>
  </si>
  <si>
    <t>中部テレコミュニケーション株式会社</t>
  </si>
  <si>
    <t>03901</t>
    <phoneticPr fontId="3"/>
  </si>
  <si>
    <t>株式会社ＳＴＮｅｔ</t>
    <phoneticPr fontId="72"/>
  </si>
  <si>
    <t>B2</t>
    <phoneticPr fontId="3"/>
  </si>
  <si>
    <t>B6</t>
    <phoneticPr fontId="3"/>
  </si>
  <si>
    <t>マンションＩＳＰサービス</t>
  </si>
  <si>
    <t>Z2</t>
    <phoneticPr fontId="3"/>
  </si>
  <si>
    <t xml:space="preserve">①下記項目がID001で判定がOKであること
　販売状況コード
　申込サービス区分
　サービス名
　提供サービス①
　提供サービス②
　結果①
　結果②
　3M割提携
　備考①-1
　備考①-2　※
　備考②-1　※
　備考フラグ
　マニュアルURL
　番号ポータビリティ可能フラグ　※
　表示可否フラグ
　サービス種別
　事業者コード
　事業者名
　GCコード
　NET/TEL/TV提供区分
</t>
    <rPh sb="1" eb="3">
      <t>カキ</t>
    </rPh>
    <rPh sb="3" eb="5">
      <t>コウモク</t>
    </rPh>
    <rPh sb="12" eb="14">
      <t>ハンテイ</t>
    </rPh>
    <rPh sb="24" eb="26">
      <t>ハンバイ</t>
    </rPh>
    <rPh sb="26" eb="28">
      <t>ジョウキョウ</t>
    </rPh>
    <rPh sb="33" eb="35">
      <t>モウシコミ</t>
    </rPh>
    <rPh sb="39" eb="41">
      <t>クブン</t>
    </rPh>
    <rPh sb="47" eb="48">
      <t>メイ</t>
    </rPh>
    <rPh sb="50" eb="52">
      <t>テイキョウ</t>
    </rPh>
    <rPh sb="59" eb="61">
      <t>テイキョウ</t>
    </rPh>
    <rPh sb="68" eb="70">
      <t>ケッカ</t>
    </rPh>
    <rPh sb="73" eb="75">
      <t>ケッカ</t>
    </rPh>
    <rPh sb="80" eb="81">
      <t>ワ</t>
    </rPh>
    <rPh sb="81" eb="83">
      <t>テイケイ</t>
    </rPh>
    <rPh sb="85" eb="87">
      <t>ビコウ</t>
    </rPh>
    <rPh sb="92" eb="94">
      <t>ビコウ</t>
    </rPh>
    <rPh sb="101" eb="103">
      <t>ビコウ</t>
    </rPh>
    <rPh sb="110" eb="112">
      <t>ビコウ</t>
    </rPh>
    <rPh sb="127" eb="129">
      <t>バンゴウ</t>
    </rPh>
    <rPh sb="136" eb="138">
      <t>カノウ</t>
    </rPh>
    <rPh sb="145" eb="147">
      <t>ヒョウジ</t>
    </rPh>
    <rPh sb="147" eb="149">
      <t>カヒ</t>
    </rPh>
    <rPh sb="158" eb="160">
      <t>シュベツ</t>
    </rPh>
    <rPh sb="162" eb="165">
      <t>ジギョウシャ</t>
    </rPh>
    <rPh sb="170" eb="173">
      <t>ジギョウシャ</t>
    </rPh>
    <rPh sb="173" eb="174">
      <t>メイ</t>
    </rPh>
    <rPh sb="193" eb="195">
      <t>テイキョウ</t>
    </rPh>
    <rPh sb="195" eb="197">
      <t>クブン</t>
    </rPh>
    <phoneticPr fontId="3"/>
  </si>
  <si>
    <t xml:space="preserve">①下記項目がID001で判定がOKであること
　販売状況コード
　申込サービス区分
　サービス名
　提供サービス①
　提供サービス②
　結果①
　結果②
　3M割提携
　備考①-1
　備考②-1　※
　備考フラグ
　マニュアルURL
　番号ポータビリティ可能フラグ　※
　表示可否フラグ
　サービス種別
　事業者コード
　事業者名
　GCコード
　NET/TEL/TV提供区分
</t>
    <rPh sb="24" eb="26">
      <t>ハンバイ</t>
    </rPh>
    <rPh sb="26" eb="28">
      <t>ジョウキョウ</t>
    </rPh>
    <rPh sb="33" eb="35">
      <t>モウシコミ</t>
    </rPh>
    <rPh sb="39" eb="41">
      <t>クブン</t>
    </rPh>
    <rPh sb="47" eb="48">
      <t>メイ</t>
    </rPh>
    <rPh sb="50" eb="52">
      <t>テイキョウ</t>
    </rPh>
    <rPh sb="59" eb="61">
      <t>テイキョウ</t>
    </rPh>
    <rPh sb="68" eb="70">
      <t>ケッカ</t>
    </rPh>
    <rPh sb="73" eb="75">
      <t>ケッカ</t>
    </rPh>
    <rPh sb="80" eb="81">
      <t>ワ</t>
    </rPh>
    <rPh sb="81" eb="83">
      <t>テイケイ</t>
    </rPh>
    <rPh sb="85" eb="87">
      <t>ビコウ</t>
    </rPh>
    <rPh sb="92" eb="94">
      <t>ビコウ</t>
    </rPh>
    <rPh sb="101" eb="103">
      <t>ビコウ</t>
    </rPh>
    <rPh sb="118" eb="120">
      <t>バンゴウ</t>
    </rPh>
    <rPh sb="127" eb="129">
      <t>カノウ</t>
    </rPh>
    <rPh sb="136" eb="138">
      <t>ヒョウジ</t>
    </rPh>
    <rPh sb="138" eb="140">
      <t>カヒ</t>
    </rPh>
    <rPh sb="149" eb="151">
      <t>シュベツ</t>
    </rPh>
    <rPh sb="153" eb="156">
      <t>ジギョウシャ</t>
    </rPh>
    <rPh sb="161" eb="164">
      <t>ジギョウシャ</t>
    </rPh>
    <rPh sb="164" eb="165">
      <t>メイ</t>
    </rPh>
    <rPh sb="184" eb="186">
      <t>テイキョウ</t>
    </rPh>
    <rPh sb="186" eb="188">
      <t>クブン</t>
    </rPh>
    <phoneticPr fontId="3"/>
  </si>
  <si>
    <t>10</t>
    <phoneticPr fontId="3"/>
  </si>
  <si>
    <t>11</t>
    <phoneticPr fontId="3"/>
  </si>
  <si>
    <t>B004</t>
  </si>
  <si>
    <t>20170707120000</t>
  </si>
  <si>
    <t>FMC</t>
  </si>
  <si>
    <t>E845001</t>
  </si>
  <si>
    <t>CASE0010</t>
  </si>
  <si>
    <t>192.168.134.174</t>
  </si>
  <si>
    <t>ORANGE</t>
  </si>
  <si>
    <t>&lt;3Mエリア提供状況照会(戸建)API&gt;
①確認内容
　備考フラグ：「0」、または「1」以外</t>
    <rPh sb="21" eb="23">
      <t>カクニン</t>
    </rPh>
    <rPh sb="23" eb="25">
      <t>ナイヨウ</t>
    </rPh>
    <rPh sb="27" eb="29">
      <t>ビコウ</t>
    </rPh>
    <rPh sb="44" eb="46">
      <t>イガイ</t>
    </rPh>
    <phoneticPr fontId="3"/>
  </si>
  <si>
    <t>&lt;3Mエリア提供状況照会(戸建)API&gt;
①確認内容
　緊急呼提供エリア：「0」、「1」、「2」、「3」以外</t>
    <rPh sb="21" eb="23">
      <t>カクニン</t>
    </rPh>
    <rPh sb="23" eb="25">
      <t>ナイヨウビコウ</t>
    </rPh>
    <rPh sb="28" eb="30">
      <t>キンキュウ</t>
    </rPh>
    <rPh sb="30" eb="31">
      <t>コ</t>
    </rPh>
    <rPh sb="31" eb="33">
      <t>テイキョウ</t>
    </rPh>
    <rPh sb="52" eb="54">
      <t>イガイ</t>
    </rPh>
    <phoneticPr fontId="3"/>
  </si>
  <si>
    <t>Ｗｉｍａｘ</t>
  </si>
  <si>
    <r>
      <rPr>
        <sz val="11"/>
        <rFont val="ＭＳ Ｐゴシック"/>
        <family val="3"/>
        <charset val="128"/>
      </rPr>
      <t>04990</t>
    </r>
    <phoneticPr fontId="3"/>
  </si>
  <si>
    <t>※エリア判定には補足住所での確認が必要です。\⇒　提供不可エリアが有る場合のみ、一覧を表示します。</t>
  </si>
  <si>
    <t>0</t>
    <phoneticPr fontId="3"/>
  </si>
  <si>
    <t>1</t>
    <phoneticPr fontId="3"/>
  </si>
  <si>
    <t>5</t>
    <phoneticPr fontId="3"/>
  </si>
  <si>
    <t>1234567</t>
    <phoneticPr fontId="3"/>
  </si>
  <si>
    <t>ひかりＪホーム（ＪＰＮＥ光コラボ）</t>
  </si>
  <si>
    <t>ａｕひかり ちゅら ホーム</t>
    <phoneticPr fontId="3"/>
  </si>
  <si>
    <t>91</t>
    <phoneticPr fontId="3"/>
  </si>
  <si>
    <t>＋ＷｉＭＡＸ対応Ｗｉ－Ｆｉルーター</t>
    <phoneticPr fontId="3"/>
  </si>
  <si>
    <t>ピカラ光ホーム</t>
    <phoneticPr fontId="3"/>
  </si>
  <si>
    <t xml:space="preserve">絵喜伝：8桁
PASCAL：6桁
ORANGE01：8桁
</t>
    <rPh sb="27" eb="28">
      <t>ケタ</t>
    </rPh>
    <phoneticPr fontId="3"/>
  </si>
  <si>
    <t>2_in</t>
  </si>
  <si>
    <t>C1707001</t>
  </si>
  <si>
    <t>a01</t>
  </si>
  <si>
    <t>ｅｏ光 メゾン／マンション</t>
  </si>
  <si>
    <t>ピカラ光マンション</t>
  </si>
  <si>
    <t>メガ・エッグ　光マンション</t>
  </si>
  <si>
    <t>ホームプラス電話</t>
  </si>
  <si>
    <t>ひかりＪマンション（ＪＰＮＥ光コラボ）</t>
  </si>
  <si>
    <t>ひかりちゅらマンション</t>
    <phoneticPr fontId="3"/>
  </si>
  <si>
    <t>電話サービスはご利用いただけません。</t>
    <phoneticPr fontId="3"/>
  </si>
  <si>
    <t>3_in</t>
  </si>
  <si>
    <t>3_out</t>
  </si>
  <si>
    <t>4_in</t>
  </si>
  <si>
    <t>4_out</t>
  </si>
  <si>
    <t xml:space="preserve">＜検索内容＞ 
下記の通りに値を設定する。
住所コード　　　：17110000001
電話番号　　　　：0334439999
郵便番号　　　　：1040032
住居種別　　　　：0(一戸建て)
顧客種別　　　　：0
共通マンションID：設定なし
申込サービス区分：00(ひかりoneホーム)
(編集パターンが「PTN1」となる区分)
</t>
    <rPh sb="0" eb="2">
      <t>ナイヨウ</t>
    </rPh>
    <rPh sb="8" eb="9">
      <t>トオ</t>
    </rPh>
    <rPh sb="11" eb="12">
      <t>アタイ</t>
    </rPh>
    <rPh sb="13" eb="15">
      <t>セッテイ</t>
    </rPh>
    <rPh sb="21" eb="23">
      <t>ジュウショ</t>
    </rPh>
    <rPh sb="43" eb="45">
      <t>デンワ</t>
    </rPh>
    <rPh sb="45" eb="47">
      <t>バンゴウ</t>
    </rPh>
    <rPh sb="63" eb="67">
      <t>ユウビンバンゴウ</t>
    </rPh>
    <rPh sb="91" eb="93">
      <t>イッコ</t>
    </rPh>
    <rPh sb="93" eb="94">
      <t>ダ</t>
    </rPh>
    <rPh sb="97" eb="99">
      <t>コキャク</t>
    </rPh>
    <rPh sb="99" eb="101">
      <t>シュベツ</t>
    </rPh>
    <rPh sb="108" eb="110">
      <t>キョウツウ</t>
    </rPh>
    <rPh sb="118" eb="120">
      <t>セッテイ</t>
    </rPh>
    <rPh sb="146" eb="148">
      <t>ヘンシュウ</t>
    </rPh>
    <rPh sb="162" eb="164">
      <t>クブン</t>
    </rPh>
    <phoneticPr fontId="3"/>
  </si>
  <si>
    <t>6_in</t>
  </si>
  <si>
    <t>6_out</t>
  </si>
  <si>
    <t>7_in</t>
  </si>
  <si>
    <t>7_out</t>
  </si>
  <si>
    <t>8_in</t>
  </si>
  <si>
    <t>8_out</t>
  </si>
  <si>
    <t>9_in</t>
  </si>
  <si>
    <t>9_out</t>
  </si>
  <si>
    <t>10_in</t>
  </si>
  <si>
    <t>10_out</t>
  </si>
  <si>
    <t>11_in</t>
  </si>
  <si>
    <t>11_out</t>
  </si>
  <si>
    <t>12_in</t>
  </si>
  <si>
    <t>12_out</t>
  </si>
  <si>
    <t>13_in</t>
  </si>
  <si>
    <t>13_out</t>
  </si>
  <si>
    <t>14_in</t>
  </si>
  <si>
    <t>14_out</t>
  </si>
  <si>
    <t>15_in</t>
  </si>
  <si>
    <t>15_out</t>
  </si>
  <si>
    <t>16_in</t>
  </si>
  <si>
    <t>16_out</t>
  </si>
  <si>
    <t>17_in</t>
  </si>
  <si>
    <t>17_out</t>
  </si>
  <si>
    <r>
      <rPr>
        <sz val="11"/>
        <rFont val="ＭＳ Ｐゴシック"/>
        <family val="3"/>
        <charset val="128"/>
      </rPr>
      <t>0</t>
    </r>
    <r>
      <rPr>
        <sz val="11"/>
        <rFont val="ＭＳ Ｐゴシック"/>
        <family val="3"/>
        <charset val="128"/>
      </rPr>
      <t>390</t>
    </r>
    <r>
      <rPr>
        <sz val="11"/>
        <rFont val="ＭＳ Ｐゴシック"/>
        <family val="3"/>
        <charset val="128"/>
      </rPr>
      <t>1</t>
    </r>
    <phoneticPr fontId="3"/>
  </si>
  <si>
    <r>
      <rPr>
        <sz val="11"/>
        <rFont val="ＭＳ Ｐゴシック"/>
        <family val="3"/>
        <charset val="128"/>
      </rPr>
      <t>0</t>
    </r>
    <r>
      <rPr>
        <sz val="11"/>
        <rFont val="ＭＳ Ｐゴシック"/>
        <family val="3"/>
        <charset val="128"/>
      </rPr>
      <t>3902</t>
    </r>
    <phoneticPr fontId="3"/>
  </si>
  <si>
    <t>18_in</t>
  </si>
  <si>
    <t>18_out</t>
  </si>
  <si>
    <r>
      <t>0</t>
    </r>
    <r>
      <rPr>
        <sz val="11"/>
        <rFont val="ＭＳ Ｐゴシック"/>
        <family val="3"/>
        <charset val="128"/>
      </rPr>
      <t>390</t>
    </r>
    <r>
      <rPr>
        <sz val="11"/>
        <rFont val="ＭＳ Ｐゴシック"/>
        <family val="3"/>
        <charset val="128"/>
      </rPr>
      <t>3</t>
    </r>
    <phoneticPr fontId="3"/>
  </si>
  <si>
    <r>
      <t>0</t>
    </r>
    <r>
      <rPr>
        <sz val="11"/>
        <rFont val="ＭＳ Ｐゴシック"/>
        <family val="3"/>
        <charset val="128"/>
      </rPr>
      <t>390</t>
    </r>
    <r>
      <rPr>
        <sz val="11"/>
        <rFont val="ＭＳ Ｐゴシック"/>
        <family val="3"/>
        <charset val="128"/>
      </rPr>
      <t>4</t>
    </r>
    <phoneticPr fontId="3"/>
  </si>
  <si>
    <r>
      <t>0</t>
    </r>
    <r>
      <rPr>
        <sz val="11"/>
        <rFont val="ＭＳ Ｐゴシック"/>
        <family val="3"/>
        <charset val="128"/>
      </rPr>
      <t>390</t>
    </r>
    <r>
      <rPr>
        <sz val="11"/>
        <rFont val="ＭＳ Ｐゴシック"/>
        <family val="3"/>
        <charset val="128"/>
      </rPr>
      <t>0</t>
    </r>
    <phoneticPr fontId="3"/>
  </si>
  <si>
    <t>19_in</t>
  </si>
  <si>
    <t>19_out</t>
  </si>
  <si>
    <t>20_in</t>
  </si>
  <si>
    <t>20_out</t>
  </si>
  <si>
    <r>
      <t>0</t>
    </r>
    <r>
      <rPr>
        <sz val="11"/>
        <rFont val="ＭＳ Ｐゴシック"/>
        <family val="3"/>
        <charset val="128"/>
      </rPr>
      <t>39</t>
    </r>
    <r>
      <rPr>
        <sz val="11"/>
        <rFont val="ＭＳ Ｐゴシック"/>
        <family val="3"/>
        <charset val="128"/>
      </rPr>
      <t>60</t>
    </r>
    <phoneticPr fontId="3"/>
  </si>
  <si>
    <t>21_in</t>
  </si>
  <si>
    <t>21_out</t>
  </si>
  <si>
    <t>22_in</t>
  </si>
  <si>
    <t>22_out</t>
  </si>
  <si>
    <t>23_in</t>
  </si>
  <si>
    <t>23_out</t>
  </si>
  <si>
    <t>24_in</t>
  </si>
  <si>
    <t>24_out</t>
  </si>
  <si>
    <t>25_in</t>
  </si>
  <si>
    <t>25_out</t>
  </si>
  <si>
    <t>ID003</t>
  </si>
  <si>
    <t>ID004</t>
  </si>
  <si>
    <t>ID005</t>
  </si>
  <si>
    <t>ID006</t>
  </si>
  <si>
    <t>ID007</t>
  </si>
  <si>
    <t>ID008</t>
  </si>
  <si>
    <t>ID009</t>
  </si>
  <si>
    <t>ID013</t>
  </si>
  <si>
    <r>
      <t xml:space="preserve">要求項目チェック
</t>
    </r>
    <r>
      <rPr>
        <sz val="9"/>
        <color indexed="23"/>
        <rFont val="ＭＳ ゴシック"/>
        <family val="3"/>
        <charset val="128"/>
      </rPr>
      <t>※共通マンションID未設定</t>
    </r>
    <rPh sb="0" eb="2">
      <t>ヨウキュウ</t>
    </rPh>
    <rPh sb="2" eb="4">
      <t>コウモク</t>
    </rPh>
    <rPh sb="10" eb="12">
      <t>キョウツウ</t>
    </rPh>
    <rPh sb="19" eb="22">
      <t>ミセッテイ</t>
    </rPh>
    <phoneticPr fontId="3"/>
  </si>
  <si>
    <r>
      <t xml:space="preserve">外部API返却チェック
</t>
    </r>
    <r>
      <rPr>
        <sz val="9"/>
        <color indexed="23"/>
        <rFont val="ＭＳ ゴシック"/>
        <family val="3"/>
        <charset val="128"/>
      </rPr>
      <t xml:space="preserve">※レコード必須チェック
</t>
    </r>
    <rPh sb="0" eb="2">
      <t>ガイブ</t>
    </rPh>
    <rPh sb="5" eb="7">
      <t>ヘンキャク</t>
    </rPh>
    <rPh sb="17" eb="19">
      <t>ヒッス</t>
    </rPh>
    <phoneticPr fontId="3"/>
  </si>
  <si>
    <r>
      <t xml:space="preserve">外部API返却チェック
</t>
    </r>
    <r>
      <rPr>
        <sz val="9"/>
        <color indexed="23"/>
        <rFont val="ＭＳ ゴシック"/>
        <family val="3"/>
        <charset val="128"/>
      </rPr>
      <t xml:space="preserve">※備考フラグ必須チェック
</t>
    </r>
    <rPh sb="0" eb="2">
      <t>ガイブ</t>
    </rPh>
    <rPh sb="5" eb="7">
      <t>ヘンキャク</t>
    </rPh>
    <rPh sb="13" eb="15">
      <t>ビコウ</t>
    </rPh>
    <rPh sb="18" eb="20">
      <t>ヒッス</t>
    </rPh>
    <phoneticPr fontId="3"/>
  </si>
  <si>
    <r>
      <t xml:space="preserve">外部API返却チェック
</t>
    </r>
    <r>
      <rPr>
        <sz val="9"/>
        <color indexed="23"/>
        <rFont val="ＭＳ ゴシック"/>
        <family val="3"/>
        <charset val="128"/>
      </rPr>
      <t xml:space="preserve">※備考フラグ必須チェック
</t>
    </r>
    <r>
      <rPr>
        <sz val="11"/>
        <rFont val="ＭＳ Ｐゴシック"/>
        <family val="3"/>
        <charset val="128"/>
      </rPr>
      <t/>
    </r>
    <rPh sb="0" eb="2">
      <t>ガイブ</t>
    </rPh>
    <rPh sb="5" eb="7">
      <t>ヘンキャク</t>
    </rPh>
    <rPh sb="13" eb="15">
      <t>ビコウ</t>
    </rPh>
    <rPh sb="18" eb="20">
      <t>ヒッス</t>
    </rPh>
    <phoneticPr fontId="3"/>
  </si>
  <si>
    <r>
      <t xml:space="preserve">外部API返却チェック
</t>
    </r>
    <r>
      <rPr>
        <sz val="9"/>
        <color indexed="23"/>
        <rFont val="ＭＳ ゴシック"/>
        <family val="3"/>
        <charset val="128"/>
      </rPr>
      <t xml:space="preserve">※緊急呼提供エリア必須チェック
</t>
    </r>
    <rPh sb="0" eb="2">
      <t>ガイブ</t>
    </rPh>
    <rPh sb="5" eb="7">
      <t>ヘンキャク</t>
    </rPh>
    <rPh sb="13" eb="15">
      <t>キンキュウ</t>
    </rPh>
    <rPh sb="15" eb="16">
      <t>コ</t>
    </rPh>
    <rPh sb="16" eb="18">
      <t>テイキョウ</t>
    </rPh>
    <rPh sb="21" eb="23">
      <t>ヒッス</t>
    </rPh>
    <phoneticPr fontId="3"/>
  </si>
  <si>
    <r>
      <t xml:space="preserve">外部API返却チェック
</t>
    </r>
    <r>
      <rPr>
        <sz val="9"/>
        <color indexed="23"/>
        <rFont val="ＭＳ ゴシック"/>
        <family val="3"/>
        <charset val="128"/>
      </rPr>
      <t xml:space="preserve">※PON NGエリア必須チェック
</t>
    </r>
    <rPh sb="0" eb="2">
      <t>ガイブ</t>
    </rPh>
    <rPh sb="5" eb="7">
      <t>ヘンキャク</t>
    </rPh>
    <rPh sb="22" eb="24">
      <t>ヒッス</t>
    </rPh>
    <phoneticPr fontId="3"/>
  </si>
  <si>
    <r>
      <t xml:space="preserve">外部API返却チェック
</t>
    </r>
    <r>
      <rPr>
        <sz val="9"/>
        <color indexed="23"/>
        <rFont val="ＭＳ ゴシック"/>
        <family val="3"/>
        <charset val="128"/>
      </rPr>
      <t xml:space="preserve">※事業者コード・事業者名必須チェック
</t>
    </r>
    <rPh sb="0" eb="2">
      <t>ガイブ</t>
    </rPh>
    <rPh sb="5" eb="7">
      <t>ヘンキャク</t>
    </rPh>
    <rPh sb="13" eb="16">
      <t>ジギョウシャ</t>
    </rPh>
    <rPh sb="20" eb="23">
      <t>ジギョウシャ</t>
    </rPh>
    <rPh sb="23" eb="24">
      <t>メイ</t>
    </rPh>
    <rPh sb="24" eb="26">
      <t>ヒッス</t>
    </rPh>
    <phoneticPr fontId="3"/>
  </si>
  <si>
    <t xml:space="preserve">＜検索内容＞ 
下記の通りに値を設定する。
住所コード　　　：17110000001
電話番号　　　　：0334439999
郵便番号　　　　：1040032
住居種別　　　　：0(一戸建て)
顧客種別　　　　：0
共通マンションID：設定なし
申込サービス区分：04(auひかりちゅらホーム)
(編集パターンが「PTN2」となる区分)
</t>
    <rPh sb="0" eb="2">
      <t>ナイヨウ</t>
    </rPh>
    <rPh sb="8" eb="9">
      <t>トオ</t>
    </rPh>
    <rPh sb="11" eb="12">
      <t>アタイ</t>
    </rPh>
    <rPh sb="13" eb="15">
      <t>セッテイ</t>
    </rPh>
    <rPh sb="148" eb="150">
      <t>ヘンシュウ</t>
    </rPh>
    <rPh sb="164" eb="166">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</si>
  <si>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申込サービス区分：02(ひかりoneホーム(S))
(編集パターンが「PTN3」となる区分)
</t>
    <rPh sb="0" eb="2">
      <t>ナイヨウ</t>
    </rPh>
    <rPh sb="8" eb="9">
      <t>トオ</t>
    </rPh>
    <rPh sb="11" eb="12">
      <t>アタイ</t>
    </rPh>
    <rPh sb="13" eb="15">
      <t>セッテイ</t>
    </rPh>
    <rPh sb="149" eb="151">
      <t>ヘンシュウ</t>
    </rPh>
    <rPh sb="165" eb="167">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</si>
  <si>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申込サービス区分：A2(CATVサービスホーム)
(編集パターンが「PTN6」となる区分)
</t>
    <rPh sb="0" eb="2">
      <t>ナイヨウ</t>
    </rPh>
    <rPh sb="8" eb="9">
      <t>トオ</t>
    </rPh>
    <rPh sb="11" eb="12">
      <t>アタイ</t>
    </rPh>
    <rPh sb="13" eb="15">
      <t>セッテイ</t>
    </rPh>
    <rPh sb="148" eb="150">
      <t>ヘンシュウ</t>
    </rPh>
    <rPh sb="164" eb="166">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</si>
  <si>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申込サービス区分：A1(K-Opticomサービスホーム)
(編集パターンが「PTN7」となる区分)
</t>
    <rPh sb="0" eb="2">
      <t>ナイヨウ</t>
    </rPh>
    <rPh sb="8" eb="9">
      <t>トオ</t>
    </rPh>
    <rPh sb="11" eb="12">
      <t>アタイ</t>
    </rPh>
    <rPh sb="13" eb="15">
      <t>セッテイ</t>
    </rPh>
    <rPh sb="153" eb="155">
      <t>ヘンシュウ</t>
    </rPh>
    <rPh sb="169" eb="171">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</si>
  <si>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申込サービス区分：A0(CTCサービスホーム)
(編集パターンが「PTN7」となる区分)
</t>
    <rPh sb="0" eb="2">
      <t>ナイヨウ</t>
    </rPh>
    <rPh sb="8" eb="9">
      <t>トオ</t>
    </rPh>
    <rPh sb="11" eb="12">
      <t>アタイ</t>
    </rPh>
    <rPh sb="13" eb="15">
      <t>セッテイ</t>
    </rPh>
    <rPh sb="147" eb="149">
      <t>ヘンシュウ</t>
    </rPh>
    <rPh sb="163" eb="165">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</si>
  <si>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申込サービス区分：A3(STNetサービスホーム)
(編集パターンが「PTN7」となる区分)
</t>
    <rPh sb="0" eb="2">
      <t>ナイヨウ</t>
    </rPh>
    <rPh sb="8" eb="9">
      <t>トオ</t>
    </rPh>
    <rPh sb="11" eb="12">
      <t>アタイ</t>
    </rPh>
    <rPh sb="13" eb="15">
      <t>セッテイ</t>
    </rPh>
    <rPh sb="149" eb="151">
      <t>ヘンシュウ</t>
    </rPh>
    <rPh sb="165" eb="167">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</si>
  <si>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申込サービス区分：A4(ENECOMサービスホーム)
(編集パターンが「PTN7」となる区分)
</t>
    <rPh sb="0" eb="2">
      <t>ナイヨウ</t>
    </rPh>
    <rPh sb="8" eb="9">
      <t>トオ</t>
    </rPh>
    <rPh sb="11" eb="12">
      <t>アタイ</t>
    </rPh>
    <rPh sb="13" eb="15">
      <t>セッテイ</t>
    </rPh>
    <rPh sb="150" eb="152">
      <t>ヘンシュウ</t>
    </rPh>
    <rPh sb="166" eb="168">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</si>
  <si>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申込サービス区分：A5(QTNetサービスホーム)
(編集パターンが「PTN7」となる区分)
</t>
    <rPh sb="0" eb="2">
      <t>ナイヨウ</t>
    </rPh>
    <rPh sb="8" eb="9">
      <t>トオ</t>
    </rPh>
    <rPh sb="11" eb="12">
      <t>アタイ</t>
    </rPh>
    <rPh sb="13" eb="15">
      <t>セッテイ</t>
    </rPh>
    <rPh sb="149" eb="151">
      <t>ヘンシュウ</t>
    </rPh>
    <rPh sb="165" eb="167">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</si>
  <si>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申込サービス区分：A7(ひかりJホーム)
(編集パターンが「PTN7」となる区分)
</t>
    <rPh sb="0" eb="2">
      <t>ナイヨウ</t>
    </rPh>
    <rPh sb="8" eb="9">
      <t>トオ</t>
    </rPh>
    <rPh sb="11" eb="12">
      <t>アタイ</t>
    </rPh>
    <rPh sb="13" eb="15">
      <t>セッテイ</t>
    </rPh>
    <rPh sb="144" eb="146">
      <t>ヘンシュウ</t>
    </rPh>
    <rPh sb="160" eb="162">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</si>
  <si>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申込サービス区分：C0(WiMaxハイブリッドルータ)
(編集パターンが「PTN10」となる区分)
</t>
    <rPh sb="6" eb="7">
      <t>トオ</t>
    </rPh>
    <rPh sb="9" eb="10">
      <t>アタイ</t>
    </rPh>
    <rPh sb="11" eb="13">
      <t>セッテイ</t>
    </rPh>
    <rPh sb="118" eb="120">
      <t>セッテイ</t>
    </rPh>
    <rPh sb="149" eb="151">
      <t>ヘンシュウ</t>
    </rPh>
    <rPh sb="166" eb="168">
      <t>クブン</t>
    </rPh>
    <phoneticPr fontId="3"/>
  </si>
  <si>
    <t xml:space="preserve">＜検索内容＞ 
下記の通りに値を設定する。
住所コード　　　：17110000001
電話番号　　　　：0334439999
郵便番号　　　　：1040032
住居種別　　　　：0(一戸建て)
顧客種別　　　　：0
共通マンションID：設定なし
申込サービス区分：C1(ホームプラス)
(編集パターンが「PTN11」となる区分)
</t>
    <rPh sb="0" eb="2">
      <t>ナイヨウ</t>
    </rPh>
    <rPh sb="8" eb="9">
      <t>トオ</t>
    </rPh>
    <rPh sb="11" eb="12">
      <t>アタイ</t>
    </rPh>
    <rPh sb="13" eb="15">
      <t>セッテイ</t>
    </rPh>
    <rPh sb="143" eb="145">
      <t>ヘンシュウ</t>
    </rPh>
    <rPh sb="160" eb="162">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</si>
  <si>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申込サービス区分：10(ひかりoneマンション)
(編集パターンが「PTN4」となる区分)
</t>
    <rPh sb="6" eb="7">
      <t>トオ</t>
    </rPh>
    <rPh sb="9" eb="10">
      <t>アタイ</t>
    </rPh>
    <rPh sb="11" eb="13">
      <t>セッテイ</t>
    </rPh>
    <rPh sb="158" eb="160">
      <t>ヘンシュウ</t>
    </rPh>
    <rPh sb="174" eb="176">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</si>
  <si>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申込サービス区分：11(auひかりちゅらマンション)
(編集パターンが「PTN5」となる区分)
</t>
    <rPh sb="6" eb="7">
      <t>トオ</t>
    </rPh>
    <rPh sb="9" eb="10">
      <t>アタイ</t>
    </rPh>
    <rPh sb="11" eb="13">
      <t>セッテイ</t>
    </rPh>
    <rPh sb="160" eb="162">
      <t>ヘンシュウ</t>
    </rPh>
    <rPh sb="176" eb="178">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</si>
  <si>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申込サービス区分：B2(CATVサービスマンション)
(編集パターンが「PTN8」となる区分)
</t>
    <rPh sb="6" eb="7">
      <t>トオ</t>
    </rPh>
    <rPh sb="9" eb="10">
      <t>アタイ</t>
    </rPh>
    <rPh sb="11" eb="13">
      <t>セッテイ</t>
    </rPh>
    <rPh sb="160" eb="162">
      <t>ヘンシュウ</t>
    </rPh>
    <rPh sb="176" eb="178">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</si>
  <si>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申込サービス区分：B6(マンションISPサービス)
(編集パターンが「PTN8」となる区分)
</t>
    <rPh sb="6" eb="7">
      <t>トオ</t>
    </rPh>
    <rPh sb="9" eb="10">
      <t>アタイ</t>
    </rPh>
    <rPh sb="11" eb="13">
      <t>セッテイ</t>
    </rPh>
    <rPh sb="159" eb="161">
      <t>ヘンシュウ</t>
    </rPh>
    <rPh sb="175" eb="177">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</si>
  <si>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申込サービス区分：B1(K-Opticomサービスマンション)
(編集パターンが「PTN9」となる区分)
</t>
    <rPh sb="6" eb="7">
      <t>トオ</t>
    </rPh>
    <rPh sb="9" eb="10">
      <t>アタイ</t>
    </rPh>
    <rPh sb="11" eb="13">
      <t>セッテイ</t>
    </rPh>
    <rPh sb="165" eb="167">
      <t>ヘンシュウ</t>
    </rPh>
    <rPh sb="181" eb="183">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</si>
  <si>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申込サービス区分：B0(CTCサービスマンション)
(編集パターンが「PTN9」となる区分)
</t>
    <rPh sb="6" eb="7">
      <t>トオ</t>
    </rPh>
    <rPh sb="9" eb="10">
      <t>アタイ</t>
    </rPh>
    <rPh sb="11" eb="13">
      <t>セッテイ</t>
    </rPh>
    <rPh sb="159" eb="161">
      <t>ヘンシュウ</t>
    </rPh>
    <rPh sb="175" eb="177">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</si>
  <si>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申込サービス区分：B3(STNetサービスマンション)
(編集パターンが「PTN9」となる区分)
</t>
    <rPh sb="6" eb="7">
      <t>トオ</t>
    </rPh>
    <rPh sb="9" eb="10">
      <t>アタイ</t>
    </rPh>
    <rPh sb="11" eb="13">
      <t>セッテイ</t>
    </rPh>
    <rPh sb="161" eb="163">
      <t>ヘンシュウ</t>
    </rPh>
    <rPh sb="177" eb="179">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</si>
  <si>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申込サービス区分：B4(ENECOMサービスマンション)
(編集パターンが「PTN9」となる区分)
</t>
    <rPh sb="6" eb="7">
      <t>トオ</t>
    </rPh>
    <rPh sb="9" eb="10">
      <t>アタイ</t>
    </rPh>
    <rPh sb="11" eb="13">
      <t>セッテイ</t>
    </rPh>
    <rPh sb="162" eb="164">
      <t>ヘンシュウ</t>
    </rPh>
    <rPh sb="178" eb="180">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</si>
  <si>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申込サービス区分：B5(QTNetサービスマンション)
(編集パターンが「PTN9」となる区分)
</t>
    <rPh sb="6" eb="7">
      <t>トオ</t>
    </rPh>
    <rPh sb="9" eb="10">
      <t>アタイ</t>
    </rPh>
    <rPh sb="11" eb="13">
      <t>セッテイ</t>
    </rPh>
    <rPh sb="161" eb="163">
      <t>ヘンシュウ</t>
    </rPh>
    <rPh sb="177" eb="179">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</si>
  <si>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申込サービス区分：B7(ひかりJマンション)
(編集パターンが「PTN9」となる区分)
</t>
    <rPh sb="6" eb="7">
      <t>トオ</t>
    </rPh>
    <rPh sb="9" eb="10">
      <t>アタイ</t>
    </rPh>
    <rPh sb="11" eb="13">
      <t>セッテイ</t>
    </rPh>
    <rPh sb="156" eb="158">
      <t>ヘンシュウ</t>
    </rPh>
    <rPh sb="172" eb="174">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</si>
  <si>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申込サービス区分：C0(WiMaxハイブリッドルータ)
(編集パターンが「PTN10」となる区分)
</t>
    <rPh sb="6" eb="7">
      <t>トオ</t>
    </rPh>
    <rPh sb="9" eb="10">
      <t>アタイ</t>
    </rPh>
    <rPh sb="11" eb="13">
      <t>セッテイ</t>
    </rPh>
    <rPh sb="161" eb="163">
      <t>ヘンシュウ</t>
    </rPh>
    <rPh sb="178" eb="180">
      <t>クブン</t>
    </rPh>
    <phoneticPr fontId="3"/>
  </si>
  <si>
    <t xml:space="preserve">＜検索内容＞ 
下記の通りに値を設定する。
住所コード　　　：17110000001
電話番号　　　　：0334439999
郵便番号　　　　：1040032
住居種別　　　　：1(マンション・アパートなど)
顧客種別　　　　：0
共通マンションID：C1707001
申込サービス区分：C1(ホームプラス)
(編集パターンが「PTN11」となる区分)
</t>
    <rPh sb="0" eb="2">
      <t>ナイヨウ</t>
    </rPh>
    <rPh sb="8" eb="9">
      <t>トオ</t>
    </rPh>
    <rPh sb="11" eb="12">
      <t>アタイ</t>
    </rPh>
    <rPh sb="13" eb="15">
      <t>セッテイ</t>
    </rPh>
    <rPh sb="155" eb="157">
      <t>ヘンシュウ</t>
    </rPh>
    <rPh sb="172" eb="174">
      <t>クブン</t>
    </rPh>
    <phoneticPr fontId="3"/>
  </si>
  <si>
    <t xml:space="preserve">＜検索内容＞ 
下記の通りに値を設定する。
住所コード　　　：「17110000001」
共通マンションID：未設定
住居種別　　　　：「1：マンション・アパートなど」
申込サービス区分： 未設定
</t>
    <rPh sb="0" eb="1">
      <t>ケンサク</t>
    </rPh>
    <rPh sb="1" eb="3">
      <t>ナイヨウ</t>
    </rPh>
    <rPh sb="6" eb="8">
      <t>カキ</t>
    </rPh>
    <rPh sb="9" eb="10">
      <t>トオ</t>
    </rPh>
    <rPh sb="12" eb="13">
      <t>アタイ</t>
    </rPh>
    <rPh sb="14" eb="16">
      <t>セッテイ</t>
    </rPh>
    <rPh sb="53" eb="56">
      <t>ミセッテイ</t>
    </rPh>
    <rPh sb="94" eb="97">
      <t>ミセッテイ</t>
    </rPh>
    <phoneticPr fontId="3"/>
  </si>
  <si>
    <t xml:space="preserve">＜検索内容＞ 
下記の通りに値を設定する。
住所コード　　　：「17110000001」
共通マンションID：未設定
住居種別　　　　：「1：マンション・アパートなど」
申込サービス区分：「10：ひかりoneマンション」
</t>
    <rPh sb="0" eb="1">
      <t>ケンサク</t>
    </rPh>
    <rPh sb="1" eb="3">
      <t>ナイヨウ</t>
    </rPh>
    <rPh sb="6" eb="8">
      <t>カキ</t>
    </rPh>
    <rPh sb="9" eb="10">
      <t>トオ</t>
    </rPh>
    <rPh sb="12" eb="13">
      <t>アタイ</t>
    </rPh>
    <rPh sb="14" eb="16">
      <t>セッテイ</t>
    </rPh>
    <rPh sb="53" eb="56">
      <t>ミセッテイ</t>
    </rPh>
    <phoneticPr fontId="3"/>
  </si>
  <si>
    <t xml:space="preserve">＜検索内容＞ 
下記の通りに値を設定する。
住所コード　　　：「17110000001」
共通マンションID：未設定
住居種別　　　　：「1：マンション・アパートなど」
申込サービス区分：「11：auひかりちゅらマンション」
</t>
    <rPh sb="0" eb="1">
      <t>ケンサク</t>
    </rPh>
    <rPh sb="1" eb="3">
      <t>ナイヨウ</t>
    </rPh>
    <rPh sb="6" eb="8">
      <t>カキ</t>
    </rPh>
    <rPh sb="9" eb="10">
      <t>トオ</t>
    </rPh>
    <rPh sb="12" eb="13">
      <t>アタイ</t>
    </rPh>
    <rPh sb="14" eb="16">
      <t>セッテイ</t>
    </rPh>
    <rPh sb="43" eb="45">
      <t>キョウツウ</t>
    </rPh>
    <phoneticPr fontId="3"/>
  </si>
  <si>
    <t xml:space="preserve">＜検索内容＞ 
下記の通りに値を設定する。
住所コード　　：「17110000001」
共通マンションID：未設定
住居種別　　　　：「1：マンション・アパートなど」
申込サービス区分：「B2：CATVマンション」
</t>
    <rPh sb="0" eb="1">
      <t>ナイヨウ</t>
    </rPh>
    <rPh sb="7" eb="8">
      <t>トオ</t>
    </rPh>
    <rPh sb="10" eb="11">
      <t>アタイ</t>
    </rPh>
    <rPh sb="12" eb="14">
      <t>セッテイ</t>
    </rPh>
    <rPh sb="50" eb="53">
      <t>ミセッテイ</t>
    </rPh>
    <phoneticPr fontId="3"/>
  </si>
  <si>
    <t xml:space="preserve">＜検索内容＞ 
下記の通りに値を設定する。
住所コード　　：「17110000001」
共通マンションID：未設定
住居種別　　　　：「1：マンション・アパートなど」
申込サービス区分：「B1：K-Opticonサービスマンション」
</t>
    <rPh sb="0" eb="1">
      <t>ナイヨウ</t>
    </rPh>
    <rPh sb="7" eb="8">
      <t>トオ</t>
    </rPh>
    <rPh sb="10" eb="11">
      <t>アタイ</t>
    </rPh>
    <rPh sb="12" eb="14">
      <t>セッテイ</t>
    </rPh>
    <rPh sb="50" eb="53">
      <t>ミセッテイ</t>
    </rPh>
    <phoneticPr fontId="3"/>
  </si>
  <si>
    <t xml:space="preserve">＜検索内容＞ 
下記の通りに値を設定する。
住所コード　　　：「17110000001」
共通マンションID：未設定
住居種別　　　　：「1：マンション・アパートなど」
申込サービス区分：「B0：CTCサービスマンション」
</t>
    <rPh sb="0" eb="1">
      <t>ナイヨウ</t>
    </rPh>
    <rPh sb="7" eb="8">
      <t>トオ</t>
    </rPh>
    <rPh sb="10" eb="11">
      <t>アタイ</t>
    </rPh>
    <rPh sb="12" eb="14">
      <t>セッテイ</t>
    </rPh>
    <rPh sb="51" eb="54">
      <t>ミセッテイ</t>
    </rPh>
    <phoneticPr fontId="3"/>
  </si>
  <si>
    <t xml:space="preserve">＜検索内容＞ 
下記の通りに値を設定する。
住所コード　　　：「17110000001」
共通マンションID：未設定
住居種別　　　　：「1：マンション・アパートなど」
申込サービス区分：「B3：STNetサービスマンション」
</t>
    <rPh sb="0" eb="1">
      <t>ナイヨウ</t>
    </rPh>
    <rPh sb="7" eb="8">
      <t>トオ</t>
    </rPh>
    <rPh sb="10" eb="11">
      <t>アタイ</t>
    </rPh>
    <rPh sb="12" eb="14">
      <t>セッテイ</t>
    </rPh>
    <rPh sb="51" eb="54">
      <t>ミセッテイ</t>
    </rPh>
    <phoneticPr fontId="3"/>
  </si>
  <si>
    <t xml:space="preserve">＜検索内容＞ 
下記の通りに値を設定する。
住所コード　　　：「17110000001」
共通マンションID：未設定
住居種別　　　　：「1：マンション・アパートなど」
申込サービス区分：「B4：ENECOMサービスマンション」
</t>
    <rPh sb="0" eb="1">
      <t>ナイヨウ</t>
    </rPh>
    <rPh sb="7" eb="8">
      <t>トオ</t>
    </rPh>
    <rPh sb="10" eb="11">
      <t>アタイ</t>
    </rPh>
    <rPh sb="12" eb="14">
      <t>セッテイ</t>
    </rPh>
    <rPh sb="51" eb="54">
      <t>ミセッテイ</t>
    </rPh>
    <phoneticPr fontId="3"/>
  </si>
  <si>
    <t xml:space="preserve">＜検索内容＞ 
下記の通りに値を設定する。
住所コード　　　：「17110000001」
共通マンションID：未設定
住居種別　　　　：「1：マンション・アパートなど」
申込サービス区分：「B5：QTNetサービスマンション」
</t>
    <rPh sb="0" eb="1">
      <t>ナイヨウ</t>
    </rPh>
    <rPh sb="7" eb="8">
      <t>トオ</t>
    </rPh>
    <rPh sb="10" eb="11">
      <t>アタイ</t>
    </rPh>
    <rPh sb="12" eb="14">
      <t>セッテイ</t>
    </rPh>
    <rPh sb="51" eb="54">
      <t>ミセッテイ</t>
    </rPh>
    <phoneticPr fontId="3"/>
  </si>
  <si>
    <t xml:space="preserve">＜検索内容＞ 
下記の通りに値を設定する。
住所コード　　：「17110000001」
共通マンションID：未設定
住居種別　　　　：「1：マンション・アパートなど」
申込サービス区分：「B6：マンションISPサービス」
</t>
    <rPh sb="0" eb="1">
      <t>ナイヨウ</t>
    </rPh>
    <rPh sb="7" eb="8">
      <t>トオ</t>
    </rPh>
    <rPh sb="10" eb="11">
      <t>アタイ</t>
    </rPh>
    <rPh sb="12" eb="14">
      <t>セッテイ</t>
    </rPh>
    <rPh sb="50" eb="53">
      <t>ミセッテイ</t>
    </rPh>
    <phoneticPr fontId="3"/>
  </si>
  <si>
    <t xml:space="preserve">＜検索内容＞ 
下記の通りに値を設定する。
住所コード　　　：「17110000001」
共通マンションID：未設定
住居種別　　　　：「1：マンション・アパートなど」
申込サービス区分：「C0：WiMaxハイブリッドルータ」
</t>
    <rPh sb="0" eb="1">
      <t>ナイヨウ</t>
    </rPh>
    <rPh sb="7" eb="8">
      <t>トオ</t>
    </rPh>
    <rPh sb="10" eb="11">
      <t>アタイ</t>
    </rPh>
    <rPh sb="12" eb="14">
      <t>セッテイ</t>
    </rPh>
    <rPh sb="51" eb="54">
      <t>ミセッテイ</t>
    </rPh>
    <phoneticPr fontId="3"/>
  </si>
  <si>
    <t xml:space="preserve">①応答内容が正しいこと
　API処理状態：「1000：フォーマットエラー」
</t>
  </si>
  <si>
    <t xml:space="preserve">＜検索内容＞ 
下記の通りに値を設定する。
住所コード　　　：「17110000005」
住居種別　　　　：「0：一戸建て」
申込サービス区分：「02：ひかりoneホーム(S)」
</t>
  </si>
  <si>
    <t xml:space="preserve">＜検索内容＞ 
下記の通りに値を設定する。
住所コード　　　：「17110000006」
住居種別　　　　：「0：一戸建て」
申込サービス区分：「00：ひかりoneホーム」
</t>
  </si>
  <si>
    <t xml:space="preserve">＜検索内容＞ 
下記の通りに値を設定する。
住所コード　　　：「17110000007」
住居種別　　　　：「0：一戸建て」
申込サービス区分：「04：auひかりちゅらホーム」
</t>
  </si>
  <si>
    <t>①bbcnwarea-app.log
・下記が出力されていること
　93002C（外部XMLチェックエラー）</t>
  </si>
  <si>
    <t xml:space="preserve">①応答内容が正しいこと
　API処理状態 ：「93：外部XMLチェックエラー」
</t>
  </si>
  <si>
    <t xml:space="preserve">&lt;3Mエリア提供状況照会(戸建)API&gt;
①確認内容
サービス種別：「07：ひかりoneホーム」が非存在
</t>
  </si>
  <si>
    <t>&lt;3Mエリア提供状況照会(戸建)API&gt;
①確認内容
サービス種別：「A1：auひかりちゅらホーム」が非存在</t>
  </si>
  <si>
    <t>&lt;3Mエリア提供状況照会(戸建)API&gt;
①確認内容
サービス種別：「01：ひかりoneホーム(S)」が非存在</t>
  </si>
  <si>
    <t>&lt;3Mエリア提供状況照会(戸建)API&gt;
①確認内容
サービス種別：「E1：WiMAXハイブリッドルータ」が非存在</t>
  </si>
  <si>
    <t xml:space="preserve">＜検索内容＞ 
下記の通りに値を設定する。
住所コード　　　：「17110000009」
住居種別　　　　：「0：一戸建て」
申込サービス区分：「00：ひかりoneホーム」
</t>
  </si>
  <si>
    <t xml:space="preserve">＜検索内容＞ 
下記の通りに値を設定する。
住所コード　　　：「17110000011」
住居種別　　　　：「0：一戸建て」
申込サービス区分：「00：ひかりoneホーム」
</t>
  </si>
  <si>
    <t xml:space="preserve">＜検索内容＞ 
下記の通りに値を設定する。
住所コード　　　：「17110000013」
住居種別　　　　：「0：一戸建て」
申込サービス区分：「02：ひかりoneホーム(S)」
</t>
  </si>
  <si>
    <t>&lt;3Mエリア提供状況照会(戸建)API&gt;
①確認内容
　事業者コード：未設定
　事業者名：正常値</t>
  </si>
  <si>
    <t>&lt;3Mエリア提供状況照会(戸建)API&gt;
①確認内容
　サービス提供状況：「06」
　事業者コード：未設定
　事業者名：未設定</t>
  </si>
  <si>
    <t>①応答内容が正しいこと
　API処理状態 ：「00：正常」
　サービス種別：「K1：ひかりJホーム」
　結果①　　　：「3：×」</t>
  </si>
  <si>
    <t xml:space="preserve">＜検索内容＞ 
下記の通りに値を設定する。
住所コード　　　：「17110000002」
住居種別　　　　：「0：一戸建て」
申込サービス区分：「A1：K-Opticomサービスホーム」
</t>
  </si>
  <si>
    <t xml:space="preserve">＜検索内容＞ 
下記の通りに値を設定する。
住所コード　　　：「17110000004」
住居種別　　　　：「0：一戸建て」
申込サービス区分：「A7：ひかりJホーム」
</t>
  </si>
  <si>
    <t xml:space="preserve">＜検索内容＞
下記の通りに値を設定する。
住所コード　　　：「1711000001」
共通マンションID：「C1711005」
住居種別　　　　：「1：マンション・アパートなど」
申込サービス区分：「10：ひかりoneマンション」
</t>
  </si>
  <si>
    <t xml:space="preserve">＜検索内容＞
下記の通りに値を設定する。
住所コード　　：「17110000001」
共通マンションID：「C1711006」
住居種別　　　　：「1：マンション・アパートなど」
申込サービス区分：「11：auひかりちゅらマンション」
</t>
  </si>
  <si>
    <t xml:space="preserve">&lt;3Mエリア提供状況照会(マンション)API&gt;
①確認内容
サービス種別：「00：ひかりoneマンション」が非存在
</t>
  </si>
  <si>
    <t xml:space="preserve">&lt;3Mエリア提供状況照会(マンション)API&gt;
①確認内容
サービス種別：「A2：auひかりちゅらマンション」非存在
</t>
  </si>
  <si>
    <t xml:space="preserve">&lt;3Mエリア提供状況照会(マンション)API&gt;
①確認内容
サービス種別：「E1：WiMAXハイブリッドルータ」非存在
</t>
  </si>
  <si>
    <t xml:space="preserve">＜検索内容＞ 
下記の通りに値を設定する。
住所コード　　　：「17110000001」
共通マンションID：「C1711008」
住居種別　　　　：「1：マンション・アパートなど」
申込サービス区分：「10：ひかりoneマンション」
</t>
  </si>
  <si>
    <t>&lt;3Mエリア提供状況照会(マンション)API&gt;
①確認内容
　緊急呼提供エリア：0、1、2、3以外</t>
  </si>
  <si>
    <t>&lt;3Mエリア提供状況照会(戸建)API&gt;
①確認内容
　事業者コード：正常値
　事業者名：未設定</t>
  </si>
  <si>
    <t xml:space="preserve">＜検索内容＞ 
下記の通りに値を設定する。
住所コード　　：「17110000001」
共通マンションID：「C1711002」
住居種別　　　　：「1：マンション・アパートなど」
申込サービス区分：「B0：CTCサービスマンション」
</t>
  </si>
  <si>
    <t xml:space="preserve">＜検索内容＞ 
下記の通りに値を設定する。
住所コード　　：「17110000001」
共通マンションID：「C1711004」
住居種別　　　　：「1：マンション・アパートなど」
申込サービス区分：「B6：マンションISP」
</t>
  </si>
  <si>
    <r>
      <t>&lt;3Mエリア提供状況照会(戸建)API&gt;
①確認内容
　サービス提供状況：「06:未提供」
　事業者コード：</t>
    </r>
    <r>
      <rPr>
        <b/>
        <sz val="9"/>
        <rFont val="ＭＳ ゴシック"/>
        <family val="3"/>
        <charset val="128"/>
      </rPr>
      <t>未設定</t>
    </r>
    <r>
      <rPr>
        <sz val="9"/>
        <rFont val="ＭＳ ゴシック"/>
        <family val="3"/>
        <charset val="128"/>
      </rPr>
      <t xml:space="preserve">
　事業者名：</t>
    </r>
    <r>
      <rPr>
        <b/>
        <sz val="9"/>
        <rFont val="ＭＳ ゴシック"/>
        <family val="3"/>
        <charset val="128"/>
      </rPr>
      <t>未設定</t>
    </r>
  </si>
  <si>
    <t xml:space="preserve">＜検索内容＞（ATOM経由） 
下記の通りに値を設定する。
住所コード　　　：「17110000001」
共通マンションID：未設定
住居種別　　　　：「1：マンション・アパートなど」
申込サービス区分：「B7：ひかりJマンション」
</t>
  </si>
  <si>
    <t xml:space="preserve">＜検索内容＞ （ATOM経由）
下記の通りに値を設定する。
住所コード　　　：「17110000008」
住居種別　　　　：「0：一戸建て」
申込サービス区分：「C0：WiMaxハイブリッドルータ」
</t>
  </si>
  <si>
    <t xml:space="preserve">＜検索内容＞ （ATOM経由）
下記の通りに値を設定する。
住所コード　　　：「17110000010」
住居種別　　　　：「0：一戸建て」
申込サービス区分：「02：ひかりoneホーム(S)」
</t>
  </si>
  <si>
    <t xml:space="preserve">＜検索内容＞ （ATOM経由）
下記の通りに値を設定する。
住所コード　　　：「17110000012」
住居種別　　　　：「0：一戸建て」
申込サービス区分：「02：ひかりoneホーム(S)」
</t>
  </si>
  <si>
    <t xml:space="preserve">＜検索内容＞ （ATOM経由）
下記の通りに値を設定する。
住所コード　　　：「17110000003」
住居種別　　　　：「0：一戸建て」
申込サービス区分：「A4：ENECOMサービスホーム」
</t>
  </si>
  <si>
    <t xml:space="preserve">＜検索内容＞（ATOM経由）
下記の通りに値を設定する。
住所コード　　  ：「17110000001」
共通マンションID：「C1711007」
住居種別　　　　：「1：マンション・アパートなど」
申込サービス区分：「C0：WiMaxハイブリッドルータ」
</t>
  </si>
  <si>
    <t xml:space="preserve">＜検索内容＞ （ATOM経由）
下記の通りに値を設定する。
住所コード　　：「17110000001」
共通マンションID：「C1711003」
住居種別　　　　：「1：マンション・アパートなど」
申込サービス区分：「B5：QTNetサービスマンション」
</t>
  </si>
  <si>
    <t xml:space="preserve">①応答内容が正しいこと
　API処理状態：「9100：フォーマットエラー」
</t>
  </si>
  <si>
    <t>①応答内容が正しいこと
　API処理状態 ：「00：正常」
　サービス種別：「C1：株式会社ケイ・オプティコム」
　結果①　　　：「3：×」</t>
  </si>
  <si>
    <t>①応答内容が正しいこと
　API処理状態 ：「00：正常」
　サービス種別：「G1：メガ・エッグ　ファイバー」
　結果①　　　：「3：×」</t>
  </si>
  <si>
    <t xml:space="preserve">①応答内容が正しいこと
　API処理状態 ：「00：正常」
　サービス種別：「H2：ＢＢＩＱマンションタイプ」
　結果①　　　：「3：×」
</t>
  </si>
  <si>
    <t xml:space="preserve">①応答内容が正しいこと
　API処理状態 ：「00：正常」
　サービス種別：「D2：コミュファ光 マンション」
　結果①　　　：「3：×」
</t>
  </si>
  <si>
    <t>①応答内容が正しいこと
　API処理状態：「00：正常
　サービス種別：「Z2：マンションISP」
　結果①　　　：「3：×」</t>
  </si>
  <si>
    <t>①bbcnwarea-app.log
　エラー発生していないこと
これで正しいっぽい
できたら確認お願い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</si>
</sst>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Red]&quot;¥&quot;\-#,##0"/>
    <numFmt numFmtId="41" formatCode="_ * #,##0_ ;_ * \-#,##0_ ;_ * &quot;-&quot;_ ;_ @_ "/>
    <numFmt numFmtId="43" formatCode="_ * #,##0.00_ ;_ * \-#,##0.00_ ;_ * &quot;-&quot;??_ ;_ @_ "/>
    <numFmt numFmtId="176" formatCode="#,##0_ "/>
    <numFmt numFmtId="177" formatCode="#,##0.0&quot;人月&quot;"/>
    <numFmt numFmtId="178" formatCode="&quot;¥&quot;\$#,##0.00_);[Red]&quot;¥&quot;\(&quot;¥&quot;\$#,##0.00&quot;¥&quot;\)"/>
    <numFmt numFmtId="179" formatCode="&quot;$&quot;#,##0_);[Red]&quot;¥&quot;&quot;¥&quot;&quot;¥&quot;\(&quot;$&quot;#,##0&quot;¥&quot;&quot;¥&quot;&quot;¥&quot;\)"/>
    <numFmt numFmtId="180" formatCode="&quot;$&quot;#,##0.00_);[Red]&quot;¥&quot;&quot;¥&quot;&quot;¥&quot;\(&quot;$&quot;#,##0.00&quot;¥&quot;&quot;¥&quot;&quot;¥&quot;\)"/>
    <numFmt numFmtId="181" formatCode="000"/>
    <numFmt numFmtId="182" formatCode="00000"/>
    <numFmt numFmtId="183" formatCode="_(* #,##0.00000_);_(* \(#,##0.00000\);_(* &quot;-&quot;??_);_(@_)"/>
    <numFmt numFmtId="184" formatCode="_(* #,##0.000000_);_(* \(#,##0.000000\);_(* &quot;-&quot;??_);_(@_)"/>
    <numFmt numFmtId="185" formatCode="0.00000%"/>
    <numFmt numFmtId="186" formatCode="0%\);[Red]\(0%\)"/>
    <numFmt numFmtId="187" formatCode="#,##0_ ;[Red]&quot;¥&quot;\!\-#,##0&quot;¥&quot;\!\ "/>
    <numFmt numFmtId="188" formatCode="0_ ;[Red]&quot;¥&quot;\!\-0&quot;¥&quot;\!\ "/>
    <numFmt numFmtId="189" formatCode="&quot;¥&quot;#,##0.0;[Red]&quot;¥&quot;\-#,##0.0"/>
  </numFmts>
  <fonts count="76">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10"/>
      <name val="ＭＳ Ｐゴシック"/>
      <family val="3"/>
      <charset val="128"/>
    </font>
    <font>
      <b/>
      <sz val="11"/>
      <name val="ＭＳ Ｐゴシック"/>
      <family val="3"/>
      <charset val="128"/>
    </font>
    <font>
      <sz val="10"/>
      <name val="??"/>
      <family val="3"/>
    </font>
    <font>
      <sz val="10"/>
      <name val="，iA¶"/>
      <family val="3"/>
      <charset val="128"/>
    </font>
    <font>
      <sz val="10"/>
      <name val="Helv"/>
      <family val="2"/>
    </font>
    <font>
      <sz val="11"/>
      <name val="??"/>
      <family val="3"/>
    </font>
    <font>
      <b/>
      <sz val="10"/>
      <name val="Helv"/>
      <family val="2"/>
    </font>
    <font>
      <sz val="8"/>
      <name val="Arial"/>
      <family val="2"/>
    </font>
    <font>
      <b/>
      <sz val="12"/>
      <name val="Helv"/>
      <family val="2"/>
    </font>
    <font>
      <b/>
      <sz val="10"/>
      <name val="Arial"/>
      <family val="2"/>
    </font>
    <font>
      <b/>
      <sz val="14"/>
      <name val="Arial"/>
      <family val="2"/>
    </font>
    <font>
      <b/>
      <sz val="12"/>
      <name val="Arial"/>
      <family val="2"/>
    </font>
    <font>
      <sz val="20"/>
      <name val="HP Logo LG"/>
      <family val="3"/>
      <charset val="128"/>
    </font>
    <font>
      <b/>
      <sz val="11"/>
      <name val="Helv"/>
      <family val="2"/>
    </font>
    <font>
      <sz val="11"/>
      <name val="1UAAA?"/>
      <family val="3"/>
    </font>
    <font>
      <sz val="10"/>
      <name val="Arial"/>
      <family val="2"/>
    </font>
    <font>
      <sz val="10"/>
      <name val="MS Sans Serif"/>
      <family val="2"/>
    </font>
    <font>
      <b/>
      <sz val="10"/>
      <name val="MS Sans Serif"/>
      <family val="2"/>
    </font>
    <font>
      <b/>
      <sz val="10"/>
      <color indexed="12"/>
      <name val="Times New Roman"/>
      <family val="1"/>
    </font>
    <font>
      <sz val="10"/>
      <color indexed="12"/>
      <name val="Arial"/>
      <family val="2"/>
    </font>
    <font>
      <b/>
      <sz val="8"/>
      <name val="Arial"/>
      <family val="2"/>
    </font>
    <font>
      <sz val="11"/>
      <name val="明朝"/>
      <family val="1"/>
      <charset val="128"/>
    </font>
    <font>
      <b/>
      <sz val="16"/>
      <name val="丸ｺﾞｼｯｸ"/>
      <family val="3"/>
      <charset val="128"/>
    </font>
    <font>
      <u/>
      <sz val="9.35"/>
      <color indexed="12"/>
      <name val="ＭＳ Ｐゴシック"/>
      <family val="3"/>
      <charset val="128"/>
    </font>
    <font>
      <sz val="9"/>
      <name val="ＭＳ Ｐゴシック"/>
      <family val="3"/>
      <charset val="128"/>
    </font>
    <font>
      <sz val="9"/>
      <name val="ＭＳ ゴシック"/>
      <family val="3"/>
      <charset val="128"/>
    </font>
    <font>
      <sz val="10"/>
      <name val="ＭＳ Ｐ明朝"/>
      <family val="1"/>
      <charset val="128"/>
    </font>
    <font>
      <b/>
      <sz val="15"/>
      <color indexed="56"/>
      <name val="ＭＳ Ｐゴシック"/>
      <family val="3"/>
      <charset val="128"/>
    </font>
    <font>
      <sz val="11"/>
      <name val="ＭＳ ゴシック"/>
      <family val="3"/>
      <charset val="128"/>
    </font>
    <font>
      <sz val="14"/>
      <name val="ＭＳ 明朝"/>
      <family val="1"/>
      <charset val="128"/>
    </font>
    <font>
      <b/>
      <sz val="11"/>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BERNHARD"/>
      <family val="2"/>
    </font>
    <font>
      <sz val="1"/>
      <color indexed="8"/>
      <name val="Courier"/>
      <family val="3"/>
    </font>
    <font>
      <b/>
      <sz val="1"/>
      <color indexed="8"/>
      <name val="Courier"/>
      <family val="3"/>
    </font>
    <font>
      <sz val="9"/>
      <name val="Times New Roman"/>
      <family val="1"/>
    </font>
    <font>
      <i/>
      <sz val="11"/>
      <color indexed="23"/>
      <name val="Calibri"/>
      <family val="2"/>
    </font>
    <font>
      <sz val="11"/>
      <color indexed="17"/>
      <name val="Calibri"/>
      <family val="2"/>
    </font>
    <font>
      <b/>
      <sz val="13"/>
      <color indexed="56"/>
      <name val="Calibri"/>
      <family val="2"/>
    </font>
    <font>
      <b/>
      <sz val="11"/>
      <color indexed="56"/>
      <name val="Calibri"/>
      <family val="2"/>
    </font>
    <font>
      <sz val="10"/>
      <name val="ＭＳ ゴシック"/>
      <family val="3"/>
      <charset val="128"/>
    </font>
    <font>
      <sz val="11"/>
      <color indexed="62"/>
      <name val="Calibri"/>
      <family val="2"/>
    </font>
    <font>
      <sz val="11"/>
      <color indexed="52"/>
      <name val="Calibri"/>
      <family val="2"/>
    </font>
    <font>
      <sz val="11"/>
      <color indexed="60"/>
      <name val="Calibri"/>
      <family val="2"/>
    </font>
    <font>
      <sz val="7"/>
      <name val="Small Fonts"/>
      <family val="3"/>
      <charset val="128"/>
    </font>
    <font>
      <sz val="8"/>
      <name val="Times New Roman"/>
      <family val="1"/>
    </font>
    <font>
      <sz val="14"/>
      <name val="?? ??"/>
      <family val="1"/>
    </font>
    <font>
      <b/>
      <sz val="11"/>
      <color indexed="63"/>
      <name val="Calibri"/>
      <family val="2"/>
    </font>
    <font>
      <sz val="8"/>
      <color indexed="16"/>
      <name val="Century Schoolbook"/>
      <family val="1"/>
    </font>
    <font>
      <sz val="8"/>
      <name val="Helv"/>
      <family val="2"/>
    </font>
    <font>
      <b/>
      <i/>
      <sz val="10"/>
      <name val="Times New Roman"/>
      <family val="1"/>
    </font>
    <font>
      <sz val="10"/>
      <name val="Times New Roman"/>
      <family val="1"/>
    </font>
    <font>
      <b/>
      <sz val="18"/>
      <color indexed="56"/>
      <name val="Cambria"/>
      <family val="1"/>
    </font>
    <font>
      <sz val="11"/>
      <color indexed="10"/>
      <name val="Calibri"/>
      <family val="2"/>
    </font>
    <font>
      <b/>
      <sz val="12"/>
      <name val="標準ゴシック"/>
      <family val="3"/>
      <charset val="128"/>
    </font>
    <font>
      <sz val="10"/>
      <name val="ＭＳ 明朝"/>
      <family val="1"/>
      <charset val="128"/>
    </font>
    <font>
      <sz val="20"/>
      <name val="ＭＳ ゴシック"/>
      <family val="3"/>
      <charset val="128"/>
    </font>
    <font>
      <b/>
      <sz val="11"/>
      <name val="ＭＳ ゴシック"/>
      <family val="3"/>
      <charset val="128"/>
    </font>
    <font>
      <sz val="11"/>
      <color indexed="10"/>
      <name val="ＭＳ Ｐゴシック"/>
      <family val="3"/>
      <charset val="128"/>
    </font>
    <font>
      <b/>
      <sz val="11"/>
      <color indexed="10"/>
      <name val="ＭＳ Ｐゴシック"/>
      <family val="3"/>
      <charset val="128"/>
    </font>
    <font>
      <strike/>
      <sz val="11"/>
      <color indexed="10"/>
      <name val="ＭＳ Ｐゴシック"/>
      <family val="3"/>
      <charset val="128"/>
    </font>
    <font>
      <strike/>
      <sz val="11"/>
      <name val="ＭＳ Ｐゴシック"/>
      <family val="3"/>
      <charset val="128"/>
    </font>
    <font>
      <sz val="9"/>
      <color indexed="23"/>
      <name val="ＭＳ ゴシック"/>
      <family val="3"/>
      <charset val="128"/>
    </font>
    <font>
      <b/>
      <sz val="9"/>
      <name val="ＭＳ ゴシック"/>
      <family val="3"/>
      <charset val="128"/>
    </font>
    <font>
      <sz val="6"/>
      <name val="ＭＳ ゴシック"/>
      <family val="3"/>
      <charset val="128"/>
    </font>
    <font>
      <sz val="11"/>
      <color theme="1"/>
      <name val="ＭＳ Ｐゴシック"/>
      <family val="3"/>
      <charset val="128"/>
      <scheme val="minor"/>
    </font>
    <font>
      <sz val="9"/>
      <color rgb="FFFF0000"/>
      <name val="ＭＳ ゴシック"/>
      <family val="3"/>
      <charset val="128"/>
    </font>
    <font>
      <sz val="11"/>
      <color rgb="FFFF0000"/>
      <name val="ＭＳ Ｐゴシック"/>
      <family val="3"/>
      <charset val="128"/>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64"/>
      </patternFill>
    </fill>
    <fill>
      <patternFill patternType="solid">
        <fgColor indexed="22"/>
        <bgColor indexed="64"/>
      </patternFill>
    </fill>
    <fill>
      <patternFill patternType="solid">
        <fgColor indexed="43"/>
      </patternFill>
    </fill>
    <fill>
      <patternFill patternType="solid">
        <fgColor indexed="26"/>
      </patternFill>
    </fill>
    <fill>
      <patternFill patternType="solid">
        <fgColor indexed="42"/>
        <bgColor indexed="42"/>
      </patternFill>
    </fill>
    <fill>
      <patternFill patternType="lightGray"/>
    </fill>
    <fill>
      <patternFill patternType="solid">
        <fgColor indexed="44"/>
        <bgColor indexed="64"/>
      </patternFill>
    </fill>
    <fill>
      <patternFill patternType="solid">
        <fgColor rgb="FFFFFF00"/>
        <bgColor indexed="64"/>
      </patternFill>
    </fill>
    <fill>
      <patternFill patternType="solid">
        <fgColor rgb="FFFFC000"/>
        <bgColor indexed="64"/>
      </patternFill>
    </fill>
    <fill>
      <patternFill patternType="solid">
        <fgColor rgb="FF99FF99"/>
        <bgColor indexed="64"/>
      </patternFill>
    </fill>
    <fill>
      <patternFill patternType="solid">
        <fgColor theme="9" tint="0.59999389629810485"/>
        <bgColor indexed="64"/>
      </patternFill>
    </fill>
    <fill>
      <patternFill patternType="solid">
        <fgColor rgb="FF99CCFF"/>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FFFF"/>
        <bgColor indexed="64"/>
      </patternFill>
    </fill>
    <fill>
      <patternFill patternType="solid">
        <fgColor rgb="FF00B0F0"/>
        <bgColor indexed="64"/>
      </patternFill>
    </fill>
  </fills>
  <borders count="79">
    <border>
      <left/>
      <right/>
      <top/>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top style="double">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62"/>
      </top>
      <bottom style="double">
        <color indexed="62"/>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right/>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double">
        <color indexed="64"/>
      </bottom>
      <diagonal/>
    </border>
    <border>
      <left style="thin">
        <color indexed="64"/>
      </left>
      <right/>
      <top/>
      <bottom style="double">
        <color indexed="64"/>
      </bottom>
      <diagonal/>
    </border>
    <border>
      <left/>
      <right style="medium">
        <color indexed="64"/>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style="thin">
        <color indexed="64"/>
      </left>
      <right/>
      <top/>
      <bottom style="thin">
        <color indexed="64"/>
      </bottom>
      <diagonal/>
    </border>
    <border>
      <left/>
      <right style="medium">
        <color indexed="64"/>
      </right>
      <top/>
      <bottom style="thin">
        <color indexed="64"/>
      </bottom>
      <diagonal/>
    </border>
    <border>
      <left/>
      <right style="medium">
        <color indexed="64"/>
      </right>
      <top style="double">
        <color indexed="64"/>
      </top>
      <bottom style="thin">
        <color indexed="64"/>
      </bottom>
      <diagonal/>
    </border>
    <border>
      <left style="medium">
        <color indexed="64"/>
      </left>
      <right/>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99">
    <xf numFmtId="0" fontId="0" fillId="0" borderId="0">
      <alignment vertical="center"/>
    </xf>
    <xf numFmtId="0" fontId="6" fillId="0" borderId="1"/>
    <xf numFmtId="0" fontId="6" fillId="0" borderId="0"/>
    <xf numFmtId="0" fontId="7" fillId="0" borderId="1"/>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179" fontId="8" fillId="0" borderId="0" applyFont="0" applyFill="0" applyBorder="0" applyAlignment="0" applyProtection="0"/>
    <xf numFmtId="180" fontId="8"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0" fontId="37" fillId="3" borderId="0" applyNumberFormat="0" applyBorder="0" applyAlignment="0" applyProtection="0"/>
    <xf numFmtId="0" fontId="30" fillId="0" borderId="0">
      <alignment vertical="center" wrapText="1"/>
    </xf>
    <xf numFmtId="0" fontId="8" fillId="0" borderId="0"/>
    <xf numFmtId="0" fontId="9" fillId="0" borderId="0" applyFill="0" applyBorder="0" applyAlignment="0"/>
    <xf numFmtId="0" fontId="38" fillId="20" borderId="2" applyNumberFormat="0" applyAlignment="0" applyProtection="0"/>
    <xf numFmtId="0" fontId="10" fillId="0" borderId="0"/>
    <xf numFmtId="0" fontId="39" fillId="21" borderId="3" applyNumberFormat="0" applyAlignment="0" applyProtection="0"/>
    <xf numFmtId="41" fontId="19" fillId="0" borderId="0" applyFont="0" applyFill="0" applyBorder="0" applyAlignment="0" applyProtection="0"/>
    <xf numFmtId="43" fontId="19" fillId="0" borderId="0" applyFont="0" applyFill="0" applyBorder="0" applyAlignment="0" applyProtection="0"/>
    <xf numFmtId="0" fontId="40" fillId="0" borderId="0"/>
    <xf numFmtId="0" fontId="8" fillId="0" borderId="0"/>
    <xf numFmtId="0" fontId="40" fillId="0" borderId="0"/>
    <xf numFmtId="0" fontId="8" fillId="0" borderId="0"/>
    <xf numFmtId="181" fontId="19" fillId="0" borderId="0" applyFont="0" applyFill="0" applyBorder="0" applyAlignment="0" applyProtection="0"/>
    <xf numFmtId="182" fontId="19" fillId="0" borderId="0" applyFont="0" applyFill="0" applyBorder="0" applyAlignment="0" applyProtection="0"/>
    <xf numFmtId="0" fontId="41" fillId="0" borderId="0">
      <protection locked="0"/>
    </xf>
    <xf numFmtId="0" fontId="42" fillId="0" borderId="0">
      <protection locked="0"/>
    </xf>
    <xf numFmtId="0" fontId="42" fillId="0" borderId="0">
      <protection locked="0"/>
    </xf>
    <xf numFmtId="0" fontId="43" fillId="0" borderId="0">
      <alignment horizontal="left"/>
    </xf>
    <xf numFmtId="0" fontId="44" fillId="0" borderId="0" applyNumberFormat="0" applyFill="0" applyBorder="0" applyAlignment="0" applyProtection="0"/>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5" fillId="4" borderId="0" applyNumberFormat="0" applyBorder="0" applyAlignment="0" applyProtection="0"/>
    <xf numFmtId="38" fontId="11" fillId="22" borderId="0" applyNumberFormat="0" applyBorder="0" applyAlignment="0" applyProtection="0"/>
    <xf numFmtId="0" fontId="12" fillId="0" borderId="0">
      <alignment horizontal="left"/>
    </xf>
    <xf numFmtId="0" fontId="13" fillId="0" borderId="4" applyFill="0" applyBorder="0"/>
    <xf numFmtId="0" fontId="11" fillId="0" borderId="4" applyBorder="0">
      <alignment horizontal="center" vertical="center"/>
    </xf>
    <xf numFmtId="0" fontId="14" fillId="0" borderId="4" applyBorder="0">
      <alignment horizontal="center" vertical="center"/>
    </xf>
    <xf numFmtId="0" fontId="15" fillId="0" borderId="5" applyNumberFormat="0" applyAlignment="0" applyProtection="0">
      <alignment horizontal="left" vertical="center"/>
    </xf>
    <xf numFmtId="0" fontId="15" fillId="0" borderId="6">
      <alignment horizontal="left" vertical="center"/>
    </xf>
    <xf numFmtId="0" fontId="15" fillId="0" borderId="0" applyFill="0" applyBorder="0" applyAlignment="0">
      <alignment vertical="center"/>
    </xf>
    <xf numFmtId="0" fontId="46" fillId="0" borderId="7" applyNumberFormat="0" applyFill="0" applyAlignment="0" applyProtection="0"/>
    <xf numFmtId="0" fontId="47" fillId="0" borderId="8" applyNumberFormat="0" applyFill="0" applyAlignment="0" applyProtection="0"/>
    <xf numFmtId="0" fontId="47" fillId="0" borderId="0" applyNumberFormat="0" applyFill="0" applyBorder="0" applyAlignment="0" applyProtection="0"/>
    <xf numFmtId="0" fontId="16" fillId="0" borderId="4" applyBorder="0">
      <alignment horizontal="center" vertical="center"/>
    </xf>
    <xf numFmtId="0" fontId="27" fillId="0" borderId="0" applyNumberFormat="0" applyFill="0" applyBorder="0" applyAlignment="0" applyProtection="0">
      <alignment vertical="top"/>
      <protection locked="0"/>
    </xf>
    <xf numFmtId="0" fontId="48" fillId="0" borderId="0" applyBorder="0"/>
    <xf numFmtId="0" fontId="49" fillId="7" borderId="2" applyNumberFormat="0" applyAlignment="0" applyProtection="0"/>
    <xf numFmtId="10" fontId="11" fillId="22" borderId="9" applyNumberFormat="0" applyBorder="0" applyAlignment="0" applyProtection="0"/>
    <xf numFmtId="0" fontId="48" fillId="0" borderId="0"/>
    <xf numFmtId="0" fontId="50" fillId="0" borderId="10" applyNumberFormat="0" applyFill="0" applyAlignment="0" applyProtection="0"/>
    <xf numFmtId="0" fontId="25" fillId="23" borderId="0" applyNumberFormat="0" applyFont="0" applyBorder="0" applyAlignment="0" applyProtection="0"/>
    <xf numFmtId="183" fontId="1" fillId="0" borderId="0" applyFont="0" applyFill="0" applyBorder="0" applyAlignment="0" applyProtection="0"/>
    <xf numFmtId="183" fontId="1" fillId="0" borderId="0" applyFont="0" applyFill="0" applyBorder="0" applyAlignment="0" applyProtection="0"/>
    <xf numFmtId="0" fontId="17" fillId="0" borderId="11"/>
    <xf numFmtId="184" fontId="1" fillId="0" borderId="0" applyFont="0" applyFill="0" applyBorder="0" applyAlignment="0" applyProtection="0"/>
    <xf numFmtId="185" fontId="1" fillId="0" borderId="0" applyFont="0" applyFill="0" applyBorder="0" applyAlignment="0" applyProtection="0"/>
    <xf numFmtId="0" fontId="41" fillId="0" borderId="0">
      <protection locked="0"/>
    </xf>
    <xf numFmtId="0" fontId="51" fillId="24" borderId="0" applyNumberFormat="0" applyBorder="0" applyAlignment="0" applyProtection="0"/>
    <xf numFmtId="37" fontId="52" fillId="0" borderId="0"/>
    <xf numFmtId="178" fontId="18" fillId="0" borderId="0"/>
    <xf numFmtId="0" fontId="73" fillId="0" borderId="0">
      <alignment vertical="center"/>
    </xf>
    <xf numFmtId="0" fontId="53" fillId="0" borderId="0"/>
    <xf numFmtId="0" fontId="54" fillId="0" borderId="0"/>
    <xf numFmtId="0" fontId="1" fillId="25" borderId="12" applyNumberFormat="0" applyFont="0" applyAlignment="0" applyProtection="0"/>
    <xf numFmtId="186" fontId="19" fillId="0" borderId="0" applyFont="0" applyFill="0" applyBorder="0" applyAlignment="0" applyProtection="0">
      <alignment horizontal="center"/>
      <protection locked="0"/>
    </xf>
    <xf numFmtId="0" fontId="55" fillId="20" borderId="13" applyNumberFormat="0" applyAlignment="0" applyProtection="0"/>
    <xf numFmtId="10" fontId="19" fillId="0" borderId="0" applyFont="0" applyFill="0" applyBorder="0" applyAlignment="0" applyProtection="0"/>
    <xf numFmtId="0" fontId="41" fillId="0" borderId="0">
      <protection locked="0"/>
    </xf>
    <xf numFmtId="4" fontId="43" fillId="0" borderId="0">
      <alignment horizontal="right"/>
    </xf>
    <xf numFmtId="0" fontId="20" fillId="0" borderId="0" applyNumberFormat="0" applyFont="0" applyFill="0" applyBorder="0" applyAlignment="0" applyProtection="0">
      <alignment horizontal="left"/>
    </xf>
    <xf numFmtId="0" fontId="21" fillId="0" borderId="11">
      <alignment horizontal="center"/>
    </xf>
    <xf numFmtId="4" fontId="56" fillId="0" borderId="0">
      <alignment horizontal="right"/>
    </xf>
    <xf numFmtId="38" fontId="57" fillId="0" borderId="0"/>
    <xf numFmtId="0" fontId="58" fillId="0" borderId="0">
      <alignment horizontal="left"/>
    </xf>
    <xf numFmtId="1" fontId="59" fillId="0" borderId="0" applyBorder="0">
      <alignment horizontal="left" vertical="top" wrapText="1"/>
    </xf>
    <xf numFmtId="0" fontId="17" fillId="0" borderId="0"/>
    <xf numFmtId="0" fontId="22" fillId="0" borderId="14" applyNumberFormat="0" applyFill="0" applyBorder="0">
      <alignment horizontal="centerContinuous" vertical="center" wrapText="1"/>
      <protection locked="0"/>
    </xf>
    <xf numFmtId="0" fontId="13" fillId="26" borderId="15" applyFill="0" applyBorder="0">
      <alignment horizontal="left" vertical="center"/>
    </xf>
    <xf numFmtId="0" fontId="13" fillId="26" borderId="15" applyFill="0" applyBorder="0">
      <alignment horizontal="center" vertical="center"/>
    </xf>
    <xf numFmtId="0" fontId="13" fillId="26" borderId="16" applyNumberFormat="0" applyFill="0" applyBorder="0" applyProtection="0">
      <alignment horizontal="centerContinuous"/>
    </xf>
    <xf numFmtId="0" fontId="23" fillId="0" borderId="14" applyFill="0" applyBorder="0" applyProtection="0">
      <alignment vertical="center"/>
      <protection locked="0"/>
    </xf>
    <xf numFmtId="0" fontId="11" fillId="0" borderId="0" applyFill="0" applyBorder="0">
      <alignment vertical="center"/>
    </xf>
    <xf numFmtId="0" fontId="24" fillId="26" borderId="17" applyFill="0" applyBorder="0" applyAlignment="0">
      <alignment horizontal="center" vertical="center"/>
    </xf>
    <xf numFmtId="0" fontId="11" fillId="0" borderId="0" applyFill="0" applyBorder="0">
      <alignment horizontal="centerContinuous" vertical="center"/>
    </xf>
    <xf numFmtId="0" fontId="13" fillId="0" borderId="0" applyNumberFormat="0" applyFill="0" applyBorder="0">
      <alignment vertical="center"/>
    </xf>
    <xf numFmtId="0" fontId="60" fillId="0" borderId="0" applyNumberFormat="0" applyFill="0" applyBorder="0" applyAlignment="0" applyProtection="0"/>
    <xf numFmtId="0" fontId="34" fillId="0" borderId="18" applyNumberFormat="0" applyFill="0" applyAlignment="0" applyProtection="0"/>
    <xf numFmtId="0" fontId="61" fillId="0" borderId="0" applyNumberFormat="0" applyFill="0" applyBorder="0" applyAlignment="0" applyProtection="0"/>
    <xf numFmtId="0" fontId="2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1" fillId="0" borderId="19"/>
    <xf numFmtId="187" fontId="4" fillId="0" borderId="0" applyBorder="0">
      <alignment horizontal="right"/>
    </xf>
    <xf numFmtId="0" fontId="48" fillId="0" borderId="0">
      <alignment vertical="center"/>
    </xf>
    <xf numFmtId="49" fontId="1" fillId="0" borderId="0" applyFont="0"/>
    <xf numFmtId="38" fontId="25" fillId="0" borderId="0"/>
    <xf numFmtId="0" fontId="62" fillId="0" borderId="0"/>
    <xf numFmtId="0" fontId="31" fillId="0" borderId="20"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xf numFmtId="188" fontId="4" fillId="0" borderId="0" applyFill="0" applyBorder="0"/>
    <xf numFmtId="187" fontId="4" fillId="0" borderId="0" applyFill="0" applyBorder="0"/>
    <xf numFmtId="189" fontId="1" fillId="0" borderId="0" applyFill="0" applyBorder="0"/>
    <xf numFmtId="49" fontId="4" fillId="22" borderId="21">
      <alignment horizontal="center"/>
    </xf>
    <xf numFmtId="176" fontId="4" fillId="22" borderId="21">
      <alignment horizontal="right"/>
    </xf>
    <xf numFmtId="14" fontId="4" fillId="22" borderId="0" applyBorder="0">
      <alignment horizontal="center"/>
    </xf>
    <xf numFmtId="49" fontId="4" fillId="0" borderId="21"/>
    <xf numFmtId="6" fontId="1" fillId="0" borderId="0" applyFont="0" applyFill="0" applyBorder="0" applyAlignment="0" applyProtection="0"/>
    <xf numFmtId="14" fontId="4" fillId="0" borderId="22" applyBorder="0">
      <alignment horizontal="left"/>
    </xf>
    <xf numFmtId="14" fontId="4" fillId="0" borderId="0" applyFill="0" applyBorder="0"/>
    <xf numFmtId="0" fontId="33" fillId="0" borderId="0"/>
    <xf numFmtId="0" fontId="1" fillId="0" borderId="0"/>
    <xf numFmtId="0" fontId="73" fillId="0" borderId="0">
      <alignment vertical="center"/>
    </xf>
    <xf numFmtId="0" fontId="1" fillId="0" borderId="0"/>
    <xf numFmtId="0" fontId="1" fillId="0" borderId="0"/>
    <xf numFmtId="0" fontId="1" fillId="0" borderId="0"/>
    <xf numFmtId="0" fontId="1" fillId="0" borderId="0">
      <alignment vertical="center"/>
    </xf>
    <xf numFmtId="0" fontId="1" fillId="0" borderId="0"/>
    <xf numFmtId="0" fontId="73" fillId="0" borderId="0">
      <alignment vertical="center"/>
    </xf>
    <xf numFmtId="0" fontId="1" fillId="0" borderId="0"/>
    <xf numFmtId="0" fontId="1" fillId="0" borderId="0">
      <alignment vertical="center"/>
    </xf>
    <xf numFmtId="0" fontId="73" fillId="0" borderId="0">
      <alignment vertical="center"/>
    </xf>
    <xf numFmtId="0" fontId="1" fillId="0" borderId="0"/>
    <xf numFmtId="0" fontId="73" fillId="0" borderId="0">
      <alignment vertical="center"/>
    </xf>
    <xf numFmtId="0" fontId="1" fillId="0" borderId="0">
      <alignment vertical="center"/>
    </xf>
    <xf numFmtId="0" fontId="29" fillId="0" borderId="0">
      <alignment vertical="center"/>
    </xf>
    <xf numFmtId="0" fontId="73"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48"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xf numFmtId="0" fontId="1" fillId="0" borderId="0"/>
    <xf numFmtId="0" fontId="1" fillId="0" borderId="0"/>
    <xf numFmtId="0" fontId="26" fillId="0" borderId="11">
      <alignment horizontal="centerContinuous" vertical="center" wrapText="1"/>
    </xf>
    <xf numFmtId="49" fontId="4" fillId="0" borderId="0" applyFill="0" applyBorder="0"/>
    <xf numFmtId="0" fontId="33" fillId="0" borderId="0"/>
    <xf numFmtId="0" fontId="1" fillId="27" borderId="0" applyNumberFormat="0" applyFont="0" applyBorder="0" applyAlignment="0" applyProtection="0"/>
    <xf numFmtId="0" fontId="28" fillId="27" borderId="23">
      <alignment horizontal="left" vertical="center" wrapText="1"/>
    </xf>
    <xf numFmtId="0" fontId="63" fillId="0" borderId="0"/>
  </cellStyleXfs>
  <cellXfs count="349">
    <xf numFmtId="0" fontId="0" fillId="0" borderId="0" xfId="0">
      <alignment vertical="center"/>
    </xf>
    <xf numFmtId="0" fontId="0" fillId="0" borderId="0" xfId="0" applyNumberFormat="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5" fillId="30" borderId="0" xfId="0" applyFont="1" applyFill="1">
      <alignment vertical="center"/>
    </xf>
    <xf numFmtId="0" fontId="0" fillId="0" borderId="0" xfId="0" applyFont="1">
      <alignment vertical="center"/>
    </xf>
    <xf numFmtId="0" fontId="5" fillId="29" borderId="0" xfId="0" applyFont="1" applyFill="1">
      <alignment vertical="center"/>
    </xf>
    <xf numFmtId="0" fontId="5" fillId="31" borderId="0" xfId="0" applyFont="1" applyFill="1">
      <alignment vertical="center"/>
    </xf>
    <xf numFmtId="0" fontId="0" fillId="22" borderId="0" xfId="0" applyFont="1" applyFill="1">
      <alignment vertical="center"/>
    </xf>
    <xf numFmtId="0" fontId="0" fillId="22" borderId="0" xfId="0" applyFont="1" applyFill="1" applyAlignment="1">
      <alignment horizontal="center" vertical="center" shrinkToFit="1"/>
    </xf>
    <xf numFmtId="0" fontId="0" fillId="22" borderId="0" xfId="0" applyFont="1" applyFill="1" applyAlignment="1">
      <alignment horizontal="center" vertical="center"/>
    </xf>
    <xf numFmtId="0" fontId="0" fillId="0" borderId="24" xfId="0" applyFont="1" applyFill="1" applyBorder="1" applyAlignment="1">
      <alignment horizontal="center" vertical="center" shrinkToFit="1"/>
    </xf>
    <xf numFmtId="0" fontId="0" fillId="0" borderId="25" xfId="0" applyFont="1" applyFill="1" applyBorder="1" applyAlignment="1">
      <alignment vertical="top"/>
    </xf>
    <xf numFmtId="0" fontId="0" fillId="0" borderId="26" xfId="0" applyFont="1" applyFill="1" applyBorder="1" applyAlignment="1">
      <alignment vertical="top"/>
    </xf>
    <xf numFmtId="0" fontId="0" fillId="0" borderId="27" xfId="0" applyFont="1" applyFill="1" applyBorder="1" applyAlignment="1">
      <alignment vertical="top"/>
    </xf>
    <xf numFmtId="0" fontId="0" fillId="0" borderId="28" xfId="0" applyFont="1" applyFill="1" applyBorder="1" applyAlignment="1">
      <alignment horizontal="center" vertical="center"/>
    </xf>
    <xf numFmtId="0" fontId="0" fillId="0" borderId="28" xfId="0" applyFont="1" applyFill="1" applyBorder="1" applyAlignment="1">
      <alignment horizontal="center" vertical="top"/>
    </xf>
    <xf numFmtId="0" fontId="0" fillId="0" borderId="28" xfId="0" applyFont="1" applyFill="1" applyBorder="1">
      <alignment vertical="center"/>
    </xf>
    <xf numFmtId="0" fontId="0" fillId="0" borderId="29" xfId="0" applyFont="1" applyFill="1" applyBorder="1">
      <alignment vertical="center"/>
    </xf>
    <xf numFmtId="0" fontId="0" fillId="0" borderId="24" xfId="0" applyFont="1" applyFill="1" applyBorder="1">
      <alignment vertical="center"/>
    </xf>
    <xf numFmtId="0" fontId="0" fillId="0" borderId="28" xfId="0" applyFont="1" applyFill="1" applyBorder="1" applyAlignment="1">
      <alignment vertical="center"/>
    </xf>
    <xf numFmtId="0" fontId="0" fillId="0" borderId="30" xfId="0" applyFont="1" applyFill="1" applyBorder="1" applyAlignment="1">
      <alignment horizontal="center" vertical="top" shrinkToFit="1"/>
    </xf>
    <xf numFmtId="0" fontId="0" fillId="0" borderId="28" xfId="0" applyFont="1" applyFill="1" applyBorder="1" applyAlignment="1">
      <alignment vertical="top"/>
    </xf>
    <xf numFmtId="0" fontId="0" fillId="0" borderId="31" xfId="0" applyFont="1" applyFill="1" applyBorder="1" applyAlignment="1">
      <alignment horizontal="center" vertical="center" shrinkToFit="1"/>
    </xf>
    <xf numFmtId="0" fontId="0" fillId="0" borderId="32" xfId="0" applyFont="1" applyFill="1" applyBorder="1" applyAlignment="1">
      <alignment vertical="top"/>
    </xf>
    <xf numFmtId="0" fontId="0" fillId="0" borderId="0" xfId="0" applyFont="1" applyFill="1" applyBorder="1" applyAlignment="1">
      <alignment vertical="top"/>
    </xf>
    <xf numFmtId="0" fontId="0" fillId="0" borderId="33" xfId="0" applyFont="1" applyFill="1" applyBorder="1" applyAlignment="1">
      <alignment vertical="top"/>
    </xf>
    <xf numFmtId="0" fontId="0" fillId="0" borderId="34" xfId="0" applyFont="1" applyFill="1" applyBorder="1" applyAlignment="1">
      <alignment vertical="top"/>
    </xf>
    <xf numFmtId="0" fontId="0" fillId="0" borderId="35" xfId="0" applyFont="1" applyFill="1" applyBorder="1" applyAlignment="1">
      <alignment horizontal="center" vertical="center"/>
    </xf>
    <xf numFmtId="0" fontId="0" fillId="0" borderId="35" xfId="0" applyFont="1" applyFill="1" applyBorder="1" applyAlignment="1">
      <alignment horizontal="center" vertical="top"/>
    </xf>
    <xf numFmtId="0" fontId="0" fillId="0" borderId="35" xfId="0" applyFont="1" applyFill="1" applyBorder="1">
      <alignment vertical="center"/>
    </xf>
    <xf numFmtId="0" fontId="0" fillId="0" borderId="36" xfId="0" applyFont="1" applyFill="1" applyBorder="1">
      <alignment vertical="center"/>
    </xf>
    <xf numFmtId="0" fontId="0" fillId="0" borderId="31" xfId="0" applyFont="1" applyFill="1" applyBorder="1">
      <alignment vertical="center"/>
    </xf>
    <xf numFmtId="0" fontId="0" fillId="0" borderId="35" xfId="0" applyFont="1" applyFill="1" applyBorder="1" applyAlignment="1">
      <alignment vertical="center"/>
    </xf>
    <xf numFmtId="0" fontId="0" fillId="0" borderId="35" xfId="0" applyFont="1" applyFill="1" applyBorder="1" applyAlignment="1">
      <alignment vertical="top"/>
    </xf>
    <xf numFmtId="0" fontId="0" fillId="0" borderId="37" xfId="0" applyFont="1" applyFill="1" applyBorder="1" applyAlignment="1">
      <alignment horizontal="center" vertical="center" shrinkToFit="1"/>
    </xf>
    <xf numFmtId="0" fontId="0" fillId="0" borderId="38" xfId="0" applyFont="1" applyFill="1" applyBorder="1" applyAlignment="1">
      <alignment vertical="top"/>
    </xf>
    <xf numFmtId="0" fontId="0" fillId="0" borderId="39" xfId="0" applyFont="1" applyFill="1" applyBorder="1" applyAlignment="1">
      <alignment vertical="top"/>
    </xf>
    <xf numFmtId="0" fontId="0" fillId="0" borderId="6" xfId="0" applyFont="1" applyFill="1" applyBorder="1" applyAlignment="1">
      <alignment vertical="top"/>
    </xf>
    <xf numFmtId="0" fontId="0" fillId="0" borderId="30" xfId="0" applyFont="1" applyFill="1" applyBorder="1" applyAlignment="1">
      <alignment vertical="top"/>
    </xf>
    <xf numFmtId="0" fontId="0" fillId="0" borderId="9" xfId="0" applyFont="1" applyFill="1" applyBorder="1" applyAlignment="1">
      <alignment horizontal="center" vertical="center"/>
    </xf>
    <xf numFmtId="0" fontId="0" fillId="0" borderId="9" xfId="0" applyFont="1" applyFill="1" applyBorder="1" applyAlignment="1">
      <alignment horizontal="center" vertical="top"/>
    </xf>
    <xf numFmtId="0" fontId="0" fillId="0" borderId="9" xfId="0" applyFont="1" applyFill="1" applyBorder="1">
      <alignment vertical="center"/>
    </xf>
    <xf numFmtId="0" fontId="0" fillId="0" borderId="40" xfId="0" applyFont="1" applyFill="1" applyBorder="1">
      <alignment vertical="center"/>
    </xf>
    <xf numFmtId="0" fontId="0" fillId="0" borderId="37" xfId="0" applyFont="1" applyFill="1" applyBorder="1">
      <alignment vertical="center"/>
    </xf>
    <xf numFmtId="0" fontId="0" fillId="0" borderId="9" xfId="0" applyFont="1" applyFill="1" applyBorder="1" applyAlignment="1">
      <alignment vertical="center"/>
    </xf>
    <xf numFmtId="0" fontId="0" fillId="0" borderId="9" xfId="0" applyFont="1" applyFill="1" applyBorder="1" applyAlignment="1">
      <alignment vertical="top"/>
    </xf>
    <xf numFmtId="0" fontId="0" fillId="0" borderId="37" xfId="0" applyFont="1" applyFill="1" applyBorder="1" applyAlignment="1">
      <alignment horizontal="center" vertical="top" shrinkToFit="1"/>
    </xf>
    <xf numFmtId="0" fontId="0" fillId="0" borderId="41" xfId="0" applyFont="1" applyFill="1" applyBorder="1" applyAlignment="1">
      <alignment vertical="top"/>
    </xf>
    <xf numFmtId="0" fontId="0" fillId="0" borderId="9" xfId="0" applyFont="1" applyFill="1" applyBorder="1" applyAlignment="1">
      <alignment vertical="center" wrapText="1"/>
    </xf>
    <xf numFmtId="0" fontId="0" fillId="0" borderId="9" xfId="0" applyFill="1" applyBorder="1">
      <alignment vertical="center"/>
    </xf>
    <xf numFmtId="0" fontId="0" fillId="0" borderId="0" xfId="0" applyFont="1" applyFill="1">
      <alignment vertical="center"/>
    </xf>
    <xf numFmtId="0" fontId="0" fillId="0" borderId="42" xfId="0" applyFont="1" applyFill="1" applyBorder="1" applyAlignment="1">
      <alignment horizontal="center" vertical="top" shrinkToFit="1"/>
    </xf>
    <xf numFmtId="0" fontId="0" fillId="0" borderId="43" xfId="0" applyFont="1" applyFill="1" applyBorder="1" applyAlignment="1">
      <alignment vertical="top"/>
    </xf>
    <xf numFmtId="0" fontId="0" fillId="0" borderId="22" xfId="0" applyFont="1" applyFill="1" applyBorder="1" applyAlignment="1">
      <alignment vertical="top"/>
    </xf>
    <xf numFmtId="0" fontId="0" fillId="0" borderId="44" xfId="0" applyFont="1" applyFill="1" applyBorder="1" applyAlignment="1">
      <alignment horizontal="center" vertical="center"/>
    </xf>
    <xf numFmtId="0" fontId="0" fillId="0" borderId="44" xfId="0" applyFont="1" applyFill="1" applyBorder="1" applyAlignment="1">
      <alignment horizontal="center" vertical="top"/>
    </xf>
    <xf numFmtId="0" fontId="0" fillId="0" borderId="44" xfId="0" applyFont="1" applyFill="1" applyBorder="1" applyAlignment="1">
      <alignment vertical="top" wrapText="1"/>
    </xf>
    <xf numFmtId="0" fontId="0" fillId="0" borderId="45" xfId="0" applyFont="1" applyFill="1" applyBorder="1">
      <alignment vertical="center"/>
    </xf>
    <xf numFmtId="0" fontId="0" fillId="0" borderId="44" xfId="0" applyFont="1" applyFill="1" applyBorder="1" applyAlignment="1">
      <alignment vertical="center"/>
    </xf>
    <xf numFmtId="0" fontId="0" fillId="0" borderId="22" xfId="0" applyFont="1" applyFill="1" applyBorder="1" applyAlignment="1">
      <alignment horizontal="center" vertical="top" shrinkToFit="1"/>
    </xf>
    <xf numFmtId="0" fontId="0" fillId="0" borderId="44" xfId="0" applyFont="1" applyFill="1" applyBorder="1" applyAlignment="1">
      <alignment vertical="top"/>
    </xf>
    <xf numFmtId="0" fontId="0" fillId="0" borderId="9" xfId="0" applyFont="1" applyFill="1" applyBorder="1" applyAlignment="1">
      <alignment vertical="top" wrapText="1"/>
    </xf>
    <xf numFmtId="0" fontId="0" fillId="0" borderId="40" xfId="0" applyFont="1" applyFill="1" applyBorder="1" applyAlignment="1">
      <alignment vertical="center" wrapText="1"/>
    </xf>
    <xf numFmtId="0" fontId="0" fillId="0" borderId="46" xfId="0" applyFont="1" applyFill="1" applyBorder="1" applyAlignment="1">
      <alignment horizontal="center" vertical="top" shrinkToFit="1"/>
    </xf>
    <xf numFmtId="0" fontId="0" fillId="0" borderId="47" xfId="0" applyFont="1" applyFill="1" applyBorder="1" applyAlignment="1">
      <alignment vertical="top"/>
    </xf>
    <xf numFmtId="0" fontId="0" fillId="0" borderId="48" xfId="0" applyFont="1" applyFill="1" applyBorder="1" applyAlignment="1">
      <alignment vertical="top"/>
    </xf>
    <xf numFmtId="0" fontId="0" fillId="0" borderId="49" xfId="0" applyFont="1" applyFill="1" applyBorder="1" applyAlignment="1">
      <alignment horizontal="center" vertical="top"/>
    </xf>
    <xf numFmtId="0" fontId="0" fillId="0" borderId="49" xfId="0" applyFont="1" applyFill="1" applyBorder="1" applyAlignment="1">
      <alignment vertical="center" wrapText="1"/>
    </xf>
    <xf numFmtId="0" fontId="0" fillId="0" borderId="50" xfId="0" applyFont="1" applyFill="1" applyBorder="1">
      <alignment vertical="center"/>
    </xf>
    <xf numFmtId="0" fontId="0" fillId="0" borderId="46" xfId="0" applyFont="1" applyFill="1" applyBorder="1">
      <alignment vertical="center"/>
    </xf>
    <xf numFmtId="0" fontId="0" fillId="0" borderId="49" xfId="0" applyFont="1" applyFill="1" applyBorder="1" applyAlignment="1">
      <alignment vertical="center"/>
    </xf>
    <xf numFmtId="0" fontId="0" fillId="0" borderId="49" xfId="0" applyFont="1" applyFill="1" applyBorder="1" applyAlignment="1">
      <alignment horizontal="center" vertical="center"/>
    </xf>
    <xf numFmtId="0" fontId="0" fillId="0" borderId="49" xfId="0" applyFont="1" applyFill="1" applyBorder="1">
      <alignment vertical="center"/>
    </xf>
    <xf numFmtId="0" fontId="0" fillId="0" borderId="51" xfId="0" applyFont="1" applyFill="1" applyBorder="1" applyAlignment="1">
      <alignment vertical="center" wrapText="1"/>
    </xf>
    <xf numFmtId="0" fontId="0" fillId="0" borderId="48" xfId="0" applyFont="1" applyFill="1" applyBorder="1" applyAlignment="1">
      <alignment horizontal="center" vertical="top" shrinkToFit="1"/>
    </xf>
    <xf numFmtId="0" fontId="0" fillId="0" borderId="49" xfId="0" applyFont="1" applyFill="1" applyBorder="1" applyAlignment="1">
      <alignment vertical="top"/>
    </xf>
    <xf numFmtId="0" fontId="0" fillId="0" borderId="9" xfId="0" applyFill="1" applyBorder="1" applyAlignment="1">
      <alignment vertical="center" wrapText="1"/>
    </xf>
    <xf numFmtId="0" fontId="5" fillId="0" borderId="52" xfId="0" applyFont="1" applyFill="1" applyBorder="1" applyAlignment="1">
      <alignment vertical="center"/>
    </xf>
    <xf numFmtId="0" fontId="5" fillId="22" borderId="0" xfId="0" applyFont="1" applyFill="1" applyBorder="1" applyAlignment="1">
      <alignment vertical="center"/>
    </xf>
    <xf numFmtId="0" fontId="0" fillId="32" borderId="53" xfId="0" applyFont="1" applyFill="1" applyBorder="1" applyAlignment="1">
      <alignment horizontal="center" vertical="center" textRotation="255" shrinkToFit="1"/>
    </xf>
    <xf numFmtId="0" fontId="0" fillId="32" borderId="54" xfId="0" applyFont="1" applyFill="1" applyBorder="1" applyAlignment="1">
      <alignment horizontal="center" vertical="center" textRotation="255"/>
    </xf>
    <xf numFmtId="0" fontId="0" fillId="32" borderId="54" xfId="0" applyFont="1" applyFill="1" applyBorder="1" applyAlignment="1">
      <alignment horizontal="center" vertical="center" wrapText="1"/>
    </xf>
    <xf numFmtId="0" fontId="0" fillId="32" borderId="54" xfId="0" applyFont="1" applyFill="1" applyBorder="1" applyAlignment="1">
      <alignment horizontal="center" vertical="center"/>
    </xf>
    <xf numFmtId="0" fontId="0" fillId="33" borderId="54" xfId="0" applyFont="1" applyFill="1" applyBorder="1" applyAlignment="1">
      <alignment horizontal="center" vertical="center"/>
    </xf>
    <xf numFmtId="0" fontId="0" fillId="33" borderId="54" xfId="0" applyFont="1" applyFill="1" applyBorder="1" applyAlignment="1">
      <alignment horizontal="center" vertical="center" wrapText="1"/>
    </xf>
    <xf numFmtId="0" fontId="0" fillId="33" borderId="55" xfId="0" applyFont="1" applyFill="1" applyBorder="1" applyAlignment="1">
      <alignment horizontal="center" vertical="center" wrapText="1"/>
    </xf>
    <xf numFmtId="0" fontId="0" fillId="0" borderId="44" xfId="0" applyFill="1" applyBorder="1" applyAlignment="1">
      <alignment vertical="center" wrapText="1"/>
    </xf>
    <xf numFmtId="0" fontId="29" fillId="0" borderId="0" xfId="0" applyFont="1" applyFill="1" applyAlignment="1">
      <alignment vertical="center"/>
    </xf>
    <xf numFmtId="0" fontId="64" fillId="0" borderId="56" xfId="0" applyFont="1" applyFill="1" applyBorder="1" applyAlignment="1">
      <alignment vertical="center"/>
    </xf>
    <xf numFmtId="0" fontId="29" fillId="0" borderId="56" xfId="0" applyFont="1" applyFill="1" applyBorder="1" applyAlignment="1">
      <alignment vertical="center"/>
    </xf>
    <xf numFmtId="0" fontId="64" fillId="0" borderId="0" xfId="0" applyFont="1" applyFill="1" applyBorder="1" applyAlignment="1">
      <alignment vertical="center"/>
    </xf>
    <xf numFmtId="0" fontId="29" fillId="0" borderId="0" xfId="0" applyFont="1" applyFill="1" applyBorder="1" applyAlignment="1">
      <alignment vertical="center"/>
    </xf>
    <xf numFmtId="0" fontId="29" fillId="34" borderId="44" xfId="0" applyFont="1" applyFill="1" applyBorder="1" applyAlignment="1">
      <alignment vertical="center"/>
    </xf>
    <xf numFmtId="0" fontId="29" fillId="0" borderId="44" xfId="0" applyFont="1" applyFill="1" applyBorder="1" applyAlignment="1">
      <alignment vertical="center"/>
    </xf>
    <xf numFmtId="0" fontId="29" fillId="34" borderId="35" xfId="0" applyFont="1" applyFill="1" applyBorder="1" applyAlignment="1">
      <alignment vertical="center"/>
    </xf>
    <xf numFmtId="0" fontId="29" fillId="0" borderId="35" xfId="0" applyFont="1" applyFill="1" applyBorder="1" applyAlignment="1">
      <alignment vertical="center"/>
    </xf>
    <xf numFmtId="0" fontId="29" fillId="34" borderId="57" xfId="0" applyFont="1" applyFill="1" applyBorder="1" applyAlignment="1">
      <alignment horizontal="center" vertical="center"/>
    </xf>
    <xf numFmtId="0" fontId="29" fillId="34" borderId="58" xfId="0" applyFont="1" applyFill="1" applyBorder="1" applyAlignment="1">
      <alignment horizontal="center" vertical="center"/>
    </xf>
    <xf numFmtId="0" fontId="29" fillId="34" borderId="59" xfId="0" applyFont="1" applyFill="1" applyBorder="1" applyAlignment="1">
      <alignment horizontal="center" vertical="center"/>
    </xf>
    <xf numFmtId="0" fontId="29" fillId="34" borderId="60" xfId="0" applyFont="1" applyFill="1" applyBorder="1" applyAlignment="1">
      <alignment horizontal="center" vertical="center"/>
    </xf>
    <xf numFmtId="0" fontId="29" fillId="34" borderId="44" xfId="0" applyFont="1" applyFill="1" applyBorder="1" applyAlignment="1">
      <alignment horizontal="left" vertical="center"/>
    </xf>
    <xf numFmtId="0" fontId="29" fillId="0" borderId="44" xfId="0" applyFont="1" applyFill="1" applyBorder="1" applyAlignment="1">
      <alignment vertical="center" wrapText="1"/>
    </xf>
    <xf numFmtId="0" fontId="29" fillId="34" borderId="35" xfId="0" applyFont="1" applyFill="1" applyBorder="1" applyAlignment="1">
      <alignment horizontal="left" vertical="center"/>
    </xf>
    <xf numFmtId="0" fontId="29" fillId="0" borderId="35" xfId="0" applyFont="1" applyFill="1" applyBorder="1" applyAlignment="1">
      <alignment vertical="center" wrapText="1"/>
    </xf>
    <xf numFmtId="0" fontId="29" fillId="0" borderId="61" xfId="0" applyFont="1" applyFill="1" applyBorder="1" applyAlignment="1">
      <alignment horizontal="left" vertical="top" wrapText="1"/>
    </xf>
    <xf numFmtId="0" fontId="29" fillId="0" borderId="61" xfId="0" quotePrefix="1" applyFont="1" applyFill="1" applyBorder="1" applyAlignment="1">
      <alignment horizontal="left" vertical="top" wrapText="1"/>
    </xf>
    <xf numFmtId="14" fontId="29" fillId="0" borderId="61" xfId="0" quotePrefix="1" applyNumberFormat="1" applyFont="1" applyFill="1" applyBorder="1" applyAlignment="1">
      <alignment horizontal="center" vertical="center" wrapText="1"/>
    </xf>
    <xf numFmtId="0" fontId="74" fillId="0" borderId="61" xfId="0" applyFont="1" applyFill="1" applyBorder="1" applyAlignment="1">
      <alignment horizontal="center" vertical="center"/>
    </xf>
    <xf numFmtId="14" fontId="74" fillId="0" borderId="62" xfId="0" applyNumberFormat="1" applyFont="1" applyFill="1" applyBorder="1" applyAlignment="1">
      <alignment horizontal="center" vertical="center"/>
    </xf>
    <xf numFmtId="0" fontId="29" fillId="0" borderId="63" xfId="0" applyFont="1" applyFill="1" applyBorder="1" applyAlignment="1">
      <alignment horizontal="center" vertical="center"/>
    </xf>
    <xf numFmtId="14" fontId="74" fillId="0" borderId="40" xfId="0" applyNumberFormat="1" applyFont="1" applyFill="1" applyBorder="1" applyAlignment="1">
      <alignment horizontal="center" vertical="center"/>
    </xf>
    <xf numFmtId="0" fontId="29" fillId="0" borderId="44" xfId="0" applyFont="1" applyFill="1" applyBorder="1" applyAlignment="1">
      <alignment horizontal="left" vertical="top" wrapText="1"/>
    </xf>
    <xf numFmtId="0" fontId="29" fillId="0" borderId="44" xfId="0" quotePrefix="1" applyFont="1" applyFill="1" applyBorder="1" applyAlignment="1">
      <alignment horizontal="left" vertical="top" wrapText="1"/>
    </xf>
    <xf numFmtId="0" fontId="65" fillId="0" borderId="0" xfId="0" applyFont="1" applyFill="1" applyBorder="1" applyAlignment="1">
      <alignment vertical="center"/>
    </xf>
    <xf numFmtId="0" fontId="29" fillId="0" borderId="64" xfId="0" applyFont="1" applyFill="1" applyBorder="1" applyAlignment="1">
      <alignment horizontal="center" vertical="center"/>
    </xf>
    <xf numFmtId="14" fontId="74" fillId="0" borderId="9" xfId="0" quotePrefix="1" applyNumberFormat="1" applyFont="1" applyFill="1" applyBorder="1" applyAlignment="1">
      <alignment horizontal="center" vertical="center" wrapText="1"/>
    </xf>
    <xf numFmtId="0" fontId="5" fillId="22" borderId="0" xfId="0" applyFont="1" applyFill="1" applyAlignment="1">
      <alignment horizontal="left" vertical="center" shrinkToFit="1"/>
    </xf>
    <xf numFmtId="0" fontId="5" fillId="22" borderId="0" xfId="0" applyFont="1" applyFill="1" applyAlignment="1">
      <alignment horizontal="left" vertical="center"/>
    </xf>
    <xf numFmtId="0" fontId="0" fillId="22" borderId="0" xfId="0" applyFont="1" applyFill="1" applyAlignment="1">
      <alignment horizontal="left" vertical="center"/>
    </xf>
    <xf numFmtId="0" fontId="67" fillId="0" borderId="52" xfId="0" applyFont="1" applyBorder="1" applyAlignment="1">
      <alignment vertical="center"/>
    </xf>
    <xf numFmtId="0" fontId="67" fillId="0" borderId="0" xfId="0" applyFont="1" applyBorder="1" applyAlignment="1">
      <alignment vertical="center"/>
    </xf>
    <xf numFmtId="0" fontId="0" fillId="35" borderId="46" xfId="0" applyFont="1" applyFill="1" applyBorder="1" applyAlignment="1">
      <alignment horizontal="center" vertical="center" textRotation="255" shrinkToFit="1"/>
    </xf>
    <xf numFmtId="0" fontId="0" fillId="35" borderId="49" xfId="0" applyFont="1" applyFill="1" applyBorder="1" applyAlignment="1">
      <alignment horizontal="center" vertical="center" shrinkToFit="1"/>
    </xf>
    <xf numFmtId="0" fontId="0" fillId="35" borderId="49" xfId="0" applyFont="1" applyFill="1" applyBorder="1" applyAlignment="1">
      <alignment horizontal="center" vertical="center"/>
    </xf>
    <xf numFmtId="0" fontId="0" fillId="35" borderId="49" xfId="0" applyFont="1" applyFill="1" applyBorder="1" applyAlignment="1">
      <alignment horizontal="center" vertical="center" textRotation="255" shrinkToFit="1"/>
    </xf>
    <xf numFmtId="0" fontId="0" fillId="35" borderId="49" xfId="0" applyFont="1" applyFill="1" applyBorder="1" applyAlignment="1">
      <alignment horizontal="center" vertical="center" wrapText="1"/>
    </xf>
    <xf numFmtId="0" fontId="0" fillId="35" borderId="65" xfId="0" applyFont="1" applyFill="1" applyBorder="1" applyAlignment="1">
      <alignment horizontal="center" vertical="center"/>
    </xf>
    <xf numFmtId="0" fontId="0" fillId="33" borderId="46" xfId="0" applyFont="1" applyFill="1" applyBorder="1" applyAlignment="1">
      <alignment horizontal="center" vertical="center" textRotation="255" shrinkToFit="1"/>
    </xf>
    <xf numFmtId="0" fontId="0" fillId="33" borderId="66" xfId="0" applyFont="1" applyFill="1" applyBorder="1" applyAlignment="1">
      <alignment horizontal="center" vertical="center" wrapText="1"/>
    </xf>
    <xf numFmtId="0" fontId="0" fillId="29" borderId="46" xfId="0" applyFill="1" applyBorder="1" applyAlignment="1">
      <alignment horizontal="left" vertical="center"/>
    </xf>
    <xf numFmtId="0" fontId="0" fillId="29" borderId="49" xfId="0" applyFill="1" applyBorder="1" applyAlignment="1">
      <alignment horizontal="left" vertical="center"/>
    </xf>
    <xf numFmtId="0" fontId="0" fillId="29" borderId="49" xfId="0" applyFont="1" applyFill="1" applyBorder="1" applyAlignment="1">
      <alignment horizontal="left" vertical="center" wrapText="1"/>
    </xf>
    <xf numFmtId="0" fontId="0" fillId="29" borderId="49" xfId="0" applyFont="1" applyFill="1" applyBorder="1" applyAlignment="1">
      <alignment horizontal="left" vertical="center"/>
    </xf>
    <xf numFmtId="0" fontId="0" fillId="29" borderId="51" xfId="0" applyFont="1" applyFill="1" applyBorder="1" applyAlignment="1">
      <alignment horizontal="left" vertical="center"/>
    </xf>
    <xf numFmtId="0" fontId="0" fillId="0" borderId="27" xfId="0" applyFont="1" applyFill="1" applyBorder="1" applyAlignment="1">
      <alignment horizontal="center" vertical="top" shrinkToFit="1"/>
    </xf>
    <xf numFmtId="0" fontId="0" fillId="0" borderId="29" xfId="0" applyFont="1" applyFill="1" applyBorder="1" applyAlignment="1">
      <alignment vertical="center"/>
    </xf>
    <xf numFmtId="0" fontId="0" fillId="36" borderId="35" xfId="0" applyFont="1" applyFill="1" applyBorder="1" applyAlignment="1">
      <alignment horizontal="left" vertical="center"/>
    </xf>
    <xf numFmtId="0" fontId="0" fillId="37" borderId="35" xfId="0" quotePrefix="1" applyNumberFormat="1" applyFont="1" applyFill="1" applyBorder="1" applyAlignment="1">
      <alignment horizontal="left" vertical="center"/>
    </xf>
    <xf numFmtId="0" fontId="0" fillId="0" borderId="36" xfId="0" applyFont="1" applyFill="1" applyBorder="1" applyAlignment="1">
      <alignment vertical="center"/>
    </xf>
    <xf numFmtId="0" fontId="0" fillId="36" borderId="9" xfId="0" applyFont="1" applyFill="1" applyBorder="1" applyAlignment="1">
      <alignment horizontal="left" vertical="center"/>
    </xf>
    <xf numFmtId="49" fontId="0" fillId="36" borderId="9" xfId="0" applyNumberFormat="1" applyFont="1" applyFill="1" applyBorder="1" applyAlignment="1">
      <alignment horizontal="left" vertical="center"/>
    </xf>
    <xf numFmtId="0" fontId="0" fillId="0" borderId="40" xfId="0" applyFont="1" applyFill="1" applyBorder="1" applyAlignment="1">
      <alignment vertical="center"/>
    </xf>
    <xf numFmtId="49" fontId="0" fillId="0" borderId="37" xfId="0" applyNumberFormat="1" applyFont="1" applyFill="1" applyBorder="1" applyAlignment="1">
      <alignment horizontal="left" vertical="center"/>
    </xf>
    <xf numFmtId="49" fontId="0" fillId="36" borderId="9" xfId="0" quotePrefix="1" applyNumberFormat="1" applyFont="1" applyFill="1" applyBorder="1" applyAlignment="1">
      <alignment horizontal="left" vertical="center"/>
    </xf>
    <xf numFmtId="0" fontId="0" fillId="0" borderId="9" xfId="0" applyNumberFormat="1" applyFont="1" applyFill="1" applyBorder="1" applyAlignment="1">
      <alignment horizontal="left" vertical="center"/>
    </xf>
    <xf numFmtId="49" fontId="0" fillId="0" borderId="37" xfId="0" applyNumberFormat="1" applyFill="1" applyBorder="1" applyAlignment="1">
      <alignment horizontal="left" vertical="center"/>
    </xf>
    <xf numFmtId="49" fontId="0" fillId="36" borderId="9" xfId="0" quotePrefix="1" applyNumberFormat="1" applyFill="1" applyBorder="1" applyAlignment="1">
      <alignment horizontal="left" vertical="center"/>
    </xf>
    <xf numFmtId="49" fontId="0" fillId="0" borderId="37" xfId="0" quotePrefix="1" applyNumberFormat="1" applyFont="1" applyFill="1" applyBorder="1" applyAlignment="1">
      <alignment horizontal="left" vertical="center"/>
    </xf>
    <xf numFmtId="0" fontId="0" fillId="0" borderId="45" xfId="0" applyFont="1" applyFill="1" applyBorder="1" applyAlignment="1">
      <alignment vertical="center"/>
    </xf>
    <xf numFmtId="0" fontId="0" fillId="0" borderId="45" xfId="0" applyFill="1" applyBorder="1" applyAlignment="1">
      <alignment vertical="center" wrapText="1"/>
    </xf>
    <xf numFmtId="0" fontId="0" fillId="0" borderId="67" xfId="0" applyFont="1" applyFill="1" applyBorder="1">
      <alignment vertical="center"/>
    </xf>
    <xf numFmtId="49" fontId="0" fillId="0" borderId="42" xfId="0" applyNumberFormat="1" applyFont="1" applyFill="1" applyBorder="1" applyAlignment="1">
      <alignment horizontal="left" vertical="center" wrapText="1"/>
    </xf>
    <xf numFmtId="49" fontId="0" fillId="36" borderId="44" xfId="0" quotePrefix="1" applyNumberFormat="1" applyFill="1" applyBorder="1" applyAlignment="1">
      <alignment horizontal="left" vertical="center" wrapText="1"/>
    </xf>
    <xf numFmtId="49" fontId="0" fillId="36" borderId="44" xfId="0" quotePrefix="1" applyNumberFormat="1" applyFont="1" applyFill="1" applyBorder="1" applyAlignment="1">
      <alignment horizontal="left" vertical="center" wrapText="1"/>
    </xf>
    <xf numFmtId="0" fontId="0" fillId="0" borderId="66" xfId="0" applyFont="1" applyFill="1" applyBorder="1" applyAlignment="1">
      <alignment vertical="top"/>
    </xf>
    <xf numFmtId="0" fontId="0" fillId="0" borderId="54" xfId="0" applyFont="1" applyFill="1" applyBorder="1" applyAlignment="1">
      <alignment vertical="top"/>
    </xf>
    <xf numFmtId="49" fontId="0" fillId="0" borderId="46" xfId="0" applyNumberFormat="1" applyFont="1" applyFill="1" applyBorder="1" applyAlignment="1">
      <alignment horizontal="left" vertical="center"/>
    </xf>
    <xf numFmtId="49" fontId="0" fillId="36" borderId="49" xfId="0" applyNumberFormat="1" applyFont="1" applyFill="1" applyBorder="1" applyAlignment="1">
      <alignment horizontal="left" vertical="center"/>
    </xf>
    <xf numFmtId="0" fontId="0" fillId="0" borderId="37" xfId="0" applyFont="1" applyFill="1" applyBorder="1" applyAlignment="1">
      <alignment horizontal="left" vertical="center"/>
    </xf>
    <xf numFmtId="0" fontId="0" fillId="29" borderId="9" xfId="0" applyFont="1" applyFill="1" applyBorder="1" applyAlignment="1">
      <alignment vertical="top" wrapText="1"/>
    </xf>
    <xf numFmtId="0" fontId="0" fillId="36" borderId="9" xfId="0" quotePrefix="1" applyFont="1" applyFill="1" applyBorder="1" applyAlignment="1">
      <alignment horizontal="left" vertical="center"/>
    </xf>
    <xf numFmtId="0" fontId="0" fillId="0" borderId="9" xfId="0" applyFill="1" applyBorder="1" applyAlignment="1">
      <alignment vertical="top" wrapText="1"/>
    </xf>
    <xf numFmtId="0" fontId="0" fillId="0" borderId="41" xfId="0" applyFont="1" applyFill="1" applyBorder="1" applyAlignment="1">
      <alignment vertical="top" wrapText="1"/>
    </xf>
    <xf numFmtId="0" fontId="0" fillId="32" borderId="37" xfId="0" applyFont="1" applyFill="1" applyBorder="1" applyAlignment="1">
      <alignment horizontal="left" vertical="center"/>
    </xf>
    <xf numFmtId="0" fontId="0" fillId="0" borderId="41" xfId="0" applyFont="1" applyFill="1" applyBorder="1">
      <alignment vertical="center"/>
    </xf>
    <xf numFmtId="49" fontId="0" fillId="0" borderId="9" xfId="0" quotePrefix="1" applyNumberFormat="1" applyFont="1" applyFill="1" applyBorder="1" applyAlignment="1">
      <alignment horizontal="left" vertical="center"/>
    </xf>
    <xf numFmtId="0" fontId="0" fillId="0" borderId="6" xfId="130" applyFont="1" applyFill="1" applyBorder="1" applyAlignment="1">
      <alignment vertical="top"/>
    </xf>
    <xf numFmtId="0" fontId="0" fillId="0" borderId="0" xfId="0" applyFont="1" applyFill="1" applyAlignment="1">
      <alignment horizontal="left" vertical="center"/>
    </xf>
    <xf numFmtId="0" fontId="0" fillId="29" borderId="49" xfId="0" applyFill="1" applyBorder="1" applyAlignment="1">
      <alignment horizontal="left" vertical="center" wrapText="1"/>
    </xf>
    <xf numFmtId="0" fontId="0" fillId="22" borderId="31" xfId="0" applyFont="1" applyFill="1" applyBorder="1" applyAlignment="1">
      <alignment horizontal="left" vertical="center"/>
    </xf>
    <xf numFmtId="0" fontId="0" fillId="0" borderId="35" xfId="0" applyNumberFormat="1" applyFill="1" applyBorder="1" applyAlignment="1">
      <alignment horizontal="left" vertical="center"/>
    </xf>
    <xf numFmtId="0" fontId="0" fillId="22" borderId="37" xfId="0" applyFont="1" applyFill="1" applyBorder="1" applyAlignment="1">
      <alignment horizontal="left" vertical="center"/>
    </xf>
    <xf numFmtId="0" fontId="0" fillId="0" borderId="9" xfId="0" applyNumberFormat="1" applyFill="1" applyBorder="1" applyAlignment="1">
      <alignment horizontal="left" vertical="center"/>
    </xf>
    <xf numFmtId="0" fontId="0" fillId="0" borderId="9" xfId="0" quotePrefix="1" applyNumberFormat="1" applyFont="1" applyFill="1" applyBorder="1" applyAlignment="1">
      <alignment horizontal="left" vertical="center"/>
    </xf>
    <xf numFmtId="49" fontId="0" fillId="0" borderId="49" xfId="0" applyNumberFormat="1" applyFont="1" applyFill="1" applyBorder="1" applyAlignment="1">
      <alignment horizontal="left" vertical="center"/>
    </xf>
    <xf numFmtId="0" fontId="0" fillId="0" borderId="49" xfId="0" applyNumberFormat="1" applyFill="1" applyBorder="1" applyAlignment="1">
      <alignment horizontal="left" vertical="center"/>
    </xf>
    <xf numFmtId="0" fontId="0" fillId="22" borderId="68" xfId="0" applyFont="1" applyFill="1" applyBorder="1" applyAlignment="1">
      <alignment vertical="top"/>
    </xf>
    <xf numFmtId="49" fontId="0" fillId="0" borderId="28" xfId="0" applyNumberFormat="1" applyFont="1" applyFill="1" applyBorder="1" applyAlignment="1">
      <alignment horizontal="center" vertical="center"/>
    </xf>
    <xf numFmtId="0" fontId="0" fillId="0" borderId="31" xfId="0" applyFont="1" applyFill="1" applyBorder="1" applyAlignment="1">
      <alignment horizontal="left" vertical="center"/>
    </xf>
    <xf numFmtId="0" fontId="0" fillId="0" borderId="28" xfId="0" applyFont="1" applyFill="1" applyBorder="1" applyAlignment="1">
      <alignment horizontal="left" vertical="center"/>
    </xf>
    <xf numFmtId="0" fontId="0" fillId="22" borderId="38" xfId="0" applyFont="1" applyFill="1" applyBorder="1" applyAlignment="1">
      <alignment vertical="top"/>
    </xf>
    <xf numFmtId="0" fontId="0" fillId="0" borderId="69" xfId="0" applyFont="1" applyFill="1" applyBorder="1" applyAlignment="1">
      <alignment vertical="top"/>
    </xf>
    <xf numFmtId="0" fontId="0" fillId="0" borderId="70" xfId="0" applyFont="1" applyFill="1" applyBorder="1" applyAlignment="1">
      <alignment vertical="top"/>
    </xf>
    <xf numFmtId="49" fontId="0" fillId="0" borderId="9" xfId="0" applyNumberFormat="1" applyFont="1" applyFill="1" applyBorder="1" applyAlignment="1">
      <alignment horizontal="center" vertical="center"/>
    </xf>
    <xf numFmtId="0" fontId="0" fillId="0" borderId="37" xfId="0" quotePrefix="1" applyFill="1" applyBorder="1" applyAlignment="1">
      <alignment horizontal="left" vertical="center"/>
    </xf>
    <xf numFmtId="0" fontId="75" fillId="0" borderId="38" xfId="0" applyFont="1" applyFill="1" applyBorder="1" applyAlignment="1">
      <alignment vertical="top"/>
    </xf>
    <xf numFmtId="0" fontId="0" fillId="0" borderId="41" xfId="0" applyFill="1" applyBorder="1" applyAlignment="1">
      <alignment vertical="top"/>
    </xf>
    <xf numFmtId="20" fontId="0" fillId="29" borderId="9" xfId="0" applyNumberFormat="1" applyFont="1" applyFill="1" applyBorder="1" applyAlignment="1">
      <alignment vertical="top" wrapText="1"/>
    </xf>
    <xf numFmtId="49" fontId="0" fillId="32" borderId="37" xfId="0" quotePrefix="1" applyNumberFormat="1" applyFill="1" applyBorder="1" applyAlignment="1">
      <alignment horizontal="left" vertical="center"/>
    </xf>
    <xf numFmtId="0" fontId="0" fillId="0" borderId="6" xfId="0" applyFont="1" applyFill="1" applyBorder="1" applyAlignment="1">
      <alignment horizontal="left" vertical="top"/>
    </xf>
    <xf numFmtId="0" fontId="0" fillId="0" borderId="30" xfId="0" applyFont="1" applyFill="1" applyBorder="1" applyAlignment="1">
      <alignment horizontal="left" vertical="top"/>
    </xf>
    <xf numFmtId="0" fontId="0" fillId="29" borderId="44" xfId="0" applyFont="1" applyFill="1" applyBorder="1" applyAlignment="1">
      <alignment vertical="center" wrapText="1"/>
    </xf>
    <xf numFmtId="0" fontId="0" fillId="0" borderId="9" xfId="130" applyFont="1" applyFill="1" applyBorder="1" applyAlignment="1">
      <alignment vertical="top"/>
    </xf>
    <xf numFmtId="0" fontId="69" fillId="0" borderId="39" xfId="0" applyFont="1" applyFill="1" applyBorder="1" applyAlignment="1">
      <alignment vertical="center" wrapText="1"/>
    </xf>
    <xf numFmtId="0" fontId="0" fillId="0" borderId="43" xfId="0" applyFont="1" applyFill="1" applyBorder="1" applyAlignment="1">
      <alignment horizontal="left" vertical="top"/>
    </xf>
    <xf numFmtId="0" fontId="0" fillId="0" borderId="44" xfId="0" applyFont="1" applyFill="1" applyBorder="1" applyAlignment="1">
      <alignment vertical="center" wrapText="1"/>
    </xf>
    <xf numFmtId="0" fontId="0" fillId="0" borderId="44" xfId="130" applyFont="1" applyFill="1" applyBorder="1" applyAlignment="1">
      <alignment vertical="top"/>
    </xf>
    <xf numFmtId="0" fontId="0" fillId="0" borderId="43" xfId="0" applyFill="1" applyBorder="1" applyAlignment="1">
      <alignment vertical="top"/>
    </xf>
    <xf numFmtId="0" fontId="0" fillId="0" borderId="9" xfId="129" applyFont="1" applyFill="1" applyBorder="1" applyAlignment="1">
      <alignment vertical="center"/>
    </xf>
    <xf numFmtId="0" fontId="0" fillId="0" borderId="9" xfId="129" applyFont="1" applyFill="1" applyBorder="1" applyAlignment="1">
      <alignment vertical="top"/>
    </xf>
    <xf numFmtId="0" fontId="0" fillId="0" borderId="9" xfId="129" applyFont="1" applyFill="1" applyBorder="1" applyAlignment="1">
      <alignment horizontal="center" vertical="top"/>
    </xf>
    <xf numFmtId="0" fontId="0" fillId="0" borderId="9" xfId="0" applyFont="1" applyFill="1" applyBorder="1" applyAlignment="1">
      <alignment horizontal="left" vertical="center"/>
    </xf>
    <xf numFmtId="0" fontId="0" fillId="0" borderId="9" xfId="0" quotePrefix="1" applyFont="1" applyFill="1" applyBorder="1" applyAlignment="1">
      <alignment horizontal="left" vertical="center"/>
    </xf>
    <xf numFmtId="0" fontId="0" fillId="0" borderId="39" xfId="0" applyFont="1" applyFill="1" applyBorder="1" applyAlignment="1">
      <alignment vertical="center" wrapText="1"/>
    </xf>
    <xf numFmtId="0" fontId="0" fillId="36" borderId="49" xfId="0" applyFont="1" applyFill="1" applyBorder="1" applyAlignment="1">
      <alignment horizontal="left" vertical="center"/>
    </xf>
    <xf numFmtId="0" fontId="0" fillId="0" borderId="29" xfId="0" applyFont="1" applyFill="1" applyBorder="1" applyAlignment="1">
      <alignment vertical="center" wrapText="1"/>
    </xf>
    <xf numFmtId="0" fontId="0" fillId="0" borderId="25" xfId="0" applyFont="1" applyFill="1" applyBorder="1" applyAlignment="1">
      <alignment vertical="center" wrapText="1"/>
    </xf>
    <xf numFmtId="0" fontId="0" fillId="0" borderId="24" xfId="0" applyFont="1" applyFill="1" applyBorder="1" applyAlignment="1">
      <alignment horizontal="left" vertical="center"/>
    </xf>
    <xf numFmtId="0" fontId="0" fillId="36" borderId="28" xfId="0" applyFont="1" applyFill="1" applyBorder="1" applyAlignment="1">
      <alignment horizontal="left" vertical="center"/>
    </xf>
    <xf numFmtId="0" fontId="0" fillId="0" borderId="28" xfId="0" applyNumberFormat="1" applyFill="1" applyBorder="1" applyAlignment="1">
      <alignment horizontal="left" vertical="center"/>
    </xf>
    <xf numFmtId="0" fontId="0" fillId="0" borderId="40" xfId="0" applyFont="1" applyFill="1" applyBorder="1" applyAlignment="1">
      <alignment vertical="top" wrapText="1"/>
    </xf>
    <xf numFmtId="20" fontId="0" fillId="0" borderId="9" xfId="0" applyNumberFormat="1" applyFill="1" applyBorder="1" applyAlignment="1">
      <alignment vertical="top" wrapText="1"/>
    </xf>
    <xf numFmtId="0" fontId="69" fillId="0" borderId="39" xfId="0" applyFont="1" applyFill="1" applyBorder="1" applyAlignment="1">
      <alignment vertical="top" wrapText="1"/>
    </xf>
    <xf numFmtId="0" fontId="69" fillId="0" borderId="41" xfId="0" applyFont="1" applyFill="1" applyBorder="1" applyAlignment="1">
      <alignment vertical="center" wrapText="1"/>
    </xf>
    <xf numFmtId="0" fontId="0" fillId="0" borderId="37" xfId="130" applyFont="1" applyFill="1" applyBorder="1" applyAlignment="1">
      <alignment horizontal="center" vertical="top" shrinkToFit="1"/>
    </xf>
    <xf numFmtId="0" fontId="69" fillId="0" borderId="41" xfId="0" applyFont="1" applyFill="1" applyBorder="1" applyAlignment="1">
      <alignment vertical="top" wrapText="1"/>
    </xf>
    <xf numFmtId="0" fontId="0" fillId="0" borderId="70" xfId="0" applyFill="1" applyBorder="1" applyAlignment="1">
      <alignment vertical="top"/>
    </xf>
    <xf numFmtId="0" fontId="69" fillId="0" borderId="41" xfId="130" applyFont="1" applyFill="1" applyBorder="1" applyAlignment="1">
      <alignment vertical="top" wrapText="1"/>
    </xf>
    <xf numFmtId="0" fontId="0" fillId="0" borderId="38" xfId="130" applyFont="1" applyFill="1" applyBorder="1" applyAlignment="1">
      <alignment vertical="top"/>
    </xf>
    <xf numFmtId="0" fontId="0" fillId="0" borderId="32" xfId="130" applyFont="1" applyFill="1" applyBorder="1" applyAlignment="1">
      <alignment vertical="top"/>
    </xf>
    <xf numFmtId="0" fontId="0" fillId="0" borderId="70" xfId="130" applyFont="1" applyFill="1" applyBorder="1" applyAlignment="1">
      <alignment vertical="top"/>
    </xf>
    <xf numFmtId="0" fontId="0" fillId="0" borderId="33" xfId="130" applyFont="1" applyFill="1" applyBorder="1" applyAlignment="1">
      <alignment vertical="top"/>
    </xf>
    <xf numFmtId="0" fontId="0" fillId="0" borderId="34" xfId="130" applyFont="1" applyFill="1" applyBorder="1" applyAlignment="1">
      <alignment vertical="top"/>
    </xf>
    <xf numFmtId="0" fontId="0" fillId="0" borderId="9" xfId="130" applyFont="1" applyFill="1" applyBorder="1" applyAlignment="1">
      <alignment horizontal="center" vertical="top"/>
    </xf>
    <xf numFmtId="0" fontId="0" fillId="0" borderId="9" xfId="130" applyFont="1" applyFill="1" applyBorder="1" applyAlignment="1">
      <alignment horizontal="center" vertical="center"/>
    </xf>
    <xf numFmtId="0" fontId="0" fillId="0" borderId="9" xfId="130" applyFont="1" applyFill="1" applyBorder="1" applyAlignment="1">
      <alignment vertical="center" wrapText="1"/>
    </xf>
    <xf numFmtId="0" fontId="0" fillId="0" borderId="6" xfId="130" applyFont="1" applyFill="1" applyBorder="1" applyAlignment="1">
      <alignment vertical="center"/>
    </xf>
    <xf numFmtId="0" fontId="0" fillId="0" borderId="40" xfId="130" applyFont="1" applyFill="1" applyBorder="1" applyAlignment="1">
      <alignment vertical="top" wrapText="1"/>
    </xf>
    <xf numFmtId="0" fontId="0" fillId="0" borderId="9" xfId="130" applyFont="1" applyFill="1" applyBorder="1" applyAlignment="1">
      <alignment vertical="center"/>
    </xf>
    <xf numFmtId="0" fontId="0" fillId="0" borderId="9" xfId="130" applyFont="1" applyFill="1" applyBorder="1" applyAlignment="1">
      <alignment vertical="top" wrapText="1"/>
    </xf>
    <xf numFmtId="0" fontId="0" fillId="0" borderId="30" xfId="130" applyFont="1" applyFill="1" applyBorder="1" applyAlignment="1">
      <alignment horizontal="center" vertical="top" shrinkToFit="1"/>
    </xf>
    <xf numFmtId="0" fontId="0" fillId="0" borderId="37" xfId="130" applyFont="1" applyFill="1" applyBorder="1" applyAlignment="1">
      <alignment horizontal="left" vertical="center"/>
    </xf>
    <xf numFmtId="0" fontId="1" fillId="36" borderId="9" xfId="130" applyFont="1" applyFill="1" applyBorder="1" applyAlignment="1">
      <alignment horizontal="left" vertical="center"/>
    </xf>
    <xf numFmtId="0" fontId="0" fillId="0" borderId="9" xfId="130" applyFont="1" applyFill="1" applyBorder="1" applyAlignment="1">
      <alignment horizontal="left" vertical="center"/>
    </xf>
    <xf numFmtId="0" fontId="1" fillId="36" borderId="9" xfId="130" quotePrefix="1" applyFont="1" applyFill="1" applyBorder="1" applyAlignment="1">
      <alignment horizontal="left" vertical="center"/>
    </xf>
    <xf numFmtId="0" fontId="0" fillId="0" borderId="0" xfId="130" applyFont="1" applyFill="1">
      <alignment vertical="center"/>
    </xf>
    <xf numFmtId="0" fontId="0" fillId="0" borderId="41" xfId="130" applyFont="1" applyFill="1" applyBorder="1" applyAlignment="1">
      <alignment vertical="top"/>
    </xf>
    <xf numFmtId="0" fontId="0" fillId="0" borderId="30" xfId="130" applyFont="1" applyFill="1" applyBorder="1" applyAlignment="1">
      <alignment vertical="top"/>
    </xf>
    <xf numFmtId="0" fontId="1" fillId="0" borderId="41" xfId="130" applyFont="1" applyFill="1" applyBorder="1" applyAlignment="1">
      <alignment vertical="top"/>
    </xf>
    <xf numFmtId="0" fontId="1" fillId="0" borderId="6" xfId="130" applyFont="1" applyFill="1" applyBorder="1" applyAlignment="1">
      <alignment vertical="top"/>
    </xf>
    <xf numFmtId="0" fontId="1" fillId="0" borderId="30" xfId="130" applyFont="1" applyFill="1" applyBorder="1" applyAlignment="1">
      <alignment vertical="top"/>
    </xf>
    <xf numFmtId="0" fontId="0" fillId="0" borderId="41" xfId="130" applyFont="1" applyFill="1" applyBorder="1" applyAlignment="1">
      <alignment vertical="top" wrapText="1"/>
    </xf>
    <xf numFmtId="0" fontId="0" fillId="0" borderId="56" xfId="130" applyFont="1" applyFill="1" applyBorder="1">
      <alignment vertical="center"/>
    </xf>
    <xf numFmtId="0" fontId="1" fillId="0" borderId="38" xfId="130" applyFont="1" applyFill="1" applyBorder="1" applyAlignment="1">
      <alignment vertical="top"/>
    </xf>
    <xf numFmtId="0" fontId="0" fillId="0" borderId="51" xfId="0" applyFont="1" applyFill="1" applyBorder="1">
      <alignment vertical="center"/>
    </xf>
    <xf numFmtId="0" fontId="0" fillId="0" borderId="49" xfId="130" applyFont="1" applyFill="1" applyBorder="1" applyAlignment="1">
      <alignment horizontal="center" vertical="top"/>
    </xf>
    <xf numFmtId="0" fontId="0" fillId="0" borderId="65" xfId="130" applyFont="1" applyFill="1" applyBorder="1" applyAlignment="1">
      <alignment vertical="top" wrapText="1"/>
    </xf>
    <xf numFmtId="0" fontId="0" fillId="0" borderId="53" xfId="130" applyFont="1" applyFill="1" applyBorder="1" applyAlignment="1">
      <alignment horizontal="left" vertical="center"/>
    </xf>
    <xf numFmtId="0" fontId="1" fillId="36" borderId="54" xfId="130" quotePrefix="1" applyFont="1" applyFill="1" applyBorder="1" applyAlignment="1">
      <alignment horizontal="left" vertical="center"/>
    </xf>
    <xf numFmtId="0" fontId="0" fillId="0" borderId="41" xfId="0" applyFont="1" applyFill="1" applyBorder="1" applyAlignment="1">
      <alignment vertical="center" wrapText="1"/>
    </xf>
    <xf numFmtId="0" fontId="0" fillId="0" borderId="35" xfId="0" applyFont="1" applyFill="1" applyBorder="1" applyAlignment="1">
      <alignment horizontal="left" vertical="center"/>
    </xf>
    <xf numFmtId="0" fontId="0" fillId="0" borderId="54" xfId="130" applyFont="1" applyFill="1" applyBorder="1" applyAlignment="1">
      <alignment horizontal="left" vertical="center"/>
    </xf>
    <xf numFmtId="0" fontId="0" fillId="0" borderId="0" xfId="0" applyFont="1" applyFill="1" applyAlignment="1">
      <alignment vertical="top"/>
    </xf>
    <xf numFmtId="0" fontId="0" fillId="0" borderId="35" xfId="0" applyFont="1" applyFill="1" applyBorder="1" applyAlignment="1">
      <alignment vertical="center" wrapText="1"/>
    </xf>
    <xf numFmtId="0" fontId="0" fillId="0" borderId="71" xfId="0" applyFont="1" applyFill="1" applyBorder="1" applyAlignment="1">
      <alignment vertical="center" wrapText="1"/>
    </xf>
    <xf numFmtId="49" fontId="0" fillId="0" borderId="35" xfId="0" applyNumberFormat="1" applyFont="1" applyFill="1" applyBorder="1" applyAlignment="1">
      <alignment horizontal="center" vertical="center" wrapText="1"/>
    </xf>
    <xf numFmtId="0" fontId="0" fillId="0" borderId="51" xfId="130" applyFont="1" applyFill="1" applyBorder="1" applyAlignment="1">
      <alignment vertical="top" wrapText="1"/>
    </xf>
    <xf numFmtId="0" fontId="0" fillId="0" borderId="36" xfId="0" applyFont="1" applyFill="1" applyBorder="1" applyAlignment="1">
      <alignment vertical="center" wrapText="1"/>
    </xf>
    <xf numFmtId="0" fontId="0" fillId="0" borderId="34" xfId="0" applyFont="1" applyFill="1" applyBorder="1" applyAlignment="1">
      <alignment horizontal="center" vertical="top" shrinkToFit="1"/>
    </xf>
    <xf numFmtId="0" fontId="75" fillId="0" borderId="54" xfId="0" applyFont="1" applyFill="1" applyBorder="1" applyAlignment="1">
      <alignment vertical="top"/>
    </xf>
    <xf numFmtId="0" fontId="0" fillId="0" borderId="50" xfId="0" applyFont="1" applyFill="1" applyBorder="1" applyAlignment="1">
      <alignment vertical="center" wrapText="1"/>
    </xf>
    <xf numFmtId="49" fontId="0" fillId="0" borderId="49" xfId="0" applyNumberFormat="1" applyFont="1" applyFill="1" applyBorder="1" applyAlignment="1">
      <alignment horizontal="center" vertical="center" wrapText="1"/>
    </xf>
    <xf numFmtId="0" fontId="75" fillId="29" borderId="49" xfId="0" applyFont="1" applyFill="1" applyBorder="1" applyAlignment="1">
      <alignment vertical="center" wrapText="1"/>
    </xf>
    <xf numFmtId="0" fontId="1" fillId="0" borderId="49" xfId="130" applyFont="1" applyFill="1" applyBorder="1" applyAlignment="1">
      <alignment horizontal="left" vertical="center"/>
    </xf>
    <xf numFmtId="0" fontId="29" fillId="0" borderId="0" xfId="0" applyFont="1" applyFill="1" applyBorder="1" applyAlignment="1">
      <alignment vertical="center" wrapText="1"/>
    </xf>
    <xf numFmtId="0" fontId="75" fillId="22" borderId="0" xfId="0" applyFont="1" applyFill="1" applyAlignment="1">
      <alignment horizontal="left" vertical="center"/>
    </xf>
    <xf numFmtId="0" fontId="1" fillId="36" borderId="9" xfId="130" applyFont="1" applyFill="1" applyBorder="1" applyAlignment="1">
      <alignment horizontal="left" vertical="center"/>
    </xf>
    <xf numFmtId="0" fontId="1" fillId="36" borderId="9" xfId="130" quotePrefix="1" applyFont="1" applyFill="1" applyBorder="1" applyAlignment="1">
      <alignment horizontal="left" vertical="center"/>
    </xf>
    <xf numFmtId="0" fontId="0" fillId="0" borderId="51" xfId="0" applyNumberFormat="1" applyFill="1" applyBorder="1" applyAlignment="1">
      <alignment horizontal="left" vertical="center"/>
    </xf>
    <xf numFmtId="0" fontId="1" fillId="0" borderId="9" xfId="130" applyFont="1" applyFill="1" applyBorder="1" applyAlignment="1">
      <alignment horizontal="left" vertical="center"/>
    </xf>
    <xf numFmtId="0" fontId="1" fillId="0" borderId="54" xfId="130" quotePrefix="1" applyFont="1" applyFill="1" applyBorder="1" applyAlignment="1">
      <alignment horizontal="left" vertical="center"/>
    </xf>
    <xf numFmtId="0" fontId="1" fillId="0" borderId="9" xfId="130" quotePrefix="1" applyFont="1" applyFill="1" applyBorder="1" applyAlignment="1">
      <alignment horizontal="left" vertical="center"/>
    </xf>
    <xf numFmtId="0" fontId="0" fillId="37" borderId="35" xfId="0" quotePrefix="1" applyFont="1" applyFill="1" applyBorder="1" applyAlignment="1">
      <alignment horizontal="left" vertical="center"/>
    </xf>
    <xf numFmtId="0" fontId="1" fillId="36" borderId="54" xfId="130" applyFont="1" applyFill="1" applyBorder="1" applyAlignment="1">
      <alignment horizontal="left" vertical="center"/>
    </xf>
    <xf numFmtId="0" fontId="0" fillId="0" borderId="40" xfId="0" applyNumberFormat="1" applyFill="1" applyBorder="1" applyAlignment="1">
      <alignment horizontal="left" vertical="center"/>
    </xf>
    <xf numFmtId="0" fontId="0" fillId="0" borderId="29" xfId="0" applyNumberFormat="1" applyFill="1" applyBorder="1" applyAlignment="1">
      <alignment horizontal="left" vertical="center"/>
    </xf>
    <xf numFmtId="0" fontId="0" fillId="0" borderId="36" xfId="0" applyNumberFormat="1" applyFill="1" applyBorder="1" applyAlignment="1">
      <alignment horizontal="left" vertical="center"/>
    </xf>
    <xf numFmtId="0" fontId="1" fillId="0" borderId="9" xfId="130" applyFont="1" applyFill="1" applyBorder="1" applyAlignment="1">
      <alignment vertical="center" wrapText="1"/>
    </xf>
    <xf numFmtId="0" fontId="1" fillId="0" borderId="47" xfId="130" applyFont="1" applyFill="1" applyBorder="1" applyAlignment="1">
      <alignment vertical="center"/>
    </xf>
    <xf numFmtId="0" fontId="0" fillId="0" borderId="28" xfId="0" applyFont="1" applyFill="1" applyBorder="1" applyAlignment="1">
      <alignment vertical="center" wrapText="1"/>
    </xf>
    <xf numFmtId="0" fontId="0" fillId="0" borderId="72" xfId="0" applyFont="1" applyFill="1" applyBorder="1" applyAlignment="1">
      <alignment vertical="center" wrapText="1"/>
    </xf>
    <xf numFmtId="49" fontId="0" fillId="0" borderId="28" xfId="0" applyNumberFormat="1" applyFont="1" applyFill="1" applyBorder="1" applyAlignment="1">
      <alignment horizontal="center" vertical="center" wrapText="1"/>
    </xf>
    <xf numFmtId="0" fontId="1" fillId="0" borderId="51" xfId="130" applyFont="1" applyFill="1" applyBorder="1" applyAlignment="1">
      <alignment vertical="top" wrapText="1"/>
    </xf>
    <xf numFmtId="49" fontId="0" fillId="36" borderId="49" xfId="0" quotePrefix="1" applyNumberFormat="1" applyFont="1" applyFill="1" applyBorder="1" applyAlignment="1">
      <alignment horizontal="left" vertical="center"/>
    </xf>
    <xf numFmtId="0" fontId="1" fillId="0" borderId="37" xfId="130" applyFont="1" applyFill="1" applyBorder="1" applyAlignment="1">
      <alignment horizontal="center" vertical="top" shrinkToFit="1"/>
    </xf>
    <xf numFmtId="0" fontId="1" fillId="0" borderId="41" xfId="0" applyFont="1" applyFill="1" applyBorder="1" applyAlignment="1">
      <alignment horizontal="left" vertical="top"/>
    </xf>
    <xf numFmtId="0" fontId="1" fillId="0" borderId="6" xfId="0" applyFont="1" applyFill="1" applyBorder="1" applyAlignment="1">
      <alignment horizontal="left" vertical="top"/>
    </xf>
    <xf numFmtId="0" fontId="1" fillId="0" borderId="30" xfId="0" applyFont="1" applyFill="1" applyBorder="1" applyAlignment="1">
      <alignment horizontal="left" vertical="top"/>
    </xf>
    <xf numFmtId="0" fontId="1" fillId="0" borderId="44" xfId="0" applyFont="1" applyFill="1" applyBorder="1" applyAlignment="1">
      <alignment horizontal="center" vertical="top"/>
    </xf>
    <xf numFmtId="20" fontId="1" fillId="0" borderId="9" xfId="0" applyNumberFormat="1" applyFont="1" applyFill="1" applyBorder="1" applyAlignment="1">
      <alignment vertical="top" wrapText="1"/>
    </xf>
    <xf numFmtId="0" fontId="29" fillId="34" borderId="73" xfId="0" applyFont="1" applyFill="1" applyBorder="1" applyAlignment="1">
      <alignment horizontal="center" vertical="center"/>
    </xf>
    <xf numFmtId="0" fontId="29" fillId="34" borderId="32" xfId="0" applyFont="1" applyFill="1" applyBorder="1" applyAlignment="1">
      <alignment horizontal="center" vertical="center"/>
    </xf>
    <xf numFmtId="0" fontId="29" fillId="34" borderId="70" xfId="0" applyFont="1" applyFill="1" applyBorder="1" applyAlignment="1">
      <alignment horizontal="center" vertical="center"/>
    </xf>
    <xf numFmtId="0" fontId="29" fillId="34" borderId="35" xfId="0" applyFont="1" applyFill="1" applyBorder="1" applyAlignment="1">
      <alignment horizontal="center" vertical="center"/>
    </xf>
    <xf numFmtId="0" fontId="29" fillId="34" borderId="71" xfId="0" applyFont="1" applyFill="1" applyBorder="1" applyAlignment="1">
      <alignment horizontal="center" vertical="center"/>
    </xf>
    <xf numFmtId="0" fontId="1" fillId="36" borderId="9" xfId="130" quotePrefix="1" applyFont="1" applyFill="1" applyBorder="1" applyAlignment="1">
      <alignment horizontal="left" vertical="center"/>
    </xf>
    <xf numFmtId="0" fontId="0" fillId="0" borderId="9" xfId="130" quotePrefix="1" applyFont="1" applyFill="1" applyBorder="1" applyAlignment="1">
      <alignment horizontal="left" vertical="center"/>
    </xf>
    <xf numFmtId="49" fontId="0" fillId="22" borderId="9" xfId="0" applyNumberFormat="1" applyFill="1" applyBorder="1">
      <alignment vertical="center"/>
    </xf>
    <xf numFmtId="0" fontId="1" fillId="36" borderId="54" xfId="130" quotePrefix="1" applyFont="1" applyFill="1" applyBorder="1" applyAlignment="1">
      <alignment horizontal="left" vertical="center"/>
    </xf>
    <xf numFmtId="0" fontId="0" fillId="0" borderId="54" xfId="130" quotePrefix="1" applyFont="1" applyFill="1" applyBorder="1" applyAlignment="1">
      <alignment horizontal="left" vertical="center"/>
    </xf>
    <xf numFmtId="0" fontId="1" fillId="36" borderId="9" xfId="130" quotePrefix="1" applyFont="1" applyFill="1" applyBorder="1" applyAlignment="1">
      <alignment horizontal="left" vertical="center"/>
    </xf>
    <xf numFmtId="0" fontId="0" fillId="0" borderId="46" xfId="0" applyFont="1" applyFill="1" applyBorder="1" applyAlignment="1">
      <alignment horizontal="left" vertical="center"/>
    </xf>
    <xf numFmtId="49" fontId="0" fillId="0" borderId="49" xfId="0" quotePrefix="1" applyNumberFormat="1" applyFont="1" applyFill="1" applyBorder="1" applyAlignment="1">
      <alignment horizontal="left" vertical="center"/>
    </xf>
    <xf numFmtId="0" fontId="74" fillId="0" borderId="44" xfId="0" quotePrefix="1" applyFont="1" applyFill="1" applyBorder="1" applyAlignment="1">
      <alignment horizontal="left" vertical="top" wrapText="1"/>
    </xf>
    <xf numFmtId="0" fontId="0" fillId="0" borderId="49" xfId="0" applyFont="1" applyFill="1" applyBorder="1" applyAlignment="1">
      <alignment horizontal="left" vertical="center"/>
    </xf>
    <xf numFmtId="0" fontId="29" fillId="29" borderId="44" xfId="0" applyFont="1" applyFill="1" applyBorder="1" applyAlignment="1">
      <alignment horizontal="left" vertical="top" wrapText="1"/>
    </xf>
    <xf numFmtId="0" fontId="0" fillId="29" borderId="74" xfId="0" applyFill="1" applyBorder="1" applyAlignment="1">
      <alignment horizontal="center" vertical="center"/>
    </xf>
    <xf numFmtId="0" fontId="0" fillId="29" borderId="60" xfId="0" applyFill="1" applyBorder="1" applyAlignment="1">
      <alignment horizontal="center" vertical="center"/>
    </xf>
    <xf numFmtId="0" fontId="0" fillId="0" borderId="70" xfId="0" applyFont="1" applyFill="1" applyBorder="1" applyAlignment="1">
      <alignment vertical="top"/>
    </xf>
    <xf numFmtId="0" fontId="0" fillId="0" borderId="33" xfId="0" applyFont="1" applyFill="1" applyBorder="1" applyAlignment="1">
      <alignment vertical="top"/>
    </xf>
    <xf numFmtId="0" fontId="0" fillId="0" borderId="34" xfId="0" applyFont="1" applyFill="1" applyBorder="1" applyAlignment="1">
      <alignment vertical="top"/>
    </xf>
    <xf numFmtId="0" fontId="0" fillId="0" borderId="41" xfId="0" applyFont="1" applyFill="1" applyBorder="1" applyAlignment="1">
      <alignment vertical="top"/>
    </xf>
    <xf numFmtId="0" fontId="0" fillId="0" borderId="6" xfId="0" applyFont="1" applyFill="1" applyBorder="1" applyAlignment="1">
      <alignment vertical="top"/>
    </xf>
    <xf numFmtId="0" fontId="0" fillId="0" borderId="30" xfId="0" applyFont="1" applyFill="1" applyBorder="1" applyAlignment="1">
      <alignment vertical="top"/>
    </xf>
    <xf numFmtId="0" fontId="0" fillId="0" borderId="41" xfId="0" applyFill="1" applyBorder="1" applyAlignment="1">
      <alignment horizontal="left" vertical="top"/>
    </xf>
    <xf numFmtId="0" fontId="0" fillId="0" borderId="6" xfId="0" applyFont="1" applyFill="1" applyBorder="1" applyAlignment="1">
      <alignment horizontal="left" vertical="top"/>
    </xf>
    <xf numFmtId="0" fontId="0" fillId="0" borderId="30" xfId="0" applyFont="1" applyFill="1" applyBorder="1" applyAlignment="1">
      <alignment horizontal="left" vertical="top"/>
    </xf>
    <xf numFmtId="0" fontId="0" fillId="32" borderId="65" xfId="0" applyFont="1" applyFill="1" applyBorder="1" applyAlignment="1">
      <alignment horizontal="center" vertical="center"/>
    </xf>
    <xf numFmtId="0" fontId="0" fillId="32" borderId="47" xfId="0" applyFont="1" applyFill="1" applyBorder="1" applyAlignment="1">
      <alignment horizontal="center" vertical="center"/>
    </xf>
    <xf numFmtId="0" fontId="0" fillId="32" borderId="48" xfId="0" applyFont="1" applyFill="1" applyBorder="1" applyAlignment="1">
      <alignment horizontal="center" vertical="center"/>
    </xf>
    <xf numFmtId="0" fontId="5" fillId="0" borderId="75" xfId="119" applyFont="1" applyFill="1" applyBorder="1" applyAlignment="1" applyProtection="1">
      <alignment vertical="center"/>
    </xf>
    <xf numFmtId="0" fontId="5" fillId="0" borderId="5" xfId="119" applyFont="1" applyFill="1" applyBorder="1" applyAlignment="1" applyProtection="1">
      <alignment vertical="center"/>
    </xf>
    <xf numFmtId="0" fontId="5" fillId="32" borderId="76" xfId="0" applyFont="1" applyFill="1" applyBorder="1" applyAlignment="1">
      <alignment horizontal="center" vertical="center" shrinkToFit="1"/>
    </xf>
    <xf numFmtId="0" fontId="5" fillId="32" borderId="74" xfId="0" applyFont="1" applyFill="1" applyBorder="1" applyAlignment="1">
      <alignment horizontal="center" vertical="center" shrinkToFit="1"/>
    </xf>
    <xf numFmtId="0" fontId="5" fillId="32" borderId="60" xfId="0" applyFont="1" applyFill="1" applyBorder="1" applyAlignment="1">
      <alignment horizontal="center" vertical="center" shrinkToFit="1"/>
    </xf>
    <xf numFmtId="0" fontId="5" fillId="35" borderId="76" xfId="0" applyFont="1" applyFill="1" applyBorder="1" applyAlignment="1">
      <alignment horizontal="center" vertical="center"/>
    </xf>
    <xf numFmtId="0" fontId="5" fillId="35" borderId="74" xfId="0" applyFont="1" applyFill="1" applyBorder="1" applyAlignment="1">
      <alignment horizontal="center" vertical="center"/>
    </xf>
    <xf numFmtId="0" fontId="5" fillId="33" borderId="76" xfId="0" applyFont="1" applyFill="1" applyBorder="1" applyAlignment="1">
      <alignment horizontal="center" vertical="center" shrinkToFit="1"/>
    </xf>
    <xf numFmtId="0" fontId="5" fillId="33" borderId="74" xfId="0" applyFont="1" applyFill="1" applyBorder="1" applyAlignment="1">
      <alignment horizontal="center" vertical="center" shrinkToFit="1"/>
    </xf>
    <xf numFmtId="0" fontId="5" fillId="33" borderId="60" xfId="0" applyFont="1" applyFill="1" applyBorder="1" applyAlignment="1">
      <alignment horizontal="center" vertical="center" shrinkToFit="1"/>
    </xf>
    <xf numFmtId="0" fontId="5" fillId="28" borderId="75" xfId="0" applyFont="1" applyFill="1" applyBorder="1" applyAlignment="1">
      <alignment vertical="center"/>
    </xf>
    <xf numFmtId="0" fontId="5" fillId="28" borderId="5" xfId="0" applyFont="1" applyFill="1" applyBorder="1" applyAlignment="1">
      <alignment vertical="center"/>
    </xf>
    <xf numFmtId="0" fontId="5" fillId="28" borderId="77" xfId="0" applyFont="1" applyFill="1" applyBorder="1" applyAlignment="1">
      <alignment vertical="center"/>
    </xf>
    <xf numFmtId="0" fontId="5" fillId="32" borderId="78" xfId="0" applyFont="1" applyFill="1" applyBorder="1" applyAlignment="1">
      <alignment horizontal="center" vertical="center"/>
    </xf>
    <xf numFmtId="49" fontId="5" fillId="22" borderId="75" xfId="0" applyNumberFormat="1" applyFont="1" applyFill="1" applyBorder="1" applyAlignment="1">
      <alignment vertical="center"/>
    </xf>
    <xf numFmtId="49" fontId="5" fillId="22" borderId="5" xfId="0" applyNumberFormat="1" applyFont="1" applyFill="1" applyBorder="1" applyAlignment="1">
      <alignment vertical="center"/>
    </xf>
    <xf numFmtId="49" fontId="5" fillId="22" borderId="77" xfId="0" applyNumberFormat="1" applyFont="1" applyFill="1" applyBorder="1" applyAlignment="1">
      <alignment vertical="center"/>
    </xf>
    <xf numFmtId="0" fontId="5" fillId="32" borderId="78" xfId="0" applyFont="1" applyFill="1" applyBorder="1" applyAlignment="1">
      <alignment vertical="center"/>
    </xf>
    <xf numFmtId="0" fontId="5" fillId="22" borderId="75" xfId="0" applyFont="1" applyFill="1" applyBorder="1" applyAlignment="1">
      <alignment vertical="center"/>
    </xf>
    <xf numFmtId="0" fontId="5" fillId="22" borderId="5" xfId="0" applyFont="1" applyFill="1" applyBorder="1" applyAlignment="1">
      <alignment vertical="center"/>
    </xf>
    <xf numFmtId="0" fontId="5" fillId="22" borderId="77" xfId="0" applyFont="1" applyFill="1" applyBorder="1" applyAlignment="1">
      <alignment vertical="center"/>
    </xf>
    <xf numFmtId="0" fontId="5" fillId="32" borderId="75" xfId="0" applyFont="1" applyFill="1" applyBorder="1" applyAlignment="1">
      <alignment vertical="center"/>
    </xf>
    <xf numFmtId="0" fontId="5" fillId="32" borderId="5" xfId="0" applyFont="1" applyFill="1" applyBorder="1" applyAlignment="1">
      <alignment vertical="center"/>
    </xf>
    <xf numFmtId="0" fontId="5" fillId="32" borderId="77" xfId="0" applyFont="1" applyFill="1" applyBorder="1" applyAlignment="1">
      <alignment vertical="center"/>
    </xf>
    <xf numFmtId="0" fontId="5" fillId="0" borderId="75" xfId="0" applyFont="1" applyFill="1" applyBorder="1" applyAlignment="1">
      <alignment vertical="center"/>
    </xf>
    <xf numFmtId="0" fontId="5" fillId="0" borderId="5" xfId="0" applyFont="1" applyFill="1" applyBorder="1" applyAlignment="1">
      <alignment vertical="center"/>
    </xf>
    <xf numFmtId="0" fontId="5" fillId="0" borderId="77" xfId="0" applyFont="1" applyFill="1" applyBorder="1" applyAlignment="1">
      <alignment vertical="center"/>
    </xf>
  </cellXfs>
  <cellStyles count="199">
    <cellStyle name="??????" xfId="1" xr:uid="{00000000-0005-0000-0000-000000000000}"/>
    <cellStyle name="??_???? ?? ??? (2)" xfId="2" xr:uid="{00000000-0005-0000-0000-000001000000}"/>
    <cellStyle name="?E°CE，°e1yAI" xfId="3" xr:uid="{00000000-0005-0000-0000-000002000000}"/>
    <cellStyle name="20% - Accent1" xfId="4" xr:uid="{00000000-0005-0000-0000-000003000000}"/>
    <cellStyle name="20% - Accent2" xfId="5" xr:uid="{00000000-0005-0000-0000-000004000000}"/>
    <cellStyle name="20% - Accent3" xfId="6" xr:uid="{00000000-0005-0000-0000-000005000000}"/>
    <cellStyle name="20% - Accent4" xfId="7" xr:uid="{00000000-0005-0000-0000-000006000000}"/>
    <cellStyle name="20% - Accent5" xfId="8" xr:uid="{00000000-0005-0000-0000-000007000000}"/>
    <cellStyle name="20% - Accent6" xfId="9" xr:uid="{00000000-0005-0000-0000-000008000000}"/>
    <cellStyle name="40% - Accent1" xfId="10" xr:uid="{00000000-0005-0000-0000-000009000000}"/>
    <cellStyle name="40% - Accent2" xfId="11" xr:uid="{00000000-0005-0000-0000-00000A000000}"/>
    <cellStyle name="40% - Accent3" xfId="12" xr:uid="{00000000-0005-0000-0000-00000B000000}"/>
    <cellStyle name="40% - Accent4" xfId="13" xr:uid="{00000000-0005-0000-0000-00000C000000}"/>
    <cellStyle name="40% - Accent5" xfId="14" xr:uid="{00000000-0005-0000-0000-00000D000000}"/>
    <cellStyle name="40% - Accent6" xfId="15" xr:uid="{00000000-0005-0000-0000-00000E000000}"/>
    <cellStyle name="60% - Accent1" xfId="16" xr:uid="{00000000-0005-0000-0000-00000F000000}"/>
    <cellStyle name="60% - Accent2" xfId="17" xr:uid="{00000000-0005-0000-0000-000010000000}"/>
    <cellStyle name="60% - Accent3" xfId="18" xr:uid="{00000000-0005-0000-0000-000011000000}"/>
    <cellStyle name="60% - Accent4" xfId="19" xr:uid="{00000000-0005-0000-0000-000012000000}"/>
    <cellStyle name="60% - Accent5" xfId="20" xr:uid="{00000000-0005-0000-0000-000013000000}"/>
    <cellStyle name="60% - Accent6" xfId="21" xr:uid="{00000000-0005-0000-0000-000014000000}"/>
    <cellStyle name="Accent1" xfId="22" xr:uid="{00000000-0005-0000-0000-000015000000}"/>
    <cellStyle name="Accent2" xfId="23" xr:uid="{00000000-0005-0000-0000-000016000000}"/>
    <cellStyle name="Accent3" xfId="24" xr:uid="{00000000-0005-0000-0000-000017000000}"/>
    <cellStyle name="Accent4" xfId="25" xr:uid="{00000000-0005-0000-0000-000018000000}"/>
    <cellStyle name="Accent5" xfId="26" xr:uid="{00000000-0005-0000-0000-000019000000}"/>
    <cellStyle name="Accent6" xfId="27" xr:uid="{00000000-0005-0000-0000-00001A000000}"/>
    <cellStyle name="AeE- [0]_Co´e0124" xfId="28" xr:uid="{00000000-0005-0000-0000-00001B000000}"/>
    <cellStyle name="AeE-_Co´e0124" xfId="29" xr:uid="{00000000-0005-0000-0000-00001C000000}"/>
    <cellStyle name="AT，¶ [0]_Co´e0124" xfId="30" xr:uid="{00000000-0005-0000-0000-00001D000000}"/>
    <cellStyle name="AT，¶_Co´e0124" xfId="31" xr:uid="{00000000-0005-0000-0000-00001E000000}"/>
    <cellStyle name="Bad" xfId="32" xr:uid="{00000000-0005-0000-0000-00001F000000}"/>
    <cellStyle name="BD標準" xfId="33" xr:uid="{00000000-0005-0000-0000-000020000000}"/>
    <cellStyle name="C\AO_Co´e0124" xfId="34" xr:uid="{00000000-0005-0000-0000-000021000000}"/>
    <cellStyle name="Calc Currency (0)" xfId="35" xr:uid="{00000000-0005-0000-0000-000022000000}"/>
    <cellStyle name="Calculation" xfId="36" xr:uid="{00000000-0005-0000-0000-000023000000}"/>
    <cellStyle name="category" xfId="37" xr:uid="{00000000-0005-0000-0000-000024000000}"/>
    <cellStyle name="Check Cell" xfId="38" xr:uid="{00000000-0005-0000-0000-000025000000}"/>
    <cellStyle name="Comma [0]_1995" xfId="39" xr:uid="{00000000-0005-0000-0000-000026000000}"/>
    <cellStyle name="Comma_1995" xfId="40" xr:uid="{00000000-0005-0000-0000-000027000000}"/>
    <cellStyle name="Comma0 - Modelo1" xfId="41" xr:uid="{00000000-0005-0000-0000-000028000000}"/>
    <cellStyle name="Comma0 - Style1" xfId="42" xr:uid="{00000000-0005-0000-0000-000029000000}"/>
    <cellStyle name="Comma1 - Modelo2" xfId="43" xr:uid="{00000000-0005-0000-0000-00002A000000}"/>
    <cellStyle name="Comma1 - Style2" xfId="44" xr:uid="{00000000-0005-0000-0000-00002B000000}"/>
    <cellStyle name="Currency [0]_1995" xfId="45" xr:uid="{00000000-0005-0000-0000-00002C000000}"/>
    <cellStyle name="Currency_1995" xfId="46" xr:uid="{00000000-0005-0000-0000-00002D000000}"/>
    <cellStyle name="Dia" xfId="47" xr:uid="{00000000-0005-0000-0000-00002E000000}"/>
    <cellStyle name="Encabez1" xfId="48" xr:uid="{00000000-0005-0000-0000-00002F000000}"/>
    <cellStyle name="Encabez2" xfId="49" xr:uid="{00000000-0005-0000-0000-000030000000}"/>
    <cellStyle name="entry" xfId="50" xr:uid="{00000000-0005-0000-0000-000031000000}"/>
    <cellStyle name="Explanatory Text" xfId="51" xr:uid="{00000000-0005-0000-0000-000032000000}"/>
    <cellStyle name="F2" xfId="52" xr:uid="{00000000-0005-0000-0000-000033000000}"/>
    <cellStyle name="F3" xfId="53" xr:uid="{00000000-0005-0000-0000-000034000000}"/>
    <cellStyle name="F4" xfId="54" xr:uid="{00000000-0005-0000-0000-000035000000}"/>
    <cellStyle name="F5" xfId="55" xr:uid="{00000000-0005-0000-0000-000036000000}"/>
    <cellStyle name="F6" xfId="56" xr:uid="{00000000-0005-0000-0000-000037000000}"/>
    <cellStyle name="F7" xfId="57" xr:uid="{00000000-0005-0000-0000-000038000000}"/>
    <cellStyle name="F8" xfId="58" xr:uid="{00000000-0005-0000-0000-000039000000}"/>
    <cellStyle name="Fijo" xfId="59" xr:uid="{00000000-0005-0000-0000-00003A000000}"/>
    <cellStyle name="Financiero" xfId="60" xr:uid="{00000000-0005-0000-0000-00003B000000}"/>
    <cellStyle name="Good" xfId="61" xr:uid="{00000000-0005-0000-0000-00003C000000}"/>
    <cellStyle name="Grey" xfId="62" xr:uid="{00000000-0005-0000-0000-00003D000000}"/>
    <cellStyle name="HEADER" xfId="63" xr:uid="{00000000-0005-0000-0000-00003E000000}"/>
    <cellStyle name="Header 1" xfId="64" xr:uid="{00000000-0005-0000-0000-00003F000000}"/>
    <cellStyle name="Header 2" xfId="65" xr:uid="{00000000-0005-0000-0000-000040000000}"/>
    <cellStyle name="Header Center" xfId="66" xr:uid="{00000000-0005-0000-0000-000041000000}"/>
    <cellStyle name="Header1" xfId="67" xr:uid="{00000000-0005-0000-0000-000042000000}"/>
    <cellStyle name="Header2" xfId="68" xr:uid="{00000000-0005-0000-0000-000043000000}"/>
    <cellStyle name="Heading 1" xfId="69" xr:uid="{00000000-0005-0000-0000-000044000000}"/>
    <cellStyle name="Heading 2" xfId="70" xr:uid="{00000000-0005-0000-0000-000045000000}"/>
    <cellStyle name="Heading 3" xfId="71" xr:uid="{00000000-0005-0000-0000-000046000000}"/>
    <cellStyle name="Heading 4" xfId="72" xr:uid="{00000000-0005-0000-0000-000047000000}"/>
    <cellStyle name="HP Logo" xfId="73" xr:uid="{00000000-0005-0000-0000-000048000000}"/>
    <cellStyle name="Hyperlink 2" xfId="74" xr:uid="{00000000-0005-0000-0000-000049000000}"/>
    <cellStyle name="IBM(401K)" xfId="75" xr:uid="{00000000-0005-0000-0000-00004A000000}"/>
    <cellStyle name="Input" xfId="76" xr:uid="{00000000-0005-0000-0000-00004B000000}"/>
    <cellStyle name="Input [yellow]" xfId="77" xr:uid="{00000000-0005-0000-0000-00004C000000}"/>
    <cellStyle name="J401K" xfId="78" xr:uid="{00000000-0005-0000-0000-00004D000000}"/>
    <cellStyle name="Linked Cell" xfId="79" xr:uid="{00000000-0005-0000-0000-00004E000000}"/>
    <cellStyle name="MFPStyle_Title" xfId="80" xr:uid="{00000000-0005-0000-0000-00004F000000}"/>
    <cellStyle name="Millares [0]_10 AVERIAS MASIVAS + ANT" xfId="81" xr:uid="{00000000-0005-0000-0000-000050000000}"/>
    <cellStyle name="Millares_10 AVERIAS MASIVAS + ANT" xfId="82" xr:uid="{00000000-0005-0000-0000-000051000000}"/>
    <cellStyle name="Model" xfId="83" xr:uid="{00000000-0005-0000-0000-000052000000}"/>
    <cellStyle name="Moneda [0]_10 AVERIAS MASIVAS + ANT" xfId="84" xr:uid="{00000000-0005-0000-0000-000053000000}"/>
    <cellStyle name="Moneda_10 AVERIAS MASIVAS + ANT" xfId="85" xr:uid="{00000000-0005-0000-0000-000054000000}"/>
    <cellStyle name="Monetario" xfId="86" xr:uid="{00000000-0005-0000-0000-000055000000}"/>
    <cellStyle name="Neutral" xfId="87" xr:uid="{00000000-0005-0000-0000-000056000000}"/>
    <cellStyle name="no dec" xfId="88" xr:uid="{00000000-0005-0000-0000-000057000000}"/>
    <cellStyle name="Normal - Style1" xfId="89" xr:uid="{00000000-0005-0000-0000-000058000000}"/>
    <cellStyle name="Normal 2" xfId="90" xr:uid="{00000000-0005-0000-0000-000059000000}"/>
    <cellStyle name="Normal_#10-Headcount" xfId="91" xr:uid="{00000000-0005-0000-0000-00005A000000}"/>
    <cellStyle name="Normale_2000S TPI TARIFF" xfId="92" xr:uid="{00000000-0005-0000-0000-00005B000000}"/>
    <cellStyle name="Note" xfId="93" xr:uid="{00000000-0005-0000-0000-00005C000000}"/>
    <cellStyle name="NUMERO" xfId="94" xr:uid="{00000000-0005-0000-0000-00005D000000}"/>
    <cellStyle name="Output" xfId="95" xr:uid="{00000000-0005-0000-0000-00005E000000}"/>
    <cellStyle name="Percent [2]" xfId="96" xr:uid="{00000000-0005-0000-0000-00005F000000}"/>
    <cellStyle name="Porcentaje" xfId="97" xr:uid="{00000000-0005-0000-0000-000060000000}"/>
    <cellStyle name="price" xfId="98" xr:uid="{00000000-0005-0000-0000-000061000000}"/>
    <cellStyle name="PSChar" xfId="99" xr:uid="{00000000-0005-0000-0000-000062000000}"/>
    <cellStyle name="PSHeading" xfId="100" xr:uid="{00000000-0005-0000-0000-000063000000}"/>
    <cellStyle name="revised" xfId="101" xr:uid="{00000000-0005-0000-0000-000064000000}"/>
    <cellStyle name="RM" xfId="102" xr:uid="{00000000-0005-0000-0000-000065000000}"/>
    <cellStyle name="section" xfId="103" xr:uid="{00000000-0005-0000-0000-000066000000}"/>
    <cellStyle name="SPOl" xfId="104" xr:uid="{00000000-0005-0000-0000-000067000000}"/>
    <cellStyle name="subhead" xfId="105" xr:uid="{00000000-0005-0000-0000-000068000000}"/>
    <cellStyle name="Table Entry" xfId="106" xr:uid="{00000000-0005-0000-0000-000069000000}"/>
    <cellStyle name="Table Heading" xfId="107" xr:uid="{00000000-0005-0000-0000-00006A000000}"/>
    <cellStyle name="Table Heading Center" xfId="108" xr:uid="{00000000-0005-0000-0000-00006B000000}"/>
    <cellStyle name="Table Medium" xfId="109" xr:uid="{00000000-0005-0000-0000-00006C000000}"/>
    <cellStyle name="Table Normal" xfId="110" xr:uid="{00000000-0005-0000-0000-00006D000000}"/>
    <cellStyle name="Table Small" xfId="111" xr:uid="{00000000-0005-0000-0000-00006E000000}"/>
    <cellStyle name="Table Small Bold" xfId="112" xr:uid="{00000000-0005-0000-0000-00006F000000}"/>
    <cellStyle name="Table Small Center" xfId="113" xr:uid="{00000000-0005-0000-0000-000070000000}"/>
    <cellStyle name="Table Title" xfId="114" xr:uid="{00000000-0005-0000-0000-000071000000}"/>
    <cellStyle name="Title" xfId="115" xr:uid="{00000000-0005-0000-0000-000072000000}"/>
    <cellStyle name="Total" xfId="116" xr:uid="{00000000-0005-0000-0000-000073000000}"/>
    <cellStyle name="Warning Text" xfId="117" xr:uid="{00000000-0005-0000-0000-000074000000}"/>
    <cellStyle name="ハイパーリンク 2" xfId="118" xr:uid="{00000000-0005-0000-0000-000075000000}"/>
    <cellStyle name="ハイパーリンク 2 2" xfId="119" xr:uid="{00000000-0005-0000-0000-000076000000}"/>
    <cellStyle name="ハイパーリンク 2 2 2" xfId="120" xr:uid="{00000000-0005-0000-0000-000077000000}"/>
    <cellStyle name="下点線" xfId="121" xr:uid="{00000000-0005-0000-0000-000078000000}"/>
    <cellStyle name="価格桁区切り" xfId="122" xr:uid="{00000000-0005-0000-0000-000079000000}"/>
    <cellStyle name="貨物標準" xfId="123" xr:uid="{00000000-0005-0000-0000-00007A000000}"/>
    <cellStyle name="型番" xfId="124" xr:uid="{00000000-0005-0000-0000-00007B000000}"/>
    <cellStyle name="桁区切り [##.##]" xfId="125" xr:uid="{00000000-0005-0000-0000-00007C000000}"/>
    <cellStyle name="見出し" xfId="126" xr:uid="{00000000-0005-0000-0000-00007D000000}"/>
    <cellStyle name="見出し 1 2" xfId="127" xr:uid="{00000000-0005-0000-0000-00007E000000}"/>
    <cellStyle name="常规_【NWエリア検索】 住所探索画面-API" xfId="128" xr:uid="{00000000-0005-0000-0000-00007F000000}"/>
    <cellStyle name="常规_0805_FMCオンライン向けAPIパラメータ一覧20080305" xfId="129" xr:uid="{00000000-0005-0000-0000-000080000000}"/>
    <cellStyle name="常规_仕掛中0805_FMCオンライン向けAPIパラメータ一覧" xfId="130" xr:uid="{00000000-0005-0000-0000-000081000000}"/>
    <cellStyle name="人月" xfId="131" xr:uid="{00000000-0005-0000-0000-000082000000}"/>
    <cellStyle name="数値" xfId="132" xr:uid="{00000000-0005-0000-0000-000083000000}"/>
    <cellStyle name="数値（桁区切り）" xfId="133" xr:uid="{00000000-0005-0000-0000-000084000000}"/>
    <cellStyle name="数値_4-2-00%28UQSVC%29" xfId="134" xr:uid="{00000000-0005-0000-0000-000085000000}"/>
    <cellStyle name="製品通知&quot;-&quot;" xfId="135" xr:uid="{00000000-0005-0000-0000-000086000000}"/>
    <cellStyle name="製品通知価格" xfId="136" xr:uid="{00000000-0005-0000-0000-000087000000}"/>
    <cellStyle name="製品通知日付" xfId="137" xr:uid="{00000000-0005-0000-0000-000088000000}"/>
    <cellStyle name="製品通知文字列" xfId="138" xr:uid="{00000000-0005-0000-0000-000089000000}"/>
    <cellStyle name="通貨 2" xfId="139" xr:uid="{00000000-0005-0000-0000-00008A000000}"/>
    <cellStyle name="日付" xfId="140" xr:uid="{00000000-0005-0000-0000-00008B000000}"/>
    <cellStyle name="年月日" xfId="141" xr:uid="{00000000-0005-0000-0000-00008C000000}"/>
    <cellStyle name="標・_HTL99S" xfId="142" xr:uid="{00000000-0005-0000-0000-00008D000000}"/>
    <cellStyle name="標準" xfId="0" builtinId="0"/>
    <cellStyle name="標準 10" xfId="143" xr:uid="{00000000-0005-0000-0000-00008F000000}"/>
    <cellStyle name="標準 11" xfId="144" xr:uid="{00000000-0005-0000-0000-000090000000}"/>
    <cellStyle name="標準 12" xfId="145" xr:uid="{00000000-0005-0000-0000-000091000000}"/>
    <cellStyle name="標準 13" xfId="146" xr:uid="{00000000-0005-0000-0000-000092000000}"/>
    <cellStyle name="標準 13 2" xfId="147" xr:uid="{00000000-0005-0000-0000-000093000000}"/>
    <cellStyle name="標準 14" xfId="148" xr:uid="{00000000-0005-0000-0000-000094000000}"/>
    <cellStyle name="標準 14 2" xfId="149" xr:uid="{00000000-0005-0000-0000-000095000000}"/>
    <cellStyle name="標準 15" xfId="150" xr:uid="{00000000-0005-0000-0000-000096000000}"/>
    <cellStyle name="標準 16" xfId="151" xr:uid="{00000000-0005-0000-0000-000097000000}"/>
    <cellStyle name="標準 17" xfId="152" xr:uid="{00000000-0005-0000-0000-000098000000}"/>
    <cellStyle name="標準 18" xfId="153" xr:uid="{00000000-0005-0000-0000-000099000000}"/>
    <cellStyle name="標準 19" xfId="154" xr:uid="{00000000-0005-0000-0000-00009A000000}"/>
    <cellStyle name="標準 2" xfId="155" xr:uid="{00000000-0005-0000-0000-00009B000000}"/>
    <cellStyle name="標準 2 2" xfId="156" xr:uid="{00000000-0005-0000-0000-00009C000000}"/>
    <cellStyle name="標準 2 3" xfId="157" xr:uid="{00000000-0005-0000-0000-00009D000000}"/>
    <cellStyle name="標準 2 5" xfId="158" xr:uid="{00000000-0005-0000-0000-00009E000000}"/>
    <cellStyle name="標準 20" xfId="159" xr:uid="{00000000-0005-0000-0000-00009F000000}"/>
    <cellStyle name="標準 21" xfId="160" xr:uid="{00000000-0005-0000-0000-0000A0000000}"/>
    <cellStyle name="標準 22" xfId="161" xr:uid="{00000000-0005-0000-0000-0000A1000000}"/>
    <cellStyle name="標準 23" xfId="162" xr:uid="{00000000-0005-0000-0000-0000A2000000}"/>
    <cellStyle name="標準 24" xfId="163" xr:uid="{00000000-0005-0000-0000-0000A3000000}"/>
    <cellStyle name="標準 25" xfId="164" xr:uid="{00000000-0005-0000-0000-0000A4000000}"/>
    <cellStyle name="標準 26" xfId="165" xr:uid="{00000000-0005-0000-0000-0000A5000000}"/>
    <cellStyle name="標準 27" xfId="166" xr:uid="{00000000-0005-0000-0000-0000A6000000}"/>
    <cellStyle name="標準 28" xfId="167" xr:uid="{00000000-0005-0000-0000-0000A7000000}"/>
    <cellStyle name="標準 29" xfId="168" xr:uid="{00000000-0005-0000-0000-0000A8000000}"/>
    <cellStyle name="標準 3" xfId="169" xr:uid="{00000000-0005-0000-0000-0000A9000000}"/>
    <cellStyle name="標準 3 2" xfId="170" xr:uid="{00000000-0005-0000-0000-0000AA000000}"/>
    <cellStyle name="標準 30" xfId="171" xr:uid="{00000000-0005-0000-0000-0000AB000000}"/>
    <cellStyle name="標準 31" xfId="172" xr:uid="{00000000-0005-0000-0000-0000AC000000}"/>
    <cellStyle name="標準 32" xfId="173" xr:uid="{00000000-0005-0000-0000-0000AD000000}"/>
    <cellStyle name="標準 33" xfId="174" xr:uid="{00000000-0005-0000-0000-0000AE000000}"/>
    <cellStyle name="標準 34" xfId="175" xr:uid="{00000000-0005-0000-0000-0000AF000000}"/>
    <cellStyle name="標準 35" xfId="176" xr:uid="{00000000-0005-0000-0000-0000B0000000}"/>
    <cellStyle name="標準 36" xfId="177" xr:uid="{00000000-0005-0000-0000-0000B1000000}"/>
    <cellStyle name="標準 37" xfId="178" xr:uid="{00000000-0005-0000-0000-0000B2000000}"/>
    <cellStyle name="標準 38" xfId="179" xr:uid="{00000000-0005-0000-0000-0000B3000000}"/>
    <cellStyle name="標準 39" xfId="180" xr:uid="{00000000-0005-0000-0000-0000B4000000}"/>
    <cellStyle name="標準 4" xfId="181" xr:uid="{00000000-0005-0000-0000-0000B5000000}"/>
    <cellStyle name="標準 4 2" xfId="182" xr:uid="{00000000-0005-0000-0000-0000B6000000}"/>
    <cellStyle name="標準 40" xfId="183" xr:uid="{00000000-0005-0000-0000-0000B7000000}"/>
    <cellStyle name="標準 41" xfId="184" xr:uid="{00000000-0005-0000-0000-0000B8000000}"/>
    <cellStyle name="標準 5" xfId="185" xr:uid="{00000000-0005-0000-0000-0000B9000000}"/>
    <cellStyle name="標準 5 2" xfId="186" xr:uid="{00000000-0005-0000-0000-0000BA000000}"/>
    <cellStyle name="標準 6" xfId="187" xr:uid="{00000000-0005-0000-0000-0000BB000000}"/>
    <cellStyle name="標準 6 2" xfId="188" xr:uid="{00000000-0005-0000-0000-0000BC000000}"/>
    <cellStyle name="標準 7" xfId="189" xr:uid="{00000000-0005-0000-0000-0000BD000000}"/>
    <cellStyle name="標準 8" xfId="190" xr:uid="{00000000-0005-0000-0000-0000BE000000}"/>
    <cellStyle name="標準 9" xfId="191" xr:uid="{00000000-0005-0000-0000-0000BF000000}"/>
    <cellStyle name="標準 9 2" xfId="192" xr:uid="{00000000-0005-0000-0000-0000C0000000}"/>
    <cellStyle name="表題" xfId="193" xr:uid="{00000000-0005-0000-0000-0000C3000000}"/>
    <cellStyle name="文字列" xfId="194" xr:uid="{00000000-0005-0000-0000-0000C4000000}"/>
    <cellStyle name="未定義" xfId="195" xr:uid="{00000000-0005-0000-0000-0000C5000000}"/>
    <cellStyle name="網かけ" xfId="196" xr:uid="{00000000-0005-0000-0000-0000C6000000}"/>
    <cellStyle name="網掛け" xfId="197" xr:uid="{00000000-0005-0000-0000-0000C7000000}"/>
    <cellStyle name="樘準_購－表紙 (2)_1_型－PRINT_ＳＩ型番 (2)_構成明細  (原調込み） (2)" xfId="198" xr:uid="{00000000-0005-0000-0000-0000C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24" Type="http://schemas.openxmlformats.org/officeDocument/2006/relationships/customXml" Target="../customXml/item3.xml"/><Relationship Id="rId5" Type="http://schemas.openxmlformats.org/officeDocument/2006/relationships/externalLink" Target="externalLinks/externalLink2.xml"/><Relationship Id="rId15" Type="http://schemas.openxmlformats.org/officeDocument/2006/relationships/externalLink" Target="externalLinks/externalLink12.xml"/><Relationship Id="rId23" Type="http://schemas.openxmlformats.org/officeDocument/2006/relationships/customXml" Target="../customXml/item2.xml"/><Relationship Id="rId10" Type="http://schemas.openxmlformats.org/officeDocument/2006/relationships/externalLink" Target="externalLinks/externalLink7.xml"/><Relationship Id="rId19"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9524</xdr:colOff>
      <xdr:row>30</xdr:row>
      <xdr:rowOff>11429</xdr:rowOff>
    </xdr:from>
    <xdr:to>
      <xdr:col>16</xdr:col>
      <xdr:colOff>0</xdr:colOff>
      <xdr:row>144</xdr:row>
      <xdr:rowOff>120969</xdr:rowOff>
    </xdr:to>
    <xdr:sp macro="" textlink="">
      <xdr:nvSpPr>
        <xdr:cNvPr id="2077" name="Text Box 29">
          <a:extLst>
            <a:ext uri="{FF2B5EF4-FFF2-40B4-BE49-F238E27FC236}">
              <a16:creationId xmlns:a16="http://schemas.microsoft.com/office/drawing/2014/main" id="{00000000-0008-0000-0000-00001D080000}"/>
            </a:ext>
          </a:extLst>
        </xdr:cNvPr>
        <xdr:cNvSpPr txBox="1">
          <a:spLocks noChangeArrowheads="1"/>
        </xdr:cNvSpPr>
      </xdr:nvSpPr>
      <xdr:spPr bwMode="auto">
        <a:xfrm>
          <a:off x="695324" y="4648199"/>
          <a:ext cx="10277476" cy="196596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ctr" rtl="0">
            <a:lnSpc>
              <a:spcPts val="1800"/>
            </a:lnSpc>
            <a:defRPr sz="1000"/>
          </a:pPr>
          <a:endParaRPr lang="en-US" altLang="ja-JP" sz="1600" b="1" i="0" u="none" strike="noStrike" baseline="0">
            <a:solidFill>
              <a:srgbClr val="000000"/>
            </a:solidFill>
            <a:latin typeface="+mj-ea"/>
            <a:ea typeface="+mj-ea"/>
          </a:endParaRPr>
        </a:p>
        <a:p>
          <a:pPr algn="ctr" rtl="0">
            <a:lnSpc>
              <a:spcPts val="1800"/>
            </a:lnSpc>
            <a:defRPr sz="1000"/>
          </a:pPr>
          <a:r>
            <a:rPr lang="ja-JP" altLang="en-US" sz="1600" b="1" i="0" u="none" strike="noStrike" baseline="0">
              <a:solidFill>
                <a:srgbClr val="000000"/>
              </a:solidFill>
              <a:latin typeface="+mj-ea"/>
              <a:ea typeface="+mj-ea"/>
            </a:rPr>
            <a:t>利用手順</a:t>
          </a:r>
          <a:br>
            <a:rPr lang="en-US" altLang="ja-JP" sz="1100" b="1" i="0" u="none" strike="noStrike" baseline="0">
              <a:solidFill>
                <a:srgbClr val="000000"/>
              </a:solidFill>
              <a:latin typeface="+mj-ea"/>
              <a:ea typeface="+mj-ea"/>
            </a:rPr>
          </a:br>
          <a:endParaRPr lang="en-US" altLang="ja-JP" sz="1600" b="1" i="0" u="none" strike="noStrike" baseline="0">
            <a:solidFill>
              <a:srgbClr val="000000"/>
            </a:solidFill>
            <a:latin typeface="+mj-ea"/>
            <a:ea typeface="+mj-ea"/>
          </a:endParaRPr>
        </a:p>
        <a:p>
          <a:pPr algn="l" rtl="0">
            <a:defRPr sz="1000"/>
          </a:pPr>
          <a:r>
            <a:rPr lang="en-US" altLang="ja-JP" sz="1100" b="1" i="0" u="none" strike="noStrike" baseline="0">
              <a:solidFill>
                <a:srgbClr val="000000"/>
              </a:solidFill>
              <a:latin typeface="+mj-ea"/>
              <a:ea typeface="+mj-ea"/>
            </a:rPr>
            <a:t>1</a:t>
          </a:r>
          <a:r>
            <a:rPr lang="ja-JP" altLang="en-US" sz="1100" b="1" i="0" u="none" strike="noStrike" baseline="0">
              <a:solidFill>
                <a:srgbClr val="000000"/>
              </a:solidFill>
              <a:latin typeface="+mj-ea"/>
              <a:ea typeface="+mj-ea"/>
            </a:rPr>
            <a:t>、</a:t>
          </a:r>
          <a:r>
            <a:rPr lang="en-US" altLang="ja-JP" sz="1100" b="1" i="0" u="none" strike="noStrike" baseline="0">
              <a:solidFill>
                <a:srgbClr val="000000"/>
              </a:solidFill>
              <a:latin typeface="+mj-ea"/>
              <a:ea typeface="+mj-ea"/>
            </a:rPr>
            <a:t>APIIF</a:t>
          </a:r>
          <a:r>
            <a:rPr lang="ja-JP" altLang="en-US" sz="1100" b="1" i="0" u="none" strike="noStrike" baseline="0">
              <a:solidFill>
                <a:srgbClr val="000000"/>
              </a:solidFill>
              <a:latin typeface="+mj-ea"/>
              <a:ea typeface="+mj-ea"/>
            </a:rPr>
            <a:t>仕様書の項目定義シートをこのツールにコピーする。</a:t>
          </a:r>
          <a:endParaRPr lang="en-US" altLang="ja-JP" sz="1100" b="1" i="0" u="none" strike="noStrike" baseline="0">
            <a:solidFill>
              <a:srgbClr val="000000"/>
            </a:solidFill>
            <a:latin typeface="+mj-ea"/>
            <a:ea typeface="+mj-ea"/>
          </a:endParaRPr>
        </a:p>
        <a:p>
          <a:pPr algn="l" rtl="0">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シート名：</a:t>
          </a:r>
          <a:r>
            <a:rPr lang="en-US" altLang="ja-JP" sz="1100" b="0" i="0" u="none" strike="noStrike" baseline="0">
              <a:solidFill>
                <a:srgbClr val="000000"/>
              </a:solidFill>
              <a:latin typeface="+mj-ea"/>
              <a:ea typeface="+mj-ea"/>
            </a:rPr>
            <a:t>API-ID</a:t>
          </a:r>
          <a:r>
            <a:rPr lang="ja-JP" altLang="en-US" sz="1100" b="0" i="0" u="none" strike="noStrike" baseline="0">
              <a:solidFill>
                <a:srgbClr val="000000"/>
              </a:solidFill>
              <a:latin typeface="+mj-ea"/>
              <a:ea typeface="+mj-ea"/>
            </a:rPr>
            <a:t>（例えば、</a:t>
          </a:r>
          <a:r>
            <a:rPr lang="en-US" altLang="ja-JP" sz="1100" b="0" i="0" u="none" strike="noStrike" baseline="0">
              <a:solidFill>
                <a:srgbClr val="000000"/>
              </a:solidFill>
              <a:latin typeface="+mj-ea"/>
              <a:ea typeface="+mj-ea"/>
            </a:rPr>
            <a:t>B006</a:t>
          </a:r>
          <a:r>
            <a:rPr lang="ja-JP" altLang="en-US" sz="1100" b="0" i="0" u="none" strike="noStrike" baseline="0">
              <a:solidFill>
                <a:srgbClr val="000000"/>
              </a:solidFill>
              <a:latin typeface="+mj-ea"/>
              <a:ea typeface="+mj-ea"/>
            </a:rPr>
            <a:t>）</a:t>
          </a:r>
          <a:endParaRPr lang="en-US" altLang="ja-JP" sz="1100" b="0" i="0" u="none" strike="noStrike" baseline="0">
            <a:solidFill>
              <a:srgbClr val="000000"/>
            </a:solidFill>
            <a:latin typeface="+mj-ea"/>
            <a:ea typeface="+mj-ea"/>
          </a:endParaRPr>
        </a:p>
        <a:p>
          <a:pPr algn="l" rtl="0">
            <a:defRPr sz="1000"/>
          </a:pPr>
          <a:endParaRPr lang="en-US" altLang="ja-JP" sz="1100" b="0" i="0" u="none" strike="noStrike" baseline="0">
            <a:solidFill>
              <a:srgbClr val="000000"/>
            </a:solidFill>
            <a:latin typeface="+mj-ea"/>
            <a:ea typeface="+mj-ea"/>
          </a:endParaRPr>
        </a:p>
        <a:p>
          <a:pPr algn="l" rtl="0">
            <a:lnSpc>
              <a:spcPts val="1200"/>
            </a:lnSpc>
            <a:defRPr sz="1000"/>
          </a:pPr>
          <a:r>
            <a:rPr lang="ja-JP" altLang="en-US" sz="1100" b="1" i="0" u="none" strike="noStrike" baseline="0">
              <a:solidFill>
                <a:srgbClr val="000000"/>
              </a:solidFill>
              <a:latin typeface="+mj-ea"/>
              <a:ea typeface="+mj-ea"/>
            </a:rPr>
            <a:t>２．各項目を設定する</a:t>
          </a:r>
          <a:br>
            <a:rPr lang="en-US" altLang="ja-JP" sz="1100" b="0" i="0" u="none" strike="noStrike" baseline="0">
              <a:solidFill>
                <a:srgbClr val="000000"/>
              </a:solidFill>
              <a:latin typeface="+mj-ea"/>
              <a:ea typeface="+mj-ea"/>
            </a:rPr>
          </a:br>
          <a:r>
            <a:rPr lang="ja-JP" altLang="en-US" sz="1100" b="0" i="0" u="none" strike="noStrike" baseline="0">
              <a:solidFill>
                <a:srgbClr val="000000"/>
              </a:solidFill>
              <a:latin typeface="+mj-ea"/>
              <a:ea typeface="+mj-ea"/>
            </a:rPr>
            <a:t>　　</a:t>
          </a:r>
          <a:r>
            <a:rPr lang="ja-JP" altLang="en-US" sz="1100" b="1" i="0" u="none" strike="noStrike" baseline="0">
              <a:solidFill>
                <a:srgbClr val="000000"/>
              </a:solidFill>
              <a:latin typeface="+mj-ea"/>
              <a:ea typeface="+mj-ea"/>
            </a:rPr>
            <a:t>①　</a:t>
          </a:r>
          <a:r>
            <a:rPr lang="en-US" altLang="ja-JP" sz="1100" b="1" i="0">
              <a:latin typeface="+mj-ea"/>
              <a:ea typeface="+mj-ea"/>
              <a:cs typeface="+mn-cs"/>
            </a:rPr>
            <a:t>APISheetName</a:t>
          </a:r>
          <a:r>
            <a:rPr lang="ja-JP" altLang="en-US" sz="1100" b="1" i="0">
              <a:latin typeface="+mj-ea"/>
              <a:ea typeface="+mj-ea"/>
              <a:cs typeface="+mn-cs"/>
            </a:rPr>
            <a:t>　</a:t>
          </a:r>
          <a:endParaRPr lang="en-US" altLang="ja-JP" sz="1100" b="1" i="0">
            <a:latin typeface="+mj-ea"/>
            <a:ea typeface="+mj-ea"/>
            <a:cs typeface="+mn-cs"/>
          </a:endParaRPr>
        </a:p>
        <a:p>
          <a:pPr algn="l" rtl="0">
            <a:defRPr sz="1000"/>
          </a:pPr>
          <a:r>
            <a:rPr lang="ja-JP" altLang="en-US" sz="1100" b="0" i="0">
              <a:latin typeface="+mj-ea"/>
              <a:ea typeface="+mj-ea"/>
              <a:cs typeface="+mn-cs"/>
            </a:rPr>
            <a:t>　　　　</a:t>
          </a:r>
          <a:r>
            <a:rPr lang="ja-JP" altLang="ja-JP" sz="1100" b="0" i="0">
              <a:latin typeface="+mj-ea"/>
              <a:ea typeface="+mj-ea"/>
              <a:cs typeface="+mn-cs"/>
            </a:rPr>
            <a:t>対象シート名</a:t>
          </a:r>
          <a:r>
            <a:rPr lang="ja-JP" altLang="en-US" sz="1100" b="0" i="0">
              <a:latin typeface="+mj-ea"/>
              <a:ea typeface="+mj-ea"/>
              <a:cs typeface="+mn-cs"/>
            </a:rPr>
            <a:t>（</a:t>
          </a:r>
          <a:r>
            <a:rPr lang="ja-JP" altLang="ja-JP" sz="1100" b="0" i="0">
              <a:latin typeface="+mj-ea"/>
              <a:ea typeface="+mj-ea"/>
              <a:cs typeface="+mn-cs"/>
            </a:rPr>
            <a:t>必須</a:t>
          </a:r>
          <a:r>
            <a:rPr lang="ja-JP" altLang="en-US"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ja-JP" altLang="ja-JP" sz="1100" b="0" i="0" baseline="0">
              <a:latin typeface="+mj-ea"/>
              <a:ea typeface="+mj-ea"/>
              <a:cs typeface="+mn-cs"/>
            </a:rPr>
            <a:t>例えば、</a:t>
          </a:r>
          <a:r>
            <a:rPr lang="en-US" altLang="ja-JP" sz="1100" b="0" i="0" baseline="0">
              <a:latin typeface="+mj-ea"/>
              <a:ea typeface="+mj-ea"/>
              <a:cs typeface="+mn-cs"/>
            </a:rPr>
            <a:t>B006</a:t>
          </a:r>
        </a:p>
        <a:p>
          <a:pPr algn="l" rtl="0">
            <a:defRPr sz="1000"/>
          </a:pPr>
          <a:endParaRPr lang="en-US" altLang="ja-JP" sz="1100" b="0" i="0" baseline="0">
            <a:latin typeface="+mj-ea"/>
            <a:ea typeface="+mj-ea"/>
            <a:cs typeface="+mn-cs"/>
          </a:endParaRPr>
        </a:p>
        <a:p>
          <a:pPr algn="l" rtl="0">
            <a:lnSpc>
              <a:spcPts val="1200"/>
            </a:lnSpc>
            <a:defRPr sz="1000"/>
          </a:pPr>
          <a:r>
            <a:rPr lang="ja-JP" altLang="en-US" sz="1100" b="1" i="0" u="none" strike="noStrike" baseline="0">
              <a:solidFill>
                <a:srgbClr val="000000"/>
              </a:solidFill>
              <a:latin typeface="+mj-ea"/>
              <a:ea typeface="+mj-ea"/>
              <a:cs typeface="+mn-cs"/>
            </a:rPr>
            <a:t>　　②　</a:t>
          </a:r>
          <a:r>
            <a:rPr lang="en-US" altLang="ja-JP" sz="1100" b="1" i="0" u="none" strike="noStrike">
              <a:latin typeface="+mj-ea"/>
              <a:ea typeface="+mj-ea"/>
              <a:cs typeface="+mn-cs"/>
            </a:rPr>
            <a:t>CaseNo</a:t>
          </a:r>
        </a:p>
        <a:p>
          <a:pPr algn="l" rtl="0">
            <a:lnSpc>
              <a:spcPts val="1300"/>
            </a:lnSpc>
            <a:defRPr sz="1000"/>
          </a:pPr>
          <a:r>
            <a:rPr lang="ja-JP" altLang="en-US" sz="1100" b="0" i="0" u="none" strike="noStrike">
              <a:latin typeface="+mj-ea"/>
              <a:ea typeface="+mj-ea"/>
              <a:cs typeface="+mn-cs"/>
            </a:rPr>
            <a:t>　　　　</a:t>
          </a:r>
          <a:r>
            <a:rPr lang="ja-JP" altLang="ja-JP" sz="1100" b="0" i="0">
              <a:latin typeface="+mj-ea"/>
              <a:ea typeface="+mj-ea"/>
              <a:cs typeface="+mn-cs"/>
            </a:rPr>
            <a:t>対象ケース名（非必須）　</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ja-JP" altLang="ja-JP" sz="1100" b="0" i="0" baseline="0">
              <a:latin typeface="+mj-ea"/>
              <a:ea typeface="+mj-ea"/>
              <a:cs typeface="+mn-cs"/>
            </a:rPr>
            <a:t>■例えば、</a:t>
          </a:r>
          <a:r>
            <a:rPr lang="en-US" altLang="ja-JP" sz="1100" b="0" i="0">
              <a:latin typeface="+mj-ea"/>
              <a:ea typeface="+mj-ea"/>
              <a:cs typeface="+mn-cs"/>
            </a:rPr>
            <a:t>ID0001</a:t>
          </a:r>
          <a:r>
            <a:rPr lang="ja-JP" altLang="en-US" sz="1100" b="0" i="0">
              <a:latin typeface="+mj-ea"/>
              <a:ea typeface="+mj-ea"/>
              <a:cs typeface="+mn-cs"/>
            </a:rPr>
            <a:t>（テストケースの７行目の</a:t>
          </a:r>
          <a:r>
            <a:rPr lang="en-US" altLang="ja-JP" sz="1100" b="0" i="0">
              <a:latin typeface="+mj-ea"/>
              <a:ea typeface="+mj-ea"/>
              <a:cs typeface="+mn-cs"/>
            </a:rPr>
            <a:t>ID</a:t>
          </a:r>
          <a:r>
            <a:rPr lang="ja-JP" altLang="en-US" sz="1100" b="0" i="0">
              <a:latin typeface="+mj-ea"/>
              <a:ea typeface="+mj-ea"/>
              <a:cs typeface="+mn-cs"/>
            </a:rPr>
            <a:t>番号、</a:t>
          </a:r>
          <a:r>
            <a:rPr lang="en-US" altLang="ja-JP" sz="1100" b="0" i="0">
              <a:latin typeface="+mj-ea"/>
              <a:ea typeface="+mj-ea"/>
              <a:cs typeface="+mn-cs"/>
            </a:rPr>
            <a:t>IDXXXX</a:t>
          </a:r>
          <a:r>
            <a:rPr lang="ja-JP" altLang="en-US" sz="1100" b="0" i="0">
              <a:latin typeface="+mj-ea"/>
              <a:ea typeface="+mj-ea"/>
              <a:cs typeface="+mn-cs"/>
            </a:rPr>
            <a:t>形式）</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a:latin typeface="+mj-ea"/>
              <a:ea typeface="+mj-ea"/>
              <a:cs typeface="+mn-cs"/>
            </a:rPr>
            <a:t>　　　　</a:t>
          </a:r>
          <a:r>
            <a:rPr lang="en-US" altLang="ja-JP" sz="1100" b="0" i="0">
              <a:latin typeface="+mj-ea"/>
              <a:ea typeface="+mj-ea"/>
              <a:cs typeface="+mn-cs"/>
            </a:rPr>
            <a:t>※</a:t>
          </a:r>
          <a:r>
            <a:rPr lang="ja-JP" altLang="en-US" sz="1100" b="0" i="0">
              <a:solidFill>
                <a:schemeClr val="tx1"/>
              </a:solidFill>
              <a:latin typeface="+mj-ea"/>
              <a:ea typeface="+mj-ea"/>
              <a:cs typeface="+mn-cs"/>
            </a:rPr>
            <a:t>③の</a:t>
          </a:r>
          <a:r>
            <a:rPr lang="en-US" altLang="ja-JP" sz="1100" b="1" i="0">
              <a:solidFill>
                <a:schemeClr val="tx1"/>
              </a:solidFill>
              <a:latin typeface="+mj-ea"/>
              <a:ea typeface="+mj-ea"/>
              <a:cs typeface="+mn-cs"/>
            </a:rPr>
            <a:t>CaseStartCol</a:t>
          </a:r>
          <a:r>
            <a:rPr lang="ja-JP" altLang="ja-JP" sz="1100" b="0" i="0">
              <a:solidFill>
                <a:schemeClr val="tx1"/>
              </a:solidFill>
              <a:latin typeface="+mj-ea"/>
              <a:ea typeface="+mj-ea"/>
              <a:cs typeface="+mn-cs"/>
            </a:rPr>
            <a:t>以降</a:t>
          </a:r>
          <a:r>
            <a:rPr lang="ja-JP" altLang="en-US" sz="1100" b="0" i="0">
              <a:solidFill>
                <a:schemeClr val="tx1"/>
              </a:solidFill>
              <a:latin typeface="+mj-ea"/>
              <a:ea typeface="+mj-ea"/>
              <a:cs typeface="+mn-cs"/>
            </a:rPr>
            <a:t>の列で</a:t>
          </a:r>
          <a:r>
            <a:rPr lang="ja-JP" altLang="ja-JP" sz="1100" b="0" i="0">
              <a:latin typeface="+mj-ea"/>
              <a:ea typeface="+mj-ea"/>
              <a:cs typeface="+mn-cs"/>
            </a:rPr>
            <a:t>設定</a:t>
          </a:r>
          <a:r>
            <a:rPr lang="ja-JP" altLang="en-US" sz="1100" b="0" i="0">
              <a:latin typeface="+mj-ea"/>
              <a:ea typeface="+mj-ea"/>
              <a:cs typeface="+mn-cs"/>
            </a:rPr>
            <a:t>する</a:t>
          </a:r>
          <a:r>
            <a:rPr lang="ja-JP" altLang="ja-JP" sz="1100" b="0" i="0">
              <a:latin typeface="+mj-ea"/>
              <a:ea typeface="+mj-ea"/>
              <a:cs typeface="+mn-cs"/>
            </a:rPr>
            <a:t>ケース</a:t>
          </a:r>
          <a:r>
            <a:rPr lang="ja-JP" altLang="en-US" sz="1100" b="0" i="0">
              <a:latin typeface="+mj-ea"/>
              <a:ea typeface="+mj-ea"/>
              <a:cs typeface="+mn-cs"/>
            </a:rPr>
            <a:t>の</a:t>
          </a:r>
          <a:r>
            <a:rPr lang="ja-JP" altLang="ja-JP" sz="1100" b="0" i="0">
              <a:latin typeface="+mj-ea"/>
              <a:ea typeface="+mj-ea"/>
              <a:cs typeface="+mn-cs"/>
            </a:rPr>
            <a:t>名</a:t>
          </a:r>
          <a:r>
            <a:rPr lang="ja-JP" altLang="en-US" sz="1100" b="0" i="0">
              <a:latin typeface="+mj-ea"/>
              <a:ea typeface="+mj-ea"/>
              <a:cs typeface="+mn-cs"/>
            </a:rPr>
            <a:t>を指定する</a:t>
          </a:r>
          <a:r>
            <a:rPr lang="ja-JP" altLang="ja-JP" sz="1100" b="0" i="0">
              <a:solidFill>
                <a:srgbClr val="FF0000"/>
              </a:solidFill>
              <a:latin typeface="+mj-ea"/>
              <a:ea typeface="+mj-ea"/>
              <a:cs typeface="+mn-cs"/>
            </a:rPr>
            <a:t>。</a:t>
          </a:r>
          <a:endParaRPr lang="en-US" altLang="ja-JP" sz="1100" b="0" i="0">
            <a:solidFill>
              <a:srgbClr val="FF0000"/>
            </a:solidFill>
            <a:latin typeface="+mj-ea"/>
            <a:ea typeface="+mj-ea"/>
            <a:cs typeface="+mn-cs"/>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ja-JP" altLang="en-US" sz="1100" b="0" i="0">
              <a:latin typeface="+mj-ea"/>
              <a:ea typeface="+mj-ea"/>
              <a:cs typeface="+mn-cs"/>
            </a:rPr>
            <a:t>　　　　　</a:t>
          </a:r>
          <a:r>
            <a:rPr lang="ja-JP" altLang="ja-JP" sz="1100" b="0" i="0">
              <a:latin typeface="+mj-ea"/>
              <a:ea typeface="+mj-ea"/>
              <a:cs typeface="+mn-cs"/>
            </a:rPr>
            <a:t>複数のケースは入力不可</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baseline="0">
              <a:latin typeface="+mj-ea"/>
              <a:ea typeface="+mj-ea"/>
              <a:cs typeface="+mn-cs"/>
            </a:rPr>
            <a:t>　　　　　未設定の場合、ケース全体を対象となる。　</a:t>
          </a:r>
          <a:endParaRPr lang="en-US" altLang="ja-JP" sz="1100" b="0" i="0" baseline="0">
            <a:latin typeface="+mj-ea"/>
            <a:ea typeface="+mj-ea"/>
            <a:cs typeface="+mn-cs"/>
          </a:endParaRP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③　</a:t>
          </a:r>
          <a:r>
            <a:rPr lang="en-US" altLang="ja-JP" sz="1100" b="1" i="0" u="none" strike="noStrike">
              <a:latin typeface="+mj-ea"/>
              <a:ea typeface="+mj-ea"/>
              <a:cs typeface="+mn-cs"/>
            </a:rPr>
            <a:t>CaseStartCol</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テストデータ</a:t>
          </a:r>
          <a:r>
            <a:rPr lang="ja-JP" altLang="en-US" sz="1100" b="0" i="0">
              <a:latin typeface="+mj-ea"/>
              <a:ea typeface="+mj-ea"/>
              <a:cs typeface="+mn-cs"/>
            </a:rPr>
            <a:t>が</a:t>
          </a:r>
          <a:r>
            <a:rPr lang="ja-JP" altLang="en-US" sz="1100" b="0" i="0" u="none" strike="noStrike">
              <a:latin typeface="+mj-ea"/>
              <a:ea typeface="+mj-ea"/>
              <a:cs typeface="+mn-cs"/>
            </a:rPr>
            <a:t>どの列から設定するの</a:t>
          </a:r>
          <a:r>
            <a:rPr lang="ja-JP" altLang="en-US" sz="1100" b="0" i="0">
              <a:latin typeface="+mj-ea"/>
              <a:ea typeface="+mj-ea"/>
              <a:cs typeface="+mn-cs"/>
            </a:rPr>
            <a:t>を表す。</a:t>
          </a:r>
          <a:r>
            <a:rPr lang="ja-JP" altLang="ja-JP" sz="1100" b="0" i="0">
              <a:latin typeface="+mj-ea"/>
              <a:ea typeface="+mj-ea"/>
              <a:cs typeface="+mn-cs"/>
            </a:rPr>
            <a:t>（必須）</a:t>
          </a:r>
          <a:endParaRPr lang="en-US" altLang="ja-JP" sz="1100" b="0" i="0" u="none" strike="noStrike">
            <a:latin typeface="+mj-ea"/>
            <a:ea typeface="+mj-ea"/>
            <a:cs typeface="+mn-cs"/>
          </a:endParaRPr>
        </a:p>
        <a:p>
          <a:pPr algn="l" rtl="0">
            <a:lnSpc>
              <a:spcPts val="1200"/>
            </a:lnSpc>
            <a:defRPr sz="1000"/>
          </a:pPr>
          <a:r>
            <a:rPr lang="ja-JP" altLang="en-US" sz="1100" b="0" i="0" baseline="0">
              <a:latin typeface="+mj-ea"/>
              <a:ea typeface="+mj-ea"/>
              <a:cs typeface="+mn-cs"/>
            </a:rPr>
            <a:t>　　　　</a:t>
          </a:r>
          <a:r>
            <a:rPr lang="ja-JP" altLang="ja-JP" sz="1100" b="0" i="0" baseline="0">
              <a:latin typeface="+mj-ea"/>
              <a:ea typeface="+mj-ea"/>
              <a:cs typeface="+mn-cs"/>
            </a:rPr>
            <a:t>■例えば、</a:t>
          </a:r>
          <a:r>
            <a:rPr lang="en-US" altLang="ja-JP" sz="1100" b="0" i="0" u="none" strike="noStrike">
              <a:latin typeface="+mj-ea"/>
              <a:ea typeface="+mj-ea"/>
              <a:cs typeface="+mn-cs"/>
            </a:rPr>
            <a:t>CaseNo</a:t>
          </a:r>
          <a:r>
            <a:rPr lang="ja-JP" altLang="en-US" sz="1100" b="0" i="0" u="none" strike="noStrike">
              <a:latin typeface="+mj-ea"/>
              <a:ea typeface="+mj-ea"/>
              <a:cs typeface="+mn-cs"/>
            </a:rPr>
            <a:t>：</a:t>
          </a:r>
          <a:r>
            <a:rPr lang="en-US" altLang="ja-JP" sz="1100" b="0" i="0" u="none" strike="noStrike">
              <a:latin typeface="+mj-ea"/>
              <a:ea typeface="+mj-ea"/>
              <a:cs typeface="+mn-cs"/>
            </a:rPr>
            <a:t>ID0003</a:t>
          </a:r>
          <a:r>
            <a:rPr lang="ja-JP" altLang="en-US" sz="1100" b="0" i="0" u="none" strike="noStrike">
              <a:latin typeface="+mj-ea"/>
              <a:ea typeface="+mj-ea"/>
              <a:cs typeface="+mn-cs"/>
            </a:rPr>
            <a:t>、</a:t>
          </a:r>
          <a:r>
            <a:rPr lang="en-US" altLang="ja-JP" sz="1100" b="0" i="0" u="none" strike="noStrike">
              <a:latin typeface="+mj-ea"/>
              <a:ea typeface="+mj-ea"/>
              <a:cs typeface="+mn-cs"/>
            </a:rPr>
            <a:t>CaseStartCol</a:t>
          </a:r>
          <a:r>
            <a:rPr lang="ja-JP" altLang="en-US" sz="1100" b="0" i="0" u="none" strike="noStrike">
              <a:latin typeface="+mj-ea"/>
              <a:ea typeface="+mj-ea"/>
              <a:cs typeface="+mn-cs"/>
            </a:rPr>
            <a:t>：</a:t>
          </a:r>
          <a:r>
            <a:rPr lang="en-US" altLang="ja-JP" sz="1100" b="0" i="0" u="none" strike="noStrike">
              <a:latin typeface="+mj-ea"/>
              <a:ea typeface="+mj-ea"/>
              <a:cs typeface="+mn-cs"/>
            </a:rPr>
            <a:t>AD</a:t>
          </a:r>
        </a:p>
        <a:p>
          <a:pPr algn="l" rtl="0">
            <a:lnSpc>
              <a:spcPts val="1200"/>
            </a:lnSpc>
            <a:defRPr sz="1000"/>
          </a:pPr>
          <a:r>
            <a:rPr lang="ja-JP" altLang="en-US" sz="1100" b="0" i="0" u="none" strike="noStrike">
              <a:latin typeface="+mj-ea"/>
              <a:ea typeface="+mj-ea"/>
              <a:cs typeface="+mn-cs"/>
            </a:rPr>
            <a:t>　　　　　　　　　　意味：列</a:t>
          </a:r>
          <a:r>
            <a:rPr lang="en-US" altLang="ja-JP" sz="1100" b="0" i="0" u="none" strike="noStrike">
              <a:latin typeface="+mj-ea"/>
              <a:ea typeface="+mj-ea"/>
              <a:cs typeface="+mn-cs"/>
            </a:rPr>
            <a:t>AD</a:t>
          </a:r>
          <a:r>
            <a:rPr lang="ja-JP" altLang="en-US" sz="1100" b="0" i="0" u="none" strike="noStrike">
              <a:latin typeface="+mj-ea"/>
              <a:ea typeface="+mj-ea"/>
              <a:cs typeface="+mn-cs"/>
            </a:rPr>
            <a:t>から</a:t>
          </a:r>
          <a:r>
            <a:rPr lang="en-US" altLang="ja-JP" sz="1100" b="0" i="0" u="none" strike="noStrike">
              <a:latin typeface="+mj-ea"/>
              <a:ea typeface="+mj-ea"/>
              <a:cs typeface="+mn-cs"/>
            </a:rPr>
            <a:t>CaseNo</a:t>
          </a:r>
          <a:r>
            <a:rPr lang="ja-JP" altLang="en-US" sz="1100" b="0" i="0" u="none" strike="noStrike">
              <a:latin typeface="+mj-ea"/>
              <a:ea typeface="+mj-ea"/>
              <a:cs typeface="+mn-cs"/>
            </a:rPr>
            <a:t>を探し，</a:t>
          </a:r>
          <a:r>
            <a:rPr lang="en-US" altLang="ja-JP" sz="1100" b="0" i="0" u="none" strike="noStrike">
              <a:latin typeface="+mj-ea"/>
              <a:ea typeface="+mj-ea"/>
              <a:cs typeface="+mn-cs"/>
            </a:rPr>
            <a:t>ID0003</a:t>
          </a:r>
          <a:r>
            <a:rPr lang="ja-JP" altLang="en-US" sz="1100" b="0" i="0" u="none" strike="noStrike">
              <a:latin typeface="+mj-ea"/>
              <a:ea typeface="+mj-ea"/>
              <a:cs typeface="+mn-cs"/>
            </a:rPr>
            <a:t>のデータを生成する。</a:t>
          </a:r>
          <a:endParaRPr lang="en-US" altLang="ja-JP" sz="1100" b="0" i="0" u="none" strike="noStrike">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en-US" sz="1100" b="0" i="0">
              <a:latin typeface="+mj-ea"/>
              <a:ea typeface="+mj-ea"/>
              <a:cs typeface="+mn-cs"/>
            </a:rPr>
            <a:t>一般的に、</a:t>
          </a:r>
          <a:r>
            <a:rPr lang="en-US" altLang="ja-JP" sz="1100" b="0" i="0">
              <a:latin typeface="+mj-ea"/>
              <a:ea typeface="+mj-ea"/>
              <a:cs typeface="+mn-cs"/>
            </a:rPr>
            <a:t>AD</a:t>
          </a:r>
          <a:r>
            <a:rPr lang="ja-JP" altLang="en-US" sz="1100" b="0" i="0">
              <a:latin typeface="+mj-ea"/>
              <a:ea typeface="+mj-ea"/>
              <a:cs typeface="+mn-cs"/>
            </a:rPr>
            <a:t>以降の列を設定する。</a:t>
          </a:r>
          <a:endParaRPr lang="en-US" altLang="ja-JP" sz="1100" b="0" i="0">
            <a:latin typeface="+mj-ea"/>
            <a:ea typeface="+mj-ea"/>
            <a:cs typeface="+mn-cs"/>
          </a:endParaRPr>
        </a:p>
        <a:p>
          <a:pPr algn="l" rtl="0">
            <a:defRPr sz="1000"/>
          </a:pPr>
          <a:endParaRPr lang="en-US" altLang="ja-JP" sz="1100" b="0" i="0" u="none" strike="noStrike">
            <a:latin typeface="+mj-ea"/>
            <a:ea typeface="+mj-ea"/>
            <a:cs typeface="+mn-cs"/>
          </a:endParaRPr>
        </a:p>
        <a:p>
          <a:pPr algn="l" rtl="0">
            <a:lnSpc>
              <a:spcPts val="1200"/>
            </a:lnSpc>
            <a:defRPr sz="1000"/>
          </a:pPr>
          <a:r>
            <a:rPr lang="ja-JP" altLang="en-US" sz="1100" b="1" i="0" u="none" strike="noStrike">
              <a:latin typeface="+mj-ea"/>
              <a:ea typeface="+mj-ea"/>
              <a:cs typeface="+mn-cs"/>
            </a:rPr>
            <a:t>　　④　</a:t>
          </a:r>
          <a:r>
            <a:rPr lang="en-US" altLang="ja-JP" sz="1100" b="1" i="0" u="none" strike="noStrike">
              <a:latin typeface="+mj-ea"/>
              <a:ea typeface="+mj-ea"/>
              <a:cs typeface="+mn-cs"/>
            </a:rPr>
            <a:t>Request file path</a:t>
          </a:r>
          <a:endParaRPr lang="en-US" altLang="ja-JP" sz="1100" b="0" i="0" u="none" strike="noStrike">
            <a:latin typeface="+mj-ea"/>
            <a:ea typeface="+mj-ea"/>
            <a:cs typeface="+mn-cs"/>
          </a:endParaRPr>
        </a:p>
        <a:p>
          <a:pPr algn="l" rtl="0">
            <a:defRPr sz="1000"/>
          </a:pPr>
          <a:r>
            <a:rPr lang="ja-JP" altLang="en-US" sz="1100" b="0" i="0" u="none" strike="noStrike">
              <a:latin typeface="+mj-ea"/>
              <a:ea typeface="+mj-ea"/>
              <a:cs typeface="+mn-cs"/>
            </a:rPr>
            <a:t>　　　　生成した要求電文・</a:t>
          </a:r>
          <a:r>
            <a:rPr lang="en-US" altLang="ja-JP" sz="1100" b="0" i="0" u="none" strike="noStrike">
              <a:latin typeface="+mj-ea"/>
              <a:ea typeface="+mj-ea"/>
              <a:cs typeface="+mn-cs"/>
            </a:rPr>
            <a:t>XML</a:t>
          </a:r>
          <a:r>
            <a:rPr lang="ja-JP" altLang="en-US" sz="1100" b="0" i="0">
              <a:latin typeface="+mj-ea"/>
              <a:ea typeface="+mj-ea"/>
              <a:cs typeface="+mn-cs"/>
            </a:rPr>
            <a:t>ファイルの</a:t>
          </a:r>
          <a:r>
            <a:rPr lang="ja-JP" altLang="en-US" sz="1100" b="0" i="0" u="none" strike="noStrike">
              <a:latin typeface="+mj-ea"/>
              <a:ea typeface="+mj-ea"/>
              <a:cs typeface="+mn-cs"/>
            </a:rPr>
            <a:t>格納場所。</a:t>
          </a:r>
          <a:r>
            <a:rPr lang="ja-JP" altLang="ja-JP" sz="1100" b="0" i="0">
              <a:latin typeface="+mj-ea"/>
              <a:ea typeface="+mj-ea"/>
              <a:cs typeface="+mn-cs"/>
            </a:rPr>
            <a:t>（非必須）　</a:t>
          </a:r>
          <a:endParaRPr lang="en-US" altLang="ja-JP" sz="1100" b="0" i="0">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en-US" altLang="ja-JP" sz="1100" b="0" i="0">
              <a:latin typeface="+mj-ea"/>
              <a:ea typeface="+mj-ea"/>
              <a:cs typeface="+mn-cs"/>
            </a:rPr>
            <a:t>※</a:t>
          </a:r>
          <a:r>
            <a:rPr lang="ja-JP" altLang="ja-JP" sz="1100" b="0" i="0" baseline="0">
              <a:latin typeface="+mj-ea"/>
              <a:ea typeface="+mj-ea"/>
              <a:cs typeface="+mn-cs"/>
            </a:rPr>
            <a:t>未設定の場合、</a:t>
          </a:r>
          <a:r>
            <a:rPr lang="ja-JP" altLang="en-US" sz="1100" b="0" i="0" baseline="0">
              <a:latin typeface="+mj-ea"/>
              <a:ea typeface="+mj-ea"/>
              <a:cs typeface="+mn-cs"/>
            </a:rPr>
            <a:t>このツールの</a:t>
          </a:r>
          <a:r>
            <a:rPr lang="ja-JP" altLang="ja-JP" sz="1100" b="0" i="0">
              <a:latin typeface="+mj-ea"/>
              <a:ea typeface="+mj-ea"/>
              <a:cs typeface="+mn-cs"/>
            </a:rPr>
            <a:t>格納場所</a:t>
          </a:r>
          <a:r>
            <a:rPr lang="ja-JP" altLang="en-US" sz="1100" b="0" i="0">
              <a:latin typeface="+mj-ea"/>
              <a:ea typeface="+mj-ea"/>
              <a:cs typeface="+mn-cs"/>
            </a:rPr>
            <a:t>と同じ。</a:t>
          </a:r>
          <a:endParaRPr lang="en-US" altLang="ja-JP" sz="1100" b="0" i="0">
            <a:latin typeface="+mj-ea"/>
            <a:ea typeface="+mj-ea"/>
            <a:cs typeface="+mn-cs"/>
          </a:endParaRPr>
        </a:p>
        <a:p>
          <a:pPr algn="l" rtl="0">
            <a:lnSpc>
              <a:spcPts val="1100"/>
            </a:lnSpc>
            <a:defRPr sz="1000"/>
          </a:pPr>
          <a:endParaRPr lang="en-US" altLang="ja-JP" sz="1100" b="0" i="0" u="none" strike="noStrike">
            <a:latin typeface="+mj-ea"/>
            <a:ea typeface="+mj-ea"/>
            <a:cs typeface="+mn-cs"/>
          </a:endParaRPr>
        </a:p>
        <a:p>
          <a:pPr algn="l" rtl="0">
            <a:defRPr sz="1000"/>
          </a:pPr>
          <a:r>
            <a:rPr lang="ja-JP" altLang="en-US" sz="1100" b="1" i="0" u="none" strike="noStrike">
              <a:latin typeface="+mj-ea"/>
              <a:ea typeface="+mj-ea"/>
              <a:cs typeface="+mn-cs"/>
            </a:rPr>
            <a:t>　　⑤　</a:t>
          </a:r>
          <a:r>
            <a:rPr lang="en-US" altLang="ja-JP" sz="1100" b="1" i="0" u="none" strike="noStrike">
              <a:latin typeface="+mj-ea"/>
              <a:ea typeface="+mj-ea"/>
              <a:cs typeface="+mn-cs"/>
            </a:rPr>
            <a:t>Response file path</a:t>
          </a:r>
          <a:endParaRPr lang="en-US" altLang="ja-JP" sz="1100" b="0" i="0" u="none" strike="noStrike">
            <a:latin typeface="+mj-ea"/>
            <a:ea typeface="+mj-ea"/>
            <a:cs typeface="+mn-cs"/>
          </a:endParaRPr>
        </a:p>
        <a:p>
          <a:pPr algn="l" rtl="0">
            <a:lnSpc>
              <a:spcPts val="1100"/>
            </a:lnSpc>
            <a:defRPr sz="1000"/>
          </a:pPr>
          <a:r>
            <a:rPr lang="ja-JP" altLang="en-US" sz="1100" b="0" i="0" u="none" strike="noStrike">
              <a:latin typeface="+mj-ea"/>
              <a:ea typeface="+mj-ea"/>
              <a:cs typeface="+mn-cs"/>
            </a:rPr>
            <a:t>　　　　</a:t>
          </a:r>
          <a:r>
            <a:rPr lang="ja-JP" altLang="ja-JP" sz="1100" b="0" i="0">
              <a:latin typeface="+mj-ea"/>
              <a:ea typeface="+mj-ea"/>
              <a:cs typeface="+mn-cs"/>
            </a:rPr>
            <a:t>解析</a:t>
          </a:r>
          <a:r>
            <a:rPr lang="ja-JP" altLang="en-US" sz="1100" b="0" i="0">
              <a:latin typeface="+mj-ea"/>
              <a:ea typeface="+mj-ea"/>
              <a:cs typeface="+mn-cs"/>
            </a:rPr>
            <a:t>したい</a:t>
          </a:r>
          <a:r>
            <a:rPr lang="ja-JP" altLang="en-US" sz="1100" b="0" i="0" u="none" strike="noStrike">
              <a:latin typeface="+mj-ea"/>
              <a:ea typeface="+mj-ea"/>
              <a:cs typeface="+mn-cs"/>
            </a:rPr>
            <a:t>応答</a:t>
          </a:r>
          <a:r>
            <a:rPr lang="ja-JP" altLang="ja-JP" sz="1100" b="0" i="0">
              <a:latin typeface="+mj-ea"/>
              <a:ea typeface="+mj-ea"/>
              <a:cs typeface="+mn-cs"/>
            </a:rPr>
            <a:t>電文</a:t>
          </a:r>
          <a:r>
            <a:rPr lang="ja-JP" altLang="en-US" sz="1100" b="0" i="0">
              <a:latin typeface="+mj-ea"/>
              <a:ea typeface="+mj-ea"/>
              <a:cs typeface="+mn-cs"/>
            </a:rPr>
            <a:t>の</a:t>
          </a:r>
          <a:r>
            <a:rPr lang="ja-JP" altLang="ja-JP" sz="1100" b="0" i="0">
              <a:latin typeface="+mj-ea"/>
              <a:ea typeface="+mj-ea"/>
              <a:cs typeface="+mn-cs"/>
            </a:rPr>
            <a:t>格納場所（</a:t>
          </a:r>
          <a:r>
            <a:rPr lang="en-US" sz="1000" b="0" i="0">
              <a:solidFill>
                <a:srgbClr val="FF0000"/>
              </a:solidFill>
              <a:latin typeface="+mn-lt"/>
              <a:ea typeface="+mn-ea"/>
              <a:cs typeface="+mn-cs"/>
            </a:rPr>
            <a:t>ResponseStream</a:t>
          </a:r>
          <a:r>
            <a:rPr lang="ja-JP" altLang="en-US" sz="1000" b="0" i="0">
              <a:solidFill>
                <a:srgbClr val="FF0000"/>
              </a:solidFill>
              <a:latin typeface="+mn-lt"/>
              <a:ea typeface="+mn-ea"/>
              <a:cs typeface="+mn-cs"/>
            </a:rPr>
            <a:t>は未入力時</a:t>
          </a:r>
          <a:r>
            <a:rPr lang="ja-JP" altLang="ja-JP" sz="1100" b="0" i="0">
              <a:solidFill>
                <a:srgbClr val="FF0000"/>
              </a:solidFill>
              <a:latin typeface="+mj-ea"/>
              <a:ea typeface="+mj-ea"/>
              <a:cs typeface="+mn-cs"/>
            </a:rPr>
            <a:t>必須</a:t>
          </a:r>
          <a:r>
            <a:rPr lang="ja-JP" altLang="ja-JP" sz="1100" b="0" i="0">
              <a:latin typeface="+mj-ea"/>
              <a:ea typeface="+mj-ea"/>
              <a:cs typeface="+mn-cs"/>
            </a:rPr>
            <a:t>）　</a:t>
          </a:r>
          <a:endParaRPr lang="en-US" altLang="ja-JP" sz="1100" b="0" i="0">
            <a:latin typeface="+mj-ea"/>
            <a:ea typeface="+mj-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ja-JP" sz="1100" b="0" i="0">
              <a:latin typeface="+mj-ea"/>
              <a:ea typeface="+mj-ea"/>
              <a:cs typeface="+mn-cs"/>
            </a:rPr>
            <a:t>　　　　</a:t>
          </a:r>
          <a:endParaRPr lang="en-US" altLang="ja-JP" sz="1100" b="0" i="0">
            <a:latin typeface="+mj-ea"/>
            <a:ea typeface="+mj-ea"/>
            <a:cs typeface="+mn-cs"/>
          </a:endParaRPr>
        </a:p>
        <a:p>
          <a:pPr algn="l" rtl="0">
            <a:lnSpc>
              <a:spcPts val="1200"/>
            </a:lnSpc>
            <a:defRPr sz="1000"/>
          </a:pPr>
          <a:r>
            <a:rPr lang="ja-JP" altLang="en-US" sz="1100" b="1" i="0" u="none" strike="noStrike">
              <a:latin typeface="+mj-ea"/>
              <a:ea typeface="+mj-ea"/>
              <a:cs typeface="+mn-cs"/>
            </a:rPr>
            <a:t>　　⑥　</a:t>
          </a:r>
          <a:r>
            <a:rPr lang="en-US" altLang="ja-JP" sz="1100" b="1" i="0" u="none" strike="noStrike">
              <a:latin typeface="+mj-ea"/>
              <a:ea typeface="+mj-ea"/>
              <a:cs typeface="+mn-cs"/>
            </a:rPr>
            <a:t>ResponseStream</a:t>
          </a:r>
          <a:endParaRPr lang="en-US" altLang="ja-JP" sz="1100" b="0" i="0" u="none" strike="noStrike">
            <a:latin typeface="+mj-ea"/>
            <a:ea typeface="+mj-ea"/>
            <a:cs typeface="+mn-cs"/>
          </a:endParaRPr>
        </a:p>
        <a:p>
          <a:pPr algn="l" rtl="0">
            <a:lnSpc>
              <a:spcPts val="1200"/>
            </a:lnSpc>
            <a:defRPr sz="1000"/>
          </a:pPr>
          <a:r>
            <a:rPr lang="ja-JP" altLang="en-US" sz="1100" b="0" i="0" u="none" strike="noStrike">
              <a:latin typeface="+mj-ea"/>
              <a:ea typeface="+mj-ea"/>
              <a:cs typeface="+mn-cs"/>
            </a:rPr>
            <a:t>　　　　</a:t>
          </a:r>
          <a:r>
            <a:rPr lang="ja-JP" altLang="ja-JP" sz="1100" b="0" i="0">
              <a:latin typeface="+mj-ea"/>
              <a:ea typeface="+mj-ea"/>
              <a:cs typeface="+mn-cs"/>
            </a:rPr>
            <a:t>解析したい応答電文</a:t>
          </a:r>
          <a:r>
            <a:rPr lang="ja-JP" altLang="en-US" sz="1100" b="0" i="0">
              <a:latin typeface="+mj-ea"/>
              <a:ea typeface="+mj-ea"/>
              <a:cs typeface="+mn-cs"/>
            </a:rPr>
            <a:t>そのものである。</a:t>
          </a:r>
          <a:r>
            <a:rPr lang="ja-JP" altLang="ja-JP" sz="1100" b="0" i="0">
              <a:latin typeface="+mj-ea"/>
              <a:ea typeface="+mj-ea"/>
              <a:cs typeface="+mn-cs"/>
            </a:rPr>
            <a:t>（非必須）　</a:t>
          </a:r>
          <a:endParaRPr lang="en-US" altLang="ja-JP" sz="1100" b="0">
            <a:latin typeface="+mj-ea"/>
            <a:ea typeface="+mj-ea"/>
          </a:endParaRPr>
        </a:p>
        <a:p>
          <a:pPr algn="l" rtl="0">
            <a:defRPr sz="1000"/>
          </a:pPr>
          <a:r>
            <a:rPr lang="ja-JP" altLang="en-US" sz="1100" b="0" i="0" u="none" strike="noStrike">
              <a:latin typeface="+mj-ea"/>
              <a:ea typeface="+mj-ea"/>
              <a:cs typeface="+mn-cs"/>
            </a:rPr>
            <a:t>　　　　</a:t>
          </a:r>
          <a:r>
            <a:rPr lang="en-US" altLang="ja-JP" sz="1100" b="0" i="0" u="none" strike="noStrike">
              <a:latin typeface="+mj-ea"/>
              <a:ea typeface="+mj-ea"/>
              <a:cs typeface="+mn-cs"/>
            </a:rPr>
            <a:t>※</a:t>
          </a:r>
          <a:r>
            <a:rPr lang="ja-JP" altLang="en-US" sz="1100" b="0" i="0" u="none" strike="noStrike">
              <a:latin typeface="+mj-ea"/>
              <a:ea typeface="+mj-ea"/>
              <a:cs typeface="+mn-cs"/>
            </a:rPr>
            <a:t>⑤、⑥同時入力</a:t>
          </a:r>
          <a:r>
            <a:rPr lang="ja-JP" altLang="en-US" sz="1100" b="0" i="0" u="none" strike="noStrike">
              <a:solidFill>
                <a:srgbClr val="FF0000"/>
              </a:solidFill>
              <a:latin typeface="+mj-ea"/>
              <a:ea typeface="+mj-ea"/>
              <a:cs typeface="+mn-cs"/>
            </a:rPr>
            <a:t>したら、⑥は無効になる</a:t>
          </a:r>
          <a:r>
            <a:rPr lang="ja-JP" altLang="en-US" sz="1100" b="0" i="0" u="none" strike="noStrike">
              <a:latin typeface="+mj-ea"/>
              <a:ea typeface="+mj-ea"/>
              <a:cs typeface="+mn-cs"/>
            </a:rPr>
            <a:t>。</a:t>
          </a:r>
          <a:r>
            <a:rPr lang="ja-JP" altLang="en-US" sz="1100" b="0">
              <a:latin typeface="+mj-ea"/>
              <a:ea typeface="+mj-ea"/>
            </a:rPr>
            <a:t> </a:t>
          </a:r>
          <a:endParaRPr lang="en-US" altLang="ja-JP" sz="1100" b="0">
            <a:latin typeface="+mj-ea"/>
            <a:ea typeface="+mj-ea"/>
          </a:endParaRPr>
        </a:p>
        <a:p>
          <a:pPr algn="l" rtl="0">
            <a:lnSpc>
              <a:spcPts val="1100"/>
            </a:lnSpc>
            <a:defRPr sz="1000"/>
          </a:pPr>
          <a:endParaRPr lang="en-US" altLang="ja-JP" sz="1100" b="0" i="0" u="none" strike="noStrike" baseline="0">
            <a:solidFill>
              <a:srgbClr val="000000"/>
            </a:solidFill>
            <a:latin typeface="+mj-ea"/>
            <a:ea typeface="+mj-ea"/>
          </a:endParaRPr>
        </a:p>
        <a:p>
          <a:pPr algn="l" rtl="0">
            <a:lnSpc>
              <a:spcPts val="1100"/>
            </a:lnSpc>
            <a:defRPr sz="1000"/>
          </a:pPr>
          <a:r>
            <a:rPr lang="ja-JP" altLang="en-US" sz="1100" b="1" i="0" u="none" strike="noStrike" baseline="0">
              <a:solidFill>
                <a:srgbClr val="000000"/>
              </a:solidFill>
              <a:latin typeface="+mj-ea"/>
              <a:ea typeface="+mj-ea"/>
            </a:rPr>
            <a:t>３．下記の場合に応じて、各ボタンを押下する。</a:t>
          </a: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①要求電文を生成するなら　　⇒　　「</a:t>
          </a:r>
          <a:r>
            <a:rPr lang="en-US" altLang="ja-JP" sz="1100" b="1" i="0" u="none" strike="noStrike" baseline="0">
              <a:solidFill>
                <a:srgbClr val="000000"/>
              </a:solidFill>
              <a:latin typeface="+mj-ea"/>
              <a:ea typeface="+mj-ea"/>
            </a:rPr>
            <a:t>Generate-IN</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100"/>
            </a:lnSpc>
            <a:defRPr sz="1000"/>
          </a:pPr>
          <a:r>
            <a:rPr lang="ja-JP" altLang="en-US" sz="1100" b="1" i="0" u="none" strike="noStrike" baseline="0">
              <a:solidFill>
                <a:srgbClr val="000000"/>
              </a:solidFill>
              <a:latin typeface="+mj-ea"/>
              <a:ea typeface="+mj-ea"/>
              <a:cs typeface="+mn-cs"/>
            </a:rPr>
            <a:t>　　　</a:t>
          </a: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(1)</a:t>
          </a:r>
          <a:r>
            <a:rPr lang="ja-JP" altLang="en-US" sz="1100" b="0" i="0" u="none" strike="noStrike" baseline="0">
              <a:solidFill>
                <a:srgbClr val="000000"/>
              </a:solidFill>
              <a:latin typeface="+mj-ea"/>
              <a:ea typeface="+mj-ea"/>
            </a:rPr>
            <a:t>　一件生成</a:t>
          </a:r>
          <a:r>
            <a:rPr lang="ja-JP" altLang="ja-JP" sz="1100" b="0" i="0" baseline="0">
              <a:latin typeface="+mj-ea"/>
              <a:ea typeface="+mj-ea"/>
              <a:cs typeface="+mn-cs"/>
            </a:rPr>
            <a:t>（</a:t>
          </a:r>
          <a:r>
            <a:rPr lang="en-US" altLang="ja-JP" sz="1100" b="0" i="0" baseline="0">
              <a:latin typeface="+mj-ea"/>
              <a:ea typeface="+mj-ea"/>
              <a:cs typeface="+mn-cs"/>
            </a:rPr>
            <a:t>CaseNo</a:t>
          </a:r>
          <a:r>
            <a:rPr lang="ja-JP" altLang="en-US" sz="1100" b="0" i="0" baseline="0">
              <a:latin typeface="+mj-ea"/>
              <a:ea typeface="+mj-ea"/>
              <a:cs typeface="+mn-cs"/>
            </a:rPr>
            <a:t>を</a:t>
          </a:r>
          <a:r>
            <a:rPr lang="ja-JP" altLang="ja-JP" sz="1100" b="0" i="0" baseline="0">
              <a:latin typeface="+mj-ea"/>
              <a:ea typeface="+mj-ea"/>
              <a:cs typeface="+mn-cs"/>
            </a:rPr>
            <a:t>設定</a:t>
          </a:r>
          <a:r>
            <a:rPr lang="ja-JP" altLang="en-US" sz="1100" b="0" i="0" baseline="0">
              <a:latin typeface="+mj-ea"/>
              <a:ea typeface="+mj-ea"/>
              <a:cs typeface="+mn-cs"/>
            </a:rPr>
            <a:t>する</a:t>
          </a:r>
          <a:r>
            <a:rPr lang="ja-JP" altLang="ja-JP" sz="1100" b="0" i="0" baseline="0">
              <a:latin typeface="+mj-ea"/>
              <a:ea typeface="+mj-ea"/>
              <a:cs typeface="+mn-cs"/>
            </a:rPr>
            <a:t>）</a:t>
          </a:r>
          <a:r>
            <a:rPr lang="ja-JP" altLang="en-US" sz="1100" b="0" i="0" u="none" strike="noStrike" baseline="0">
              <a:solidFill>
                <a:srgbClr val="000000"/>
              </a:solidFill>
              <a:latin typeface="+mj-ea"/>
              <a:ea typeface="+mj-ea"/>
            </a:rPr>
            <a:t>									</a:t>
          </a:r>
        </a:p>
        <a:p>
          <a:pPr algn="l" rtl="0">
            <a:defRPr sz="1000"/>
          </a:pPr>
          <a:r>
            <a:rPr lang="ja-JP" altLang="en-US" sz="1100" b="0" i="0" u="none" strike="noStrike" baseline="0">
              <a:solidFill>
                <a:srgbClr val="000000"/>
              </a:solidFill>
              <a:latin typeface="+mj-ea"/>
              <a:ea typeface="+mj-ea"/>
            </a:rPr>
            <a:t>　　　　　　　例：</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項目設定</a:t>
          </a:r>
          <a:r>
            <a:rPr lang="en-US" altLang="ja-JP" sz="1100" b="0" i="0" baseline="0">
              <a:latin typeface="+mj-ea"/>
              <a:ea typeface="+mj-ea"/>
              <a:cs typeface="+mn-cs"/>
            </a:rPr>
            <a:t>】</a:t>
          </a: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rPr>
            <a:t>APISheetName</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B006 </a:t>
          </a:r>
        </a:p>
        <a:p>
          <a:pPr algn="l" rtl="0">
            <a:lnSpc>
              <a:spcPts val="11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ID0003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CaseStartCol</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AD  </a:t>
          </a:r>
        </a:p>
        <a:p>
          <a:pPr algn="l" rtl="0">
            <a:lnSpc>
              <a:spcPts val="1200"/>
            </a:lnSpc>
            <a:defRPr sz="1000"/>
          </a:pPr>
          <a:r>
            <a:rPr lang="ja-JP" altLang="en-US" sz="1100" b="0" i="0" u="none" strike="noStrike" baseline="0">
              <a:solidFill>
                <a:srgbClr val="000000"/>
              </a:solidFill>
              <a:latin typeface="+mj-ea"/>
              <a:ea typeface="+mj-ea"/>
            </a:rPr>
            <a:t>　　　　　　　　　　</a:t>
          </a:r>
          <a:r>
            <a:rPr lang="ja-JP" altLang="ja-JP" sz="1100" b="0" i="0" baseline="0">
              <a:latin typeface="+mj-ea"/>
              <a:ea typeface="+mj-ea"/>
              <a:cs typeface="+mn-cs"/>
            </a:rPr>
            <a:t>・</a:t>
          </a:r>
          <a:r>
            <a:rPr lang="en-US" altLang="ja-JP" sz="1100" b="0" i="0" u="none" strike="noStrike" baseline="0">
              <a:solidFill>
                <a:srgbClr val="000000"/>
              </a:solidFill>
              <a:latin typeface="+mj-ea"/>
              <a:ea typeface="+mj-ea"/>
            </a:rPr>
            <a:t>Request file path</a:t>
          </a:r>
          <a:r>
            <a:rPr lang="ja-JP" altLang="en-US" sz="1100" b="0" i="0" u="none" strike="noStrike" baseline="0">
              <a:solidFill>
                <a:srgbClr val="000000"/>
              </a:solidFill>
              <a:latin typeface="+mj-ea"/>
              <a:ea typeface="+mj-ea"/>
            </a:rPr>
            <a:t>：</a:t>
          </a:r>
          <a:r>
            <a:rPr lang="en-US" altLang="ja-JP" sz="1100" b="0" i="0" u="none" strike="noStrike" baseline="0">
              <a:solidFill>
                <a:srgbClr val="000000"/>
              </a:solidFill>
              <a:latin typeface="+mj-ea"/>
              <a:ea typeface="+mj-ea"/>
            </a:rPr>
            <a:t>C:\sample</a:t>
          </a:r>
        </a:p>
        <a:p>
          <a:pPr algn="l" rtl="0">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a:t>
          </a:r>
          <a:r>
            <a:rPr lang="ja-JP" altLang="en-US" sz="1100" b="0" i="0" baseline="0">
              <a:latin typeface="+mj-ea"/>
              <a:ea typeface="+mj-ea"/>
              <a:cs typeface="+mn-cs"/>
            </a:rPr>
            <a:t>実行結果</a:t>
          </a:r>
          <a:r>
            <a:rPr lang="en-US" altLang="ja-JP" sz="1100" b="0" i="0" baseline="0">
              <a:latin typeface="+mj-ea"/>
              <a:ea typeface="+mj-ea"/>
              <a:cs typeface="+mn-cs"/>
            </a:rPr>
            <a:t>】</a:t>
          </a:r>
          <a:endParaRPr lang="en-US" altLang="ja-JP" sz="1100" b="0" i="0" u="none" strike="noStrike" baseline="0">
            <a:solidFill>
              <a:srgbClr val="000000"/>
            </a:solidFill>
            <a:latin typeface="+mj-ea"/>
            <a:ea typeface="+mj-ea"/>
          </a:endParaRPr>
        </a:p>
        <a:p>
          <a:pPr algn="l" rtl="0">
            <a:lnSpc>
              <a:spcPts val="1100"/>
            </a:lnSpc>
            <a:defRPr sz="1000"/>
          </a:pPr>
          <a:r>
            <a:rPr lang="ja-JP" altLang="en-US" sz="1100" b="0" i="0" u="none" strike="noStrike" baseline="0">
              <a:solidFill>
                <a:srgbClr val="000000"/>
              </a:solidFill>
              <a:latin typeface="+mj-ea"/>
              <a:ea typeface="+mj-ea"/>
            </a:rPr>
            <a:t>　　　　　　　　　　・</a:t>
          </a:r>
          <a:r>
            <a:rPr lang="en-US" altLang="ja-JP" sz="1100" b="0" i="0" baseline="0">
              <a:latin typeface="+mj-ea"/>
              <a:ea typeface="+mj-ea"/>
              <a:cs typeface="+mn-cs"/>
            </a:rPr>
            <a:t>C:\sample</a:t>
          </a:r>
          <a:r>
            <a:rPr lang="ja-JP" altLang="en-US" sz="1100" b="0" i="0" baseline="0">
              <a:latin typeface="+mj-ea"/>
              <a:ea typeface="+mj-ea"/>
              <a:cs typeface="+mn-cs"/>
            </a:rPr>
            <a:t>配下に要求電文</a:t>
          </a:r>
          <a:r>
            <a:rPr lang="ja-JP" altLang="ja-JP" sz="1100" b="0" i="0" baseline="0">
              <a:latin typeface="+mj-ea"/>
              <a:ea typeface="+mj-ea"/>
              <a:cs typeface="+mn-cs"/>
            </a:rPr>
            <a:t>ファイル</a:t>
          </a:r>
          <a:r>
            <a:rPr lang="ja-JP" altLang="en-US" sz="1100" b="0" i="0" baseline="0">
              <a:latin typeface="+mj-ea"/>
              <a:ea typeface="+mj-ea"/>
              <a:cs typeface="+mn-cs"/>
            </a:rPr>
            <a:t>の</a:t>
          </a:r>
          <a:r>
            <a:rPr lang="en-US" altLang="ja-JP" sz="1100" b="0" i="0" u="none" strike="noStrike" baseline="0">
              <a:solidFill>
                <a:srgbClr val="000000"/>
              </a:solidFill>
              <a:latin typeface="+mj-ea"/>
              <a:ea typeface="+mj-ea"/>
            </a:rPr>
            <a:t>B006_in_ID0003.txt</a:t>
          </a:r>
          <a:r>
            <a:rPr lang="ja-JP" altLang="en-US" sz="1100" b="0" i="0" u="none" strike="noStrike" baseline="0">
              <a:solidFill>
                <a:srgbClr val="000000"/>
              </a:solidFill>
              <a:latin typeface="+mj-ea"/>
              <a:ea typeface="+mj-ea"/>
            </a:rPr>
            <a:t>を生成する。				</a:t>
          </a:r>
        </a:p>
        <a:p>
          <a:pPr algn="l" rtl="0">
            <a:lnSpc>
              <a:spcPts val="1100"/>
            </a:lnSpc>
            <a:defRPr sz="1000"/>
          </a:pPr>
          <a:r>
            <a:rPr lang="ja-JP" altLang="en-US" sz="1100" b="0" i="0" u="none" strike="noStrike" baseline="0">
              <a:solidFill>
                <a:srgbClr val="000000"/>
              </a:solidFill>
              <a:latin typeface="+mj-ea"/>
              <a:ea typeface="+mj-ea"/>
            </a:rPr>
            <a:t>							</a:t>
          </a:r>
        </a:p>
        <a:p>
          <a:pPr algn="l" rtl="0">
            <a:defRPr sz="1000"/>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u="none" strike="noStrike" baseline="0">
              <a:solidFill>
                <a:srgbClr val="000000"/>
              </a:solidFill>
              <a:latin typeface="+mj-ea"/>
              <a:ea typeface="+mj-ea"/>
            </a:rPr>
            <a:t>一括生成（</a:t>
          </a:r>
          <a:r>
            <a:rPr lang="en-US" altLang="ja-JP" sz="1100" b="0" i="0" u="none" strike="noStrike" baseline="0">
              <a:solidFill>
                <a:srgbClr val="000000"/>
              </a:solidFill>
              <a:latin typeface="+mj-ea"/>
              <a:ea typeface="+mj-ea"/>
            </a:rPr>
            <a:t>CaseNo</a:t>
          </a:r>
          <a:r>
            <a:rPr lang="ja-JP" altLang="en-US" sz="1100" b="0" i="0" u="none" strike="noStrike" baseline="0">
              <a:solidFill>
                <a:srgbClr val="000000"/>
              </a:solidFill>
              <a:latin typeface="+mj-ea"/>
              <a:ea typeface="+mj-ea"/>
            </a:rPr>
            <a:t>設定しない）</a:t>
          </a:r>
          <a:endParaRPr lang="en-US" altLang="ja-JP" sz="1100" b="0" i="0" u="none" strike="noStrike" baseline="0">
            <a:solidFill>
              <a:srgbClr val="000000"/>
            </a:solidFill>
            <a:latin typeface="+mj-ea"/>
            <a:ea typeface="+mj-ea"/>
          </a:endParaRPr>
        </a:p>
        <a:p>
          <a:pPr rtl="0">
            <a:lnSpc>
              <a:spcPts val="11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Request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endParaRPr>
        </a:p>
        <a:p>
          <a:pPr rtl="0" fontAlgn="base">
            <a:lnSpc>
              <a:spcPts val="12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a:lnSpc>
              <a:spcPts val="1100"/>
            </a:lnSpc>
          </a:pPr>
          <a:r>
            <a:rPr lang="ja-JP" altLang="ja-JP" sz="1100" b="0" i="0" baseline="0">
              <a:latin typeface="+mj-ea"/>
              <a:ea typeface="+mj-ea"/>
              <a:cs typeface="+mn-cs"/>
            </a:rPr>
            <a:t>　　　　　　　　　　・</a:t>
          </a:r>
          <a:r>
            <a:rPr lang="en-US" altLang="ja-JP" sz="1100" b="0" i="0" baseline="0">
              <a:latin typeface="+mj-ea"/>
              <a:ea typeface="+mj-ea"/>
              <a:cs typeface="+mn-cs"/>
            </a:rPr>
            <a:t>C:\sample</a:t>
          </a:r>
          <a:r>
            <a:rPr lang="ja-JP" altLang="ja-JP" sz="1100" b="0" i="0" baseline="0">
              <a:latin typeface="+mj-ea"/>
              <a:ea typeface="+mj-ea"/>
              <a:cs typeface="+mn-cs"/>
            </a:rPr>
            <a:t>配下に要求電文ファイル</a:t>
          </a:r>
          <a:r>
            <a:rPr lang="ja-JP" altLang="en-US" sz="1100" b="0" i="0" baseline="0">
              <a:latin typeface="+mj-ea"/>
              <a:ea typeface="+mj-ea"/>
              <a:cs typeface="+mn-cs"/>
            </a:rPr>
            <a:t>全体（</a:t>
          </a:r>
          <a:r>
            <a:rPr lang="en-US" altLang="ja-JP" sz="1100" b="0" i="0" baseline="0">
              <a:latin typeface="+mj-ea"/>
              <a:ea typeface="+mj-ea"/>
              <a:cs typeface="+mn-cs"/>
            </a:rPr>
            <a:t>B006_in_ID0001.txt</a:t>
          </a:r>
          <a:r>
            <a:rPr lang="ja-JP" altLang="ja-JP" sz="1100" b="0" i="0" baseline="0">
              <a:latin typeface="+mj-ea"/>
              <a:ea typeface="+mj-ea"/>
              <a:cs typeface="+mn-cs"/>
            </a:rPr>
            <a:t>，</a:t>
          </a:r>
          <a:r>
            <a:rPr lang="en-US" altLang="ja-JP" sz="1100" b="0" i="0" baseline="0">
              <a:latin typeface="+mj-ea"/>
              <a:ea typeface="+mj-ea"/>
              <a:cs typeface="+mn-cs"/>
            </a:rPr>
            <a:t>B006_in_ID0002.txt</a:t>
          </a:r>
          <a:r>
            <a:rPr lang="ja-JP" altLang="ja-JP" sz="1100" b="0" i="0" baseline="0">
              <a:latin typeface="+mj-ea"/>
              <a:ea typeface="+mj-ea"/>
              <a:cs typeface="+mn-cs"/>
            </a:rPr>
            <a:t>，</a:t>
          </a:r>
          <a:r>
            <a:rPr lang="en-US" altLang="ja-JP" sz="1100" b="0" i="0" baseline="0">
              <a:latin typeface="+mj-ea"/>
              <a:ea typeface="+mj-ea"/>
              <a:cs typeface="+mn-cs"/>
            </a:rPr>
            <a:t>B006_in_ID0003.txt</a:t>
          </a:r>
          <a:r>
            <a:rPr lang="ja-JP" altLang="ja-JP" sz="1100" b="0" i="0" baseline="0">
              <a:latin typeface="+mj-ea"/>
              <a:ea typeface="+mj-ea"/>
              <a:cs typeface="+mn-cs"/>
            </a:rPr>
            <a:t>など</a:t>
          </a:r>
          <a:r>
            <a:rPr lang="ja-JP" altLang="en-US" sz="1100" b="0" i="0" baseline="0">
              <a:latin typeface="+mj-ea"/>
              <a:ea typeface="+mj-ea"/>
              <a:cs typeface="+mn-cs"/>
            </a:rPr>
            <a:t>）</a:t>
          </a:r>
          <a:r>
            <a:rPr lang="ja-JP" altLang="ja-JP" sz="1100" b="0" i="0" baseline="0">
              <a:latin typeface="+mj-ea"/>
              <a:ea typeface="+mj-ea"/>
              <a:cs typeface="+mn-cs"/>
            </a:rPr>
            <a:t>を生成する。</a:t>
          </a:r>
          <a:r>
            <a:rPr lang="ja-JP" altLang="en-US" sz="1100" b="0" i="0" u="none" strike="noStrike" baseline="0">
              <a:solidFill>
                <a:srgbClr val="000000"/>
              </a:solidFill>
              <a:latin typeface="+mj-ea"/>
              <a:ea typeface="+mj-ea"/>
            </a:rPr>
            <a:t>			</a:t>
          </a: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②応答内容を解析</a:t>
          </a:r>
          <a:r>
            <a:rPr lang="ja-JP" altLang="ja-JP" sz="1100" b="1" i="0" baseline="0">
              <a:latin typeface="+mj-ea"/>
              <a:ea typeface="+mj-ea"/>
              <a:cs typeface="+mn-cs"/>
            </a:rPr>
            <a:t>するなら　　⇒　　「</a:t>
          </a:r>
          <a:r>
            <a:rPr lang="en-US" altLang="ja-JP" sz="1100" b="1" i="0" baseline="0">
              <a:latin typeface="+mj-ea"/>
              <a:ea typeface="+mj-ea"/>
              <a:cs typeface="+mn-cs"/>
            </a:rPr>
            <a:t>Analyze-OUT</a:t>
          </a:r>
          <a:r>
            <a:rPr lang="ja-JP" altLang="ja-JP" sz="1100" b="1" i="0" baseline="0">
              <a:latin typeface="+mj-ea"/>
              <a:ea typeface="+mj-ea"/>
              <a:cs typeface="+mn-cs"/>
            </a:rPr>
            <a:t>」</a:t>
          </a:r>
          <a:r>
            <a:rPr lang="ja-JP" altLang="en-US" sz="1100" b="1" i="0" baseline="0">
              <a:latin typeface="+mj-ea"/>
              <a:ea typeface="+mj-ea"/>
              <a:cs typeface="+mn-cs"/>
            </a:rPr>
            <a:t>、「</a:t>
          </a:r>
          <a:r>
            <a:rPr lang="en-US" altLang="ja-JP" sz="1100" b="1" i="0" baseline="0">
              <a:latin typeface="+mj-ea"/>
              <a:ea typeface="+mj-ea"/>
              <a:cs typeface="+mn-cs"/>
            </a:rPr>
            <a:t>Analyze-OUTXML</a:t>
          </a:r>
          <a:r>
            <a:rPr lang="ja-JP" altLang="en-US" sz="1100" b="1" i="0" baseline="0">
              <a:latin typeface="+mj-ea"/>
              <a:ea typeface="+mj-ea"/>
              <a:cs typeface="+mn-cs"/>
            </a:rPr>
            <a:t>」</a:t>
          </a:r>
          <a:r>
            <a:rPr lang="ja-JP" altLang="ja-JP" sz="1100" b="1" i="0" baseline="0">
              <a:latin typeface="+mj-ea"/>
              <a:ea typeface="+mj-ea"/>
              <a:cs typeface="+mn-cs"/>
            </a:rPr>
            <a:t>ボタン</a:t>
          </a:r>
          <a:endParaRPr lang="en-US" altLang="ja-JP" sz="1100" b="1" i="0" baseline="0">
            <a:latin typeface="+mj-ea"/>
            <a:ea typeface="+mj-ea"/>
            <a:cs typeface="+mn-cs"/>
          </a:endParaRPr>
        </a:p>
        <a:p>
          <a:pPr algn="l" rtl="0">
            <a:lnSpc>
              <a:spcPts val="1200"/>
            </a:lnSpc>
            <a:defRPr sz="1000"/>
          </a:pPr>
          <a:r>
            <a:rPr lang="ja-JP" altLang="en-US" sz="1100" b="0" i="0" u="none" strike="noStrike" baseline="0">
              <a:solidFill>
                <a:srgbClr val="000000"/>
              </a:solidFill>
              <a:latin typeface="+mj-ea"/>
              <a:ea typeface="+mj-ea"/>
              <a:cs typeface="+mn-cs"/>
            </a:rPr>
            <a:t>　　　　</a:t>
          </a:r>
          <a:r>
            <a:rPr lang="en-US" altLang="ja-JP" sz="1100" b="0" i="0" u="none" strike="noStrike" baseline="0">
              <a:solidFill>
                <a:srgbClr val="000000"/>
              </a:solidFill>
              <a:latin typeface="+mj-ea"/>
              <a:ea typeface="+mj-ea"/>
              <a:cs typeface="+mn-cs"/>
            </a:rPr>
            <a:t>※</a:t>
          </a:r>
          <a:r>
            <a:rPr lang="ja-JP" altLang="ja-JP" sz="1100" b="0" i="0" baseline="0">
              <a:latin typeface="+mj-ea"/>
              <a:ea typeface="+mj-ea"/>
              <a:cs typeface="+mn-cs"/>
            </a:rPr>
            <a:t>解析結果を指定した</a:t>
          </a:r>
          <a:r>
            <a:rPr lang="en-US" altLang="ja-JP" sz="1100" b="0" i="0" baseline="0">
              <a:latin typeface="+mj-ea"/>
              <a:ea typeface="+mj-ea"/>
              <a:cs typeface="+mn-cs"/>
            </a:rPr>
            <a:t>【APISheetName】</a:t>
          </a:r>
          <a:r>
            <a:rPr lang="ja-JP" altLang="ja-JP" sz="1100" b="0" i="0" baseline="0">
              <a:latin typeface="+mj-ea"/>
              <a:ea typeface="+mj-ea"/>
              <a:cs typeface="+mn-cs"/>
            </a:rPr>
            <a:t>に保存する</a:t>
          </a:r>
          <a:r>
            <a:rPr lang="ja-JP" altLang="en-US" sz="1100" b="0" i="0" baseline="0">
              <a:latin typeface="+mj-ea"/>
              <a:ea typeface="+mj-ea"/>
              <a:cs typeface="+mn-cs"/>
            </a:rPr>
            <a:t>。</a:t>
          </a:r>
          <a:endParaRPr lang="en-US" altLang="ja-JP" sz="1100" b="0" i="0" baseline="0">
            <a:latin typeface="+mj-ea"/>
            <a:ea typeface="+mj-ea"/>
            <a:cs typeface="+mn-cs"/>
          </a:endParaRPr>
        </a:p>
        <a:p>
          <a:pPr rtl="0"/>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一件生成（</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endParaRPr>
        </a:p>
        <a:p>
          <a:pPr rtl="0">
            <a:lnSpc>
              <a:spcPts val="1100"/>
            </a:lnSpc>
          </a:pPr>
          <a:r>
            <a:rPr lang="ja-JP" altLang="ja-JP" sz="1100" b="0" i="0" baseline="0">
              <a:latin typeface="+mj-ea"/>
              <a:ea typeface="+mj-ea"/>
              <a:cs typeface="+mn-cs"/>
            </a:rPr>
            <a:t>　　　　　　　例</a:t>
          </a:r>
          <a:r>
            <a:rPr lang="ja-JP" altLang="en-US" sz="1100" b="0" i="0" baseline="0">
              <a:latin typeface="+mj-ea"/>
              <a:ea typeface="+mj-ea"/>
              <a:cs typeface="+mn-cs"/>
            </a:rPr>
            <a:t>１</a:t>
          </a:r>
          <a:r>
            <a:rPr lang="ja-JP" altLang="ja-JP" sz="1100" b="0" i="0" baseline="0">
              <a:latin typeface="+mj-ea"/>
              <a:ea typeface="+mj-ea"/>
              <a:cs typeface="+mn-cs"/>
            </a:rPr>
            <a:t>：</a:t>
          </a:r>
          <a:r>
            <a:rPr lang="ja-JP" altLang="en-US" sz="1100" b="0" i="0" baseline="0">
              <a:latin typeface="+mj-ea"/>
              <a:ea typeface="+mj-ea"/>
              <a:cs typeface="+mn-cs"/>
            </a:rPr>
            <a:t>ファイルから読込みのパターン</a:t>
          </a:r>
          <a:endParaRPr lang="en-US" altLang="ja-JP" sz="1100" b="0" i="0" baseline="0">
            <a:latin typeface="+mj-ea"/>
            <a:ea typeface="+mj-ea"/>
            <a:cs typeface="+mn-cs"/>
          </a:endParaRPr>
        </a:p>
        <a:p>
          <a:pPr rtl="0">
            <a:lnSpc>
              <a:spcPts val="1100"/>
            </a:lnSpc>
          </a:pPr>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C:\sample\B006_out_ID0003.txt</a:t>
          </a: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ResponseStream</a:t>
          </a:r>
          <a:r>
            <a:rPr lang="ja-JP" altLang="en-US" sz="1100" b="0" i="0" baseline="0">
              <a:latin typeface="+mj-ea"/>
              <a:ea typeface="+mj-ea"/>
              <a:cs typeface="+mn-cs"/>
            </a:rPr>
            <a:t>：（空白）</a:t>
          </a:r>
          <a:endParaRPr lang="ja-JP" altLang="ja-JP" sz="1100">
            <a:latin typeface="+mj-ea"/>
            <a:ea typeface="+mj-ea"/>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C:\sample\B006_out_ID0003.txt</a:t>
          </a:r>
          <a:r>
            <a:rPr lang="ja-JP" altLang="en-US" sz="1100" b="0" i="0" baseline="0">
              <a:latin typeface="+mj-ea"/>
              <a:ea typeface="+mj-ea"/>
              <a:cs typeface="+mn-cs"/>
            </a:rPr>
            <a:t>にある</a:t>
          </a:r>
          <a:r>
            <a:rPr lang="ja-JP" altLang="ja-JP" sz="1100" b="0" i="0" baseline="0">
              <a:latin typeface="+mj-ea"/>
              <a:ea typeface="+mj-ea"/>
              <a:cs typeface="+mn-cs"/>
            </a:rPr>
            <a:t>応答電文</a:t>
          </a:r>
          <a:r>
            <a:rPr lang="ja-JP" altLang="en-US" sz="1100" b="0" i="0" baseline="0">
              <a:latin typeface="+mj-ea"/>
              <a:ea typeface="+mj-ea"/>
              <a:cs typeface="+mn-cs"/>
            </a:rPr>
            <a:t>を読込み、</a:t>
          </a:r>
          <a:r>
            <a:rPr lang="ja-JP" altLang="ja-JP" sz="1100" b="0" i="0" baseline="0">
              <a:latin typeface="+mj-ea"/>
              <a:ea typeface="+mj-ea"/>
              <a:cs typeface="+mn-cs"/>
            </a:rPr>
            <a:t>解析</a:t>
          </a:r>
          <a:r>
            <a:rPr lang="ja-JP" altLang="en-US" sz="1100" b="0" i="0" baseline="0">
              <a:latin typeface="+mj-ea"/>
              <a:ea typeface="+mj-ea"/>
              <a:cs typeface="+mn-cs"/>
            </a:rPr>
            <a:t>した</a:t>
          </a:r>
          <a:r>
            <a:rPr lang="ja-JP" altLang="ja-JP" sz="1100" b="0" i="0" baseline="0">
              <a:latin typeface="+mj-ea"/>
              <a:ea typeface="+mj-ea"/>
              <a:cs typeface="+mn-cs"/>
            </a:rPr>
            <a:t>結果</a:t>
          </a:r>
          <a:r>
            <a:rPr lang="ja-JP" altLang="en-US" sz="1100" b="0" i="0" baseline="0">
              <a:latin typeface="+mj-ea"/>
              <a:ea typeface="+mj-ea"/>
              <a:cs typeface="+mn-cs"/>
            </a:rPr>
            <a:t>を</a:t>
          </a:r>
          <a:r>
            <a:rPr lang="ja-JP" altLang="ja-JP" sz="1100" b="0" i="0" baseline="0">
              <a:latin typeface="+mj-ea"/>
              <a:ea typeface="+mj-ea"/>
              <a:cs typeface="+mn-cs"/>
            </a:rPr>
            <a:t>シート</a:t>
          </a:r>
          <a:r>
            <a:rPr lang="en-US" altLang="ja-JP" sz="1100" b="0" i="0" baseline="0">
              <a:latin typeface="+mj-ea"/>
              <a:ea typeface="+mj-ea"/>
              <a:cs typeface="+mn-cs"/>
            </a:rPr>
            <a:t>B006</a:t>
          </a:r>
          <a:r>
            <a:rPr lang="ja-JP" altLang="en-US" sz="1100" b="0" i="0" baseline="0">
              <a:latin typeface="+mj-ea"/>
              <a:ea typeface="+mj-ea"/>
              <a:cs typeface="+mn-cs"/>
            </a:rPr>
            <a:t>の</a:t>
          </a:r>
          <a:r>
            <a:rPr lang="en-US" altLang="ja-JP" sz="1100" b="0" i="0" baseline="0">
              <a:latin typeface="+mj-ea"/>
              <a:ea typeface="+mj-ea"/>
              <a:cs typeface="+mn-cs"/>
            </a:rPr>
            <a:t>ID0003</a:t>
          </a:r>
          <a:r>
            <a:rPr lang="ja-JP" altLang="en-US" sz="1100" b="0" i="0" baseline="0">
              <a:latin typeface="+mj-ea"/>
              <a:ea typeface="+mj-ea"/>
              <a:cs typeface="+mn-cs"/>
            </a:rPr>
            <a:t>に相応する</a:t>
          </a:r>
          <a:r>
            <a:rPr lang="ja-JP" altLang="ja-JP" sz="1100" b="0" i="0" baseline="0">
              <a:latin typeface="+mj-ea"/>
              <a:ea typeface="+mj-ea"/>
              <a:cs typeface="+mn-cs"/>
            </a:rPr>
            <a:t>列に</a:t>
          </a:r>
          <a:r>
            <a:rPr lang="ja-JP" altLang="en-US" sz="1100" b="0" i="0" baseline="0">
              <a:latin typeface="+mj-ea"/>
              <a:ea typeface="+mj-ea"/>
              <a:cs typeface="+mn-cs"/>
            </a:rPr>
            <a:t>反映する</a:t>
          </a:r>
          <a:r>
            <a:rPr lang="ja-JP" altLang="ja-JP" sz="1100" b="0" i="0" baseline="0">
              <a:latin typeface="+mj-ea"/>
              <a:ea typeface="+mj-ea"/>
              <a:cs typeface="+mn-cs"/>
            </a:rPr>
            <a:t>。</a:t>
          </a:r>
          <a:endParaRPr lang="en-US" altLang="ja-JP" sz="1100" b="0" i="0" baseline="0">
            <a:latin typeface="+mj-ea"/>
            <a:ea typeface="+mj-ea"/>
            <a:cs typeface="+mn-cs"/>
          </a:endParaRPr>
        </a:p>
        <a:p>
          <a:pPr rtl="0">
            <a:lnSpc>
              <a:spcPts val="1200"/>
            </a:lnSpc>
          </a:pPr>
          <a:r>
            <a:rPr lang="ja-JP" altLang="ja-JP" sz="1100" b="0" i="0" baseline="0">
              <a:latin typeface="+mj-ea"/>
              <a:ea typeface="+mj-ea"/>
              <a:cs typeface="+mn-cs"/>
            </a:rPr>
            <a:t>　　　　　　　例</a:t>
          </a:r>
          <a:r>
            <a:rPr lang="ja-JP" altLang="en-US" sz="1100" b="0" i="0" baseline="0">
              <a:latin typeface="+mj-ea"/>
              <a:ea typeface="+mj-ea"/>
              <a:cs typeface="+mn-cs"/>
            </a:rPr>
            <a:t>２</a:t>
          </a:r>
          <a:r>
            <a:rPr lang="ja-JP" altLang="ja-JP" sz="1100" b="0" i="0" baseline="0">
              <a:latin typeface="+mj-ea"/>
              <a:ea typeface="+mj-ea"/>
              <a:cs typeface="+mn-cs"/>
            </a:rPr>
            <a:t>：</a:t>
          </a:r>
          <a:r>
            <a:rPr lang="ja-JP" altLang="en-US" sz="1100" b="0" i="0" baseline="0">
              <a:latin typeface="+mj-ea"/>
              <a:ea typeface="+mj-ea"/>
              <a:cs typeface="+mn-cs"/>
            </a:rPr>
            <a:t>直接解析</a:t>
          </a:r>
          <a:r>
            <a:rPr lang="ja-JP" altLang="ja-JP" sz="1100" b="0" i="0" baseline="0">
              <a:latin typeface="+mj-ea"/>
              <a:ea typeface="+mj-ea"/>
              <a:cs typeface="+mn-cs"/>
            </a:rPr>
            <a:t>のパターン</a:t>
          </a:r>
          <a:endParaRPr lang="en-US" altLang="ja-JP" sz="1100" b="0" i="0" baseline="0">
            <a:latin typeface="+mj-ea"/>
            <a:ea typeface="+mj-ea"/>
            <a:cs typeface="+mn-cs"/>
          </a:endParaRPr>
        </a:p>
        <a:p>
          <a:pPr rtl="0"/>
          <a:r>
            <a:rPr lang="ja-JP" altLang="en-US"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ja-JP" altLang="en-US" sz="1100" b="0" i="0" baseline="0">
              <a:latin typeface="+mj-ea"/>
              <a:ea typeface="+mj-ea"/>
              <a:cs typeface="+mn-cs"/>
            </a:rPr>
            <a:t>（空白）</a:t>
          </a:r>
          <a:endParaRPr lang="en-US" altLang="ja-JP" sz="1100" b="0" i="0" baseline="0">
            <a:latin typeface="+mj-ea"/>
            <a:ea typeface="+mj-ea"/>
            <a:cs typeface="+mn-cs"/>
          </a:endParaRPr>
        </a:p>
        <a:p>
          <a:pPr rtl="0"/>
          <a:r>
            <a:rPr lang="ja-JP" altLang="en-US" sz="1100" b="0" i="0" baseline="0">
              <a:latin typeface="+mj-ea"/>
              <a:ea typeface="+mj-ea"/>
              <a:cs typeface="+mn-cs"/>
            </a:rPr>
            <a:t>　　　　　　　　　　</a:t>
          </a:r>
          <a:r>
            <a:rPr lang="ja-JP" altLang="ja-JP" sz="1100" b="0" i="0" baseline="0">
              <a:latin typeface="+mj-ea"/>
              <a:ea typeface="+mj-ea"/>
              <a:cs typeface="+mn-cs"/>
            </a:rPr>
            <a:t>・</a:t>
          </a:r>
          <a:r>
            <a:rPr lang="en-US" altLang="ja-JP" sz="1100" b="0" i="0" baseline="0">
              <a:latin typeface="+mj-ea"/>
              <a:ea typeface="+mj-ea"/>
              <a:cs typeface="+mn-cs"/>
            </a:rPr>
            <a:t>ResponseStream</a:t>
          </a:r>
          <a:r>
            <a:rPr lang="ja-JP" altLang="en-US" sz="1100" b="0" i="0" baseline="0">
              <a:latin typeface="+mj-ea"/>
              <a:ea typeface="+mj-ea"/>
              <a:cs typeface="+mn-cs"/>
            </a:rPr>
            <a:t>：</a:t>
          </a:r>
          <a:r>
            <a:rPr lang="ja-JP" altLang="ja-JP" sz="1100" b="0" i="0" baseline="0">
              <a:latin typeface="+mj-ea"/>
              <a:ea typeface="+mj-ea"/>
              <a:cs typeface="+mn-cs"/>
            </a:rPr>
            <a:t>応答</a:t>
          </a:r>
          <a:r>
            <a:rPr lang="ja-JP" altLang="en-US" sz="1100" b="0" i="0" baseline="0">
              <a:latin typeface="+mj-ea"/>
              <a:ea typeface="+mj-ea"/>
              <a:cs typeface="+mn-cs"/>
            </a:rPr>
            <a:t>電文</a:t>
          </a:r>
          <a:r>
            <a:rPr lang="ja-JP" altLang="ja-JP" sz="1100" b="0" i="0" baseline="0">
              <a:latin typeface="+mj-ea"/>
              <a:ea typeface="+mj-ea"/>
              <a:cs typeface="+mn-cs"/>
            </a:rPr>
            <a:t>そのもの</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200"/>
            </a:lnSpc>
          </a:pPr>
          <a:r>
            <a:rPr lang="ja-JP" altLang="ja-JP" sz="1100" b="0" i="0" baseline="0">
              <a:latin typeface="+mj-ea"/>
              <a:ea typeface="+mj-ea"/>
              <a:cs typeface="+mn-cs"/>
            </a:rPr>
            <a:t>　　　　　　　　　　・応答電文を解析した結果を、シート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が存在する列に反映する。				</a:t>
          </a:r>
          <a:endParaRPr lang="ja-JP" altLang="ja-JP" sz="1100">
            <a:latin typeface="+mj-ea"/>
            <a:ea typeface="+mj-ea"/>
          </a:endParaRPr>
        </a:p>
        <a:p>
          <a:pPr rtl="0"/>
          <a:r>
            <a:rPr lang="ja-JP" altLang="ja-JP" sz="1100" b="0" i="0" baseline="0">
              <a:latin typeface="+mj-ea"/>
              <a:ea typeface="+mj-ea"/>
              <a:cs typeface="+mn-cs"/>
            </a:rPr>
            <a:t>							</a:t>
          </a:r>
          <a:endParaRPr lang="ja-JP" altLang="ja-JP" sz="1100">
            <a:latin typeface="+mj-ea"/>
            <a:ea typeface="+mj-ea"/>
          </a:endParaRPr>
        </a:p>
        <a:p>
          <a:pPr rtl="0" fontAlgn="base">
            <a:lnSpc>
              <a:spcPts val="11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一括生成（</a:t>
          </a:r>
          <a:r>
            <a:rPr lang="en-US" altLang="ja-JP" sz="1100" b="0" i="0" baseline="0">
              <a:latin typeface="+mj-ea"/>
              <a:ea typeface="+mj-ea"/>
              <a:cs typeface="+mn-cs"/>
            </a:rPr>
            <a:t>CaseNo</a:t>
          </a:r>
          <a:r>
            <a:rPr lang="ja-JP" altLang="ja-JP" sz="1100" b="0" i="0" baseline="0">
              <a:latin typeface="+mj-ea"/>
              <a:ea typeface="+mj-ea"/>
              <a:cs typeface="+mn-cs"/>
            </a:rPr>
            <a:t>設定しない）</a:t>
          </a:r>
          <a:endParaRPr lang="en-US" altLang="ja-JP" sz="1100" b="0" i="0" baseline="0">
            <a:latin typeface="+mj-ea"/>
            <a:ea typeface="+mj-ea"/>
            <a:cs typeface="+mn-cs"/>
          </a:endParaRPr>
        </a:p>
        <a:p>
          <a:pPr rtl="0"/>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：（空白）</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Response file path</a:t>
          </a:r>
          <a:r>
            <a:rPr lang="ja-JP" altLang="ja-JP" sz="1100" b="0" i="0" baseline="0">
              <a:latin typeface="+mj-ea"/>
              <a:ea typeface="+mj-ea"/>
              <a:cs typeface="+mn-cs"/>
            </a:rPr>
            <a:t>：</a:t>
          </a:r>
          <a:r>
            <a:rPr lang="en-US" altLang="ja-JP" sz="1100" b="0" i="0" baseline="0">
              <a:latin typeface="+mj-ea"/>
              <a:ea typeface="+mj-ea"/>
              <a:cs typeface="+mn-cs"/>
            </a:rPr>
            <a:t>C:\sample</a:t>
          </a:r>
          <a:endParaRPr lang="ja-JP" altLang="ja-JP" sz="1100">
            <a:latin typeface="+mj-ea"/>
            <a:ea typeface="+mj-ea"/>
            <a:cs typeface="+mn-cs"/>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a:lnSpc>
              <a:spcPts val="1100"/>
            </a:lnSpc>
          </a:pPr>
          <a:r>
            <a:rPr lang="ja-JP" altLang="ja-JP" sz="1100" b="0" i="0" baseline="0">
              <a:solidFill>
                <a:srgbClr val="FF0000"/>
              </a:solidFill>
              <a:latin typeface="+mj-ea"/>
              <a:ea typeface="+mj-ea"/>
              <a:cs typeface="+mn-cs"/>
            </a:rPr>
            <a:t>　　　　　　　　　</a:t>
          </a:r>
          <a:r>
            <a:rPr lang="ja-JP" altLang="ja-JP" sz="1100" b="0" i="0" baseline="0">
              <a:solidFill>
                <a:sysClr val="windowText" lastClr="000000"/>
              </a:solidFill>
              <a:latin typeface="+mj-ea"/>
              <a:ea typeface="+mj-ea"/>
              <a:cs typeface="+mn-cs"/>
            </a:rPr>
            <a:t>　・</a:t>
          </a:r>
          <a:r>
            <a:rPr lang="en-US" altLang="ja-JP" sz="1100" b="0" i="0" baseline="0">
              <a:solidFill>
                <a:sysClr val="windowText" lastClr="000000"/>
              </a:solidFill>
              <a:latin typeface="+mj-ea"/>
              <a:ea typeface="+mj-ea"/>
              <a:cs typeface="+mn-cs"/>
            </a:rPr>
            <a:t>C:\sample</a:t>
          </a:r>
          <a:r>
            <a:rPr lang="ja-JP" altLang="en-US" sz="1100" b="0" i="0" baseline="0">
              <a:solidFill>
                <a:sysClr val="windowText" lastClr="000000"/>
              </a:solidFill>
              <a:latin typeface="+mj-ea"/>
              <a:ea typeface="+mj-ea"/>
              <a:cs typeface="+mn-cs"/>
            </a:rPr>
            <a:t>配下すべての</a:t>
          </a:r>
          <a:r>
            <a:rPr lang="en-US" altLang="ja-JP" sz="1100" b="0" i="0" baseline="0">
              <a:solidFill>
                <a:sysClr val="windowText" lastClr="000000"/>
              </a:solidFill>
              <a:latin typeface="+mj-ea"/>
              <a:ea typeface="+mj-ea"/>
              <a:cs typeface="+mn-cs"/>
            </a:rPr>
            <a:t>B006_out_IDXXXX.txt</a:t>
          </a:r>
          <a:r>
            <a:rPr lang="ja-JP" altLang="en-US" sz="1100" b="0" i="0" baseline="0">
              <a:solidFill>
                <a:sysClr val="windowText" lastClr="000000"/>
              </a:solidFill>
              <a:latin typeface="+mj-ea"/>
              <a:ea typeface="+mj-ea"/>
              <a:cs typeface="+mn-cs"/>
            </a:rPr>
            <a:t>形式のファイルを読込み、</a:t>
          </a:r>
          <a:r>
            <a:rPr lang="ja-JP" altLang="ja-JP" sz="1100" b="0" i="0" baseline="0">
              <a:solidFill>
                <a:sysClr val="windowText" lastClr="000000"/>
              </a:solidFill>
              <a:latin typeface="+mj-ea"/>
              <a:ea typeface="+mj-ea"/>
              <a:cs typeface="+mn-cs"/>
            </a:rPr>
            <a:t>解析した結果それぞれをシート</a:t>
          </a:r>
          <a:r>
            <a:rPr lang="en-US" altLang="ja-JP" sz="1100" b="0" i="0" baseline="0">
              <a:solidFill>
                <a:sysClr val="windowText" lastClr="000000"/>
              </a:solidFill>
              <a:latin typeface="+mj-ea"/>
              <a:ea typeface="+mj-ea"/>
              <a:cs typeface="+mn-cs"/>
            </a:rPr>
            <a:t>B006</a:t>
          </a:r>
          <a:r>
            <a:rPr lang="ja-JP" altLang="ja-JP" sz="1100" b="0" i="0" baseline="0">
              <a:solidFill>
                <a:sysClr val="windowText" lastClr="000000"/>
              </a:solidFill>
              <a:latin typeface="+mj-ea"/>
              <a:ea typeface="+mj-ea"/>
              <a:cs typeface="+mn-cs"/>
            </a:rPr>
            <a:t>の</a:t>
          </a:r>
          <a:r>
            <a:rPr lang="en-US" altLang="ja-JP" sz="1100" b="0" i="0" baseline="0">
              <a:solidFill>
                <a:sysClr val="windowText" lastClr="000000"/>
              </a:solidFill>
              <a:latin typeface="+mj-ea"/>
              <a:ea typeface="+mj-ea"/>
              <a:cs typeface="+mn-cs"/>
            </a:rPr>
            <a:t>IDXXXX</a:t>
          </a:r>
          <a:r>
            <a:rPr lang="ja-JP" altLang="en-US" sz="1100" b="0" i="0" baseline="0">
              <a:solidFill>
                <a:sysClr val="windowText" lastClr="000000"/>
              </a:solidFill>
              <a:latin typeface="+mj-ea"/>
              <a:ea typeface="+mj-ea"/>
              <a:cs typeface="+mn-cs"/>
            </a:rPr>
            <a:t>に相応する</a:t>
          </a:r>
          <a:r>
            <a:rPr lang="ja-JP" altLang="ja-JP" sz="1100" b="0" i="0" baseline="0">
              <a:solidFill>
                <a:sysClr val="windowText" lastClr="000000"/>
              </a:solidFill>
              <a:latin typeface="+mj-ea"/>
              <a:ea typeface="+mj-ea"/>
              <a:cs typeface="+mn-cs"/>
            </a:rPr>
            <a:t>列に反映する。</a:t>
          </a:r>
          <a:endParaRPr lang="en-US" altLang="ja-JP" sz="1100" b="1" i="0" u="none" strike="noStrike" baseline="0">
            <a:solidFill>
              <a:srgbClr val="000000"/>
            </a:solidFill>
            <a:latin typeface="+mj-ea"/>
            <a:ea typeface="+mj-ea"/>
          </a:endParaRPr>
        </a:p>
        <a:p>
          <a:pPr algn="l" rtl="0">
            <a:lnSpc>
              <a:spcPts val="11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③</a:t>
          </a:r>
          <a:r>
            <a:rPr lang="ja-JP" altLang="ja-JP" sz="1100" b="1" i="0">
              <a:latin typeface="+mj-ea"/>
              <a:ea typeface="+mj-ea"/>
              <a:cs typeface="+mn-cs"/>
            </a:rPr>
            <a:t>テストデータ</a:t>
          </a:r>
          <a:r>
            <a:rPr lang="ja-JP" altLang="en-US" sz="1100" b="1" i="0">
              <a:latin typeface="+mj-ea"/>
              <a:ea typeface="+mj-ea"/>
              <a:cs typeface="+mn-cs"/>
            </a:rPr>
            <a:t>を削除するなら</a:t>
          </a:r>
          <a:r>
            <a:rPr lang="ja-JP" altLang="ja-JP" sz="1100" b="1" i="0" baseline="0">
              <a:latin typeface="+mj-ea"/>
              <a:ea typeface="+mj-ea"/>
              <a:cs typeface="+mn-cs"/>
            </a:rPr>
            <a:t>　　⇒　　「</a:t>
          </a:r>
          <a:r>
            <a:rPr lang="en-US" altLang="ja-JP" sz="1100" b="1" i="0" baseline="0">
              <a:latin typeface="+mj-ea"/>
              <a:ea typeface="+mj-ea"/>
              <a:cs typeface="+mn-cs"/>
            </a:rPr>
            <a:t>ClearResult</a:t>
          </a:r>
          <a:r>
            <a:rPr lang="ja-JP" altLang="ja-JP" sz="1100" b="1" i="0" baseline="0">
              <a:latin typeface="+mj-ea"/>
              <a:ea typeface="+mj-ea"/>
              <a:cs typeface="+mn-cs"/>
            </a:rPr>
            <a:t>」ボタン</a:t>
          </a:r>
          <a:endParaRPr lang="en-US" altLang="ja-JP" sz="1100" b="1" i="0" baseline="0">
            <a:latin typeface="+mj-ea"/>
            <a:ea typeface="+mj-ea"/>
            <a:cs typeface="+mn-cs"/>
          </a:endParaRPr>
        </a:p>
        <a:p>
          <a:pPr rtl="0">
            <a:lnSpc>
              <a:spcPts val="11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(1)</a:t>
          </a:r>
          <a:r>
            <a:rPr lang="ja-JP" altLang="ja-JP" sz="1100" b="0" i="0" baseline="0">
              <a:latin typeface="+mj-ea"/>
              <a:ea typeface="+mj-ea"/>
              <a:cs typeface="+mn-cs"/>
            </a:rPr>
            <a:t>　一件</a:t>
          </a:r>
          <a:r>
            <a:rPr lang="ja-JP" altLang="en-US" sz="1100" b="0" i="0" baseline="0">
              <a:latin typeface="+mj-ea"/>
              <a:ea typeface="+mj-ea"/>
              <a:cs typeface="+mn-cs"/>
            </a:rPr>
            <a:t>削除</a:t>
          </a:r>
          <a:r>
            <a:rPr lang="ja-JP" altLang="ja-JP" sz="1100" b="0" i="0" baseline="0">
              <a:latin typeface="+mj-ea"/>
              <a:ea typeface="+mj-ea"/>
              <a:cs typeface="+mn-cs"/>
            </a:rPr>
            <a:t>（</a:t>
          </a:r>
          <a:r>
            <a:rPr lang="en-US" altLang="ja-JP" sz="1100" b="0" i="0" baseline="0">
              <a:latin typeface="+mj-ea"/>
              <a:ea typeface="+mj-ea"/>
              <a:cs typeface="+mn-cs"/>
            </a:rPr>
            <a:t>CaseNo</a:t>
          </a:r>
          <a:r>
            <a:rPr lang="ja-JP" altLang="ja-JP" sz="1100" b="0" i="0" baseline="0">
              <a:latin typeface="+mj-ea"/>
              <a:ea typeface="+mj-ea"/>
              <a:cs typeface="+mn-cs"/>
            </a:rPr>
            <a:t>を設定する）									</a:t>
          </a:r>
          <a:endParaRPr lang="ja-JP" altLang="ja-JP" sz="1100">
            <a:latin typeface="+mj-ea"/>
            <a:ea typeface="+mj-ea"/>
            <a:cs typeface="+mn-cs"/>
          </a:endParaRPr>
        </a:p>
        <a:p>
          <a:pPr rtl="0" fontAlgn="base">
            <a:lnSpc>
              <a:spcPts val="12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en-US" altLang="ja-JP" sz="1100" b="0" i="0" baseline="0">
              <a:latin typeface="+mj-ea"/>
              <a:ea typeface="+mj-ea"/>
              <a:cs typeface="+mn-cs"/>
            </a:rPr>
            <a:t>ID0003 </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endParaRPr>
        </a:p>
        <a:p>
          <a:pPr rtl="0" fontAlgn="base">
            <a:lnSpc>
              <a:spcPts val="11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ID0003</a:t>
          </a:r>
          <a:r>
            <a:rPr lang="ja-JP" altLang="ja-JP" sz="1100" b="0" i="0" baseline="0">
              <a:latin typeface="+mj-ea"/>
              <a:ea typeface="+mj-ea"/>
              <a:cs typeface="+mn-cs"/>
            </a:rPr>
            <a:t>に相応する</a:t>
          </a:r>
          <a:r>
            <a:rPr lang="ja-JP" altLang="en-US" sz="1100" b="0" i="0" baseline="0">
              <a:latin typeface="+mj-ea"/>
              <a:ea typeface="+mj-ea"/>
              <a:cs typeface="+mn-cs"/>
            </a:rPr>
            <a:t>列のデータを削除する</a:t>
          </a:r>
          <a:r>
            <a:rPr lang="ja-JP" altLang="ja-JP" sz="1100" b="0" i="0" baseline="0">
              <a:latin typeface="+mj-ea"/>
              <a:ea typeface="+mj-ea"/>
              <a:cs typeface="+mn-cs"/>
            </a:rPr>
            <a:t>。</a:t>
          </a:r>
          <a:endParaRPr lang="en-US" altLang="ja-JP" sz="1100" b="0" i="0" baseline="0">
            <a:latin typeface="+mj-ea"/>
            <a:ea typeface="+mj-ea"/>
            <a:cs typeface="+mn-cs"/>
          </a:endParaRPr>
        </a:p>
        <a:p>
          <a:pPr rtl="0">
            <a:lnSpc>
              <a:spcPts val="1200"/>
            </a:lnSpc>
          </a:pPr>
          <a:r>
            <a:rPr lang="ja-JP" altLang="ja-JP" sz="1100" b="1" i="0" baseline="0">
              <a:latin typeface="+mj-ea"/>
              <a:ea typeface="+mj-ea"/>
              <a:cs typeface="+mn-cs"/>
            </a:rPr>
            <a:t>　　　</a:t>
          </a:r>
          <a:r>
            <a:rPr lang="ja-JP" altLang="ja-JP" sz="1100" b="0" i="0" baseline="0">
              <a:latin typeface="+mj-ea"/>
              <a:ea typeface="+mj-ea"/>
              <a:cs typeface="+mn-cs"/>
            </a:rPr>
            <a:t>　</a:t>
          </a:r>
          <a:r>
            <a:rPr lang="en-US" altLang="ja-JP" sz="1100" b="0" i="0" baseline="0">
              <a:latin typeface="+mj-ea"/>
              <a:ea typeface="+mj-ea"/>
              <a:cs typeface="+mn-cs"/>
            </a:rPr>
            <a:t>(2)</a:t>
          </a:r>
          <a:r>
            <a:rPr lang="ja-JP" altLang="ja-JP" sz="1100" b="0" i="0" baseline="0">
              <a:latin typeface="+mj-ea"/>
              <a:ea typeface="+mj-ea"/>
              <a:cs typeface="+mn-cs"/>
            </a:rPr>
            <a:t>　</a:t>
          </a:r>
          <a:r>
            <a:rPr lang="ja-JP" altLang="en-US" sz="1100" b="0" i="0" baseline="0">
              <a:latin typeface="+mj-ea"/>
              <a:ea typeface="+mj-ea"/>
              <a:cs typeface="+mn-cs"/>
            </a:rPr>
            <a:t>一括</a:t>
          </a:r>
          <a:r>
            <a:rPr lang="ja-JP" altLang="ja-JP" sz="1100" b="0" i="0" baseline="0">
              <a:latin typeface="+mj-ea"/>
              <a:ea typeface="+mj-ea"/>
              <a:cs typeface="+mn-cs"/>
            </a:rPr>
            <a:t>削除（</a:t>
          </a:r>
          <a:r>
            <a:rPr lang="en-US" altLang="ja-JP" sz="1100" b="0" i="0" baseline="0">
              <a:latin typeface="+mj-ea"/>
              <a:ea typeface="+mj-ea"/>
              <a:cs typeface="+mn-cs"/>
            </a:rPr>
            <a:t>CaseNo</a:t>
          </a:r>
          <a:r>
            <a:rPr lang="ja-JP" altLang="ja-JP" sz="1100" b="0" i="0" baseline="0">
              <a:latin typeface="+mj-ea"/>
              <a:ea typeface="+mj-ea"/>
              <a:cs typeface="+mn-cs"/>
            </a:rPr>
            <a:t>を設定</a:t>
          </a:r>
          <a:r>
            <a:rPr lang="ja-JP" altLang="en-US" sz="1100" b="0" i="0" baseline="0">
              <a:latin typeface="+mj-ea"/>
              <a:ea typeface="+mj-ea"/>
              <a:cs typeface="+mn-cs"/>
            </a:rPr>
            <a:t>しない</a:t>
          </a:r>
          <a:r>
            <a:rPr lang="ja-JP" altLang="ja-JP" sz="1100" b="0" i="0" baseline="0">
              <a:latin typeface="+mj-ea"/>
              <a:ea typeface="+mj-ea"/>
              <a:cs typeface="+mn-cs"/>
            </a:rPr>
            <a:t>）									</a:t>
          </a:r>
          <a:endParaRPr lang="ja-JP" altLang="ja-JP" sz="1100">
            <a:latin typeface="+mj-ea"/>
            <a:ea typeface="+mj-ea"/>
            <a:cs typeface="+mn-cs"/>
          </a:endParaRPr>
        </a:p>
        <a:p>
          <a:pPr rtl="0" fontAlgn="base">
            <a:lnSpc>
              <a:spcPts val="1200"/>
            </a:lnSpc>
          </a:pPr>
          <a:r>
            <a:rPr lang="ja-JP" altLang="ja-JP" sz="1100" b="0" i="0" baseline="0">
              <a:latin typeface="+mj-ea"/>
              <a:ea typeface="+mj-ea"/>
              <a:cs typeface="+mn-cs"/>
            </a:rPr>
            <a:t>　　　　　　　例：</a:t>
          </a:r>
          <a:r>
            <a:rPr lang="en-US" altLang="ja-JP" sz="1100" b="0" i="0" baseline="0">
              <a:latin typeface="+mj-ea"/>
              <a:ea typeface="+mj-ea"/>
              <a:cs typeface="+mn-cs"/>
            </a:rPr>
            <a:t>【</a:t>
          </a:r>
          <a:r>
            <a:rPr lang="ja-JP" altLang="ja-JP" sz="1100" b="0" i="0" baseline="0">
              <a:latin typeface="+mj-ea"/>
              <a:ea typeface="+mj-ea"/>
              <a:cs typeface="+mn-cs"/>
            </a:rPr>
            <a:t>項目設定</a:t>
          </a:r>
          <a:r>
            <a:rPr lang="en-US" altLang="ja-JP" sz="1100" b="0" i="0" baseline="0">
              <a:latin typeface="+mj-ea"/>
              <a:ea typeface="+mj-ea"/>
              <a:cs typeface="+mn-cs"/>
            </a:rPr>
            <a:t>】</a:t>
          </a:r>
          <a:endParaRPr lang="ja-JP" altLang="ja-JP" sz="1100">
            <a:latin typeface="+mj-ea"/>
            <a:ea typeface="+mj-ea"/>
            <a:cs typeface="+mn-cs"/>
          </a:endParaRPr>
        </a:p>
        <a:p>
          <a:pPr rtl="0"/>
          <a:r>
            <a:rPr lang="ja-JP" altLang="ja-JP" sz="1100" b="0" i="0" baseline="0">
              <a:latin typeface="+mj-ea"/>
              <a:ea typeface="+mj-ea"/>
              <a:cs typeface="+mn-cs"/>
            </a:rPr>
            <a:t>　　　　　　　　　　・</a:t>
          </a:r>
          <a:r>
            <a:rPr lang="en-US" altLang="ja-JP" sz="1100" b="0" i="0" baseline="0">
              <a:latin typeface="+mj-ea"/>
              <a:ea typeface="+mj-ea"/>
              <a:cs typeface="+mn-cs"/>
            </a:rPr>
            <a:t>APISheetName</a:t>
          </a:r>
          <a:r>
            <a:rPr lang="ja-JP" altLang="ja-JP" sz="1100" b="0" i="0" baseline="0">
              <a:latin typeface="+mj-ea"/>
              <a:ea typeface="+mj-ea"/>
              <a:cs typeface="+mn-cs"/>
            </a:rPr>
            <a:t>：</a:t>
          </a:r>
          <a:r>
            <a:rPr lang="en-US" altLang="ja-JP" sz="1100" b="0" i="0" baseline="0">
              <a:latin typeface="+mj-ea"/>
              <a:ea typeface="+mj-ea"/>
              <a:cs typeface="+mn-cs"/>
            </a:rPr>
            <a:t>B006 </a:t>
          </a:r>
          <a:endParaRPr lang="ja-JP" altLang="ja-JP" sz="1100">
            <a:latin typeface="+mj-ea"/>
            <a:ea typeface="+mj-ea"/>
            <a:cs typeface="+mn-cs"/>
          </a:endParaRPr>
        </a:p>
        <a:p>
          <a:pPr rtl="0">
            <a:lnSpc>
              <a:spcPts val="1200"/>
            </a:lnSpc>
          </a:pPr>
          <a:r>
            <a:rPr lang="ja-JP" altLang="ja-JP" sz="1100" b="0" i="0" baseline="0">
              <a:latin typeface="+mj-ea"/>
              <a:ea typeface="+mj-ea"/>
              <a:cs typeface="+mn-cs"/>
            </a:rPr>
            <a:t>　　　　　　　　　　・</a:t>
          </a:r>
          <a:r>
            <a:rPr lang="en-US" altLang="ja-JP" sz="1100" b="0" i="0" baseline="0">
              <a:latin typeface="+mj-ea"/>
              <a:ea typeface="+mj-ea"/>
              <a:cs typeface="+mn-cs"/>
            </a:rPr>
            <a:t>CaseNo</a:t>
          </a:r>
          <a:r>
            <a:rPr lang="ja-JP" altLang="ja-JP" sz="1100" b="0" i="0" baseline="0">
              <a:latin typeface="+mj-ea"/>
              <a:ea typeface="+mj-ea"/>
              <a:cs typeface="+mn-cs"/>
            </a:rPr>
            <a:t>：</a:t>
          </a:r>
          <a:r>
            <a:rPr lang="ja-JP" altLang="en-US" sz="1100" b="0" i="0" baseline="0">
              <a:latin typeface="+mj-ea"/>
              <a:ea typeface="+mj-ea"/>
              <a:cs typeface="+mn-cs"/>
            </a:rPr>
            <a:t>（空白）</a:t>
          </a:r>
          <a:endParaRPr lang="ja-JP" altLang="ja-JP" sz="1100">
            <a:latin typeface="+mj-ea"/>
            <a:ea typeface="+mj-ea"/>
            <a:cs typeface="+mn-cs"/>
          </a:endParaRPr>
        </a:p>
        <a:p>
          <a:pPr rtl="0">
            <a:lnSpc>
              <a:spcPts val="1100"/>
            </a:lnSpc>
          </a:pPr>
          <a:r>
            <a:rPr lang="ja-JP" altLang="ja-JP" sz="1100" b="0" i="0" baseline="0">
              <a:latin typeface="+mj-ea"/>
              <a:ea typeface="+mj-ea"/>
              <a:cs typeface="+mn-cs"/>
            </a:rPr>
            <a:t>　　　　　　　　　　・</a:t>
          </a:r>
          <a:r>
            <a:rPr lang="en-US" altLang="ja-JP" sz="1100" b="0" i="0" baseline="0">
              <a:latin typeface="+mj-ea"/>
              <a:ea typeface="+mj-ea"/>
              <a:cs typeface="+mn-cs"/>
            </a:rPr>
            <a:t>CaseStartCol</a:t>
          </a:r>
          <a:r>
            <a:rPr lang="ja-JP" altLang="ja-JP" sz="1100" b="0" i="0" baseline="0">
              <a:latin typeface="+mj-ea"/>
              <a:ea typeface="+mj-ea"/>
              <a:cs typeface="+mn-cs"/>
            </a:rPr>
            <a:t>：</a:t>
          </a:r>
          <a:r>
            <a:rPr lang="en-US" altLang="ja-JP" sz="1100" b="0" i="0" baseline="0">
              <a:latin typeface="+mj-ea"/>
              <a:ea typeface="+mj-ea"/>
              <a:cs typeface="+mn-cs"/>
            </a:rPr>
            <a:t>AD  </a:t>
          </a:r>
          <a:endParaRPr lang="ja-JP" altLang="ja-JP" sz="1100">
            <a:latin typeface="+mj-ea"/>
            <a:ea typeface="+mj-ea"/>
            <a:cs typeface="+mn-cs"/>
          </a:endParaRPr>
        </a:p>
        <a:p>
          <a:pPr rtl="0" fontAlgn="base"/>
          <a:r>
            <a:rPr lang="ja-JP" altLang="ja-JP" sz="1100" b="0" i="0" baseline="0">
              <a:latin typeface="+mj-ea"/>
              <a:ea typeface="+mj-ea"/>
              <a:cs typeface="+mn-cs"/>
            </a:rPr>
            <a:t>　　　　　　　　　</a:t>
          </a:r>
          <a:r>
            <a:rPr lang="en-US" altLang="ja-JP" sz="1100" b="0" i="0" baseline="0">
              <a:latin typeface="+mj-ea"/>
              <a:ea typeface="+mj-ea"/>
              <a:cs typeface="+mn-cs"/>
            </a:rPr>
            <a:t>【</a:t>
          </a:r>
          <a:r>
            <a:rPr lang="ja-JP" altLang="ja-JP" sz="1100" b="0" i="0" baseline="0">
              <a:latin typeface="+mj-ea"/>
              <a:ea typeface="+mj-ea"/>
              <a:cs typeface="+mn-cs"/>
            </a:rPr>
            <a:t>実行結果</a:t>
          </a:r>
          <a:r>
            <a:rPr lang="en-US" altLang="ja-JP" sz="1100" b="0" i="0" baseline="0">
              <a:latin typeface="+mj-ea"/>
              <a:ea typeface="+mj-ea"/>
              <a:cs typeface="+mn-cs"/>
            </a:rPr>
            <a:t>】</a:t>
          </a:r>
          <a:endParaRPr lang="ja-JP" altLang="ja-JP" sz="1100">
            <a:latin typeface="+mj-ea"/>
            <a:ea typeface="+mj-ea"/>
            <a:cs typeface="+mn-cs"/>
          </a:endParaRPr>
        </a:p>
        <a:p>
          <a:pPr rtl="0" fontAlgn="base">
            <a:lnSpc>
              <a:spcPts val="1100"/>
            </a:lnSpc>
          </a:pPr>
          <a:r>
            <a:rPr lang="ja-JP" altLang="ja-JP" sz="1100" b="0" i="0" baseline="0">
              <a:latin typeface="+mj-ea"/>
              <a:ea typeface="+mj-ea"/>
              <a:cs typeface="+mn-cs"/>
            </a:rPr>
            <a:t>　　　　　　　　　　・シート</a:t>
          </a:r>
          <a:r>
            <a:rPr lang="en-US" altLang="ja-JP" sz="1100" b="0" i="0" baseline="0">
              <a:latin typeface="+mj-ea"/>
              <a:ea typeface="+mj-ea"/>
              <a:cs typeface="+mn-cs"/>
            </a:rPr>
            <a:t>B006</a:t>
          </a:r>
          <a:r>
            <a:rPr lang="ja-JP" altLang="ja-JP" sz="1100" b="0" i="0" baseline="0">
              <a:latin typeface="+mj-ea"/>
              <a:ea typeface="+mj-ea"/>
              <a:cs typeface="+mn-cs"/>
            </a:rPr>
            <a:t>の</a:t>
          </a:r>
          <a:r>
            <a:rPr lang="en-US" altLang="ja-JP" sz="1100" b="0" i="0" baseline="0">
              <a:latin typeface="+mj-ea"/>
              <a:ea typeface="+mj-ea"/>
              <a:cs typeface="+mn-cs"/>
            </a:rPr>
            <a:t>AD</a:t>
          </a:r>
          <a:r>
            <a:rPr lang="ja-JP" altLang="en-US" sz="1100" b="0" i="0" baseline="0">
              <a:latin typeface="+mj-ea"/>
              <a:ea typeface="+mj-ea"/>
              <a:cs typeface="+mn-cs"/>
            </a:rPr>
            <a:t>列</a:t>
          </a:r>
          <a:r>
            <a:rPr lang="ja-JP" altLang="ja-JP" sz="1100" b="0" i="0" baseline="0">
              <a:latin typeface="+mj-ea"/>
              <a:ea typeface="+mj-ea"/>
              <a:cs typeface="+mn-cs"/>
            </a:rPr>
            <a:t>以降</a:t>
          </a:r>
          <a:r>
            <a:rPr lang="ja-JP" altLang="en-US" sz="1100" b="0" i="0" baseline="0">
              <a:latin typeface="+mj-ea"/>
              <a:ea typeface="+mj-ea"/>
              <a:cs typeface="+mn-cs"/>
            </a:rPr>
            <a:t>のデータ全件</a:t>
          </a:r>
          <a:r>
            <a:rPr lang="ja-JP" altLang="ja-JP" sz="1100" b="0" i="0" baseline="0">
              <a:latin typeface="+mj-ea"/>
              <a:ea typeface="+mj-ea"/>
              <a:cs typeface="+mn-cs"/>
            </a:rPr>
            <a:t>を削除する。</a:t>
          </a:r>
          <a:endParaRPr lang="en-US" altLang="ja-JP" sz="1100" b="0" i="0" baseline="0">
            <a:latin typeface="+mj-ea"/>
            <a:ea typeface="+mj-ea"/>
            <a:cs typeface="+mn-cs"/>
          </a:endParaRPr>
        </a:p>
        <a:p>
          <a:pPr algn="l" rtl="0">
            <a:lnSpc>
              <a:spcPts val="1200"/>
            </a:lnSpc>
            <a:defRPr sz="1000"/>
          </a:pPr>
          <a:endParaRPr lang="en-US" altLang="ja-JP" sz="1100" b="1" i="0" u="none" strike="noStrike" baseline="0">
            <a:solidFill>
              <a:srgbClr val="000000"/>
            </a:solidFill>
            <a:latin typeface="+mj-ea"/>
            <a:ea typeface="+mj-ea"/>
          </a:endParaRPr>
        </a:p>
        <a:p>
          <a:pPr algn="l" rtl="0">
            <a:defRPr sz="1000"/>
          </a:pPr>
          <a:r>
            <a:rPr lang="ja-JP" altLang="en-US" sz="1100" b="1" i="0" u="none" strike="noStrike" baseline="0">
              <a:solidFill>
                <a:srgbClr val="000000"/>
              </a:solidFill>
              <a:latin typeface="+mj-ea"/>
              <a:ea typeface="+mj-ea"/>
            </a:rPr>
            <a:t>　　④</a:t>
          </a:r>
          <a:r>
            <a:rPr lang="ja-JP" altLang="ja-JP" sz="1100" b="1" i="0" baseline="0">
              <a:latin typeface="+mj-ea"/>
              <a:ea typeface="+mj-ea"/>
              <a:cs typeface="+mn-cs"/>
            </a:rPr>
            <a:t>要求</a:t>
          </a:r>
          <a:r>
            <a:rPr lang="en-US" altLang="ja-JP" sz="1100" b="1" i="0" baseline="0">
              <a:latin typeface="+mj-ea"/>
              <a:ea typeface="+mj-ea"/>
              <a:cs typeface="+mn-cs"/>
            </a:rPr>
            <a:t>XML</a:t>
          </a:r>
          <a:r>
            <a:rPr lang="ja-JP" altLang="en-US" sz="1100" b="1" i="0" baseline="0">
              <a:latin typeface="+mj-ea"/>
              <a:ea typeface="+mj-ea"/>
              <a:cs typeface="+mn-cs"/>
            </a:rPr>
            <a:t>ファイル</a:t>
          </a:r>
          <a:r>
            <a:rPr lang="ja-JP" altLang="ja-JP" sz="1100" b="1" i="0" baseline="0">
              <a:latin typeface="+mj-ea"/>
              <a:ea typeface="+mj-ea"/>
              <a:cs typeface="+mn-cs"/>
            </a:rPr>
            <a:t>を生成するなら　　⇒　　</a:t>
          </a:r>
          <a:r>
            <a:rPr lang="ja-JP" altLang="en-US" sz="1100" b="1" i="0" baseline="0">
              <a:latin typeface="+mj-ea"/>
              <a:ea typeface="+mj-ea"/>
              <a:cs typeface="+mn-cs"/>
            </a:rPr>
            <a:t>「</a:t>
          </a:r>
          <a:r>
            <a:rPr lang="en-US" altLang="ja-JP" sz="1100" b="1" i="0" baseline="0">
              <a:latin typeface="+mj-ea"/>
              <a:ea typeface="+mj-ea"/>
              <a:cs typeface="+mn-cs"/>
            </a:rPr>
            <a:t>GenerateInXml</a:t>
          </a:r>
          <a:r>
            <a:rPr lang="ja-JP" altLang="en-US" sz="1100" b="1" i="0" baseline="0">
              <a:latin typeface="+mj-ea"/>
              <a:ea typeface="+mj-ea"/>
              <a:cs typeface="+mn-cs"/>
            </a:rPr>
            <a:t>」ボタン</a:t>
          </a:r>
          <a:endParaRPr lang="en-US" altLang="ja-JP" sz="1100" b="1" i="0" baseline="0">
            <a:latin typeface="+mj-ea"/>
            <a:ea typeface="+mj-ea"/>
            <a:cs typeface="+mn-cs"/>
          </a:endParaRPr>
        </a:p>
        <a:p>
          <a:pPr algn="l" rtl="0">
            <a:lnSpc>
              <a:spcPts val="1100"/>
            </a:lnSpc>
            <a:defRPr sz="1000"/>
          </a:pPr>
          <a:r>
            <a:rPr lang="ja-JP" altLang="en-US" sz="1100" b="0" i="0" u="none" strike="noStrike" baseline="0">
              <a:solidFill>
                <a:srgbClr val="000000"/>
              </a:solidFill>
              <a:latin typeface="+mj-ea"/>
              <a:ea typeface="+mj-ea"/>
            </a:rPr>
            <a:t>　　　　</a:t>
          </a:r>
          <a:r>
            <a:rPr lang="en-US" altLang="ja-JP" sz="1100" b="0" i="0" u="none" strike="noStrike" baseline="0">
              <a:solidFill>
                <a:srgbClr val="000000"/>
              </a:solidFill>
              <a:latin typeface="+mj-ea"/>
              <a:ea typeface="+mj-ea"/>
            </a:rPr>
            <a:t>※</a:t>
          </a:r>
          <a:r>
            <a:rPr lang="ja-JP" altLang="en-US" sz="1100" b="0" i="0" u="none" strike="noStrike" baseline="0">
              <a:solidFill>
                <a:srgbClr val="000000"/>
              </a:solidFill>
              <a:latin typeface="+mj-ea"/>
              <a:ea typeface="+mj-ea"/>
            </a:rPr>
            <a:t>項目</a:t>
          </a:r>
          <a:r>
            <a:rPr lang="ja-JP" altLang="ja-JP" sz="1100" b="0" i="0" baseline="0">
              <a:latin typeface="+mj-ea"/>
              <a:ea typeface="+mj-ea"/>
              <a:cs typeface="+mn-cs"/>
            </a:rPr>
            <a:t>設定</a:t>
          </a:r>
          <a:r>
            <a:rPr lang="ja-JP" altLang="en-US" sz="1100" b="0" i="0" baseline="0">
              <a:latin typeface="+mj-ea"/>
              <a:ea typeface="+mj-ea"/>
              <a:cs typeface="+mn-cs"/>
            </a:rPr>
            <a:t>については、①</a:t>
          </a:r>
          <a:r>
            <a:rPr lang="ja-JP" altLang="ja-JP" sz="1100" b="0" i="0" baseline="0">
              <a:latin typeface="+mj-ea"/>
              <a:ea typeface="+mj-ea"/>
              <a:cs typeface="+mn-cs"/>
            </a:rPr>
            <a:t>「</a:t>
          </a:r>
          <a:r>
            <a:rPr lang="en-US" altLang="ja-JP" sz="1100" b="0" i="0" baseline="0">
              <a:latin typeface="+mj-ea"/>
              <a:ea typeface="+mj-ea"/>
              <a:cs typeface="+mn-cs"/>
            </a:rPr>
            <a:t>Generate-IN</a:t>
          </a:r>
          <a:r>
            <a:rPr lang="ja-JP" altLang="ja-JP" sz="1100" b="0" i="0" baseline="0">
              <a:latin typeface="+mj-ea"/>
              <a:ea typeface="+mj-ea"/>
              <a:cs typeface="+mn-cs"/>
            </a:rPr>
            <a:t>」ボタン</a:t>
          </a:r>
          <a:r>
            <a:rPr lang="ja-JP" altLang="en-US" sz="1100" b="0" i="0" baseline="0">
              <a:latin typeface="+mj-ea"/>
              <a:ea typeface="+mj-ea"/>
              <a:cs typeface="+mn-cs"/>
            </a:rPr>
            <a:t>と同様。</a:t>
          </a:r>
          <a:endParaRPr lang="en-US" altLang="ja-JP" sz="1100" b="0" i="0" baseline="0">
            <a:latin typeface="+mj-ea"/>
            <a:ea typeface="+mj-ea"/>
            <a:cs typeface="+mn-cs"/>
          </a:endParaRPr>
        </a:p>
        <a:p>
          <a:pPr algn="l" rtl="0">
            <a:defRPr sz="1000"/>
          </a:pPr>
          <a:endParaRPr lang="en-US" altLang="ja-JP" sz="1100" b="0" i="0" u="none" strike="noStrike" baseline="0">
            <a:solidFill>
              <a:srgbClr val="000000"/>
            </a:solidFill>
            <a:latin typeface="+mj-ea"/>
            <a:ea typeface="+mj-ea"/>
            <a:cs typeface="+mn-cs"/>
          </a:endParaRPr>
        </a:p>
        <a:p>
          <a:pPr rtl="0" fontAlgn="base">
            <a:lnSpc>
              <a:spcPts val="1100"/>
            </a:lnSpc>
          </a:pPr>
          <a:r>
            <a:rPr lang="ja-JP" altLang="ja-JP" sz="1100" b="1" i="0" baseline="0">
              <a:latin typeface="+mn-lt"/>
              <a:ea typeface="+mn-ea"/>
              <a:cs typeface="+mn-cs"/>
            </a:rPr>
            <a:t>　　</a:t>
          </a:r>
          <a:r>
            <a:rPr lang="ja-JP" altLang="en-US" sz="1100" b="1" i="0" baseline="0">
              <a:latin typeface="+mn-lt"/>
              <a:ea typeface="+mn-ea"/>
              <a:cs typeface="+mn-cs"/>
            </a:rPr>
            <a:t>⑤応答</a:t>
          </a:r>
          <a:r>
            <a:rPr lang="en-US" altLang="ja-JP" sz="1100" b="1" i="0" baseline="0">
              <a:latin typeface="+mn-lt"/>
              <a:ea typeface="+mn-ea"/>
              <a:cs typeface="+mn-cs"/>
            </a:rPr>
            <a:t>XML</a:t>
          </a:r>
          <a:r>
            <a:rPr lang="ja-JP" altLang="ja-JP" sz="1100" b="1" i="0" baseline="0">
              <a:latin typeface="+mn-lt"/>
              <a:ea typeface="+mn-ea"/>
              <a:cs typeface="+mn-cs"/>
            </a:rPr>
            <a:t>ファイルを生成するなら　　⇒　　「</a:t>
          </a:r>
          <a:r>
            <a:rPr lang="en-US" altLang="ja-JP" sz="1100" b="1" i="0" baseline="0">
              <a:latin typeface="+mn-lt"/>
              <a:ea typeface="+mn-ea"/>
              <a:cs typeface="+mn-cs"/>
            </a:rPr>
            <a:t>GenerateOutXml</a:t>
          </a:r>
          <a:r>
            <a:rPr lang="ja-JP" altLang="ja-JP" sz="1100" b="1" i="0" baseline="0">
              <a:latin typeface="+mn-lt"/>
              <a:ea typeface="+mn-ea"/>
              <a:cs typeface="+mn-cs"/>
            </a:rPr>
            <a:t>」ボタン</a:t>
          </a:r>
          <a:endParaRPr lang="en-US" altLang="ja-JP" sz="1100" b="1" i="0" baseline="0">
            <a:latin typeface="+mn-lt"/>
            <a:ea typeface="+mn-ea"/>
            <a:cs typeface="+mn-cs"/>
          </a:endParaRPr>
        </a:p>
        <a:p>
          <a:pPr rtl="0" fontAlgn="base">
            <a:lnSpc>
              <a:spcPts val="1100"/>
            </a:lnSpc>
          </a:pPr>
          <a:r>
            <a:rPr lang="ja-JP" altLang="ja-JP" sz="1100" b="0" i="0" baseline="0">
              <a:latin typeface="+mn-lt"/>
              <a:ea typeface="+mn-ea"/>
              <a:cs typeface="+mn-cs"/>
            </a:rPr>
            <a:t>　　　　</a:t>
          </a:r>
          <a:r>
            <a:rPr lang="en-US" altLang="ja-JP" sz="1100" b="0" i="0" baseline="0">
              <a:latin typeface="+mn-lt"/>
              <a:ea typeface="+mn-ea"/>
              <a:cs typeface="+mn-cs"/>
            </a:rPr>
            <a:t>※</a:t>
          </a:r>
          <a:r>
            <a:rPr lang="ja-JP" altLang="ja-JP" sz="1100" b="0" i="0" baseline="0">
              <a:latin typeface="+mn-lt"/>
              <a:ea typeface="+mn-ea"/>
              <a:cs typeface="+mn-cs"/>
            </a:rPr>
            <a:t>項目設定については、</a:t>
          </a:r>
          <a:r>
            <a:rPr lang="ja-JP" altLang="en-US" sz="1100" b="0" i="0" baseline="0">
              <a:latin typeface="+mn-lt"/>
              <a:ea typeface="+mn-ea"/>
              <a:cs typeface="+mn-cs"/>
            </a:rPr>
            <a:t>②</a:t>
          </a:r>
          <a:r>
            <a:rPr lang="ja-JP" altLang="ja-JP" sz="1100" b="0" i="0" baseline="0">
              <a:latin typeface="+mn-lt"/>
              <a:ea typeface="+mn-ea"/>
              <a:cs typeface="+mn-cs"/>
            </a:rPr>
            <a:t>「</a:t>
          </a:r>
          <a:r>
            <a:rPr lang="en-US" altLang="ja-JP" sz="1100" b="0" i="0" baseline="0">
              <a:latin typeface="+mn-lt"/>
              <a:ea typeface="+mn-ea"/>
              <a:cs typeface="+mn-cs"/>
            </a:rPr>
            <a:t>Analyze-OUT</a:t>
          </a:r>
          <a:r>
            <a:rPr lang="ja-JP" altLang="ja-JP" sz="1100" b="0" i="0" baseline="0">
              <a:latin typeface="+mn-lt"/>
              <a:ea typeface="+mn-ea"/>
              <a:cs typeface="+mn-cs"/>
            </a:rPr>
            <a:t>」ボタンと同様。</a:t>
          </a:r>
          <a:endParaRPr lang="en-US" altLang="ja-JP" sz="1100" b="0" i="0" baseline="0">
            <a:latin typeface="+mn-lt"/>
            <a:ea typeface="+mn-ea"/>
            <a:cs typeface="+mn-cs"/>
          </a:endParaRPr>
        </a:p>
        <a:p>
          <a:pPr marL="0" marR="0" indent="0" defTabSz="914400" rtl="0" eaLnBrk="1" fontAlgn="base" latinLnBrk="0" hangingPunct="1">
            <a:lnSpc>
              <a:spcPts val="1100"/>
            </a:lnSpc>
            <a:spcBef>
              <a:spcPts val="0"/>
            </a:spcBef>
            <a:spcAft>
              <a:spcPts val="0"/>
            </a:spcAft>
            <a:buClrTx/>
            <a:buSzTx/>
            <a:buFontTx/>
            <a:buNone/>
            <a:tabLst/>
            <a:defRPr/>
          </a:pPr>
          <a:r>
            <a:rPr lang="ja-JP" altLang="ja-JP" sz="1100" b="0" i="0" baseline="0">
              <a:latin typeface="+mn-lt"/>
              <a:ea typeface="+mn-ea"/>
              <a:cs typeface="+mn-cs"/>
            </a:rPr>
            <a:t>　　　　　　</a:t>
          </a:r>
          <a:endParaRPr lang="ja-JP" altLang="en-US" sz="1100" b="0" i="0" u="none" strike="noStrike" baseline="0">
            <a:solidFill>
              <a:srgbClr val="000000"/>
            </a:solidFill>
            <a:latin typeface="+mj-ea"/>
            <a:ea typeface="+mj-ea"/>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15</xdr:row>
          <xdr:rowOff>66675</xdr:rowOff>
        </xdr:from>
        <xdr:to>
          <xdr:col>2</xdr:col>
          <xdr:colOff>290513</xdr:colOff>
          <xdr:row>17</xdr:row>
          <xdr:rowOff>95250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5</xdr:row>
          <xdr:rowOff>95250</xdr:rowOff>
        </xdr:from>
        <xdr:to>
          <xdr:col>3</xdr:col>
          <xdr:colOff>604838</xdr:colOff>
          <xdr:row>6</xdr:row>
          <xdr:rowOff>152400</xdr:rowOff>
        </xdr:to>
        <xdr:sp macro="" textlink="">
          <xdr:nvSpPr>
            <xdr:cNvPr id="2050" name="IShee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500063</xdr:colOff>
          <xdr:row>7</xdr:row>
          <xdr:rowOff>90488</xdr:rowOff>
        </xdr:from>
        <xdr:to>
          <xdr:col>7</xdr:col>
          <xdr:colOff>138113</xdr:colOff>
          <xdr:row>9</xdr:row>
          <xdr:rowOff>4763</xdr:rowOff>
        </xdr:to>
        <xdr:sp macro="" textlink="">
          <xdr:nvSpPr>
            <xdr:cNvPr id="2051" name="OPath"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133350</xdr:rowOff>
        </xdr:from>
        <xdr:to>
          <xdr:col>2</xdr:col>
          <xdr:colOff>285750</xdr:colOff>
          <xdr:row>6</xdr:row>
          <xdr:rowOff>123825</xdr:rowOff>
        </xdr:to>
        <xdr:sp macro="" textlink="">
          <xdr:nvSpPr>
            <xdr:cNvPr id="2052" name="Label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123825</xdr:rowOff>
        </xdr:from>
        <xdr:to>
          <xdr:col>2</xdr:col>
          <xdr:colOff>452438</xdr:colOff>
          <xdr:row>8</xdr:row>
          <xdr:rowOff>119063</xdr:rowOff>
        </xdr:to>
        <xdr:sp macro="" textlink="">
          <xdr:nvSpPr>
            <xdr:cNvPr id="2053" name="Label2"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15</xdr:row>
          <xdr:rowOff>66675</xdr:rowOff>
        </xdr:from>
        <xdr:to>
          <xdr:col>4</xdr:col>
          <xdr:colOff>57150</xdr:colOff>
          <xdr:row>17</xdr:row>
          <xdr:rowOff>114300</xdr:rowOff>
        </xdr:to>
        <xdr:sp macro="" textlink="">
          <xdr:nvSpPr>
            <xdr:cNvPr id="2054" name="CommandButton2"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95250</xdr:rowOff>
        </xdr:from>
        <xdr:to>
          <xdr:col>2</xdr:col>
          <xdr:colOff>514350</xdr:colOff>
          <xdr:row>13</xdr:row>
          <xdr:rowOff>123825</xdr:rowOff>
        </xdr:to>
        <xdr:sp macro="" textlink="">
          <xdr:nvSpPr>
            <xdr:cNvPr id="2055" name="Label3"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452438</xdr:colOff>
          <xdr:row>12</xdr:row>
          <xdr:rowOff>95250</xdr:rowOff>
        </xdr:from>
        <xdr:to>
          <xdr:col>11</xdr:col>
          <xdr:colOff>238125</xdr:colOff>
          <xdr:row>14</xdr:row>
          <xdr:rowOff>9525</xdr:rowOff>
        </xdr:to>
        <xdr:sp macro="" textlink="">
          <xdr:nvSpPr>
            <xdr:cNvPr id="2056" name="OStream"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638175</xdr:colOff>
          <xdr:row>5</xdr:row>
          <xdr:rowOff>119063</xdr:rowOff>
        </xdr:from>
        <xdr:to>
          <xdr:col>4</xdr:col>
          <xdr:colOff>542925</xdr:colOff>
          <xdr:row>6</xdr:row>
          <xdr:rowOff>157163</xdr:rowOff>
        </xdr:to>
        <xdr:sp macro="" textlink="">
          <xdr:nvSpPr>
            <xdr:cNvPr id="2058" name="Label4"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5</xdr:row>
          <xdr:rowOff>95250</xdr:rowOff>
        </xdr:from>
        <xdr:to>
          <xdr:col>5</xdr:col>
          <xdr:colOff>476250</xdr:colOff>
          <xdr:row>6</xdr:row>
          <xdr:rowOff>152400</xdr:rowOff>
        </xdr:to>
        <xdr:sp macro="" textlink="">
          <xdr:nvSpPr>
            <xdr:cNvPr id="2059" name="CaseNo"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52388</xdr:rowOff>
        </xdr:from>
        <xdr:to>
          <xdr:col>2</xdr:col>
          <xdr:colOff>542925</xdr:colOff>
          <xdr:row>10</xdr:row>
          <xdr:rowOff>90488</xdr:rowOff>
        </xdr:to>
        <xdr:sp macro="" textlink="">
          <xdr:nvSpPr>
            <xdr:cNvPr id="2062" name="Label6"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500063</xdr:colOff>
          <xdr:row>9</xdr:row>
          <xdr:rowOff>42863</xdr:rowOff>
        </xdr:from>
        <xdr:to>
          <xdr:col>9</xdr:col>
          <xdr:colOff>104775</xdr:colOff>
          <xdr:row>10</xdr:row>
          <xdr:rowOff>90488</xdr:rowOff>
        </xdr:to>
        <xdr:sp macro="" textlink="">
          <xdr:nvSpPr>
            <xdr:cNvPr id="2063" name="IFile"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438150</xdr:colOff>
          <xdr:row>5</xdr:row>
          <xdr:rowOff>109538</xdr:rowOff>
        </xdr:from>
        <xdr:to>
          <xdr:col>10</xdr:col>
          <xdr:colOff>76200</xdr:colOff>
          <xdr:row>6</xdr:row>
          <xdr:rowOff>109538</xdr:rowOff>
        </xdr:to>
        <xdr:sp macro="" textlink="">
          <xdr:nvSpPr>
            <xdr:cNvPr id="2064" name="Label7"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5</xdr:row>
          <xdr:rowOff>80963</xdr:rowOff>
        </xdr:from>
        <xdr:to>
          <xdr:col>10</xdr:col>
          <xdr:colOff>628650</xdr:colOff>
          <xdr:row>6</xdr:row>
          <xdr:rowOff>147638</xdr:rowOff>
        </xdr:to>
        <xdr:sp macro="" textlink="">
          <xdr:nvSpPr>
            <xdr:cNvPr id="2065" name="caseCol"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90488</xdr:colOff>
          <xdr:row>15</xdr:row>
          <xdr:rowOff>71438</xdr:rowOff>
        </xdr:from>
        <xdr:to>
          <xdr:col>5</xdr:col>
          <xdr:colOff>300038</xdr:colOff>
          <xdr:row>17</xdr:row>
          <xdr:rowOff>71438</xdr:rowOff>
        </xdr:to>
        <xdr:sp macro="" textlink="">
          <xdr:nvSpPr>
            <xdr:cNvPr id="2067" name="CommandButton4"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476250</xdr:colOff>
          <xdr:row>17</xdr:row>
          <xdr:rowOff>133350</xdr:rowOff>
        </xdr:from>
        <xdr:to>
          <xdr:col>11</xdr:col>
          <xdr:colOff>142875</xdr:colOff>
          <xdr:row>19</xdr:row>
          <xdr:rowOff>114300</xdr:rowOff>
        </xdr:to>
        <xdr:sp macro="" textlink="">
          <xdr:nvSpPr>
            <xdr:cNvPr id="2068" name="CommandButton3"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471488</xdr:colOff>
          <xdr:row>15</xdr:row>
          <xdr:rowOff>71438</xdr:rowOff>
        </xdr:from>
        <xdr:to>
          <xdr:col>11</xdr:col>
          <xdr:colOff>42863</xdr:colOff>
          <xdr:row>17</xdr:row>
          <xdr:rowOff>52388</xdr:rowOff>
        </xdr:to>
        <xdr:sp macro="" textlink="">
          <xdr:nvSpPr>
            <xdr:cNvPr id="2069" name="CommandButton5"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509588</xdr:colOff>
          <xdr:row>15</xdr:row>
          <xdr:rowOff>80963</xdr:rowOff>
        </xdr:from>
        <xdr:to>
          <xdr:col>8</xdr:col>
          <xdr:colOff>252413</xdr:colOff>
          <xdr:row>17</xdr:row>
          <xdr:rowOff>61913</xdr:rowOff>
        </xdr:to>
        <xdr:sp macro="" textlink="">
          <xdr:nvSpPr>
            <xdr:cNvPr id="2484" name="CommandButton6" hidden="1">
              <a:extLst>
                <a:ext uri="{63B3BB69-23CF-44E3-9099-C40C66FF867C}">
                  <a14:compatExt spid="_x0000_s2484"/>
                </a:ext>
                <a:ext uri="{FF2B5EF4-FFF2-40B4-BE49-F238E27FC236}">
                  <a16:creationId xmlns:a16="http://schemas.microsoft.com/office/drawing/2014/main" id="{00000000-0008-0000-0000-0000B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500063</xdr:colOff>
          <xdr:row>17</xdr:row>
          <xdr:rowOff>109538</xdr:rowOff>
        </xdr:from>
        <xdr:to>
          <xdr:col>8</xdr:col>
          <xdr:colOff>309563</xdr:colOff>
          <xdr:row>19</xdr:row>
          <xdr:rowOff>90488</xdr:rowOff>
        </xdr:to>
        <xdr:sp macro="" textlink="">
          <xdr:nvSpPr>
            <xdr:cNvPr id="2485" name="CommandButton7" hidden="1">
              <a:extLst>
                <a:ext uri="{63B3BB69-23CF-44E3-9099-C40C66FF867C}">
                  <a14:compatExt spid="_x0000_s2485"/>
                </a:ext>
                <a:ext uri="{FF2B5EF4-FFF2-40B4-BE49-F238E27FC236}">
                  <a16:creationId xmlns:a16="http://schemas.microsoft.com/office/drawing/2014/main" id="{00000000-0008-0000-0000-0000B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414338</xdr:colOff>
          <xdr:row>18</xdr:row>
          <xdr:rowOff>9525</xdr:rowOff>
        </xdr:from>
        <xdr:to>
          <xdr:col>4</xdr:col>
          <xdr:colOff>366713</xdr:colOff>
          <xdr:row>20</xdr:row>
          <xdr:rowOff>57150</xdr:rowOff>
        </xdr:to>
        <xdr:sp macro="" textlink="">
          <xdr:nvSpPr>
            <xdr:cNvPr id="2486" name="CommandButton8" hidden="1">
              <a:extLst>
                <a:ext uri="{63B3BB69-23CF-44E3-9099-C40C66FF867C}">
                  <a14:compatExt spid="_x0000_s2486"/>
                </a:ext>
                <a:ext uri="{FF2B5EF4-FFF2-40B4-BE49-F238E27FC236}">
                  <a16:creationId xmlns:a16="http://schemas.microsoft.com/office/drawing/2014/main" id="{00000000-0008-0000-0000-0000B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2499836</xdr:colOff>
      <xdr:row>3</xdr:row>
      <xdr:rowOff>21431</xdr:rowOff>
    </xdr:from>
    <xdr:to>
      <xdr:col>6</xdr:col>
      <xdr:colOff>443426</xdr:colOff>
      <xdr:row>9</xdr:row>
      <xdr:rowOff>951</xdr:rowOff>
    </xdr:to>
    <xdr:sp macro="" textlink="">
      <xdr:nvSpPr>
        <xdr:cNvPr id="3" name="四角形吹き出し 2">
          <a:extLst>
            <a:ext uri="{FF2B5EF4-FFF2-40B4-BE49-F238E27FC236}">
              <a16:creationId xmlns:a16="http://schemas.microsoft.com/office/drawing/2014/main" id="{00000000-0008-0000-0100-000003000000}"/>
            </a:ext>
          </a:extLst>
        </xdr:cNvPr>
        <xdr:cNvSpPr/>
      </xdr:nvSpPr>
      <xdr:spPr>
        <a:xfrm>
          <a:off x="8441531" y="523875"/>
          <a:ext cx="4060032" cy="1154905"/>
        </a:xfrm>
        <a:prstGeom prst="wedgeRectCallout">
          <a:avLst>
            <a:gd name="adj1" fmla="val -63568"/>
            <a:gd name="adj2" fmla="val 53790"/>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00">
              <a:solidFill>
                <a:srgbClr val="FF0000"/>
              </a:solidFill>
            </a:rPr>
            <a:t>シミュレータは下記をキーに外部</a:t>
          </a:r>
          <a:r>
            <a:rPr kumimoji="1" lang="en-US" altLang="ja-JP" sz="1000">
              <a:solidFill>
                <a:srgbClr val="FF0000"/>
              </a:solidFill>
            </a:rPr>
            <a:t>API</a:t>
          </a:r>
          <a:r>
            <a:rPr kumimoji="1" lang="ja-JP" altLang="en-US" sz="1000">
              <a:solidFill>
                <a:srgbClr val="FF0000"/>
              </a:solidFill>
            </a:rPr>
            <a:t>を呼出します</a:t>
          </a:r>
        </a:p>
        <a:p>
          <a:pPr algn="l"/>
          <a:r>
            <a:rPr kumimoji="1" lang="ja-JP" altLang="en-US" sz="1000">
              <a:solidFill>
                <a:srgbClr val="FF0000"/>
              </a:solidFill>
            </a:rPr>
            <a:t>・</a:t>
          </a:r>
          <a:r>
            <a:rPr kumimoji="1" lang="en-US" altLang="ja-JP" sz="1000">
              <a:solidFill>
                <a:srgbClr val="FF0000"/>
              </a:solidFill>
            </a:rPr>
            <a:t>3M</a:t>
          </a:r>
          <a:r>
            <a:rPr kumimoji="1" lang="ja-JP" altLang="en-US" sz="1000">
              <a:solidFill>
                <a:srgbClr val="FF0000"/>
              </a:solidFill>
            </a:rPr>
            <a:t>戸建　　　⇒住所コード</a:t>
          </a:r>
        </a:p>
        <a:p>
          <a:pPr algn="l"/>
          <a:r>
            <a:rPr kumimoji="1" lang="ja-JP" altLang="en-US" sz="1000">
              <a:solidFill>
                <a:srgbClr val="FF0000"/>
              </a:solidFill>
            </a:rPr>
            <a:t>・</a:t>
          </a:r>
          <a:r>
            <a:rPr kumimoji="1" lang="en-US" altLang="ja-JP" sz="1000">
              <a:solidFill>
                <a:srgbClr val="FF0000"/>
              </a:solidFill>
            </a:rPr>
            <a:t>3M</a:t>
          </a:r>
          <a:r>
            <a:rPr kumimoji="1" lang="ja-JP" altLang="en-US" sz="1000">
              <a:solidFill>
                <a:srgbClr val="FF0000"/>
              </a:solidFill>
            </a:rPr>
            <a:t>マンション⇒共通マンション</a:t>
          </a:r>
          <a:r>
            <a:rPr kumimoji="1" lang="en-US" altLang="ja-JP" sz="1000">
              <a:solidFill>
                <a:srgbClr val="FF0000"/>
              </a:solidFill>
            </a:rPr>
            <a:t>ID</a:t>
          </a:r>
        </a:p>
        <a:p>
          <a:pPr algn="l"/>
          <a:r>
            <a:rPr kumimoji="1" lang="en-US" altLang="ja-JP" sz="1000">
              <a:solidFill>
                <a:srgbClr val="FF0000"/>
              </a:solidFill>
            </a:rPr>
            <a:t>※</a:t>
          </a:r>
          <a:r>
            <a:rPr kumimoji="1" lang="ja-JP" altLang="en-US" sz="1000">
              <a:solidFill>
                <a:srgbClr val="FF0000"/>
              </a:solidFill>
            </a:rPr>
            <a:t>用意するファイル</a:t>
          </a:r>
          <a:endParaRPr kumimoji="1" lang="en-US" altLang="ja-JP" sz="1000">
            <a:solidFill>
              <a:srgbClr val="FF0000"/>
            </a:solidFill>
          </a:endParaRPr>
        </a:p>
        <a:p>
          <a:pPr algn="l"/>
          <a:r>
            <a:rPr kumimoji="1" lang="en-US" altLang="ja-JP" sz="1000">
              <a:solidFill>
                <a:srgbClr val="FF0000"/>
              </a:solidFill>
            </a:rPr>
            <a:t>home_3m_area_chk.cgi-</a:t>
          </a:r>
          <a:r>
            <a:rPr kumimoji="1" lang="ja-JP" altLang="en-US" sz="1000">
              <a:solidFill>
                <a:srgbClr val="FF0000"/>
              </a:solidFill>
            </a:rPr>
            <a:t>（住所コード）</a:t>
          </a:r>
          <a:r>
            <a:rPr kumimoji="1" lang="en-US" altLang="ja-JP" sz="1000">
              <a:solidFill>
                <a:srgbClr val="FF0000"/>
              </a:solidFill>
            </a:rPr>
            <a:t>.xml</a:t>
          </a:r>
        </a:p>
        <a:p>
          <a:pPr algn="l"/>
          <a:r>
            <a:rPr kumimoji="1" lang="en-US" altLang="ja-JP" sz="1000">
              <a:solidFill>
                <a:srgbClr val="FF0000"/>
              </a:solidFill>
            </a:rPr>
            <a:t>mansion_3m_area_chk.cgi-</a:t>
          </a:r>
          <a:r>
            <a:rPr kumimoji="1" lang="ja-JP" altLang="en-US" sz="1000">
              <a:solidFill>
                <a:srgbClr val="FF0000"/>
              </a:solidFill>
            </a:rPr>
            <a:t>（共通マンション</a:t>
          </a:r>
          <a:r>
            <a:rPr kumimoji="1" lang="en-US" altLang="ja-JP" sz="1000">
              <a:solidFill>
                <a:srgbClr val="FF0000"/>
              </a:solidFill>
            </a:rPr>
            <a:t>ID</a:t>
          </a:r>
          <a:r>
            <a:rPr kumimoji="1" lang="ja-JP" altLang="en-US" sz="1000">
              <a:solidFill>
                <a:srgbClr val="FF0000"/>
              </a:solidFill>
            </a:rPr>
            <a:t>）</a:t>
          </a:r>
          <a:r>
            <a:rPr kumimoji="1" lang="en-US" altLang="ja-JP" sz="1000">
              <a:solidFill>
                <a:srgbClr val="FF0000"/>
              </a:solidFill>
            </a:rPr>
            <a:t>.xml</a:t>
          </a:r>
          <a:endParaRPr kumimoji="1" lang="ja-JP" altLang="en-US" sz="10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jitsu1\&#20844;&#38283;\&#65288;&#21830;&#29992;&#26412;&#30058;&#65289;&#32113;&#21512;&#65295;&#35336;&#19978;&#22522;&#28310;&#65402;&#65392;&#65412;&#65438;&#65423;&#65405;&#65408;\&#12381;&#12398;&#20182;&#12467;&#12540;&#12489;&#12510;&#12473;&#12479;\&#12469;&#12540;&#12499;&#12473;&#12467;&#12540;&#12489;&#12486;&#12540;&#12502;&#1252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wsstn01\ekiden\home\&#38283;&#30330;&#12481;&#12540;&#12512;\&#12463;&#12521;&#12473;&#12521;&#12452;&#12502;&#12521;&#12522;&#25913;&#21892;\UO&#35519;&#26619;&#36039;&#26009;\97022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s7301\users2\23&#65394;&#65437;&#65412;&#65431;&#38283;&#30330;G\42&#28040;&#32791;&#65317;&#65316;&#65321;\1&#27425;&#38283;&#30330;\&#65411;&#65392;&#65420;&#65438;&#65433;&#23450;&#3268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s7301\users2\Temp\oracle\&#65411;&#65392;&#65420;&#65438;&#65433;~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254.250\kddi\TOHO\&#65326;&#65317;&#65315;&#25552;&#20379;&#26360;&#39006;\0623from&#22338;&#26525;\&#20181;&#27096;&#26360;&#12501;&#12457;&#12540;&#12510;&#12483;&#12488;\&#30011;&#38754;&#20837;&#21147;&#20516;&#12481;&#12455;&#12483;&#12463;&#20181;&#27096;.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tcom\KRIS\DOCUME~1\TETSUYA\LOCALS~1\Temp\~WmMIME\TempMIME\MIME034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io2\drsum_&#20849;&#36890;\Documents%20and%20Settings\ns004618\&#12487;&#12473;&#12463;&#12488;&#12483;&#12503;\&#12521;&#12531;&#12463;&#30331;&#37682;&#30011;&#38754;_rinku.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Air-server03\bbc\GOTOH\DOC\CTC&#25991;&#26360;\&#27861;&#20154;&#31532;&#19968;\0409&#38283;&#30330;&#12521;&#12452;&#12531;\00%20&#27861;&#20154;&#12469;&#12540;&#12496;\C-ERD\3-&#29289;&#29702;ERD\&#27861;&#20154;&#22865;&#32004;ERD\0306&#22865;&#32004;&#36861;&#21152;&#12458;&#12502;&#12472;&#12455;&#12463;&#12488;(AW0414)\0306&#22865;&#32004;&#12288;&#32113;&#21512;&#36861;&#21152;&#12458;&#12502;&#12472;&#12455;&#12463;&#12488;(AW041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sviidabashi13\iid13-702\Psn\&#26481;&#24029;\&#12362;&#20181;&#20107;\&#65334;&#65299;&#65298;\&#65315;&#65330;&#65318;&#38651;&#25991;&#31532;&#65297;&#65296;&#29256;.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quare5\Project\Documents%20and%20Settings\&#27211;&#20117;&#20449;&#27835;\&#12487;&#12473;&#12463;&#12488;&#12483;&#12503;\&#20849;&#26377;&#21475;\0000&#12288;&#31038;&#20869;&#22577;&#21578;&#65295;&#35373;&#23450;&#38306;&#36899;\&#21220;&#24608;\1.&#23567;&#21475;&#20132;&#36890;&#36027;&#20253;&#3108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MKHS002\&#12489;&#12461;&#12517;&#12513;&#12531;&#12488;\&#20840;&#20307;\&#65316;&#65314;&#20181;&#27096;&#2636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92.168.254.250\kddi\Documents%20and%20Settings\&#22338;&#26525;&#20280;&#20108;\My%20Documents\MyWork\SI&#20107;&#26989;\2004&#24180;&#24230;&#19978;&#26399;\&#65298;&#29987;&#26989;\&#20316;&#25104;&#25991;&#26360;\&#12484;&#12540;&#12523;&#38283;&#30330;\WebUI_XML\&#30011;&#38754;&#20837;&#21147;&#20516;&#12481;&#12455;&#12483;&#12463;&#20181;&#27096;(Validator).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Gpflsv02\3CS\&#21271;&#28023;&#36947;&#38651;&#21147;\&#36865;&#38651;\&#21697;&#36074;&#35413;&#20385;\ST&#21697;&#36074;&#22577;&#21578;\trb_SOUDEN9901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vcyan01\CYN01-0143\&#20225;&#30011;&#65319;\&#65403;&#65392;&#65419;&#65438;&#65405;&#20225;&#30011;T\&#26032;&#65403;&#65392;&#65419;&#65438;&#65405;\0210&#26696;&#20214;\&#35531;&#27714;&#32113;&#21512;&#12501;&#12455;&#12540;&#12474;&#65303;\01%20KRIS&#35201;&#20214;&#26908;&#35342;\&#26009;&#37329;&#31185;&#30446;&#38306;&#36899;\dabinci&#31185;&#30446;&#34920;&#20998;&#265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システム連絡先"/>
    </sheetNames>
    <sheetDataSet>
      <sheetData sheetId="0" refreshError="1">
        <row r="2">
          <cell r="EZ2" t="str">
            <v>　　　　　　　　　</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70227"/>
      <sheetName val="ﾊﾞｸﾞ台帳ﾏｰｼﾞ版（最新）"/>
      <sheetName val="画面一覧"/>
      <sheetName val="data"/>
    </sheetNames>
    <definedNames>
      <definedName name="NewBook☆"/>
      <definedName name="NewBook★"/>
      <definedName name="SortNewBook"/>
      <definedName name="SortモジュｰルID"/>
      <definedName name="Sort確認用"/>
      <definedName name="Sort完了予定"/>
      <definedName name="Sort管理No"/>
      <definedName name="項目☆"/>
      <definedName name="集計"/>
    </defined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会社ﾏｽﾀ"/>
    </sheetNames>
    <sheetDataSet>
      <sheetData sheetId="0">
        <row r="8">
          <cell r="C8" t="str">
            <v>ITEM名</v>
          </cell>
          <cell r="D8" t="str">
            <v>TYPE</v>
          </cell>
          <cell r="E8" t="str">
            <v>桁</v>
          </cell>
          <cell r="F8" t="str">
            <v>KEY</v>
          </cell>
          <cell r="G8" t="str">
            <v xml:space="preserve"> NULL</v>
          </cell>
          <cell r="H8" t="str">
            <v>Index</v>
          </cell>
          <cell r="I8" t="str">
            <v>初期値</v>
          </cell>
          <cell r="J8" t="str">
            <v>CHECK</v>
          </cell>
        </row>
        <row r="9">
          <cell r="N9">
            <v>73</v>
          </cell>
        </row>
        <row r="12">
          <cell r="N12">
            <v>10</v>
          </cell>
        </row>
        <row r="13">
          <cell r="N13">
            <v>90</v>
          </cell>
        </row>
        <row r="14">
          <cell r="N14">
            <v>12</v>
          </cell>
        </row>
        <row r="15">
          <cell r="N15">
            <v>4</v>
          </cell>
        </row>
        <row r="19">
          <cell r="N19">
            <v>21</v>
          </cell>
        </row>
        <row r="21">
          <cell r="N21">
            <v>5</v>
          </cell>
        </row>
        <row r="22">
          <cell r="N22">
            <v>6</v>
          </cell>
        </row>
        <row r="23">
          <cell r="N23">
            <v>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ﾃｰﾌﾞﾙ~1"/>
    </sheetNames>
    <definedNames>
      <definedName name="CreateSQL"/>
    </defined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s>
    <sheetDataSet>
      <sheetData sheetId="0" refreshError="1"/>
      <sheetData sheetId="1" refreshError="1"/>
      <sheetData sheetId="2" refreshError="1"/>
      <sheetData sheetId="3" refreshError="1">
        <row r="7">
          <cell r="C7" t="str">
            <v>errNameLength</v>
          </cell>
        </row>
        <row r="8">
          <cell r="C8" t="str">
            <v>errInput</v>
          </cell>
        </row>
        <row r="9">
          <cell r="C9" t="str">
            <v>errMsg</v>
          </cell>
        </row>
        <row r="10">
          <cell r="C10" t="str">
            <v>errLength</v>
          </cell>
        </row>
        <row r="11">
          <cell r="C11" t="str">
            <v>errHankaku</v>
          </cell>
        </row>
        <row r="12">
          <cell r="C12" t="str">
            <v>errChugoku</v>
          </cell>
        </row>
        <row r="13">
          <cell r="C13" t="str">
            <v>errHiragana</v>
          </cell>
        </row>
      </sheetData>
      <sheetData sheetId="4" refreshError="1">
        <row r="2">
          <cell r="A2" t="str">
            <v>length</v>
          </cell>
        </row>
        <row r="3">
          <cell r="A3" t="str">
            <v>range</v>
          </cell>
        </row>
        <row r="4">
          <cell r="A4" t="str">
            <v>isDate</v>
          </cell>
        </row>
        <row r="5">
          <cell r="A5" t="str">
            <v>term</v>
          </cell>
        </row>
        <row r="6">
          <cell r="A6" t="str">
            <v>user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Ｔｐ資料"/>
      <sheetName val="NR1100"/>
      <sheetName val="NR1110"/>
      <sheetName val="NR1200"/>
      <sheetName val="NR1210"/>
      <sheetName val="NR1300"/>
      <sheetName val="料金科目テーブル"/>
      <sheetName val="項番41売上一覧表②"/>
      <sheetName val="MIME0349"/>
      <sheetName val="管理"/>
      <sheetName val="ヘッダ"/>
      <sheetName val="list"/>
    </sheetNames>
    <sheetDataSet>
      <sheetData sheetId="0" refreshError="1">
        <row r="1">
          <cell r="A1" t="str">
            <v>ABB01</v>
          </cell>
        </row>
        <row r="2">
          <cell r="A2" t="str">
            <v>ABC01</v>
          </cell>
        </row>
        <row r="3">
          <cell r="A3" t="str">
            <v>ABC02</v>
          </cell>
        </row>
        <row r="4">
          <cell r="A4" t="str">
            <v>ABC03</v>
          </cell>
        </row>
        <row r="5">
          <cell r="A5" t="str">
            <v>ABC04</v>
          </cell>
        </row>
        <row r="6">
          <cell r="A6" t="str">
            <v>ABC05</v>
          </cell>
        </row>
        <row r="7">
          <cell r="A7" t="str">
            <v>ABC06</v>
          </cell>
        </row>
        <row r="8">
          <cell r="A8" t="str">
            <v>ABC07</v>
          </cell>
        </row>
        <row r="9">
          <cell r="A9" t="str">
            <v>ABD01</v>
          </cell>
        </row>
        <row r="10">
          <cell r="A10" t="str">
            <v>ABF01</v>
          </cell>
        </row>
        <row r="11">
          <cell r="A11" t="str">
            <v>ABI01</v>
          </cell>
        </row>
        <row r="12">
          <cell r="A12" t="str">
            <v>ABV01</v>
          </cell>
        </row>
        <row r="13">
          <cell r="A13" t="str">
            <v>ABW01</v>
          </cell>
        </row>
        <row r="14">
          <cell r="A14" t="str">
            <v>ABX02</v>
          </cell>
        </row>
        <row r="15">
          <cell r="A15" t="str">
            <v>AGA01</v>
          </cell>
        </row>
        <row r="16">
          <cell r="A16" t="str">
            <v>AGA02</v>
          </cell>
        </row>
        <row r="17">
          <cell r="A17" t="str">
            <v>AGB01</v>
          </cell>
        </row>
        <row r="18">
          <cell r="A18" t="str">
            <v>AGC01</v>
          </cell>
        </row>
        <row r="19">
          <cell r="A19" t="str">
            <v>AGD01</v>
          </cell>
        </row>
        <row r="20">
          <cell r="A20" t="str">
            <v>AGK01</v>
          </cell>
        </row>
        <row r="21">
          <cell r="A21" t="str">
            <v>AHA01</v>
          </cell>
        </row>
        <row r="22">
          <cell r="A22" t="str">
            <v>AHB01</v>
          </cell>
        </row>
        <row r="23">
          <cell r="A23" t="str">
            <v>AHC01</v>
          </cell>
        </row>
        <row r="24">
          <cell r="A24" t="str">
            <v>BBB01</v>
          </cell>
        </row>
        <row r="25">
          <cell r="A25" t="str">
            <v>BBD01</v>
          </cell>
        </row>
        <row r="26">
          <cell r="A26" t="str">
            <v>BBE01</v>
          </cell>
        </row>
        <row r="27">
          <cell r="A27" t="str">
            <v>BBG01</v>
          </cell>
        </row>
        <row r="28">
          <cell r="A28" t="str">
            <v>BBH01</v>
          </cell>
        </row>
        <row r="29">
          <cell r="A29" t="str">
            <v>BBJ01</v>
          </cell>
        </row>
        <row r="30">
          <cell r="A30" t="str">
            <v>BBK01</v>
          </cell>
        </row>
        <row r="31">
          <cell r="A31" t="str">
            <v>BBL01</v>
          </cell>
        </row>
        <row r="32">
          <cell r="A32" t="str">
            <v>BBM01</v>
          </cell>
        </row>
        <row r="33">
          <cell r="A33" t="str">
            <v>BBM02</v>
          </cell>
        </row>
        <row r="34">
          <cell r="A34" t="str">
            <v>BBN01</v>
          </cell>
        </row>
        <row r="35">
          <cell r="A35" t="str">
            <v>BBN02</v>
          </cell>
        </row>
        <row r="36">
          <cell r="A36" t="str">
            <v>BBN03</v>
          </cell>
        </row>
        <row r="37">
          <cell r="A37" t="str">
            <v>BBO01</v>
          </cell>
        </row>
        <row r="38">
          <cell r="A38" t="str">
            <v>BBO02</v>
          </cell>
        </row>
        <row r="39">
          <cell r="A39" t="str">
            <v>BBP01</v>
          </cell>
        </row>
        <row r="40">
          <cell r="A40" t="str">
            <v>BBP02</v>
          </cell>
        </row>
        <row r="41">
          <cell r="A41" t="str">
            <v>BBQ01</v>
          </cell>
        </row>
        <row r="42">
          <cell r="A42" t="str">
            <v>BBR01</v>
          </cell>
        </row>
        <row r="43">
          <cell r="A43" t="str">
            <v>BBR02</v>
          </cell>
        </row>
        <row r="44">
          <cell r="A44" t="str">
            <v>BBS01</v>
          </cell>
        </row>
        <row r="45">
          <cell r="A45" t="str">
            <v>BBT01</v>
          </cell>
        </row>
        <row r="46">
          <cell r="A46" t="str">
            <v>BBV01</v>
          </cell>
        </row>
        <row r="47">
          <cell r="A47" t="str">
            <v>BBV02</v>
          </cell>
        </row>
        <row r="48">
          <cell r="A48" t="str">
            <v>BBX01</v>
          </cell>
        </row>
        <row r="49">
          <cell r="A49" t="str">
            <v>BCA01</v>
          </cell>
        </row>
        <row r="50">
          <cell r="A50" t="str">
            <v>BGA01</v>
          </cell>
        </row>
        <row r="51">
          <cell r="A51" t="str">
            <v>BGA02</v>
          </cell>
        </row>
        <row r="52">
          <cell r="A52" t="str">
            <v>BGA03</v>
          </cell>
        </row>
        <row r="53">
          <cell r="A53" t="str">
            <v>BGC01</v>
          </cell>
        </row>
        <row r="54">
          <cell r="A54" t="str">
            <v>BGC02</v>
          </cell>
        </row>
        <row r="55">
          <cell r="A55" t="str">
            <v>BGC03</v>
          </cell>
        </row>
        <row r="56">
          <cell r="A56" t="str">
            <v>BGD01</v>
          </cell>
        </row>
        <row r="57">
          <cell r="A57" t="str">
            <v>BGE01</v>
          </cell>
        </row>
        <row r="58">
          <cell r="A58" t="str">
            <v>BGE02</v>
          </cell>
        </row>
        <row r="59">
          <cell r="A59" t="str">
            <v>BGF01</v>
          </cell>
        </row>
        <row r="60">
          <cell r="A60" t="str">
            <v>BGF02</v>
          </cell>
        </row>
        <row r="61">
          <cell r="A61" t="str">
            <v>BGG01</v>
          </cell>
        </row>
        <row r="62">
          <cell r="A62" t="str">
            <v>BGI01</v>
          </cell>
        </row>
        <row r="63">
          <cell r="A63" t="str">
            <v>BGK01</v>
          </cell>
        </row>
        <row r="64">
          <cell r="A64" t="str">
            <v>BGN01</v>
          </cell>
        </row>
        <row r="65">
          <cell r="A65" t="str">
            <v>BGN02</v>
          </cell>
        </row>
        <row r="66">
          <cell r="A66" t="str">
            <v>BGN03</v>
          </cell>
        </row>
        <row r="67">
          <cell r="A67" t="str">
            <v>BGO01</v>
          </cell>
        </row>
        <row r="68">
          <cell r="A68" t="str">
            <v>BGO02</v>
          </cell>
        </row>
        <row r="69">
          <cell r="A69" t="str">
            <v>BGP01</v>
          </cell>
        </row>
        <row r="70">
          <cell r="A70" t="str">
            <v>BGQ01</v>
          </cell>
        </row>
        <row r="71">
          <cell r="A71" t="str">
            <v>BGR01</v>
          </cell>
        </row>
        <row r="72">
          <cell r="A72" t="str">
            <v>BGV01</v>
          </cell>
        </row>
        <row r="73">
          <cell r="A73" t="str">
            <v>BHC01</v>
          </cell>
        </row>
        <row r="74">
          <cell r="A74" t="str">
            <v>CGP01</v>
          </cell>
        </row>
        <row r="75">
          <cell r="A75" t="str">
            <v>CGQ01</v>
          </cell>
        </row>
        <row r="76">
          <cell r="A76" t="str">
            <v>CGR01</v>
          </cell>
        </row>
        <row r="77">
          <cell r="A77" t="str">
            <v>CGS01</v>
          </cell>
        </row>
        <row r="78">
          <cell r="A78" t="str">
            <v>CGT01</v>
          </cell>
        </row>
        <row r="79">
          <cell r="A79" t="str">
            <v>CGU01</v>
          </cell>
        </row>
        <row r="80">
          <cell r="A80" t="str">
            <v>CGW01</v>
          </cell>
        </row>
        <row r="81">
          <cell r="A81" t="str">
            <v>CGX01</v>
          </cell>
        </row>
        <row r="82">
          <cell r="A82" t="str">
            <v>CGY01</v>
          </cell>
        </row>
        <row r="83">
          <cell r="A83" t="str">
            <v>CHC01</v>
          </cell>
        </row>
        <row r="84">
          <cell r="A84" t="str">
            <v>DGQ01</v>
          </cell>
        </row>
        <row r="85">
          <cell r="A85" t="str">
            <v>DGR01</v>
          </cell>
        </row>
        <row r="86">
          <cell r="A86" t="str">
            <v>DHA01</v>
          </cell>
        </row>
        <row r="87">
          <cell r="A87" t="str">
            <v>DHB01</v>
          </cell>
        </row>
        <row r="88">
          <cell r="A88" t="str">
            <v>DHC01</v>
          </cell>
        </row>
        <row r="89">
          <cell r="A89" t="str">
            <v>DHD01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ランク登録画面"/>
      <sheetName val="質問"/>
      <sheetName val="data"/>
    </sheetNames>
    <sheetDataSet>
      <sheetData sheetId="0" refreshError="1"/>
      <sheetData sheetId="1" refreshError="1"/>
      <sheetData sheetId="2" refreshError="1"/>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凡例"/>
      <sheetName val="テーブル定義"/>
      <sheetName val="はじめに"/>
      <sheetName val="シーケンス"/>
      <sheetName val="スナップショットログ"/>
      <sheetName val="スナップショット"/>
      <sheetName val="DBリンク"/>
      <sheetName val="ビュー"/>
      <sheetName val="トリガー"/>
      <sheetName val="インデックス"/>
      <sheetName val="デフォルト"/>
      <sheetName val="ユーザー"/>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目次"/>
      <sheetName val="プロセス一覧"/>
      <sheetName val="ルート探索"/>
      <sheetName val="申請"/>
      <sheetName val="承認一覧検索"/>
      <sheetName val="申請情報取得"/>
      <sheetName val="コメント取得"/>
      <sheetName val="処理待ち確定"/>
      <sheetName val="申請取消"/>
      <sheetName val="申請一覧検索"/>
      <sheetName val="リクエストキー取得"/>
      <sheetName val="進捗管理情報取得①"/>
      <sheetName val="進捗管理情報取得②"/>
      <sheetName val="ＵＲＩ取得"/>
      <sheetName val="承認プロセス一覧検索"/>
      <sheetName val="承認取消"/>
      <sheetName val="引継"/>
      <sheetName val="状態変更"/>
      <sheetName val="業務呼出し"/>
      <sheetName val="附録Ａ"/>
      <sheetName val="附録Ｂ"/>
      <sheetName val="附録Ｃ"/>
      <sheetName val="附録Ｄ"/>
      <sheetName val="附録Ｅ"/>
      <sheetName val="附録Ｆ①"/>
      <sheetName val="附録Ｆ②"/>
      <sheetName val="附録Ｆ③"/>
      <sheetName val="附録Ｆ④"/>
      <sheetName val="附録G"/>
      <sheetName val="附録Ｈ①"/>
      <sheetName val="附録Ｈ②"/>
      <sheetName val="附録Ｈ③"/>
      <sheetName val="附録Ｊ"/>
      <sheetName val="附録Ｋ"/>
      <sheetName val="附録Ｌ①"/>
      <sheetName val="附録Ｌ②"/>
      <sheetName val="附録Ｍ①"/>
      <sheetName val="附録Ｍ②"/>
      <sheetName val="附録Ｎ"/>
      <sheetName val="附録Ｐ"/>
      <sheetName val="附録Ｑ"/>
      <sheetName val="附録Ｒ"/>
      <sheetName val="選択用プルダウン"/>
    </sheetNames>
    <sheetDataSet>
      <sheetData sheetId="0">
        <row r="2">
          <cell r="N2" t="str">
            <v>企業情報システム開発プロジェクト</v>
          </cell>
        </row>
        <row r="4">
          <cell r="N4" t="str">
            <v>ワークフロー設計ガイドライン（イテレーション３用電文仕様書）</v>
          </cell>
        </row>
        <row r="6">
          <cell r="N6" t="str">
            <v>第3.2版</v>
          </cell>
        </row>
        <row r="7">
          <cell r="N7" t="str">
            <v>OA共通／ワークフロー</v>
          </cell>
        </row>
        <row r="9">
          <cell r="N9" t="str">
            <v>2001.05.14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振込伝票 (交通費)"/>
      <sheetName val="Sheet1"/>
    </sheetNames>
    <sheetDataSet>
      <sheetData sheetId="0" refreshError="1"/>
      <sheetData sheetId="1">
        <row r="4">
          <cell r="F4" t="str">
            <v>直接</v>
          </cell>
        </row>
        <row r="5">
          <cell r="F5" t="str">
            <v>間接</v>
          </cell>
        </row>
        <row r="6">
          <cell r="F6" t="str">
            <v>販売</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項目一覧"/>
      <sheetName val="テーブル一覧"/>
      <sheetName val="相手先マスタ"/>
      <sheetName val="得意先マスタ"/>
      <sheetName val="仕入先マスタ"/>
      <sheetName val="商品マスタ"/>
      <sheetName val="出庫済ファイル"/>
      <sheetName val="出庫ファイル"/>
      <sheetName val="管理コントロールＦ"/>
      <sheetName val="商品コード変換Ｆ "/>
      <sheetName val="量販コード変換Ｆ"/>
      <sheetName val="月間用仕入計上Ｆ"/>
      <sheetName val="仕入計上ファイル"/>
      <sheetName val="売上ファイル"/>
      <sheetName val="社内移動ファイル"/>
      <sheetName val="月間用社内移動Ｆ"/>
      <sheetName val="採番ファイル"/>
      <sheetName val="欠品ファイル"/>
      <sheetName val="受注ファイル"/>
      <sheetName val="発注予定ファイル"/>
      <sheetName val="担当者マスタ"/>
      <sheetName val="管理事業所マスタ"/>
      <sheetName val="機能マスタ"/>
      <sheetName val="事業所マスタ"/>
      <sheetName val="●以降未確定●"/>
      <sheetName val="売上原始データＦ"/>
      <sheetName val="入庫予定Ｆ"/>
      <sheetName val="請求ファイル"/>
      <sheetName val="在庫マスタ"/>
      <sheetName val="ＬＯＴ在庫マスタ"/>
      <sheetName val="休日ｺﾝﾄﾛｰﾙＦ"/>
      <sheetName val="送信ファイル"/>
      <sheetName val="送信ポインタＦ"/>
      <sheetName val="商品部門検索"/>
      <sheetName val="Sheet2"/>
      <sheetName val="Sheet3"/>
      <sheetName val="選択用プルダウン"/>
    </sheetNames>
    <sheetDataSet>
      <sheetData sheetId="0" refreshError="1">
        <row r="3">
          <cell r="A3" t="str">
            <v>Ⅰ</v>
          </cell>
          <cell r="B3" t="str">
            <v>HINSH1</v>
          </cell>
          <cell r="C3">
            <v>9</v>
          </cell>
          <cell r="D3">
            <v>2</v>
          </cell>
        </row>
        <row r="4">
          <cell r="A4" t="str">
            <v>Ⅱ</v>
          </cell>
          <cell r="B4" t="str">
            <v>HINSH2</v>
          </cell>
          <cell r="C4">
            <v>9</v>
          </cell>
          <cell r="D4">
            <v>2</v>
          </cell>
        </row>
        <row r="5">
          <cell r="A5" t="str">
            <v>ＦＡＸ番号１</v>
          </cell>
          <cell r="B5" t="str">
            <v>FAX_NO1</v>
          </cell>
          <cell r="C5" t="str">
            <v>X</v>
          </cell>
          <cell r="D5">
            <v>10</v>
          </cell>
        </row>
        <row r="6">
          <cell r="A6" t="str">
            <v>ＦＡＸ番号２</v>
          </cell>
          <cell r="B6" t="str">
            <v>FAX_NO2</v>
          </cell>
          <cell r="C6" t="str">
            <v>X</v>
          </cell>
          <cell r="D6">
            <v>10</v>
          </cell>
        </row>
        <row r="7">
          <cell r="A7" t="str">
            <v>ＫＧ区分</v>
          </cell>
          <cell r="B7" t="str">
            <v>KGKBN</v>
          </cell>
          <cell r="C7">
            <v>9</v>
          </cell>
          <cell r="D7">
            <v>1</v>
          </cell>
        </row>
        <row r="8">
          <cell r="A8" t="str">
            <v>℡番号１</v>
          </cell>
          <cell r="B8" t="str">
            <v>TEL_NO1</v>
          </cell>
          <cell r="C8" t="str">
            <v>X</v>
          </cell>
          <cell r="D8">
            <v>10</v>
          </cell>
        </row>
        <row r="9">
          <cell r="A9" t="str">
            <v>℡番号２</v>
          </cell>
          <cell r="B9" t="str">
            <v>TEL_NO2</v>
          </cell>
          <cell r="C9" t="str">
            <v>X</v>
          </cell>
          <cell r="D9">
            <v>10</v>
          </cell>
        </row>
        <row r="10">
          <cell r="A10" t="str">
            <v>相手先ANK名称</v>
          </cell>
          <cell r="B10" t="str">
            <v>AITMEI_ANK</v>
          </cell>
          <cell r="C10" t="str">
            <v>X</v>
          </cell>
          <cell r="D10">
            <v>15</v>
          </cell>
        </row>
        <row r="11">
          <cell r="A11" t="str">
            <v>相手先ＣＤ</v>
          </cell>
          <cell r="B11" t="str">
            <v>AITCD</v>
          </cell>
          <cell r="C11">
            <v>9</v>
          </cell>
          <cell r="D11">
            <v>6</v>
          </cell>
        </row>
        <row r="12">
          <cell r="A12" t="str">
            <v>相手先区分</v>
          </cell>
          <cell r="B12" t="str">
            <v>AITKBN</v>
          </cell>
          <cell r="C12" t="str">
            <v>X</v>
          </cell>
          <cell r="D12">
            <v>2</v>
          </cell>
        </row>
        <row r="13">
          <cell r="A13" t="str">
            <v>相手先住所１</v>
          </cell>
          <cell r="B13" t="str">
            <v>AITADR1</v>
          </cell>
          <cell r="C13" t="str">
            <v>X</v>
          </cell>
          <cell r="D13">
            <v>60</v>
          </cell>
        </row>
        <row r="14">
          <cell r="A14" t="str">
            <v>相手先住所２</v>
          </cell>
          <cell r="B14" t="str">
            <v>AITADR2</v>
          </cell>
          <cell r="C14" t="str">
            <v>X</v>
          </cell>
          <cell r="D14">
            <v>60</v>
          </cell>
        </row>
        <row r="15">
          <cell r="A15" t="str">
            <v>相手先名称１</v>
          </cell>
          <cell r="B15" t="str">
            <v>AITMEI1</v>
          </cell>
          <cell r="C15" t="str">
            <v>X</v>
          </cell>
          <cell r="D15">
            <v>40</v>
          </cell>
        </row>
        <row r="16">
          <cell r="A16" t="str">
            <v>相手先名称２</v>
          </cell>
          <cell r="B16" t="str">
            <v>AITMEI2</v>
          </cell>
          <cell r="C16" t="str">
            <v>X</v>
          </cell>
          <cell r="D16">
            <v>40</v>
          </cell>
        </row>
        <row r="17">
          <cell r="A17" t="str">
            <v>相手先略称</v>
          </cell>
          <cell r="B17" t="str">
            <v>AITMEI_RYA</v>
          </cell>
          <cell r="C17" t="str">
            <v>X</v>
          </cell>
          <cell r="D17">
            <v>20</v>
          </cell>
        </row>
        <row r="18">
          <cell r="A18" t="str">
            <v>入数</v>
          </cell>
          <cell r="B18" t="str">
            <v>IRISU</v>
          </cell>
          <cell r="C18">
            <v>9</v>
          </cell>
          <cell r="D18">
            <v>5</v>
          </cell>
        </row>
        <row r="19">
          <cell r="A19" t="str">
            <v>受払区分</v>
          </cell>
          <cell r="B19" t="str">
            <v>UKEKBN</v>
          </cell>
          <cell r="C19">
            <v>9</v>
          </cell>
          <cell r="D19">
            <v>1</v>
          </cell>
        </row>
        <row r="20">
          <cell r="A20" t="str">
            <v>売上？？</v>
          </cell>
          <cell r="B20" t="str">
            <v>URIKBN</v>
          </cell>
          <cell r="C20">
            <v>9</v>
          </cell>
          <cell r="D20">
            <v>1</v>
          </cell>
        </row>
        <row r="21">
          <cell r="A21" t="str">
            <v>売掛</v>
          </cell>
          <cell r="B21" t="str">
            <v>KAKE</v>
          </cell>
          <cell r="C21">
            <v>9</v>
          </cell>
          <cell r="D21">
            <v>9</v>
          </cell>
        </row>
        <row r="22">
          <cell r="A22" t="str">
            <v>エラー区分</v>
          </cell>
          <cell r="B22" t="str">
            <v>ERRKBN</v>
          </cell>
          <cell r="C22">
            <v>9</v>
          </cell>
          <cell r="D22">
            <v>1</v>
          </cell>
        </row>
        <row r="23">
          <cell r="A23" t="str">
            <v>加工・生区分</v>
          </cell>
          <cell r="B23" t="str">
            <v>KAKONM</v>
          </cell>
          <cell r="C23">
            <v>9</v>
          </cell>
          <cell r="D23">
            <v>1</v>
          </cell>
        </row>
        <row r="24">
          <cell r="A24" t="str">
            <v>加工回数</v>
          </cell>
          <cell r="B24" t="str">
            <v>KAKKAI</v>
          </cell>
          <cell r="C24">
            <v>9</v>
          </cell>
          <cell r="D24">
            <v>2</v>
          </cell>
        </row>
        <row r="25">
          <cell r="A25" t="str">
            <v>加工締日</v>
          </cell>
          <cell r="B25" t="str">
            <v>KAKSIM</v>
          </cell>
          <cell r="C25" t="str">
            <v xml:space="preserve"> </v>
          </cell>
          <cell r="D25" t="str">
            <v xml:space="preserve"> </v>
          </cell>
        </row>
        <row r="26">
          <cell r="A26" t="str">
            <v>加工品・生肉</v>
          </cell>
          <cell r="B26" t="str">
            <v>KAKNAM</v>
          </cell>
          <cell r="C26" t="str">
            <v xml:space="preserve"> </v>
          </cell>
          <cell r="D26" t="str">
            <v xml:space="preserve"> </v>
          </cell>
        </row>
        <row r="27">
          <cell r="A27" t="str">
            <v>加工品売上額</v>
          </cell>
          <cell r="B27" t="str">
            <v>URIAGE_KAK</v>
          </cell>
          <cell r="C27">
            <v>9</v>
          </cell>
          <cell r="D27">
            <v>9</v>
          </cell>
        </row>
        <row r="28">
          <cell r="A28" t="str">
            <v>加工品消費税</v>
          </cell>
          <cell r="B28" t="str">
            <v>SHIZEI_KAK</v>
          </cell>
          <cell r="C28">
            <v>9</v>
          </cell>
          <cell r="D28">
            <v>9</v>
          </cell>
        </row>
        <row r="29">
          <cell r="A29" t="str">
            <v>加工品前月粗利益</v>
          </cell>
          <cell r="B29" t="str">
            <v>ARIEKI_ZEN</v>
          </cell>
          <cell r="C29">
            <v>9</v>
          </cell>
          <cell r="D29">
            <v>9</v>
          </cell>
        </row>
        <row r="30">
          <cell r="A30" t="str">
            <v>加工品前々月粗利益</v>
          </cell>
          <cell r="B30" t="str">
            <v>ARIEKI_ZZN</v>
          </cell>
          <cell r="C30">
            <v>9</v>
          </cell>
          <cell r="D30">
            <v>9</v>
          </cell>
        </row>
        <row r="31">
          <cell r="A31" t="str">
            <v>引当フラグ</v>
          </cell>
          <cell r="B31" t="str">
            <v>KHIFLG</v>
          </cell>
          <cell r="C31" t="str">
            <v>X</v>
          </cell>
          <cell r="D31">
            <v>1</v>
          </cell>
        </row>
        <row r="32">
          <cell r="A32" t="str">
            <v>期月</v>
          </cell>
          <cell r="B32" t="str">
            <v>KIJITU_MM</v>
          </cell>
          <cell r="C32">
            <v>9</v>
          </cell>
          <cell r="D32">
            <v>1</v>
          </cell>
        </row>
        <row r="33">
          <cell r="A33" t="str">
            <v>期日</v>
          </cell>
          <cell r="B33" t="str">
            <v>KIJITU_DD</v>
          </cell>
          <cell r="C33">
            <v>9</v>
          </cell>
          <cell r="D33">
            <v>2</v>
          </cell>
        </row>
        <row r="34">
          <cell r="A34" t="str">
            <v>機能ＣＤ</v>
          </cell>
          <cell r="B34" t="str">
            <v>KINOU_CD</v>
          </cell>
          <cell r="C34">
            <v>9</v>
          </cell>
          <cell r="D34">
            <v>3</v>
          </cell>
        </row>
        <row r="35">
          <cell r="A35" t="str">
            <v>機能区分</v>
          </cell>
          <cell r="B35" t="str">
            <v>KINOU_KBN</v>
          </cell>
          <cell r="C35">
            <v>9</v>
          </cell>
          <cell r="D35">
            <v>4</v>
          </cell>
        </row>
        <row r="36">
          <cell r="A36" t="str">
            <v>業種ＣＤ</v>
          </cell>
          <cell r="B36" t="str">
            <v>GYOSHU</v>
          </cell>
          <cell r="C36">
            <v>9</v>
          </cell>
          <cell r="D36">
            <v>3</v>
          </cell>
        </row>
        <row r="37">
          <cell r="A37" t="str">
            <v>経由先ＣＤ</v>
          </cell>
          <cell r="B37" t="str">
            <v>KEIYUC</v>
          </cell>
          <cell r="C37" t="str">
            <v>X</v>
          </cell>
          <cell r="D37">
            <v>6</v>
          </cell>
        </row>
        <row r="38">
          <cell r="A38" t="str">
            <v>経由先名</v>
          </cell>
          <cell r="B38" t="str">
            <v>KEIYUM</v>
          </cell>
          <cell r="C38" t="str">
            <v>X</v>
          </cell>
          <cell r="D38">
            <v>16</v>
          </cell>
        </row>
        <row r="39">
          <cell r="A39" t="str">
            <v>欠品数</v>
          </cell>
          <cell r="B39" t="str">
            <v>KETPIN</v>
          </cell>
          <cell r="C39">
            <v>9</v>
          </cell>
          <cell r="D39">
            <v>7</v>
          </cell>
        </row>
        <row r="40">
          <cell r="A40" t="str">
            <v>現金</v>
          </cell>
          <cell r="B40" t="str">
            <v>GENKIN</v>
          </cell>
          <cell r="C40">
            <v>9</v>
          </cell>
          <cell r="D40">
            <v>9</v>
          </cell>
        </row>
        <row r="41">
          <cell r="A41" t="str">
            <v>現在売掛残</v>
          </cell>
          <cell r="B41" t="str">
            <v>GENZAN</v>
          </cell>
          <cell r="C41">
            <v>9</v>
          </cell>
          <cell r="D41">
            <v>9</v>
          </cell>
        </row>
        <row r="42">
          <cell r="A42" t="str">
            <v>工場発注日数</v>
          </cell>
          <cell r="B42" t="str">
            <v>KOUNIS</v>
          </cell>
          <cell r="C42" t="str">
            <v>X</v>
          </cell>
          <cell r="D42">
            <v>2</v>
          </cell>
        </row>
        <row r="43">
          <cell r="A43" t="str">
            <v>コース種別</v>
          </cell>
          <cell r="B43" t="str">
            <v>COURSE</v>
          </cell>
          <cell r="C43">
            <v>9</v>
          </cell>
          <cell r="D43">
            <v>1</v>
          </cell>
        </row>
        <row r="44">
          <cell r="A44" t="str">
            <v>小切手</v>
          </cell>
          <cell r="B44" t="str">
            <v>KOGITE</v>
          </cell>
          <cell r="C44">
            <v>9</v>
          </cell>
          <cell r="D44">
            <v>9</v>
          </cell>
        </row>
        <row r="45">
          <cell r="A45" t="str">
            <v>梱包入数</v>
          </cell>
          <cell r="B45" t="str">
            <v>IRISU</v>
          </cell>
          <cell r="C45">
            <v>9</v>
          </cell>
          <cell r="D45">
            <v>3</v>
          </cell>
        </row>
        <row r="46">
          <cell r="A46" t="str">
            <v>在庫情報</v>
          </cell>
          <cell r="B46" t="str">
            <v>ZAIKO</v>
          </cell>
          <cell r="C46" t="str">
            <v>　</v>
          </cell>
          <cell r="D46" t="str">
            <v>　</v>
          </cell>
        </row>
        <row r="47">
          <cell r="A47" t="str">
            <v>在庫数</v>
          </cell>
          <cell r="B47" t="str">
            <v>ZAIKSU</v>
          </cell>
          <cell r="C47">
            <v>9</v>
          </cell>
          <cell r="D47">
            <v>9</v>
          </cell>
        </row>
        <row r="48">
          <cell r="A48" t="str">
            <v>最終仕入単価</v>
          </cell>
          <cell r="B48" t="str">
            <v>SHITNK_LST</v>
          </cell>
          <cell r="C48">
            <v>9</v>
          </cell>
          <cell r="D48">
            <v>9</v>
          </cell>
        </row>
        <row r="49">
          <cell r="A49" t="str">
            <v>最終仕入日付</v>
          </cell>
          <cell r="B49" t="str">
            <v>SHIDAT_LST</v>
          </cell>
          <cell r="C49" t="str">
            <v>X</v>
          </cell>
          <cell r="D49">
            <v>8</v>
          </cell>
        </row>
        <row r="50">
          <cell r="A50" t="str">
            <v>最終出庫日</v>
          </cell>
          <cell r="B50" t="str">
            <v>SHUKBI_LST</v>
          </cell>
          <cell r="C50" t="str">
            <v>X</v>
          </cell>
          <cell r="D50">
            <v>8</v>
          </cell>
        </row>
        <row r="51">
          <cell r="A51" t="str">
            <v>削除区分</v>
          </cell>
          <cell r="B51" t="str">
            <v>DELKBN</v>
          </cell>
          <cell r="C51">
            <v>9</v>
          </cell>
          <cell r="D51">
            <v>1</v>
          </cell>
        </row>
        <row r="52">
          <cell r="A52" t="str">
            <v>仕入先ＣＤ</v>
          </cell>
          <cell r="B52" t="str">
            <v>SIRESC</v>
          </cell>
          <cell r="C52" t="str">
            <v>X</v>
          </cell>
          <cell r="D52">
            <v>6</v>
          </cell>
        </row>
        <row r="53">
          <cell r="A53" t="str">
            <v>仕入先ＣＤ１</v>
          </cell>
          <cell r="B53" t="str">
            <v>SIRCD1</v>
          </cell>
          <cell r="C53">
            <v>9</v>
          </cell>
          <cell r="D53">
            <v>4</v>
          </cell>
        </row>
        <row r="54">
          <cell r="A54" t="str">
            <v>仕入先ＣＤ２</v>
          </cell>
          <cell r="B54" t="str">
            <v>SIRCD2</v>
          </cell>
          <cell r="C54">
            <v>9</v>
          </cell>
          <cell r="D54">
            <v>2</v>
          </cell>
        </row>
        <row r="55">
          <cell r="A55" t="str">
            <v>仕入先NM</v>
          </cell>
          <cell r="B55" t="str">
            <v>SIRESM</v>
          </cell>
          <cell r="C55" t="str">
            <v>X</v>
          </cell>
          <cell r="D55">
            <v>20</v>
          </cell>
        </row>
        <row r="56">
          <cell r="A56" t="str">
            <v>仕入先情報</v>
          </cell>
          <cell r="B56" t="str">
            <v>SIRESK</v>
          </cell>
          <cell r="C56" t="str">
            <v>　</v>
          </cell>
          <cell r="D56" t="str">
            <v>　</v>
          </cell>
        </row>
        <row r="57">
          <cell r="A57" t="str">
            <v>仕入先名</v>
          </cell>
          <cell r="B57" t="str">
            <v>SIRMEI</v>
          </cell>
          <cell r="C57" t="str">
            <v>X</v>
          </cell>
          <cell r="D57">
            <v>30</v>
          </cell>
        </row>
        <row r="58">
          <cell r="A58" t="str">
            <v>仕入先名(ANK)</v>
          </cell>
          <cell r="B58" t="str">
            <v>SIRMEI_ANK</v>
          </cell>
          <cell r="C58" t="str">
            <v>X</v>
          </cell>
          <cell r="D58">
            <v>20</v>
          </cell>
        </row>
        <row r="59">
          <cell r="A59" t="str">
            <v>仕入先有効日</v>
          </cell>
          <cell r="B59" t="str">
            <v>SIRYUK</v>
          </cell>
          <cell r="C59">
            <v>9</v>
          </cell>
          <cell r="D59">
            <v>8</v>
          </cell>
        </row>
        <row r="60">
          <cell r="A60" t="str">
            <v>事業所ＣＤ</v>
          </cell>
          <cell r="B60" t="str">
            <v>JIGYOC</v>
          </cell>
          <cell r="C60" t="str">
            <v>X</v>
          </cell>
          <cell r="D60">
            <v>4</v>
          </cell>
        </row>
        <row r="61">
          <cell r="A61" t="str">
            <v>事業所名</v>
          </cell>
          <cell r="B61" t="str">
            <v>JIGMEI</v>
          </cell>
          <cell r="C61" t="str">
            <v>X</v>
          </cell>
          <cell r="D61">
            <v>20</v>
          </cell>
        </row>
        <row r="62">
          <cell r="A62" t="str">
            <v>事業所名(ANK)</v>
          </cell>
          <cell r="B62" t="str">
            <v>JIGMEI_ANK</v>
          </cell>
          <cell r="C62" t="str">
            <v>X</v>
          </cell>
          <cell r="D62">
            <v>15</v>
          </cell>
        </row>
        <row r="63">
          <cell r="A63" t="str">
            <v>締日</v>
          </cell>
          <cell r="B63" t="str">
            <v>SIME_DAT</v>
          </cell>
          <cell r="C63">
            <v>9</v>
          </cell>
          <cell r="D63">
            <v>2</v>
          </cell>
        </row>
        <row r="64">
          <cell r="A64" t="str">
            <v>締日テーブル</v>
          </cell>
          <cell r="B64" t="str">
            <v>SIME_TBL</v>
          </cell>
          <cell r="C64" t="str">
            <v xml:space="preserve"> </v>
          </cell>
          <cell r="D64" t="str">
            <v xml:space="preserve"> </v>
          </cell>
        </row>
        <row r="65">
          <cell r="A65" t="str">
            <v>社内移動入力区分</v>
          </cell>
          <cell r="B65" t="str">
            <v>SNANYU</v>
          </cell>
          <cell r="C65">
            <v>9</v>
          </cell>
          <cell r="D65">
            <v>1</v>
          </cell>
        </row>
        <row r="66">
          <cell r="A66" t="str">
            <v>社内振替単価／㎏</v>
          </cell>
          <cell r="B66" t="str">
            <v>JYUTNK</v>
          </cell>
          <cell r="C66">
            <v>9</v>
          </cell>
          <cell r="D66">
            <v>7</v>
          </cell>
        </row>
        <row r="67">
          <cell r="A67" t="str">
            <v>社内振替単価／個</v>
          </cell>
          <cell r="B67" t="str">
            <v>KSUTNK</v>
          </cell>
          <cell r="C67">
            <v>9</v>
          </cell>
          <cell r="D67">
            <v>7</v>
          </cell>
        </row>
        <row r="68">
          <cell r="A68" t="str">
            <v>重量／個</v>
          </cell>
          <cell r="B68" t="str">
            <v>KSUJRY</v>
          </cell>
          <cell r="C68">
            <v>9</v>
          </cell>
          <cell r="D68">
            <v>5</v>
          </cell>
        </row>
        <row r="69">
          <cell r="A69" t="str">
            <v>受注№</v>
          </cell>
          <cell r="B69" t="str">
            <v>JYUCHU_NO</v>
          </cell>
          <cell r="C69" t="str">
            <v>X</v>
          </cell>
          <cell r="D69">
            <v>6</v>
          </cell>
        </row>
        <row r="70">
          <cell r="A70" t="str">
            <v>受注確定数</v>
          </cell>
          <cell r="B70" t="str">
            <v>JYUTYU_KAK</v>
          </cell>
          <cell r="C70">
            <v>9</v>
          </cell>
          <cell r="D70">
            <v>6</v>
          </cell>
        </row>
        <row r="71">
          <cell r="A71" t="str">
            <v>受注数</v>
          </cell>
          <cell r="B71" t="str">
            <v>JYUCHU</v>
          </cell>
          <cell r="C71">
            <v>9</v>
          </cell>
          <cell r="D71">
            <v>6</v>
          </cell>
        </row>
        <row r="72">
          <cell r="A72" t="str">
            <v>出庫確定日</v>
          </cell>
          <cell r="B72" t="str">
            <v>SHKKAK</v>
          </cell>
          <cell r="C72" t="str">
            <v>X</v>
          </cell>
          <cell r="D72">
            <v>8</v>
          </cell>
        </row>
        <row r="73">
          <cell r="A73" t="str">
            <v>出庫指示№</v>
          </cell>
          <cell r="B73" t="str">
            <v>SYUTKO_NO</v>
          </cell>
          <cell r="C73" t="str">
            <v>X</v>
          </cell>
          <cell r="D73">
            <v>2</v>
          </cell>
        </row>
        <row r="74">
          <cell r="A74" t="str">
            <v>出庫指示日</v>
          </cell>
          <cell r="B74" t="str">
            <v>SHKSJI</v>
          </cell>
          <cell r="C74" t="str">
            <v>X</v>
          </cell>
          <cell r="D74">
            <v>8</v>
          </cell>
        </row>
        <row r="75">
          <cell r="A75" t="str">
            <v>出庫日</v>
          </cell>
          <cell r="B75" t="str">
            <v xml:space="preserve">SHUKBI </v>
          </cell>
          <cell r="C75" t="str">
            <v>X</v>
          </cell>
          <cell r="D75">
            <v>8</v>
          </cell>
        </row>
        <row r="76">
          <cell r="A76" t="str">
            <v>出庫フラグ</v>
          </cell>
          <cell r="B76" t="str">
            <v>SHKFLG</v>
          </cell>
          <cell r="C76" t="str">
            <v>X</v>
          </cell>
          <cell r="D76">
            <v>2</v>
          </cell>
        </row>
        <row r="77">
          <cell r="A77" t="str">
            <v>商品ＣＤ</v>
          </cell>
          <cell r="B77" t="str">
            <v>SHOHNC</v>
          </cell>
          <cell r="C77" t="str">
            <v>X</v>
          </cell>
          <cell r="D77">
            <v>7</v>
          </cell>
        </row>
        <row r="78">
          <cell r="A78" t="str">
            <v>商品ＪＡＮ（１５）</v>
          </cell>
          <cell r="B78" t="str">
            <v>SYOHIN_JAN</v>
          </cell>
          <cell r="C78" t="str">
            <v>X</v>
          </cell>
          <cell r="D78">
            <v>15</v>
          </cell>
        </row>
        <row r="79">
          <cell r="A79" t="str">
            <v>商品グループＣＤ</v>
          </cell>
          <cell r="B79" t="str">
            <v>SHOGRP</v>
          </cell>
          <cell r="C79">
            <v>9</v>
          </cell>
          <cell r="D79">
            <v>1</v>
          </cell>
        </row>
        <row r="80">
          <cell r="A80" t="str">
            <v>商品サブＣＤ</v>
          </cell>
          <cell r="B80" t="str">
            <v>SHOSUB</v>
          </cell>
          <cell r="C80" t="str">
            <v>X</v>
          </cell>
          <cell r="D80">
            <v>2</v>
          </cell>
        </row>
        <row r="81">
          <cell r="A81" t="str">
            <v>商品名１</v>
          </cell>
          <cell r="B81" t="str">
            <v>HINMEI</v>
          </cell>
          <cell r="C81" t="str">
            <v>X</v>
          </cell>
          <cell r="D81">
            <v>40</v>
          </cell>
        </row>
        <row r="82">
          <cell r="A82" t="str">
            <v>商品名(ANK)</v>
          </cell>
          <cell r="B82" t="str">
            <v>HINMEI_ANK</v>
          </cell>
          <cell r="C82" t="str">
            <v>X</v>
          </cell>
          <cell r="D82">
            <v>15</v>
          </cell>
        </row>
        <row r="83">
          <cell r="A83" t="str">
            <v>商品名２</v>
          </cell>
          <cell r="B83" t="str">
            <v>HINSUB</v>
          </cell>
          <cell r="C83" t="str">
            <v>X</v>
          </cell>
          <cell r="D83">
            <v>20</v>
          </cell>
        </row>
        <row r="84">
          <cell r="A84" t="str">
            <v>処理区分</v>
          </cell>
          <cell r="B84" t="str">
            <v>SHRKBN</v>
          </cell>
          <cell r="C84" t="str">
            <v>X</v>
          </cell>
          <cell r="D84">
            <v>2</v>
          </cell>
        </row>
        <row r="85">
          <cell r="A85" t="str">
            <v>新商品区分</v>
          </cell>
          <cell r="B85" t="str">
            <v>NEWSHO_KBN</v>
          </cell>
          <cell r="C85">
            <v>9</v>
          </cell>
          <cell r="D85">
            <v>1</v>
          </cell>
        </row>
        <row r="86">
          <cell r="A86" t="str">
            <v>数量</v>
          </cell>
          <cell r="B86" t="str">
            <v>SURYO</v>
          </cell>
          <cell r="C86">
            <v>9</v>
          </cell>
          <cell r="D86">
            <v>7</v>
          </cell>
        </row>
        <row r="87">
          <cell r="A87" t="str">
            <v>請求先ＣＤ</v>
          </cell>
          <cell r="B87" t="str">
            <v>SEICOD</v>
          </cell>
          <cell r="C87">
            <v>9</v>
          </cell>
          <cell r="D87">
            <v>4</v>
          </cell>
        </row>
        <row r="88">
          <cell r="A88" t="str">
            <v>税計算区分</v>
          </cell>
          <cell r="B88" t="str">
            <v>ZEIKBN</v>
          </cell>
          <cell r="C88">
            <v>9</v>
          </cell>
          <cell r="D88">
            <v>1</v>
          </cell>
        </row>
        <row r="89">
          <cell r="A89" t="str">
            <v>製造元区分</v>
          </cell>
          <cell r="B89" t="str">
            <v>SEIZOU_KBN</v>
          </cell>
          <cell r="C89">
            <v>9</v>
          </cell>
          <cell r="D89">
            <v>1</v>
          </cell>
        </row>
        <row r="90">
          <cell r="A90" t="str">
            <v>前回請求額</v>
          </cell>
          <cell r="B90" t="str">
            <v>SEIKNG_ZEN</v>
          </cell>
          <cell r="C90">
            <v>9</v>
          </cell>
          <cell r="D90">
            <v>9</v>
          </cell>
        </row>
        <row r="91">
          <cell r="A91" t="str">
            <v>前回請求年月</v>
          </cell>
          <cell r="B91" t="str">
            <v>SEINGT_ZEN</v>
          </cell>
          <cell r="C91" t="str">
            <v>X</v>
          </cell>
          <cell r="D91">
            <v>8</v>
          </cell>
        </row>
        <row r="92">
          <cell r="A92" t="str">
            <v>前月売掛金残</v>
          </cell>
          <cell r="B92" t="str">
            <v>GENZAN_ZEN</v>
          </cell>
          <cell r="C92">
            <v>9</v>
          </cell>
          <cell r="D92">
            <v>9</v>
          </cell>
        </row>
        <row r="93">
          <cell r="A93" t="str">
            <v>前月休日</v>
          </cell>
          <cell r="B93" t="str">
            <v>KYUJIT_ZEN</v>
          </cell>
          <cell r="C93" t="str">
            <v>X</v>
          </cell>
          <cell r="D93">
            <v>1</v>
          </cell>
        </row>
        <row r="94">
          <cell r="A94" t="str">
            <v>前月工場休日区分</v>
          </cell>
          <cell r="B94" t="str">
            <v>KYUKBN_ZEN</v>
          </cell>
          <cell r="C94" t="str">
            <v xml:space="preserve"> </v>
          </cell>
          <cell r="D94" t="str">
            <v xml:space="preserve"> </v>
          </cell>
        </row>
        <row r="95">
          <cell r="A95" t="str">
            <v>前月純利益</v>
          </cell>
          <cell r="B95" t="str">
            <v>JYUURI_ZEN</v>
          </cell>
          <cell r="C95">
            <v>9</v>
          </cell>
          <cell r="D95">
            <v>9</v>
          </cell>
        </row>
        <row r="96">
          <cell r="A96" t="str">
            <v>前月諸経費等残</v>
          </cell>
          <cell r="B96" t="str">
            <v>SHOKHI_ZEN</v>
          </cell>
          <cell r="C96">
            <v>9</v>
          </cell>
          <cell r="D96">
            <v>9</v>
          </cell>
        </row>
        <row r="97">
          <cell r="A97" t="str">
            <v>前月不良品在庫数</v>
          </cell>
          <cell r="B97" t="str">
            <v>FRYZAI_ZEN</v>
          </cell>
          <cell r="C97">
            <v>9</v>
          </cell>
          <cell r="D97">
            <v>9</v>
          </cell>
        </row>
        <row r="98">
          <cell r="A98" t="str">
            <v>前月良品在庫数</v>
          </cell>
          <cell r="B98" t="str">
            <v>ZAIKO_ZEN</v>
          </cell>
          <cell r="C98">
            <v>9</v>
          </cell>
          <cell r="D98">
            <v>9</v>
          </cell>
        </row>
        <row r="99">
          <cell r="A99" t="str">
            <v>前々月純利益</v>
          </cell>
          <cell r="B99" t="str">
            <v>JYUURI_ZZN</v>
          </cell>
          <cell r="C99">
            <v>9</v>
          </cell>
          <cell r="D99">
            <v>9</v>
          </cell>
        </row>
        <row r="100">
          <cell r="A100" t="str">
            <v>送信先事業所ＣＤ</v>
          </cell>
          <cell r="B100" t="str">
            <v>SSNJIG</v>
          </cell>
          <cell r="C100">
            <v>9</v>
          </cell>
          <cell r="D100">
            <v>4</v>
          </cell>
        </row>
        <row r="101">
          <cell r="A101" t="str">
            <v>送話対象区分</v>
          </cell>
          <cell r="B101" t="str">
            <v>SSNTAI</v>
          </cell>
          <cell r="C101">
            <v>9</v>
          </cell>
          <cell r="D101">
            <v>1</v>
          </cell>
        </row>
        <row r="102">
          <cell r="A102" t="str">
            <v>その他</v>
          </cell>
          <cell r="B102" t="str">
            <v>SONOTA</v>
          </cell>
          <cell r="C102">
            <v>9</v>
          </cell>
          <cell r="D102">
            <v>9</v>
          </cell>
        </row>
        <row r="103">
          <cell r="A103" t="str">
            <v>単価</v>
          </cell>
          <cell r="B103" t="str">
            <v>TANKA</v>
          </cell>
          <cell r="C103">
            <v>9</v>
          </cell>
          <cell r="D103">
            <v>9</v>
          </cell>
        </row>
        <row r="104">
          <cell r="A104" t="str">
            <v>単価区分</v>
          </cell>
          <cell r="B104" t="str">
            <v>TANKBN</v>
          </cell>
          <cell r="C104">
            <v>9</v>
          </cell>
          <cell r="D104">
            <v>1</v>
          </cell>
        </row>
        <row r="105">
          <cell r="A105" t="str">
            <v>単価使用区分</v>
          </cell>
          <cell r="B105" t="str">
            <v>TANKBN</v>
          </cell>
          <cell r="C105">
            <v>9</v>
          </cell>
          <cell r="D105">
            <v>1</v>
          </cell>
        </row>
        <row r="106">
          <cell r="A106" t="str">
            <v>担当事業所ＣＤ</v>
          </cell>
          <cell r="B106" t="str">
            <v>TANTO_JIG</v>
          </cell>
          <cell r="C106" t="str">
            <v>X</v>
          </cell>
          <cell r="D106">
            <v>4</v>
          </cell>
        </row>
        <row r="107">
          <cell r="A107" t="str">
            <v>担当者ＣＤ</v>
          </cell>
          <cell r="B107" t="str">
            <v>TANTOC</v>
          </cell>
          <cell r="C107" t="str">
            <v>X</v>
          </cell>
          <cell r="D107">
            <v>4</v>
          </cell>
        </row>
        <row r="108">
          <cell r="A108" t="str">
            <v>担当者名</v>
          </cell>
          <cell r="B108" t="str">
            <v>TANMEI</v>
          </cell>
          <cell r="C108" t="str">
            <v>X</v>
          </cell>
          <cell r="D108">
            <v>16</v>
          </cell>
        </row>
        <row r="109">
          <cell r="A109" t="str">
            <v>担当者名(ANK)</v>
          </cell>
          <cell r="B109" t="str">
            <v>TANMEI_ANK</v>
          </cell>
          <cell r="C109" t="str">
            <v>X</v>
          </cell>
          <cell r="D109">
            <v>15</v>
          </cell>
        </row>
        <row r="110">
          <cell r="A110" t="str">
            <v>抽出フラグ</v>
          </cell>
          <cell r="B110" t="str">
            <v>SELFLG</v>
          </cell>
          <cell r="C110" t="str">
            <v>X</v>
          </cell>
          <cell r="D110">
            <v>1</v>
          </cell>
        </row>
        <row r="111">
          <cell r="A111" t="str">
            <v>データ区分</v>
          </cell>
          <cell r="B111" t="str">
            <v>CVSFLG</v>
          </cell>
          <cell r="C111" t="str">
            <v>X</v>
          </cell>
          <cell r="D111">
            <v>1</v>
          </cell>
        </row>
        <row r="112">
          <cell r="A112" t="str">
            <v>データ種別</v>
          </cell>
          <cell r="B112" t="str">
            <v>DATSHU</v>
          </cell>
          <cell r="C112" t="str">
            <v>X</v>
          </cell>
          <cell r="D112">
            <v>2</v>
          </cell>
        </row>
        <row r="113">
          <cell r="A113" t="str">
            <v>手形</v>
          </cell>
          <cell r="B113" t="str">
            <v>TEGATA</v>
          </cell>
          <cell r="C113">
            <v>9</v>
          </cell>
          <cell r="D113">
            <v>9</v>
          </cell>
        </row>
        <row r="114">
          <cell r="A114" t="str">
            <v>適正在庫数</v>
          </cell>
          <cell r="B114" t="str">
            <v>TEKZAI_SU</v>
          </cell>
          <cell r="C114">
            <v>9</v>
          </cell>
          <cell r="D114">
            <v>9</v>
          </cell>
        </row>
        <row r="115">
          <cell r="A115" t="str">
            <v>デポＣＤ</v>
          </cell>
          <cell r="B115" t="str">
            <v>DEPOC</v>
          </cell>
          <cell r="C115" t="str">
            <v>X</v>
          </cell>
          <cell r="D115">
            <v>6</v>
          </cell>
        </row>
        <row r="116">
          <cell r="A116" t="str">
            <v>デポ名</v>
          </cell>
          <cell r="B116" t="str">
            <v>DEPMEI</v>
          </cell>
          <cell r="C116" t="str">
            <v>X</v>
          </cell>
          <cell r="D116">
            <v>20</v>
          </cell>
        </row>
        <row r="117">
          <cell r="A117" t="str">
            <v>伝票番号</v>
          </cell>
          <cell r="B117" t="str">
            <v>DNPBNG</v>
          </cell>
          <cell r="C117">
            <v>9</v>
          </cell>
          <cell r="D117">
            <v>6</v>
          </cell>
        </row>
        <row r="118">
          <cell r="A118" t="str">
            <v>電話番号</v>
          </cell>
          <cell r="B118" t="str">
            <v>TEL_NO</v>
          </cell>
          <cell r="C118" t="str">
            <v>X</v>
          </cell>
          <cell r="D118">
            <v>15</v>
          </cell>
        </row>
        <row r="119">
          <cell r="A119" t="str">
            <v>当月粗利益</v>
          </cell>
          <cell r="B119" t="str">
            <v>ARIEKI</v>
          </cell>
          <cell r="C119">
            <v>9</v>
          </cell>
          <cell r="D119">
            <v>9</v>
          </cell>
        </row>
        <row r="120">
          <cell r="A120" t="str">
            <v>当月売上</v>
          </cell>
          <cell r="B120" t="str">
            <v>URIAGE</v>
          </cell>
          <cell r="C120">
            <v>9</v>
          </cell>
          <cell r="D120">
            <v>9</v>
          </cell>
        </row>
        <row r="121">
          <cell r="A121" t="str">
            <v>当月休日</v>
          </cell>
          <cell r="B121" t="str">
            <v>KYUJIT</v>
          </cell>
          <cell r="C121" t="str">
            <v>X</v>
          </cell>
          <cell r="D121">
            <v>1</v>
          </cell>
        </row>
        <row r="122">
          <cell r="A122" t="str">
            <v>当月工場休日区分</v>
          </cell>
          <cell r="B122" t="str">
            <v>KYUKBN</v>
          </cell>
          <cell r="C122" t="str">
            <v xml:space="preserve"> </v>
          </cell>
          <cell r="D122" t="str">
            <v xml:space="preserve"> </v>
          </cell>
        </row>
        <row r="123">
          <cell r="A123" t="str">
            <v>当月消費税</v>
          </cell>
          <cell r="B123" t="str">
            <v>SHIZEI</v>
          </cell>
          <cell r="C123">
            <v>9</v>
          </cell>
          <cell r="D123">
            <v>9</v>
          </cell>
        </row>
        <row r="124">
          <cell r="A124" t="str">
            <v>当月諸経費</v>
          </cell>
          <cell r="B124" t="str">
            <v>SHOKHI</v>
          </cell>
          <cell r="C124">
            <v>9</v>
          </cell>
          <cell r="D124">
            <v>9</v>
          </cell>
        </row>
        <row r="125">
          <cell r="A125" t="str">
            <v>当月請求</v>
          </cell>
          <cell r="B125" t="str">
            <v>SEIKYU</v>
          </cell>
          <cell r="C125" t="str">
            <v xml:space="preserve"> </v>
          </cell>
          <cell r="D125" t="str">
            <v xml:space="preserve">  </v>
          </cell>
        </row>
        <row r="126">
          <cell r="A126" t="str">
            <v>当月入金</v>
          </cell>
          <cell r="B126" t="str">
            <v>NYUKIN</v>
          </cell>
          <cell r="C126">
            <v>9</v>
          </cell>
          <cell r="D126">
            <v>9</v>
          </cell>
        </row>
        <row r="127">
          <cell r="A127" t="str">
            <v>当月返品・戻り・値引</v>
          </cell>
          <cell r="B127" t="str">
            <v>HENPIN</v>
          </cell>
          <cell r="C127">
            <v>9</v>
          </cell>
          <cell r="D127">
            <v>9</v>
          </cell>
        </row>
        <row r="128">
          <cell r="A128" t="str">
            <v>登録日付</v>
          </cell>
          <cell r="B128" t="str">
            <v>CDATE</v>
          </cell>
          <cell r="C128" t="str">
            <v>X</v>
          </cell>
          <cell r="D128">
            <v>8</v>
          </cell>
        </row>
        <row r="129">
          <cell r="A129" t="str">
            <v>得意先ＣＤ</v>
          </cell>
          <cell r="B129" t="str">
            <v>TOKUIC</v>
          </cell>
          <cell r="C129" t="str">
            <v>X</v>
          </cell>
          <cell r="D129">
            <v>6</v>
          </cell>
        </row>
        <row r="130">
          <cell r="A130" t="str">
            <v>得意先名</v>
          </cell>
          <cell r="B130" t="str">
            <v>TOKMEI</v>
          </cell>
          <cell r="C130" t="str">
            <v>X</v>
          </cell>
          <cell r="D130">
            <v>30</v>
          </cell>
        </row>
        <row r="131">
          <cell r="A131" t="str">
            <v>得意先名(ANK)</v>
          </cell>
          <cell r="B131" t="str">
            <v>TOKMEI_ANK</v>
          </cell>
          <cell r="C131" t="str">
            <v>X</v>
          </cell>
          <cell r="D131">
            <v>20</v>
          </cell>
        </row>
        <row r="132">
          <cell r="A132" t="str">
            <v>取扱区分</v>
          </cell>
          <cell r="B132" t="str">
            <v>TORKBN</v>
          </cell>
          <cell r="C132">
            <v>9</v>
          </cell>
          <cell r="D132">
            <v>1</v>
          </cell>
        </row>
        <row r="133">
          <cell r="A133" t="str">
            <v>取引日付</v>
          </cell>
          <cell r="B133" t="str">
            <v>HZK</v>
          </cell>
          <cell r="C133" t="str">
            <v>X</v>
          </cell>
          <cell r="D133">
            <v>8</v>
          </cell>
        </row>
        <row r="134">
          <cell r="A134" t="str">
            <v>生肉売上額</v>
          </cell>
          <cell r="B134" t="str">
            <v>URIAGE_NAM</v>
          </cell>
          <cell r="C134">
            <v>9</v>
          </cell>
          <cell r="D134">
            <v>9</v>
          </cell>
        </row>
        <row r="135">
          <cell r="A135" t="str">
            <v>入金領域</v>
          </cell>
          <cell r="B135" t="str">
            <v>NAMKAI</v>
          </cell>
          <cell r="C135" t="str">
            <v xml:space="preserve"> </v>
          </cell>
          <cell r="D135" t="str">
            <v xml:space="preserve"> </v>
          </cell>
        </row>
        <row r="136">
          <cell r="A136" t="str">
            <v>生肉回数</v>
          </cell>
          <cell r="B136" t="str">
            <v>NAMKAI</v>
          </cell>
          <cell r="C136">
            <v>9</v>
          </cell>
          <cell r="D136">
            <v>2</v>
          </cell>
        </row>
        <row r="137">
          <cell r="A137" t="str">
            <v>生肉締日</v>
          </cell>
          <cell r="B137" t="str">
            <v>NAMSIM</v>
          </cell>
          <cell r="C137" t="str">
            <v xml:space="preserve"> </v>
          </cell>
          <cell r="D137" t="str">
            <v xml:space="preserve"> </v>
          </cell>
        </row>
        <row r="138">
          <cell r="A138" t="str">
            <v>生肉消費税</v>
          </cell>
          <cell r="B138" t="str">
            <v>SHIZEI_NAM</v>
          </cell>
          <cell r="C138">
            <v>9</v>
          </cell>
          <cell r="D138">
            <v>9</v>
          </cell>
        </row>
        <row r="139">
          <cell r="A139" t="str">
            <v>入金領域</v>
          </cell>
          <cell r="B139" t="str">
            <v>NYUKIN_AREA</v>
          </cell>
        </row>
        <row r="140">
          <cell r="A140" t="str">
            <v>入庫確定数</v>
          </cell>
          <cell r="B140" t="str">
            <v>NYUKAK_SU</v>
          </cell>
          <cell r="C140">
            <v>9</v>
          </cell>
          <cell r="D140">
            <v>9</v>
          </cell>
        </row>
        <row r="141">
          <cell r="A141" t="str">
            <v>入庫日</v>
          </cell>
          <cell r="B141" t="str">
            <v>NYUKBI</v>
          </cell>
          <cell r="C141" t="str">
            <v>X</v>
          </cell>
          <cell r="D141">
            <v>8</v>
          </cell>
        </row>
        <row r="142">
          <cell r="A142" t="str">
            <v>入庫待数</v>
          </cell>
          <cell r="B142" t="str">
            <v>NYUMAT</v>
          </cell>
          <cell r="C142">
            <v>9</v>
          </cell>
          <cell r="D142">
            <v>9</v>
          </cell>
        </row>
        <row r="143">
          <cell r="A143" t="str">
            <v>入庫予定数</v>
          </cell>
          <cell r="B143" t="str">
            <v>NYUYOK</v>
          </cell>
          <cell r="C143">
            <v>9</v>
          </cell>
          <cell r="D143">
            <v>9</v>
          </cell>
        </row>
        <row r="144">
          <cell r="A144" t="str">
            <v>入庫予定日</v>
          </cell>
          <cell r="B144" t="str">
            <v>NYUYOT_DAT</v>
          </cell>
          <cell r="C144" t="str">
            <v>X</v>
          </cell>
          <cell r="D144">
            <v>8</v>
          </cell>
        </row>
        <row r="145">
          <cell r="A145" t="str">
            <v>値引</v>
          </cell>
          <cell r="B145" t="str">
            <v>NEBIKI</v>
          </cell>
          <cell r="C145">
            <v>9</v>
          </cell>
          <cell r="D145">
            <v>9</v>
          </cell>
        </row>
        <row r="146">
          <cell r="A146" t="str">
            <v>年月</v>
          </cell>
          <cell r="B146" t="str">
            <v>NENGET</v>
          </cell>
          <cell r="C146">
            <v>9</v>
          </cell>
          <cell r="D146">
            <v>6</v>
          </cell>
        </row>
        <row r="147">
          <cell r="A147" t="str">
            <v>納入サイクル</v>
          </cell>
          <cell r="B147" t="str">
            <v>SAIKUR</v>
          </cell>
          <cell r="C147">
            <v>9</v>
          </cell>
          <cell r="D147">
            <v>2</v>
          </cell>
        </row>
        <row r="148">
          <cell r="A148" t="str">
            <v>納品先ＣＤ</v>
          </cell>
          <cell r="B148" t="str">
            <v>NOUHNC</v>
          </cell>
          <cell r="C148" t="str">
            <v>X</v>
          </cell>
          <cell r="D148">
            <v>6</v>
          </cell>
        </row>
        <row r="149">
          <cell r="A149" t="str">
            <v>納品先区分</v>
          </cell>
          <cell r="B149" t="str">
            <v>NOUKBN</v>
          </cell>
          <cell r="C149">
            <v>9</v>
          </cell>
          <cell r="D149">
            <v>1</v>
          </cell>
        </row>
        <row r="150">
          <cell r="A150" t="str">
            <v>納品先名</v>
          </cell>
          <cell r="B150" t="str">
            <v>NOUHNM</v>
          </cell>
          <cell r="C150" t="str">
            <v>X</v>
          </cell>
          <cell r="D150">
            <v>16</v>
          </cell>
        </row>
        <row r="151">
          <cell r="A151" t="str">
            <v>納品日</v>
          </cell>
          <cell r="B151" t="str">
            <v>NOUHBI</v>
          </cell>
          <cell r="C151" t="str">
            <v>X</v>
          </cell>
          <cell r="D151">
            <v>8</v>
          </cell>
        </row>
        <row r="152">
          <cell r="A152" t="str">
            <v>配送休日</v>
          </cell>
          <cell r="B152" t="str">
            <v>HAIKYU</v>
          </cell>
          <cell r="C152" t="str">
            <v>X</v>
          </cell>
          <cell r="D152">
            <v>1</v>
          </cell>
        </row>
        <row r="153">
          <cell r="A153" t="str">
            <v>配送休日区分</v>
          </cell>
          <cell r="B153" t="str">
            <v>HAIKBN</v>
          </cell>
          <cell r="C153" t="str">
            <v xml:space="preserve"> </v>
          </cell>
          <cell r="D153" t="str">
            <v xml:space="preserve"> </v>
          </cell>
        </row>
        <row r="154">
          <cell r="A154" t="str">
            <v>発注№</v>
          </cell>
          <cell r="B154" t="str">
            <v>HAT_NO</v>
          </cell>
          <cell r="C154" t="str">
            <v>X</v>
          </cell>
          <cell r="D154">
            <v>6</v>
          </cell>
        </row>
        <row r="155">
          <cell r="A155" t="str">
            <v>発注先ＣＤ</v>
          </cell>
          <cell r="B155" t="str">
            <v>HATSAK</v>
          </cell>
          <cell r="C155" t="str">
            <v>X</v>
          </cell>
          <cell r="D155">
            <v>6</v>
          </cell>
        </row>
        <row r="156">
          <cell r="A156" t="str">
            <v>発注先名</v>
          </cell>
          <cell r="B156" t="str">
            <v>HATSAK_MEI</v>
          </cell>
          <cell r="C156" t="str">
            <v>X</v>
          </cell>
          <cell r="D156">
            <v>16</v>
          </cell>
        </row>
        <row r="157">
          <cell r="A157" t="str">
            <v>発注単位ＣＤ</v>
          </cell>
          <cell r="B157" t="str">
            <v>HATTNI</v>
          </cell>
          <cell r="C157">
            <v>9</v>
          </cell>
          <cell r="D157">
            <v>1</v>
          </cell>
        </row>
        <row r="158">
          <cell r="A158" t="str">
            <v>発注年月</v>
          </cell>
          <cell r="B158" t="str">
            <v>HATNGT</v>
          </cell>
          <cell r="C158" t="str">
            <v>X</v>
          </cell>
          <cell r="D158">
            <v>6</v>
          </cell>
        </row>
        <row r="159">
          <cell r="A159" t="str">
            <v>発注変更入力区分</v>
          </cell>
          <cell r="B159" t="str">
            <v>HNKKBN</v>
          </cell>
          <cell r="C159" t="str">
            <v>X</v>
          </cell>
          <cell r="D159">
            <v>1</v>
          </cell>
        </row>
        <row r="160">
          <cell r="A160" t="str">
            <v>発注元ＣＤ</v>
          </cell>
          <cell r="B160" t="str">
            <v>HATMOT</v>
          </cell>
          <cell r="C160" t="str">
            <v>X</v>
          </cell>
          <cell r="D160">
            <v>6</v>
          </cell>
        </row>
        <row r="161">
          <cell r="A161" t="str">
            <v>発注元事業所名称(ANK)</v>
          </cell>
          <cell r="B161" t="str">
            <v>HATMOT_MEI_ANK</v>
          </cell>
          <cell r="C161" t="str">
            <v>X</v>
          </cell>
          <cell r="D161">
            <v>15</v>
          </cell>
        </row>
        <row r="162">
          <cell r="A162" t="str">
            <v>発注元名</v>
          </cell>
          <cell r="B162" t="str">
            <v>HATMOT_MEI</v>
          </cell>
          <cell r="C162" t="str">
            <v>X</v>
          </cell>
          <cell r="D162">
            <v>16</v>
          </cell>
        </row>
        <row r="163">
          <cell r="A163" t="str">
            <v>発注予定日</v>
          </cell>
          <cell r="B163" t="str">
            <v>HATYOT_DAT</v>
          </cell>
          <cell r="C163" t="str">
            <v>X</v>
          </cell>
          <cell r="D163">
            <v>8</v>
          </cell>
        </row>
        <row r="164">
          <cell r="A164" t="str">
            <v>班コード</v>
          </cell>
          <cell r="B164" t="str">
            <v>HANC</v>
          </cell>
          <cell r="C164">
            <v>9</v>
          </cell>
          <cell r="D164">
            <v>1</v>
          </cell>
        </row>
        <row r="165">
          <cell r="A165" t="str">
            <v>引当数</v>
          </cell>
          <cell r="B165" t="str">
            <v>HIKIAT</v>
          </cell>
          <cell r="C165">
            <v>9</v>
          </cell>
          <cell r="D165">
            <v>9</v>
          </cell>
        </row>
        <row r="166">
          <cell r="A166" t="str">
            <v>引当日</v>
          </cell>
          <cell r="B166" t="str">
            <v>HIKIBI</v>
          </cell>
          <cell r="C166" t="str">
            <v>X</v>
          </cell>
          <cell r="D166">
            <v>8</v>
          </cell>
        </row>
        <row r="167">
          <cell r="A167" t="str">
            <v>標準売価</v>
          </cell>
          <cell r="B167" t="str">
            <v>BAITNK</v>
          </cell>
          <cell r="C167">
            <v>9</v>
          </cell>
          <cell r="D167">
            <v>9</v>
          </cell>
        </row>
        <row r="168">
          <cell r="A168" t="str">
            <v>品種Ｃ＊</v>
          </cell>
          <cell r="B168" t="str">
            <v>HINSHU</v>
          </cell>
          <cell r="C168" t="str">
            <v xml:space="preserve"> </v>
          </cell>
          <cell r="D168" t="str">
            <v xml:space="preserve"> </v>
          </cell>
        </row>
        <row r="169">
          <cell r="A169" t="str">
            <v>品種ＣＤ</v>
          </cell>
          <cell r="B169" t="str">
            <v>HINSHC</v>
          </cell>
          <cell r="C169">
            <v>9</v>
          </cell>
          <cell r="D169">
            <v>3</v>
          </cell>
        </row>
        <row r="170">
          <cell r="A170" t="str">
            <v>ファイル種別</v>
          </cell>
          <cell r="B170" t="str">
            <v>FILSYU</v>
          </cell>
          <cell r="C170" t="str">
            <v>X</v>
          </cell>
          <cell r="D170">
            <v>2</v>
          </cell>
        </row>
        <row r="171">
          <cell r="A171" t="str">
            <v>ファイル名</v>
          </cell>
          <cell r="B171" t="str">
            <v>FILMEI</v>
          </cell>
          <cell r="C171" t="str">
            <v>X</v>
          </cell>
          <cell r="D171">
            <v>15</v>
          </cell>
        </row>
        <row r="172">
          <cell r="A172" t="str">
            <v>複数事業所管理区分</v>
          </cell>
          <cell r="B172" t="str">
            <v>MU_JIKAN</v>
          </cell>
          <cell r="C172">
            <v>9</v>
          </cell>
          <cell r="D172">
            <v>3</v>
          </cell>
        </row>
        <row r="173">
          <cell r="A173" t="str">
            <v>不良品在庫数</v>
          </cell>
          <cell r="B173" t="str">
            <v>FRYZAI</v>
          </cell>
          <cell r="C173">
            <v>9</v>
          </cell>
          <cell r="D173">
            <v>9</v>
          </cell>
        </row>
        <row r="174">
          <cell r="A174" t="str">
            <v>プログラム名称</v>
          </cell>
          <cell r="B174" t="str">
            <v>AP_NM</v>
          </cell>
          <cell r="C174" t="str">
            <v>X</v>
          </cell>
          <cell r="D174">
            <v>15</v>
          </cell>
        </row>
        <row r="175">
          <cell r="A175" t="str">
            <v>変更日付</v>
          </cell>
          <cell r="B175" t="str">
            <v>UDATE</v>
          </cell>
          <cell r="C175" t="str">
            <v>X</v>
          </cell>
          <cell r="D175">
            <v>8</v>
          </cell>
        </row>
        <row r="176">
          <cell r="A176" t="str">
            <v>ポインター数</v>
          </cell>
          <cell r="B176" t="str">
            <v>POINT</v>
          </cell>
          <cell r="C176">
            <v>9</v>
          </cell>
          <cell r="D176">
            <v>6</v>
          </cell>
        </row>
        <row r="177">
          <cell r="A177" t="str">
            <v>ポインター名</v>
          </cell>
          <cell r="B177" t="str">
            <v>PINMEI</v>
          </cell>
          <cell r="C177" t="str">
            <v>X</v>
          </cell>
          <cell r="D177">
            <v>1</v>
          </cell>
        </row>
        <row r="178">
          <cell r="A178" t="str">
            <v>前月粗利益</v>
          </cell>
          <cell r="B178" t="str">
            <v>ARIEKI_ZEN</v>
          </cell>
          <cell r="C178">
            <v>9</v>
          </cell>
          <cell r="D178">
            <v>9</v>
          </cell>
        </row>
        <row r="179">
          <cell r="A179" t="str">
            <v>前月売上</v>
          </cell>
          <cell r="B179" t="str">
            <v>URIAGE_ZEN</v>
          </cell>
          <cell r="C179">
            <v>9</v>
          </cell>
          <cell r="D179">
            <v>9</v>
          </cell>
        </row>
        <row r="180">
          <cell r="A180" t="str">
            <v>前月消費税</v>
          </cell>
          <cell r="B180" t="str">
            <v>SHIZEI_ZEN</v>
          </cell>
          <cell r="C180">
            <v>9</v>
          </cell>
          <cell r="D180">
            <v>9</v>
          </cell>
        </row>
        <row r="181">
          <cell r="A181" t="str">
            <v>前月諸経費</v>
          </cell>
          <cell r="B181" t="str">
            <v>SHOKHI_ZEN</v>
          </cell>
          <cell r="C181">
            <v>9</v>
          </cell>
          <cell r="D181">
            <v>9</v>
          </cell>
        </row>
        <row r="182">
          <cell r="A182" t="str">
            <v>前月入金</v>
          </cell>
          <cell r="B182" t="str">
            <v>NYUKIN_ZEN</v>
          </cell>
          <cell r="C182">
            <v>9</v>
          </cell>
          <cell r="D182">
            <v>9</v>
          </cell>
        </row>
        <row r="183">
          <cell r="A183" t="str">
            <v>前月返品・戻り・値引</v>
          </cell>
          <cell r="B183" t="str">
            <v>NYUKIN_ZEN</v>
          </cell>
          <cell r="C183">
            <v>9</v>
          </cell>
          <cell r="D183">
            <v>9</v>
          </cell>
        </row>
        <row r="184">
          <cell r="A184" t="str">
            <v>明細行№</v>
          </cell>
          <cell r="B184" t="str">
            <v>MEISAI_NO</v>
          </cell>
          <cell r="C184">
            <v>9</v>
          </cell>
          <cell r="D184">
            <v>3</v>
          </cell>
        </row>
        <row r="185">
          <cell r="A185" t="str">
            <v>明細データ</v>
          </cell>
          <cell r="B185" t="str">
            <v>MEISAI</v>
          </cell>
          <cell r="C185" t="str">
            <v xml:space="preserve"> </v>
          </cell>
          <cell r="D185" t="str">
            <v xml:space="preserve"> </v>
          </cell>
        </row>
        <row r="186">
          <cell r="A186" t="str">
            <v>元発注？</v>
          </cell>
          <cell r="B186" t="str">
            <v>SNDKBN</v>
          </cell>
          <cell r="C186" t="str">
            <v>X</v>
          </cell>
          <cell r="D186">
            <v>1</v>
          </cell>
        </row>
        <row r="187">
          <cell r="A187" t="str">
            <v>有効期限</v>
          </cell>
          <cell r="B187" t="str">
            <v>YUKOBI</v>
          </cell>
          <cell r="C187" t="str">
            <v>X</v>
          </cell>
          <cell r="D187">
            <v>8</v>
          </cell>
        </row>
        <row r="188">
          <cell r="A188" t="str">
            <v>有効在庫数</v>
          </cell>
          <cell r="B188" t="str">
            <v>YUKZAI</v>
          </cell>
          <cell r="C188">
            <v>9</v>
          </cell>
          <cell r="D188">
            <v>9</v>
          </cell>
        </row>
        <row r="189">
          <cell r="A189" t="str">
            <v>翌月売上</v>
          </cell>
          <cell r="B189" t="str">
            <v>URIAGE_YOK</v>
          </cell>
          <cell r="C189">
            <v>9</v>
          </cell>
          <cell r="D189">
            <v>9</v>
          </cell>
        </row>
        <row r="190">
          <cell r="A190" t="str">
            <v>翌月消費税</v>
          </cell>
          <cell r="B190" t="str">
            <v>SHIZEI_YOK</v>
          </cell>
          <cell r="C190">
            <v>9</v>
          </cell>
          <cell r="D190">
            <v>9</v>
          </cell>
        </row>
        <row r="191">
          <cell r="A191" t="str">
            <v>翌月諸経費</v>
          </cell>
          <cell r="B191" t="str">
            <v>SHOKHI_YOK</v>
          </cell>
          <cell r="C191">
            <v>9</v>
          </cell>
          <cell r="D191">
            <v>9</v>
          </cell>
        </row>
        <row r="192">
          <cell r="A192" t="str">
            <v>翌月請求</v>
          </cell>
          <cell r="B192" t="str">
            <v>SEIKYU_YOK</v>
          </cell>
          <cell r="C192" t="str">
            <v xml:space="preserve"> </v>
          </cell>
          <cell r="D192" t="str">
            <v xml:space="preserve"> </v>
          </cell>
        </row>
        <row r="193">
          <cell r="A193" t="str">
            <v>翌月入金</v>
          </cell>
          <cell r="B193" t="str">
            <v>NYUKIN_YOK</v>
          </cell>
          <cell r="C193">
            <v>9</v>
          </cell>
          <cell r="D193">
            <v>9</v>
          </cell>
        </row>
        <row r="194">
          <cell r="A194" t="str">
            <v>翌月返品・戻り・値引</v>
          </cell>
          <cell r="B194" t="str">
            <v>HENPIN_YOK</v>
          </cell>
          <cell r="C194">
            <v>9</v>
          </cell>
          <cell r="D194">
            <v>9</v>
          </cell>
        </row>
        <row r="195">
          <cell r="A195" t="str">
            <v>与信限度額(万円)</v>
          </cell>
          <cell r="B195" t="str">
            <v>YOSHIN</v>
          </cell>
          <cell r="C195">
            <v>9</v>
          </cell>
          <cell r="D195">
            <v>9</v>
          </cell>
        </row>
        <row r="196">
          <cell r="A196" t="str">
            <v>量販店ＣＤ</v>
          </cell>
          <cell r="B196" t="str">
            <v>RYOHAN</v>
          </cell>
          <cell r="C196">
            <v>9</v>
          </cell>
          <cell r="D196">
            <v>6</v>
          </cell>
        </row>
        <row r="197">
          <cell r="A197" t="str">
            <v>良品在庫数</v>
          </cell>
          <cell r="B197" t="str">
            <v>ZAIKO</v>
          </cell>
          <cell r="C197">
            <v>9</v>
          </cell>
          <cell r="D197">
            <v>9</v>
          </cell>
        </row>
        <row r="198">
          <cell r="A198" t="str">
            <v>レコード種別</v>
          </cell>
          <cell r="B198" t="str">
            <v>RECSYU</v>
          </cell>
          <cell r="C198" t="str">
            <v>X</v>
          </cell>
          <cell r="D198">
            <v>1</v>
          </cell>
        </row>
        <row r="199">
          <cell r="A199" t="str">
            <v>ロット№</v>
          </cell>
          <cell r="B199" t="str">
            <v>LOT_NO</v>
          </cell>
          <cell r="C199" t="str">
            <v>X</v>
          </cell>
          <cell r="D199">
            <v>10</v>
          </cell>
        </row>
        <row r="200">
          <cell r="A200" t="str">
            <v>最終更新日</v>
          </cell>
          <cell r="B200" t="str">
            <v>UPDATE</v>
          </cell>
          <cell r="C200" t="str">
            <v>X</v>
          </cell>
          <cell r="D200">
            <v>8</v>
          </cell>
        </row>
        <row r="201">
          <cell r="A201" t="str">
            <v>作成日</v>
          </cell>
          <cell r="B201" t="str">
            <v>CRDATE</v>
          </cell>
          <cell r="C201" t="str">
            <v>X</v>
          </cell>
          <cell r="D201">
            <v>8</v>
          </cell>
        </row>
        <row r="202">
          <cell r="A202" t="str">
            <v>プログラムＩＤ</v>
          </cell>
          <cell r="B202" t="str">
            <v>AP_ID</v>
          </cell>
          <cell r="C202" t="str">
            <v>X</v>
          </cell>
          <cell r="D202">
            <v>20</v>
          </cell>
        </row>
        <row r="203">
          <cell r="A203" t="str">
            <v>行№</v>
          </cell>
          <cell r="B203" t="str">
            <v>GYONO</v>
          </cell>
          <cell r="C203">
            <v>9</v>
          </cell>
          <cell r="D203">
            <v>2</v>
          </cell>
        </row>
        <row r="204">
          <cell r="A204" t="str">
            <v>伝票区分</v>
          </cell>
          <cell r="B204" t="str">
            <v>DNPKBN</v>
          </cell>
          <cell r="C204" t="str">
            <v>X</v>
          </cell>
          <cell r="D204">
            <v>2</v>
          </cell>
        </row>
        <row r="205">
          <cell r="A205" t="str">
            <v>配送業者ＣＤ</v>
          </cell>
          <cell r="B205" t="str">
            <v>HAISOU_CD</v>
          </cell>
          <cell r="C205" t="str">
            <v>X</v>
          </cell>
          <cell r="D205">
            <v>6</v>
          </cell>
        </row>
        <row r="206">
          <cell r="A206" t="str">
            <v>配送業者名</v>
          </cell>
          <cell r="B206" t="str">
            <v>HAISOU_NM</v>
          </cell>
          <cell r="C206" t="str">
            <v>X</v>
          </cell>
          <cell r="D206">
            <v>40</v>
          </cell>
        </row>
        <row r="207">
          <cell r="A207" t="str">
            <v>単位区分</v>
          </cell>
          <cell r="B207" t="str">
            <v>TNIKBN</v>
          </cell>
          <cell r="C207" t="str">
            <v>X</v>
          </cell>
          <cell r="D207">
            <v>1</v>
          </cell>
        </row>
        <row r="208">
          <cell r="A208" t="str">
            <v>単位</v>
          </cell>
          <cell r="B208" t="str">
            <v>TNI</v>
          </cell>
          <cell r="C208" t="str">
            <v>X</v>
          </cell>
          <cell r="D208">
            <v>2</v>
          </cell>
        </row>
        <row r="209">
          <cell r="A209" t="str">
            <v>重量</v>
          </cell>
          <cell r="B209" t="str">
            <v>JYURYO</v>
          </cell>
          <cell r="C209">
            <v>9</v>
          </cell>
          <cell r="D209">
            <v>9</v>
          </cell>
        </row>
        <row r="210">
          <cell r="A210" t="str">
            <v>作成日時</v>
          </cell>
          <cell r="B210" t="str">
            <v>M_YMDHM</v>
          </cell>
          <cell r="C210">
            <v>9</v>
          </cell>
          <cell r="D210">
            <v>12</v>
          </cell>
        </row>
        <row r="211">
          <cell r="A211" t="str">
            <v>更新日時</v>
          </cell>
          <cell r="B211" t="str">
            <v>U_YMDHM</v>
          </cell>
          <cell r="C211">
            <v>9</v>
          </cell>
          <cell r="D211">
            <v>12</v>
          </cell>
        </row>
        <row r="212">
          <cell r="A212" t="str">
            <v>出庫依頼書出力パターン</v>
          </cell>
          <cell r="B212" t="str">
            <v>SYU_PTN</v>
          </cell>
          <cell r="C212">
            <v>9</v>
          </cell>
          <cell r="D212">
            <v>1</v>
          </cell>
        </row>
        <row r="213">
          <cell r="A213" t="str">
            <v>受注単位ＣＤ</v>
          </cell>
          <cell r="B213" t="str">
            <v>JYUTNI_CD</v>
          </cell>
          <cell r="C213">
            <v>9</v>
          </cell>
          <cell r="D213">
            <v>1</v>
          </cell>
        </row>
        <row r="214">
          <cell r="A214" t="str">
            <v>曜日</v>
          </cell>
          <cell r="B214" t="str">
            <v>YOBI</v>
          </cell>
          <cell r="C214" t="str">
            <v>X</v>
          </cell>
          <cell r="D214">
            <v>2</v>
          </cell>
        </row>
        <row r="215">
          <cell r="A215" t="str">
            <v>確認書出力パターン</v>
          </cell>
          <cell r="B215" t="str">
            <v>KAKUNI_PTN</v>
          </cell>
          <cell r="C215">
            <v>9</v>
          </cell>
          <cell r="D215">
            <v>1</v>
          </cell>
        </row>
        <row r="216">
          <cell r="A216" t="str">
            <v>倉移送フラグ</v>
          </cell>
          <cell r="B216" t="str">
            <v>KURAIS</v>
          </cell>
          <cell r="C216">
            <v>9</v>
          </cell>
          <cell r="D216">
            <v>1</v>
          </cell>
        </row>
        <row r="217">
          <cell r="A217" t="str">
            <v>受注確認書区分</v>
          </cell>
          <cell r="B217" t="str">
            <v>JYUKAK_KBN</v>
          </cell>
          <cell r="C217">
            <v>9</v>
          </cell>
          <cell r="D217">
            <v>1</v>
          </cell>
        </row>
        <row r="218">
          <cell r="A218" t="str">
            <v>受注確認書ＦＡＸ</v>
          </cell>
          <cell r="B218" t="str">
            <v>JYUKAK_FAX</v>
          </cell>
          <cell r="C218" t="str">
            <v>X</v>
          </cell>
          <cell r="D218">
            <v>10</v>
          </cell>
        </row>
        <row r="219">
          <cell r="A219" t="str">
            <v>開始№</v>
          </cell>
          <cell r="B219" t="str">
            <v>START_NO</v>
          </cell>
          <cell r="C219">
            <v>9</v>
          </cell>
          <cell r="D219">
            <v>6</v>
          </cell>
        </row>
        <row r="220">
          <cell r="A220" t="str">
            <v>終了№</v>
          </cell>
          <cell r="B220" t="str">
            <v>END_NO</v>
          </cell>
          <cell r="C220">
            <v>9</v>
          </cell>
          <cell r="D220">
            <v>6</v>
          </cell>
        </row>
        <row r="221">
          <cell r="A221" t="str">
            <v>現在№</v>
          </cell>
          <cell r="B221" t="str">
            <v>NOW_NO</v>
          </cell>
          <cell r="C221">
            <v>9</v>
          </cell>
          <cell r="D221">
            <v>6</v>
          </cell>
        </row>
        <row r="222">
          <cell r="A222" t="str">
            <v>雑区分</v>
          </cell>
          <cell r="B222" t="str">
            <v>ZATU_KBN</v>
          </cell>
          <cell r="C222">
            <v>9</v>
          </cell>
          <cell r="D222">
            <v>2</v>
          </cell>
        </row>
        <row r="223">
          <cell r="A223" t="str">
            <v>伝票行数</v>
          </cell>
          <cell r="B223" t="str">
            <v>DEN_GYOSU</v>
          </cell>
          <cell r="C223">
            <v>9</v>
          </cell>
          <cell r="D223">
            <v>2</v>
          </cell>
        </row>
        <row r="224">
          <cell r="A224" t="str">
            <v>仕入単価／個</v>
          </cell>
          <cell r="B224" t="str">
            <v>SIRTNK_KO</v>
          </cell>
          <cell r="C224">
            <v>9</v>
          </cell>
          <cell r="D224">
            <v>9</v>
          </cell>
        </row>
        <row r="225">
          <cell r="A225" t="str">
            <v>仕入単価／kg</v>
          </cell>
          <cell r="B225" t="str">
            <v>SIRTNK_KG</v>
          </cell>
          <cell r="C225">
            <v>9</v>
          </cell>
          <cell r="D225">
            <v>9</v>
          </cell>
        </row>
        <row r="226">
          <cell r="A226" t="str">
            <v>ステーション名</v>
          </cell>
          <cell r="B226" t="str">
            <v>TERMID</v>
          </cell>
          <cell r="C226" t="str">
            <v>X</v>
          </cell>
          <cell r="D226">
            <v>10</v>
          </cell>
        </row>
        <row r="227">
          <cell r="A227" t="str">
            <v>納品日数</v>
          </cell>
          <cell r="B227" t="str">
            <v>NOHDAT</v>
          </cell>
          <cell r="C227">
            <v>9</v>
          </cell>
          <cell r="D227">
            <v>2</v>
          </cell>
        </row>
        <row r="228">
          <cell r="A228" t="str">
            <v>移動伝票№</v>
          </cell>
          <cell r="B228" t="str">
            <v>IDODNO</v>
          </cell>
          <cell r="C228">
            <v>9</v>
          </cell>
          <cell r="D228">
            <v>6</v>
          </cell>
        </row>
        <row r="229">
          <cell r="A229" t="str">
            <v>伝票入力№</v>
          </cell>
          <cell r="B229" t="str">
            <v>DNYUNO</v>
          </cell>
          <cell r="C229">
            <v>9</v>
          </cell>
          <cell r="D229">
            <v>6</v>
          </cell>
        </row>
        <row r="230">
          <cell r="A230" t="str">
            <v>ケース数</v>
          </cell>
          <cell r="B230" t="str">
            <v>CASESU</v>
          </cell>
          <cell r="C230">
            <v>9</v>
          </cell>
          <cell r="D230">
            <v>7</v>
          </cell>
        </row>
        <row r="231">
          <cell r="A231" t="str">
            <v>個数</v>
          </cell>
          <cell r="B231" t="str">
            <v>KOSU</v>
          </cell>
          <cell r="C231">
            <v>9</v>
          </cell>
          <cell r="D231">
            <v>8</v>
          </cell>
        </row>
        <row r="232">
          <cell r="A232" t="str">
            <v>受注ケース数</v>
          </cell>
          <cell r="B232" t="str">
            <v>JYCASU</v>
          </cell>
          <cell r="C232">
            <v>9</v>
          </cell>
          <cell r="D232">
            <v>7</v>
          </cell>
        </row>
        <row r="233">
          <cell r="A233" t="str">
            <v>受注個数</v>
          </cell>
          <cell r="B233" t="str">
            <v>JYKOSU</v>
          </cell>
          <cell r="C233">
            <v>9</v>
          </cell>
          <cell r="D233">
            <v>8</v>
          </cell>
        </row>
        <row r="234">
          <cell r="A234" t="str">
            <v>引当ケース数</v>
          </cell>
          <cell r="B234" t="str">
            <v>HICASU</v>
          </cell>
          <cell r="C234">
            <v>9</v>
          </cell>
          <cell r="D234">
            <v>7</v>
          </cell>
        </row>
        <row r="235">
          <cell r="A235" t="str">
            <v>引当個数</v>
          </cell>
          <cell r="B235" t="str">
            <v>HIKOSU</v>
          </cell>
          <cell r="C235">
            <v>9</v>
          </cell>
          <cell r="D235">
            <v>8</v>
          </cell>
        </row>
        <row r="236">
          <cell r="A236" t="str">
            <v>欠品ケース数</v>
          </cell>
          <cell r="B236" t="str">
            <v>KECASU</v>
          </cell>
          <cell r="C236">
            <v>9</v>
          </cell>
          <cell r="D236">
            <v>7</v>
          </cell>
        </row>
        <row r="237">
          <cell r="A237" t="str">
            <v>欠品個数</v>
          </cell>
          <cell r="B237" t="str">
            <v>KEKOSU</v>
          </cell>
          <cell r="C237">
            <v>9</v>
          </cell>
          <cell r="D237">
            <v>8</v>
          </cell>
        </row>
        <row r="238">
          <cell r="A238" t="str">
            <v>確認フラグ</v>
          </cell>
          <cell r="B238" t="str">
            <v>KAKUFL</v>
          </cell>
          <cell r="C238">
            <v>9</v>
          </cell>
          <cell r="D238">
            <v>1</v>
          </cell>
        </row>
        <row r="239">
          <cell r="A239" t="str">
            <v>相手先伝票№</v>
          </cell>
          <cell r="B239" t="str">
            <v>AITDNO</v>
          </cell>
          <cell r="C239">
            <v>9</v>
          </cell>
          <cell r="D239">
            <v>10</v>
          </cell>
        </row>
        <row r="240">
          <cell r="A240" t="str">
            <v>仕入日</v>
          </cell>
          <cell r="B240" t="str">
            <v>SIRDAT</v>
          </cell>
          <cell r="C240">
            <v>9</v>
          </cell>
          <cell r="D240">
            <v>8</v>
          </cell>
        </row>
        <row r="241">
          <cell r="A241" t="str">
            <v>営業所ＣＤ</v>
          </cell>
          <cell r="B241" t="str">
            <v>EIGYCD</v>
          </cell>
          <cell r="C241" t="str">
            <v>X</v>
          </cell>
          <cell r="D241">
            <v>6</v>
          </cell>
        </row>
        <row r="242">
          <cell r="A242" t="str">
            <v>仕入単価</v>
          </cell>
          <cell r="B242" t="str">
            <v>SIRTAN</v>
          </cell>
          <cell r="C242">
            <v>9</v>
          </cell>
          <cell r="D242">
            <v>9</v>
          </cell>
        </row>
        <row r="243">
          <cell r="A243" t="str">
            <v>移動単価</v>
          </cell>
          <cell r="B243" t="str">
            <v>IDOTAN</v>
          </cell>
          <cell r="C243">
            <v>9</v>
          </cell>
          <cell r="D243">
            <v>9</v>
          </cell>
        </row>
        <row r="244">
          <cell r="A244" t="str">
            <v>受注日</v>
          </cell>
          <cell r="B244" t="str">
            <v>JYUDATE</v>
          </cell>
          <cell r="C244">
            <v>9</v>
          </cell>
          <cell r="D244">
            <v>8</v>
          </cell>
        </row>
        <row r="245">
          <cell r="A245" t="str">
            <v>伝票№</v>
          </cell>
          <cell r="B245" t="str">
            <v>DENNO</v>
          </cell>
          <cell r="C245">
            <v>9</v>
          </cell>
          <cell r="D245">
            <v>6</v>
          </cell>
        </row>
        <row r="246">
          <cell r="A246" t="str">
            <v>売上担当者ＣＤ</v>
          </cell>
          <cell r="B246" t="str">
            <v>URITANCD</v>
          </cell>
          <cell r="C246">
            <v>9</v>
          </cell>
          <cell r="D246">
            <v>4</v>
          </cell>
        </row>
        <row r="247">
          <cell r="A247" t="str">
            <v>取引先ＣＤ</v>
          </cell>
          <cell r="B247" t="str">
            <v>TORICD</v>
          </cell>
          <cell r="C247">
            <v>9</v>
          </cell>
          <cell r="D247">
            <v>8</v>
          </cell>
        </row>
        <row r="248">
          <cell r="A248" t="str">
            <v>ブランチＣＤ</v>
          </cell>
          <cell r="B248" t="str">
            <v>BRANCHICD</v>
          </cell>
          <cell r="C248">
            <v>9</v>
          </cell>
          <cell r="D248">
            <v>8</v>
          </cell>
        </row>
        <row r="249">
          <cell r="A249" t="str">
            <v>分類ＣＤ</v>
          </cell>
          <cell r="B249" t="str">
            <v>BUNRUICD</v>
          </cell>
          <cell r="C249">
            <v>9</v>
          </cell>
          <cell r="D249">
            <v>4</v>
          </cell>
        </row>
        <row r="250">
          <cell r="A250" t="str">
            <v>営業所名</v>
          </cell>
          <cell r="B250" t="str">
            <v>EIGYNM</v>
          </cell>
          <cell r="C250" t="str">
            <v>X</v>
          </cell>
          <cell r="D250">
            <v>40</v>
          </cell>
        </row>
        <row r="251">
          <cell r="A251" t="str">
            <v>売上担当者名</v>
          </cell>
          <cell r="B251" t="str">
            <v>URITANNM</v>
          </cell>
          <cell r="C251" t="str">
            <v>X</v>
          </cell>
          <cell r="D251">
            <v>16</v>
          </cell>
        </row>
        <row r="252">
          <cell r="A252" t="str">
            <v>取引先名</v>
          </cell>
          <cell r="B252" t="str">
            <v>TORINM</v>
          </cell>
          <cell r="C252" t="str">
            <v>X</v>
          </cell>
          <cell r="D252">
            <v>40</v>
          </cell>
        </row>
        <row r="253">
          <cell r="A253" t="str">
            <v>ブランチ名</v>
          </cell>
          <cell r="B253" t="str">
            <v>BRANCHINM</v>
          </cell>
          <cell r="C253" t="str">
            <v>X</v>
          </cell>
          <cell r="D253">
            <v>40</v>
          </cell>
        </row>
        <row r="254">
          <cell r="A254" t="str">
            <v>分類名</v>
          </cell>
        </row>
        <row r="255">
          <cell r="A255" t="str">
            <v>仕入金額</v>
          </cell>
          <cell r="B255" t="str">
            <v>SIREGAKU</v>
          </cell>
          <cell r="C255">
            <v>9</v>
          </cell>
          <cell r="D255">
            <v>9</v>
          </cell>
        </row>
        <row r="256">
          <cell r="A256" t="str">
            <v>移動金額</v>
          </cell>
          <cell r="B256" t="str">
            <v>IDOUGAKU</v>
          </cell>
          <cell r="C256">
            <v>9</v>
          </cell>
          <cell r="D256">
            <v>9</v>
          </cell>
        </row>
        <row r="257">
          <cell r="A257" t="str">
            <v>仕入営業所ＣＤ</v>
          </cell>
          <cell r="B257" t="str">
            <v>SIEIGCD</v>
          </cell>
        </row>
        <row r="258">
          <cell r="A258" t="str">
            <v>量販取引先ＣＤ</v>
          </cell>
          <cell r="B258" t="str">
            <v>RYOTORICD</v>
          </cell>
          <cell r="C258" t="str">
            <v>X</v>
          </cell>
          <cell r="D258">
            <v>8</v>
          </cell>
        </row>
        <row r="259">
          <cell r="A259" t="str">
            <v>量販店舗ＣＤ１</v>
          </cell>
          <cell r="B259" t="str">
            <v>RYOTENCD1</v>
          </cell>
          <cell r="C259" t="str">
            <v>X</v>
          </cell>
          <cell r="D259">
            <v>8</v>
          </cell>
        </row>
        <row r="260">
          <cell r="A260" t="str">
            <v>量販店舗ＣＤ２</v>
          </cell>
          <cell r="B260" t="str">
            <v>RYOTENCD2</v>
          </cell>
          <cell r="C260" t="str">
            <v>X</v>
          </cell>
          <cell r="D260">
            <v>8</v>
          </cell>
        </row>
        <row r="261">
          <cell r="A261" t="str">
            <v>自社事業所ＣＤ</v>
          </cell>
          <cell r="B261" t="str">
            <v>JIJIGCD</v>
          </cell>
          <cell r="C261">
            <v>9</v>
          </cell>
          <cell r="D261">
            <v>4</v>
          </cell>
        </row>
        <row r="262">
          <cell r="A262" t="str">
            <v>センターＣＤ</v>
          </cell>
          <cell r="B262" t="str">
            <v>CENTERCD</v>
          </cell>
          <cell r="C262" t="str">
            <v>X</v>
          </cell>
          <cell r="D262">
            <v>8</v>
          </cell>
        </row>
        <row r="263">
          <cell r="A263" t="str">
            <v>量販店舗名称ANK</v>
          </cell>
          <cell r="B263" t="str">
            <v>RYOTENNM_ANK</v>
          </cell>
          <cell r="C263" t="str">
            <v>X</v>
          </cell>
          <cell r="D263">
            <v>18</v>
          </cell>
        </row>
        <row r="264">
          <cell r="A264" t="str">
            <v>量販店舗名称</v>
          </cell>
          <cell r="B264" t="str">
            <v>RYOTENNM</v>
          </cell>
          <cell r="C264" t="str">
            <v>X</v>
          </cell>
          <cell r="D264">
            <v>40</v>
          </cell>
        </row>
        <row r="265">
          <cell r="A265" t="str">
            <v>データ変換区分</v>
          </cell>
          <cell r="B265" t="str">
            <v>DCHGKBN</v>
          </cell>
          <cell r="C265" t="str">
            <v>X</v>
          </cell>
          <cell r="D265">
            <v>1</v>
          </cell>
        </row>
        <row r="266">
          <cell r="A266" t="str">
            <v>印刷順位</v>
          </cell>
          <cell r="B266" t="str">
            <v>PRJYUNI</v>
          </cell>
          <cell r="C266">
            <v>9</v>
          </cell>
          <cell r="D266">
            <v>3</v>
          </cell>
        </row>
        <row r="267">
          <cell r="A267" t="str">
            <v>請求対象区分</v>
          </cell>
          <cell r="B267" t="str">
            <v>SEIKYUKBN</v>
          </cell>
          <cell r="C267">
            <v>9</v>
          </cell>
          <cell r="D267">
            <v>1</v>
          </cell>
        </row>
        <row r="268">
          <cell r="A268" t="str">
            <v>移動対象区分</v>
          </cell>
          <cell r="B268" t="str">
            <v>IDOUKUBN</v>
          </cell>
          <cell r="C268">
            <v>9</v>
          </cell>
          <cell r="D268">
            <v>1</v>
          </cell>
        </row>
        <row r="269">
          <cell r="A269" t="str">
            <v>物流区分</v>
          </cell>
          <cell r="B269" t="str">
            <v>BUTUKBN</v>
          </cell>
          <cell r="C269">
            <v>9</v>
          </cell>
          <cell r="D269">
            <v>1</v>
          </cell>
        </row>
        <row r="270">
          <cell r="A270" t="str">
            <v>課税区分</v>
          </cell>
          <cell r="B270" t="str">
            <v>KAZEIKBN</v>
          </cell>
          <cell r="C270">
            <v>9</v>
          </cell>
          <cell r="D270">
            <v>1</v>
          </cell>
        </row>
        <row r="271">
          <cell r="A271" t="str">
            <v>割戻率グループ</v>
          </cell>
          <cell r="B271" t="str">
            <v>WARI_G</v>
          </cell>
          <cell r="C271" t="str">
            <v xml:space="preserve"> </v>
          </cell>
          <cell r="D271" t="str">
            <v xml:space="preserve"> </v>
          </cell>
        </row>
        <row r="272">
          <cell r="A272" t="str">
            <v>割戻率</v>
          </cell>
          <cell r="B272" t="str">
            <v>WARIRITU</v>
          </cell>
          <cell r="C272">
            <v>9</v>
          </cell>
          <cell r="D272">
            <v>3</v>
          </cell>
        </row>
        <row r="273">
          <cell r="A273" t="str">
            <v>帳票出力区分</v>
          </cell>
          <cell r="B273" t="str">
            <v>PROUTKBN</v>
          </cell>
          <cell r="C273">
            <v>9</v>
          </cell>
          <cell r="D273">
            <v>1</v>
          </cell>
        </row>
        <row r="274">
          <cell r="A274" t="str">
            <v>請求元事業所ＣＤ</v>
          </cell>
          <cell r="B274" t="str">
            <v>SEIJIGCD</v>
          </cell>
          <cell r="C274">
            <v>9</v>
          </cell>
          <cell r="D274">
            <v>4</v>
          </cell>
        </row>
        <row r="275">
          <cell r="A275" t="str">
            <v>店舗区分</v>
          </cell>
          <cell r="B275" t="str">
            <v>TENKBN</v>
          </cell>
          <cell r="C275">
            <v>9</v>
          </cell>
          <cell r="D275">
            <v>1</v>
          </cell>
        </row>
        <row r="276">
          <cell r="A276" t="str">
            <v>量販区分</v>
          </cell>
          <cell r="B276" t="str">
            <v>RYOKBN</v>
          </cell>
          <cell r="C276" t="str">
            <v>X</v>
          </cell>
          <cell r="D276">
            <v>1</v>
          </cell>
        </row>
        <row r="277">
          <cell r="A277" t="str">
            <v>量販商品ＣＤ１</v>
          </cell>
          <cell r="B277" t="str">
            <v>RYOSHOCD1</v>
          </cell>
          <cell r="C277" t="str">
            <v>X</v>
          </cell>
          <cell r="D277">
            <v>13</v>
          </cell>
        </row>
        <row r="278">
          <cell r="A278" t="str">
            <v>量販商品ＣＤ２</v>
          </cell>
          <cell r="B278" t="str">
            <v>RYOSHOCD2</v>
          </cell>
          <cell r="C278" t="str">
            <v>X</v>
          </cell>
          <cell r="D278">
            <v>13</v>
          </cell>
        </row>
        <row r="279">
          <cell r="A279" t="str">
            <v>原価単価／個orケース</v>
          </cell>
          <cell r="B279" t="str">
            <v>GENTAN_KO</v>
          </cell>
          <cell r="C279">
            <v>9</v>
          </cell>
          <cell r="D279">
            <v>8</v>
          </cell>
        </row>
        <row r="280">
          <cell r="A280" t="str">
            <v>売価単価／個orケース</v>
          </cell>
          <cell r="B280" t="str">
            <v>BAITAN_KO</v>
          </cell>
          <cell r="C280">
            <v>9</v>
          </cell>
          <cell r="D280">
            <v>8</v>
          </cell>
        </row>
        <row r="281">
          <cell r="A281" t="str">
            <v>特売単価／個orケース</v>
          </cell>
          <cell r="B281" t="str">
            <v>TKBTAN_KO</v>
          </cell>
          <cell r="C281">
            <v>9</v>
          </cell>
          <cell r="D281">
            <v>8</v>
          </cell>
        </row>
        <row r="282">
          <cell r="A282" t="str">
            <v>原価単価／㎏</v>
          </cell>
          <cell r="B282" t="str">
            <v>GENTAN_KG</v>
          </cell>
          <cell r="C282">
            <v>9</v>
          </cell>
          <cell r="D282">
            <v>8</v>
          </cell>
        </row>
        <row r="283">
          <cell r="A283" t="str">
            <v>売価単価／㎏</v>
          </cell>
          <cell r="B283" t="str">
            <v>BAITAN_KG</v>
          </cell>
          <cell r="C283">
            <v>9</v>
          </cell>
          <cell r="D283">
            <v>8</v>
          </cell>
        </row>
        <row r="284">
          <cell r="A284" t="str">
            <v>特売単価／㎏</v>
          </cell>
          <cell r="B284" t="str">
            <v>TKBTAN_KG</v>
          </cell>
          <cell r="C284">
            <v>9</v>
          </cell>
          <cell r="D284">
            <v>8</v>
          </cell>
        </row>
        <row r="285">
          <cell r="A285" t="str">
            <v>割戻区分</v>
          </cell>
          <cell r="B285" t="str">
            <v>WAIKBN</v>
          </cell>
          <cell r="C285">
            <v>9</v>
          </cell>
          <cell r="D285">
            <v>1</v>
          </cell>
        </row>
        <row r="286">
          <cell r="A286" t="str">
            <v>商品区分</v>
          </cell>
          <cell r="B286" t="str">
            <v>SHOKBN</v>
          </cell>
          <cell r="C286">
            <v>9</v>
          </cell>
          <cell r="D286">
            <v>1</v>
          </cell>
        </row>
        <row r="287">
          <cell r="A287" t="str">
            <v>当月年月日</v>
          </cell>
          <cell r="B287" t="str">
            <v>TOUYMD</v>
          </cell>
          <cell r="C287">
            <v>9</v>
          </cell>
          <cell r="D287">
            <v>8</v>
          </cell>
        </row>
        <row r="288">
          <cell r="A288" t="str">
            <v>翌月年月日</v>
          </cell>
          <cell r="B288" t="str">
            <v>YOKYMD</v>
          </cell>
          <cell r="C288">
            <v>9</v>
          </cell>
          <cell r="D288">
            <v>8</v>
          </cell>
        </row>
        <row r="289">
          <cell r="A289" t="str">
            <v>デポ出庫用伝票区分</v>
          </cell>
          <cell r="B289" t="str">
            <v>DPODENKBN</v>
          </cell>
          <cell r="C289" t="str">
            <v>X</v>
          </cell>
          <cell r="D289">
            <v>2</v>
          </cell>
        </row>
        <row r="290">
          <cell r="A290" t="str">
            <v>メーカー直送用伝票区分</v>
          </cell>
          <cell r="B290" t="str">
            <v>MKODENKBN</v>
          </cell>
          <cell r="C290" t="str">
            <v>X</v>
          </cell>
          <cell r="D290">
            <v>1</v>
          </cell>
        </row>
        <row r="291">
          <cell r="A291" t="str">
            <v>入庫依頼書コメント印字区分</v>
          </cell>
          <cell r="B291" t="str">
            <v>NYUPRKBN</v>
          </cell>
          <cell r="C291" t="str">
            <v>X</v>
          </cell>
          <cell r="D291">
            <v>1</v>
          </cell>
        </row>
        <row r="292">
          <cell r="A292" t="str">
            <v>出庫依頼書コメント印字区分</v>
          </cell>
          <cell r="B292" t="str">
            <v>SYUPRKBN</v>
          </cell>
          <cell r="C292" t="str">
            <v>X</v>
          </cell>
          <cell r="D292">
            <v>1</v>
          </cell>
        </row>
        <row r="293">
          <cell r="A293" t="str">
            <v>入出庫コメント１</v>
          </cell>
          <cell r="B293" t="str">
            <v>NYUSYUCOM1</v>
          </cell>
          <cell r="C293" t="str">
            <v>X</v>
          </cell>
          <cell r="D293">
            <v>30</v>
          </cell>
        </row>
        <row r="294">
          <cell r="A294" t="str">
            <v>入出庫コメント２</v>
          </cell>
          <cell r="B294" t="str">
            <v>NYUSYUCOM2</v>
          </cell>
          <cell r="C294" t="str">
            <v>X</v>
          </cell>
          <cell r="D294">
            <v>30</v>
          </cell>
        </row>
        <row r="295">
          <cell r="A295" t="str">
            <v>消費税率</v>
          </cell>
          <cell r="B295" t="str">
            <v>SYOZEIRITU</v>
          </cell>
          <cell r="C295">
            <v>9</v>
          </cell>
          <cell r="D295">
            <v>2</v>
          </cell>
        </row>
        <row r="296">
          <cell r="A296" t="str">
            <v>消費税率グループ</v>
          </cell>
          <cell r="B296" t="str">
            <v>SYOZEI_G</v>
          </cell>
          <cell r="C296" t="str">
            <v xml:space="preserve"> </v>
          </cell>
          <cell r="D296" t="str">
            <v xml:space="preserve"> </v>
          </cell>
        </row>
        <row r="297">
          <cell r="A297" t="str">
            <v>適用開始年月日</v>
          </cell>
          <cell r="B297" t="str">
            <v>TST_YMD</v>
          </cell>
          <cell r="C297">
            <v>9</v>
          </cell>
          <cell r="D297">
            <v>8</v>
          </cell>
        </row>
        <row r="298">
          <cell r="A298" t="str">
            <v>適用終了年月日</v>
          </cell>
          <cell r="B298" t="str">
            <v>TEN_YMD</v>
          </cell>
          <cell r="C298">
            <v>9</v>
          </cell>
          <cell r="D298">
            <v>8</v>
          </cell>
        </row>
        <row r="299">
          <cell r="A299" t="str">
            <v>消費税単位区分</v>
          </cell>
          <cell r="B299" t="str">
            <v>SYOTANKBN</v>
          </cell>
          <cell r="C299">
            <v>9</v>
          </cell>
          <cell r="D299">
            <v>1</v>
          </cell>
        </row>
        <row r="300">
          <cell r="A300" t="str">
            <v>消費税端数区分</v>
          </cell>
          <cell r="B300" t="str">
            <v>SYOHASKBN</v>
          </cell>
          <cell r="C300">
            <v>9</v>
          </cell>
          <cell r="D300">
            <v>1</v>
          </cell>
        </row>
        <row r="301">
          <cell r="A301" t="str">
            <v>受注伝票区分</v>
          </cell>
          <cell r="B301" t="str">
            <v>JYUDENKBN</v>
          </cell>
          <cell r="C301" t="str">
            <v>X</v>
          </cell>
          <cell r="D301">
            <v>2</v>
          </cell>
        </row>
        <row r="302">
          <cell r="A302" t="str">
            <v>発注済フラグ</v>
          </cell>
          <cell r="B302" t="str">
            <v>HATSUMI</v>
          </cell>
          <cell r="C302" t="str">
            <v>X</v>
          </cell>
          <cell r="D302">
            <v>1</v>
          </cell>
        </row>
        <row r="303">
          <cell r="A303" t="str">
            <v>出荷依頼書№</v>
          </cell>
          <cell r="B303" t="str">
            <v>SYIRAINO</v>
          </cell>
          <cell r="C303">
            <v>9</v>
          </cell>
          <cell r="D303">
            <v>6</v>
          </cell>
        </row>
        <row r="304">
          <cell r="A304" t="str">
            <v>状態</v>
          </cell>
          <cell r="B304" t="str">
            <v>JYOTAI</v>
          </cell>
          <cell r="C304" t="str">
            <v>X</v>
          </cell>
          <cell r="D304">
            <v>6</v>
          </cell>
        </row>
        <row r="305">
          <cell r="A305" t="str">
            <v>枚数</v>
          </cell>
          <cell r="B305" t="str">
            <v>MAISU</v>
          </cell>
          <cell r="C305">
            <v>9</v>
          </cell>
          <cell r="D305">
            <v>3</v>
          </cell>
        </row>
        <row r="306">
          <cell r="A306" t="str">
            <v>処理時間</v>
          </cell>
          <cell r="B306" t="str">
            <v>SYORIHMS</v>
          </cell>
          <cell r="C306">
            <v>9</v>
          </cell>
          <cell r="D306">
            <v>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情報入力画面"/>
      <sheetName val="errMsg一覧"/>
      <sheetName val="選択"/>
      <sheetName val="項目一覧"/>
    </sheetNames>
    <sheetDataSet>
      <sheetData sheetId="0" refreshError="1"/>
      <sheetData sheetId="1" refreshError="1"/>
      <sheetData sheetId="2" refreshError="1"/>
      <sheetData sheetId="3" refreshError="1"/>
      <sheetData sheetId="4" refreshError="1"/>
      <sheetData sheetId="5" refreshError="1">
        <row r="7">
          <cell r="C7" t="str">
            <v>受注番号</v>
          </cell>
        </row>
        <row r="8">
          <cell r="C8" t="str">
            <v>ひらがな[姓]</v>
          </cell>
        </row>
        <row r="9">
          <cell r="C9" t="str">
            <v>ひらがな[名]</v>
          </cell>
        </row>
        <row r="10">
          <cell r="C10" t="str">
            <v>漢字[姓]</v>
          </cell>
        </row>
        <row r="11">
          <cell r="C11" t="str">
            <v>漢字[名]</v>
          </cell>
        </row>
        <row r="12">
          <cell r="C12" t="str">
            <v>性別(Grp)</v>
          </cell>
        </row>
        <row r="13">
          <cell r="C13" t="str">
            <v>生年月日西暦[年]</v>
          </cell>
        </row>
        <row r="14">
          <cell r="C14" t="str">
            <v>生年月日西暦[月]</v>
          </cell>
        </row>
        <row r="15">
          <cell r="C15" t="str">
            <v>生年月日西暦[日]</v>
          </cell>
        </row>
        <row r="16">
          <cell r="C16" t="str">
            <v>郵便番号(上桁)</v>
          </cell>
        </row>
        <row r="17">
          <cell r="C17" t="str">
            <v>郵便番号(下桁)</v>
          </cell>
        </row>
        <row r="18">
          <cell r="C18" t="str">
            <v>都道府県</v>
          </cell>
        </row>
        <row r="19">
          <cell r="C19" t="str">
            <v>市区町村</v>
          </cell>
        </row>
        <row r="20">
          <cell r="C20" t="str">
            <v>所番地</v>
          </cell>
        </row>
        <row r="21">
          <cell r="C21" t="str">
            <v>自宅電話番号1</v>
          </cell>
        </row>
        <row r="22">
          <cell r="C22" t="str">
            <v>自宅電話番号2</v>
          </cell>
        </row>
        <row r="23">
          <cell r="C23" t="str">
            <v>自宅電話番号3</v>
          </cell>
        </row>
        <row r="24">
          <cell r="C24" t="str">
            <v>昼間連絡先の電話番号1</v>
          </cell>
        </row>
        <row r="25">
          <cell r="C25" t="str">
            <v>昼間連絡先の電話番号2</v>
          </cell>
        </row>
        <row r="26">
          <cell r="C26" t="str">
            <v>昼間連絡先の電話番号3</v>
          </cell>
        </row>
        <row r="27">
          <cell r="C27" t="str">
            <v>ファミリータイプ</v>
          </cell>
        </row>
        <row r="28">
          <cell r="C28" t="str">
            <v>マンションタイプ</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b_送電990120"/>
      <sheetName val="ST分析"/>
      <sheetName val="データ"/>
      <sheetName val="前期試薬実績Ｄ"/>
      <sheetName val="キー選択ワーク"/>
      <sheetName val="当期試薬実績Ｄ"/>
      <sheetName val="項目一覧"/>
      <sheetName val="表紙"/>
      <sheetName val="説明"/>
    </sheetNames>
    <sheetDataSet>
      <sheetData sheetId="0"/>
      <sheetData sheetId="1" refreshError="1"/>
      <sheetData sheetId="2" refreshError="1">
        <row r="1">
          <cell r="A1" t="str">
            <v>03</v>
          </cell>
          <cell r="B1" t="str">
            <v>ST</v>
          </cell>
        </row>
        <row r="2">
          <cell r="A2" t="str">
            <v>03</v>
          </cell>
          <cell r="B2" t="str">
            <v>PS</v>
          </cell>
        </row>
        <row r="3">
          <cell r="A3" t="str">
            <v>01</v>
          </cell>
          <cell r="B3" t="str">
            <v>ST</v>
          </cell>
        </row>
        <row r="4">
          <cell r="A4" t="str">
            <v>03</v>
          </cell>
          <cell r="B4" t="str">
            <v>ST</v>
          </cell>
        </row>
        <row r="5">
          <cell r="A5" t="str">
            <v>03</v>
          </cell>
          <cell r="B5" t="str">
            <v>ST</v>
          </cell>
        </row>
        <row r="6">
          <cell r="A6" t="str">
            <v>03</v>
          </cell>
          <cell r="B6" t="str">
            <v>SS</v>
          </cell>
        </row>
        <row r="7">
          <cell r="A7" t="str">
            <v>03</v>
          </cell>
          <cell r="B7" t="str">
            <v>ST</v>
          </cell>
        </row>
        <row r="8">
          <cell r="A8" t="str">
            <v>03</v>
          </cell>
          <cell r="B8" t="str">
            <v>IT</v>
          </cell>
        </row>
        <row r="9">
          <cell r="A9" t="str">
            <v>03</v>
          </cell>
          <cell r="B9" t="str">
            <v>PT</v>
          </cell>
        </row>
        <row r="10">
          <cell r="A10" t="str">
            <v>03</v>
          </cell>
          <cell r="B10" t="str">
            <v>PG</v>
          </cell>
        </row>
        <row r="11">
          <cell r="A11" t="str">
            <v>03</v>
          </cell>
          <cell r="B11" t="str">
            <v>PT</v>
          </cell>
        </row>
        <row r="12">
          <cell r="A12" t="str">
            <v>03</v>
          </cell>
          <cell r="B12" t="str">
            <v>IT</v>
          </cell>
        </row>
        <row r="13">
          <cell r="A13" t="str">
            <v>10</v>
          </cell>
          <cell r="B13" t="str">
            <v>ST</v>
          </cell>
        </row>
        <row r="14">
          <cell r="A14" t="str">
            <v>03</v>
          </cell>
          <cell r="B14" t="str">
            <v>PS</v>
          </cell>
        </row>
        <row r="15">
          <cell r="A15" t="str">
            <v>03</v>
          </cell>
          <cell r="B15" t="str">
            <v>ST</v>
          </cell>
        </row>
        <row r="16">
          <cell r="A16" t="str">
            <v>03</v>
          </cell>
          <cell r="B16" t="str">
            <v>PS</v>
          </cell>
        </row>
        <row r="17">
          <cell r="A17" t="str">
            <v>03</v>
          </cell>
          <cell r="B17" t="str">
            <v>PG</v>
          </cell>
        </row>
        <row r="18">
          <cell r="A18" t="str">
            <v>03</v>
          </cell>
          <cell r="B18" t="str">
            <v>IT</v>
          </cell>
        </row>
        <row r="19">
          <cell r="A19" t="str">
            <v>03</v>
          </cell>
          <cell r="B19" t="str">
            <v>PG</v>
          </cell>
        </row>
        <row r="20">
          <cell r="A20" t="str">
            <v>02</v>
          </cell>
          <cell r="B20" t="str">
            <v>IT</v>
          </cell>
        </row>
        <row r="21">
          <cell r="A21" t="str">
            <v>03</v>
          </cell>
          <cell r="B21" t="str">
            <v>PS</v>
          </cell>
        </row>
        <row r="22">
          <cell r="A22" t="str">
            <v>07</v>
          </cell>
          <cell r="B22" t="str">
            <v>ST</v>
          </cell>
        </row>
        <row r="23">
          <cell r="A23" t="str">
            <v>01</v>
          </cell>
          <cell r="B23" t="str">
            <v>IT</v>
          </cell>
        </row>
        <row r="24">
          <cell r="A24" t="str">
            <v>03</v>
          </cell>
          <cell r="B24" t="str">
            <v>SS</v>
          </cell>
        </row>
        <row r="25">
          <cell r="A25" t="str">
            <v>03</v>
          </cell>
          <cell r="B25" t="str">
            <v>PS</v>
          </cell>
        </row>
        <row r="26">
          <cell r="A26" t="str">
            <v>03</v>
          </cell>
          <cell r="B26" t="str">
            <v>PS</v>
          </cell>
        </row>
        <row r="27">
          <cell r="A27" t="str">
            <v>10</v>
          </cell>
          <cell r="B27" t="str">
            <v>ST</v>
          </cell>
        </row>
        <row r="28">
          <cell r="A28" t="str">
            <v>03</v>
          </cell>
          <cell r="B28" t="str">
            <v>PS</v>
          </cell>
        </row>
        <row r="29">
          <cell r="A29" t="str">
            <v>03</v>
          </cell>
          <cell r="B29" t="str">
            <v>SS</v>
          </cell>
        </row>
        <row r="30">
          <cell r="A30" t="str">
            <v>03</v>
          </cell>
          <cell r="B30" t="str">
            <v>PS</v>
          </cell>
        </row>
        <row r="31">
          <cell r="A31" t="str">
            <v>01</v>
          </cell>
          <cell r="B31" t="str">
            <v>IT</v>
          </cell>
        </row>
        <row r="32">
          <cell r="A32" t="str">
            <v>03</v>
          </cell>
          <cell r="B32" t="str">
            <v>ST</v>
          </cell>
        </row>
        <row r="33">
          <cell r="A33" t="str">
            <v>03</v>
          </cell>
          <cell r="B33" t="str">
            <v>PT</v>
          </cell>
        </row>
        <row r="34">
          <cell r="A34" t="str">
            <v>03</v>
          </cell>
          <cell r="B34" t="str">
            <v>ST</v>
          </cell>
        </row>
        <row r="35">
          <cell r="A35" t="str">
            <v>01</v>
          </cell>
          <cell r="B35" t="str">
            <v>IT</v>
          </cell>
        </row>
        <row r="36">
          <cell r="A36" t="str">
            <v>03</v>
          </cell>
          <cell r="B36" t="str">
            <v>IT</v>
          </cell>
        </row>
        <row r="37">
          <cell r="A37" t="str">
            <v>09</v>
          </cell>
          <cell r="B37" t="str">
            <v>ST</v>
          </cell>
        </row>
        <row r="38">
          <cell r="A38" t="str">
            <v>03</v>
          </cell>
          <cell r="B38" t="str">
            <v>PG</v>
          </cell>
        </row>
        <row r="39">
          <cell r="A39" t="str">
            <v>03</v>
          </cell>
          <cell r="B39" t="str">
            <v>SS</v>
          </cell>
        </row>
        <row r="40">
          <cell r="A40" t="str">
            <v>03</v>
          </cell>
          <cell r="B40" t="str">
            <v>PT</v>
          </cell>
        </row>
        <row r="41">
          <cell r="A41" t="str">
            <v>03</v>
          </cell>
          <cell r="B41" t="str">
            <v>PS</v>
          </cell>
        </row>
        <row r="42">
          <cell r="A42" t="str">
            <v>10</v>
          </cell>
          <cell r="B42" t="str">
            <v>ST</v>
          </cell>
        </row>
        <row r="43">
          <cell r="A43" t="str">
            <v>03</v>
          </cell>
          <cell r="B43" t="str">
            <v>PT</v>
          </cell>
        </row>
        <row r="44">
          <cell r="A44" t="str">
            <v>03</v>
          </cell>
          <cell r="B44" t="str">
            <v>PT</v>
          </cell>
        </row>
        <row r="45">
          <cell r="A45" t="str">
            <v>03</v>
          </cell>
          <cell r="B45" t="str">
            <v>PS</v>
          </cell>
        </row>
        <row r="46">
          <cell r="A46" t="str">
            <v>03</v>
          </cell>
          <cell r="B46" t="str">
            <v>IT</v>
          </cell>
        </row>
        <row r="47">
          <cell r="A47" t="str">
            <v>03</v>
          </cell>
          <cell r="B47" t="str">
            <v>ST</v>
          </cell>
        </row>
        <row r="48">
          <cell r="A48" t="str">
            <v>03</v>
          </cell>
          <cell r="B48" t="str">
            <v>SS</v>
          </cell>
        </row>
        <row r="49">
          <cell r="A49" t="str">
            <v>03</v>
          </cell>
          <cell r="B49" t="str">
            <v>SS</v>
          </cell>
        </row>
        <row r="50">
          <cell r="A50" t="str">
            <v>03</v>
          </cell>
          <cell r="B50" t="str">
            <v>PS</v>
          </cell>
        </row>
        <row r="51">
          <cell r="A51" t="str">
            <v>01</v>
          </cell>
          <cell r="B51" t="str">
            <v>IT</v>
          </cell>
        </row>
        <row r="52">
          <cell r="A52" t="str">
            <v>01</v>
          </cell>
          <cell r="B52" t="str">
            <v>ST</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サービスコーステーブル"/>
      <sheetName val="品目テーブル"/>
      <sheetName val="料金科目テーブル"/>
      <sheetName val="ＫＲＩＳ合成料金科目"/>
      <sheetName val="はじめに"/>
      <sheetName val="モデル"/>
      <sheetName val="テーブル"/>
      <sheetName val="DABINCI料金科目"/>
      <sheetName val="マトリクス"/>
      <sheetName val="ヘッダ"/>
      <sheetName val="データ"/>
    </sheetNames>
    <sheetDataSet>
      <sheetData sheetId="0" refreshError="1"/>
      <sheetData sheetId="1" refreshError="1"/>
      <sheetData sheetId="2" refreshError="1">
        <row r="1">
          <cell r="F1" t="str">
            <v>下５桁</v>
          </cell>
          <cell r="G1" t="str">
            <v>見出し名</v>
          </cell>
          <cell r="H1" t="str">
            <v>料金名称（４層）</v>
          </cell>
          <cell r="I1" t="str">
            <v>文字数</v>
          </cell>
          <cell r="J1" t="str">
            <v>（４層補足）</v>
          </cell>
          <cell r="K1" t="str">
            <v>出力順</v>
          </cell>
          <cell r="L1" t="str">
            <v>ｺﾐｯｼｮﾝ</v>
          </cell>
          <cell r="M1" t="str">
            <v>ﾎﾟｲﾝﾄ</v>
          </cell>
          <cell r="N1" t="str">
            <v>課税ﾌﾗｸﾞ</v>
          </cell>
        </row>
        <row r="2">
          <cell r="F2" t="str">
            <v>0000001</v>
          </cell>
          <cell r="G2" t="str">
            <v>登録料</v>
          </cell>
          <cell r="H2" t="str">
            <v>ＤＩＯＮインターネットアクセス</v>
          </cell>
          <cell r="I2">
            <v>15</v>
          </cell>
          <cell r="J2" t="str">
            <v>なし</v>
          </cell>
          <cell r="K2" t="str">
            <v>1</v>
          </cell>
          <cell r="L2" t="str">
            <v>対象</v>
          </cell>
          <cell r="M2" t="str">
            <v>対象</v>
          </cell>
          <cell r="N2" t="str">
            <v>課税</v>
          </cell>
        </row>
        <row r="3">
          <cell r="F3" t="str">
            <v>0000002</v>
          </cell>
          <cell r="G3" t="str">
            <v>初期費用</v>
          </cell>
          <cell r="H3" t="str">
            <v>ＤＩＯＮ　ＡＤＳＬコース</v>
          </cell>
          <cell r="I3">
            <v>12</v>
          </cell>
          <cell r="J3" t="str">
            <v>なし</v>
          </cell>
          <cell r="K3">
            <v>1</v>
          </cell>
          <cell r="L3" t="str">
            <v>対象</v>
          </cell>
          <cell r="M3" t="str">
            <v>対象</v>
          </cell>
          <cell r="N3" t="str">
            <v>課税</v>
          </cell>
        </row>
        <row r="4">
          <cell r="F4" t="str">
            <v>0000004</v>
          </cell>
          <cell r="G4" t="str">
            <v>登録料</v>
          </cell>
          <cell r="H4" t="str">
            <v>モバイルＧＢ</v>
          </cell>
          <cell r="I4">
            <v>6</v>
          </cell>
          <cell r="N4" t="str">
            <v>課税</v>
          </cell>
        </row>
        <row r="5">
          <cell r="F5" t="str">
            <v>0000005</v>
          </cell>
          <cell r="G5" t="str">
            <v>加入料</v>
          </cell>
          <cell r="H5" t="str">
            <v>メールインワンＦＡＸ</v>
          </cell>
          <cell r="I5">
            <v>10</v>
          </cell>
          <cell r="N5" t="str">
            <v>課税</v>
          </cell>
        </row>
        <row r="6">
          <cell r="F6" t="str">
            <v>0000006</v>
          </cell>
          <cell r="G6" t="str">
            <v>登録料</v>
          </cell>
          <cell r="H6" t="str">
            <v>メールインワンＦＡＸ</v>
          </cell>
          <cell r="I6">
            <v>10</v>
          </cell>
          <cell r="N6" t="str">
            <v>課税</v>
          </cell>
        </row>
        <row r="7">
          <cell r="F7" t="str">
            <v>0000007</v>
          </cell>
          <cell r="G7" t="str">
            <v>初期費用</v>
          </cell>
          <cell r="H7" t="str">
            <v>ＶＡ</v>
          </cell>
          <cell r="I7">
            <v>2</v>
          </cell>
          <cell r="N7" t="str">
            <v>課税</v>
          </cell>
        </row>
        <row r="8">
          <cell r="F8" t="str">
            <v>0000010</v>
          </cell>
          <cell r="G8" t="str">
            <v>初期費用</v>
          </cell>
          <cell r="H8" t="str">
            <v>ｅ＊Ｔｅｍｐｏ</v>
          </cell>
          <cell r="I8">
            <v>7</v>
          </cell>
          <cell r="N8" t="str">
            <v>課税</v>
          </cell>
        </row>
        <row r="9">
          <cell r="F9" t="str">
            <v>0000011</v>
          </cell>
          <cell r="G9" t="str">
            <v>初期費用</v>
          </cell>
          <cell r="H9" t="str">
            <v>ＤＩＯＮショッピングパレード</v>
          </cell>
          <cell r="I9">
            <v>14</v>
          </cell>
          <cell r="N9" t="str">
            <v>課税</v>
          </cell>
        </row>
        <row r="10">
          <cell r="F10" t="str">
            <v>0000012</v>
          </cell>
          <cell r="G10" t="str">
            <v>初期費用</v>
          </cell>
          <cell r="H10" t="str">
            <v>ＰａｙＣｏｕｎｔｅｒ</v>
          </cell>
          <cell r="I10">
            <v>10</v>
          </cell>
          <cell r="N10" t="str">
            <v>課税</v>
          </cell>
        </row>
        <row r="11">
          <cell r="F11" t="str">
            <v>0000013</v>
          </cell>
          <cell r="G11" t="str">
            <v>初期費用</v>
          </cell>
          <cell r="H11" t="str">
            <v>”Ｆ”マンション</v>
          </cell>
          <cell r="I11">
            <v>8</v>
          </cell>
          <cell r="N11" t="str">
            <v>課税</v>
          </cell>
        </row>
        <row r="12">
          <cell r="F12" t="str">
            <v>0000101</v>
          </cell>
          <cell r="G12" t="str">
            <v>変更料</v>
          </cell>
          <cell r="H12" t="str">
            <v>ＤＩＯＮ品目変更</v>
          </cell>
          <cell r="I12">
            <v>8</v>
          </cell>
          <cell r="J12" t="str">
            <v>なし</v>
          </cell>
          <cell r="K12" t="str">
            <v>2</v>
          </cell>
          <cell r="L12" t="str">
            <v>対象</v>
          </cell>
          <cell r="M12" t="str">
            <v>対象</v>
          </cell>
          <cell r="N12" t="str">
            <v>課税</v>
          </cell>
        </row>
        <row r="13">
          <cell r="F13" t="str">
            <v>0000102</v>
          </cell>
          <cell r="G13" t="str">
            <v>変更料</v>
          </cell>
          <cell r="H13" t="str">
            <v>ＤＩＯＮ　ＡＤＳＬコース変更</v>
          </cell>
          <cell r="I13">
            <v>14</v>
          </cell>
          <cell r="J13" t="str">
            <v>なし</v>
          </cell>
          <cell r="K13">
            <v>2</v>
          </cell>
          <cell r="L13" t="str">
            <v>対象</v>
          </cell>
          <cell r="M13" t="str">
            <v>対象</v>
          </cell>
          <cell r="N13" t="str">
            <v>課税</v>
          </cell>
        </row>
        <row r="14">
          <cell r="F14" t="str">
            <v>0000202</v>
          </cell>
          <cell r="G14" t="str">
            <v>初期費用</v>
          </cell>
          <cell r="H14" t="str">
            <v>ＤＩＯＮ　ＡＤＳＬコース</v>
          </cell>
          <cell r="I14">
            <v>12</v>
          </cell>
          <cell r="J14" t="str">
            <v>なし</v>
          </cell>
          <cell r="K14">
            <v>3</v>
          </cell>
          <cell r="L14" t="str">
            <v>対象</v>
          </cell>
          <cell r="M14" t="str">
            <v>対象</v>
          </cell>
          <cell r="N14" t="str">
            <v>課税</v>
          </cell>
        </row>
        <row r="15">
          <cell r="F15" t="str">
            <v>0000213</v>
          </cell>
          <cell r="G15" t="str">
            <v>初期費用</v>
          </cell>
          <cell r="H15" t="str">
            <v>モデム追加料金</v>
          </cell>
          <cell r="I15">
            <v>7</v>
          </cell>
          <cell r="N15" t="str">
            <v>課税</v>
          </cell>
        </row>
        <row r="16">
          <cell r="F16" t="str">
            <v>0000216</v>
          </cell>
          <cell r="G16" t="str">
            <v>登録料</v>
          </cell>
          <cell r="H16" t="str">
            <v>ＩＰ電話登録料（内蔵型）</v>
          </cell>
          <cell r="I16">
            <v>12</v>
          </cell>
          <cell r="N16" t="str">
            <v>課税</v>
          </cell>
        </row>
        <row r="17">
          <cell r="F17" t="str">
            <v>0000302</v>
          </cell>
          <cell r="G17" t="str">
            <v>機器販売</v>
          </cell>
          <cell r="H17" t="str">
            <v>ＡＤＳＬモデム（ＵＳＢ）</v>
          </cell>
          <cell r="I17">
            <v>12</v>
          </cell>
          <cell r="N17" t="str">
            <v>課税</v>
          </cell>
        </row>
        <row r="18">
          <cell r="F18" t="str">
            <v>0000313</v>
          </cell>
          <cell r="G18" t="str">
            <v>初期費用</v>
          </cell>
          <cell r="H18" t="str">
            <v>フィルタ追加料金</v>
          </cell>
          <cell r="I18">
            <v>8</v>
          </cell>
          <cell r="N18" t="str">
            <v>課税</v>
          </cell>
        </row>
        <row r="19">
          <cell r="F19" t="str">
            <v>0000316</v>
          </cell>
          <cell r="G19" t="str">
            <v>登録料</v>
          </cell>
          <cell r="H19" t="str">
            <v>ＩＰ電話登録料（外付け型）</v>
          </cell>
          <cell r="I19">
            <v>13</v>
          </cell>
          <cell r="N19" t="str">
            <v>課税</v>
          </cell>
        </row>
        <row r="20">
          <cell r="F20" t="str">
            <v>0000402</v>
          </cell>
          <cell r="G20" t="str">
            <v>機器販売</v>
          </cell>
          <cell r="H20" t="str">
            <v>ＡＤＳＬモデム（ＵＳＢ）</v>
          </cell>
          <cell r="I20">
            <v>12</v>
          </cell>
          <cell r="N20" t="str">
            <v>課税</v>
          </cell>
        </row>
        <row r="21">
          <cell r="F21" t="str">
            <v>0000502</v>
          </cell>
          <cell r="G21" t="str">
            <v>機器販売</v>
          </cell>
          <cell r="H21" t="str">
            <v>ＡＤＳＬモデム（１０Ｂａｓｅ－Ｔ）</v>
          </cell>
          <cell r="I21">
            <v>17</v>
          </cell>
          <cell r="N21" t="str">
            <v>課税</v>
          </cell>
        </row>
        <row r="22">
          <cell r="F22" t="str">
            <v>0000602</v>
          </cell>
          <cell r="G22" t="str">
            <v>機器販売</v>
          </cell>
          <cell r="H22" t="str">
            <v>ＡＤＳＬモデム（１０Ｂａｓｅ－Ｔ）</v>
          </cell>
          <cell r="I22">
            <v>17</v>
          </cell>
          <cell r="N22" t="str">
            <v>課税</v>
          </cell>
        </row>
        <row r="23">
          <cell r="F23" t="str">
            <v>0000702</v>
          </cell>
          <cell r="G23" t="str">
            <v>機器販売</v>
          </cell>
          <cell r="H23" t="str">
            <v>スプリッタ</v>
          </cell>
          <cell r="I23">
            <v>5</v>
          </cell>
          <cell r="N23" t="str">
            <v>課税</v>
          </cell>
        </row>
        <row r="24">
          <cell r="F24" t="str">
            <v>0000802</v>
          </cell>
          <cell r="G24" t="str">
            <v>機器販売</v>
          </cell>
          <cell r="H24" t="str">
            <v>ＡＤＳＬモデム（ＵＳＢ）</v>
          </cell>
          <cell r="I24">
            <v>12</v>
          </cell>
          <cell r="N24" t="str">
            <v>課税</v>
          </cell>
        </row>
        <row r="25">
          <cell r="F25" t="str">
            <v>0000902</v>
          </cell>
          <cell r="G25" t="str">
            <v>機器販売</v>
          </cell>
          <cell r="H25" t="str">
            <v>ＡＤＳＬモデム（ＵＳＢ）</v>
          </cell>
          <cell r="I25">
            <v>12</v>
          </cell>
          <cell r="N25" t="str">
            <v>課税</v>
          </cell>
        </row>
        <row r="26">
          <cell r="F26" t="str">
            <v>0001002</v>
          </cell>
          <cell r="G26" t="str">
            <v>工事料</v>
          </cell>
          <cell r="H26" t="str">
            <v>ＡＤＳＬモデム設置工事</v>
          </cell>
          <cell r="I26">
            <v>11</v>
          </cell>
          <cell r="J26" t="str">
            <v>なし</v>
          </cell>
          <cell r="K26">
            <v>4</v>
          </cell>
          <cell r="L26" t="str">
            <v>対象</v>
          </cell>
          <cell r="M26" t="str">
            <v>対象</v>
          </cell>
          <cell r="N26" t="str">
            <v>課税</v>
          </cell>
        </row>
        <row r="27">
          <cell r="F27" t="str">
            <v>0001007</v>
          </cell>
          <cell r="G27" t="str">
            <v>変更料</v>
          </cell>
          <cell r="H27" t="str">
            <v>グループ名変更料</v>
          </cell>
          <cell r="I27">
            <v>8</v>
          </cell>
          <cell r="N27" t="str">
            <v>課税</v>
          </cell>
        </row>
        <row r="28">
          <cell r="F28" t="str">
            <v>0001016</v>
          </cell>
          <cell r="G28" t="str">
            <v>工事料</v>
          </cell>
          <cell r="H28" t="str">
            <v>宅内機器設置工事料</v>
          </cell>
          <cell r="I28">
            <v>9</v>
          </cell>
          <cell r="N28" t="str">
            <v>課税</v>
          </cell>
        </row>
        <row r="29">
          <cell r="F29" t="str">
            <v>0001102</v>
          </cell>
          <cell r="G29" t="str">
            <v>工事料</v>
          </cell>
          <cell r="H29" t="str">
            <v>ＮＴＴ（電話共用（交換機工事））</v>
          </cell>
          <cell r="I29">
            <v>16</v>
          </cell>
          <cell r="J29" t="str">
            <v>なし</v>
          </cell>
          <cell r="K29">
            <v>5</v>
          </cell>
          <cell r="L29" t="str">
            <v>対象</v>
          </cell>
          <cell r="M29" t="str">
            <v>対象</v>
          </cell>
          <cell r="N29" t="str">
            <v>課税</v>
          </cell>
        </row>
        <row r="30">
          <cell r="F30" t="str">
            <v>0001113</v>
          </cell>
          <cell r="G30" t="str">
            <v>工事料</v>
          </cell>
          <cell r="H30" t="str">
            <v>モデム設置派遣工事費</v>
          </cell>
          <cell r="I30">
            <v>10</v>
          </cell>
          <cell r="N30" t="str">
            <v>課税</v>
          </cell>
        </row>
        <row r="31">
          <cell r="F31" t="str">
            <v>0001116</v>
          </cell>
          <cell r="G31" t="str">
            <v>変更料</v>
          </cell>
          <cell r="H31" t="str">
            <v>宅内機器変更手数料</v>
          </cell>
          <cell r="I31">
            <v>9</v>
          </cell>
          <cell r="N31" t="str">
            <v>課税</v>
          </cell>
        </row>
        <row r="32">
          <cell r="F32" t="str">
            <v>0001202</v>
          </cell>
          <cell r="G32" t="str">
            <v>工事料</v>
          </cell>
          <cell r="H32" t="str">
            <v>ＮＴＴ（電話共用（交換機工事他））</v>
          </cell>
          <cell r="I32">
            <v>17</v>
          </cell>
          <cell r="J32" t="str">
            <v>なし</v>
          </cell>
          <cell r="K32">
            <v>6</v>
          </cell>
          <cell r="L32" t="str">
            <v>対象</v>
          </cell>
          <cell r="M32" t="str">
            <v>対象</v>
          </cell>
          <cell r="N32" t="str">
            <v>課税</v>
          </cell>
        </row>
        <row r="33">
          <cell r="F33" t="str">
            <v>0001213</v>
          </cell>
          <cell r="G33" t="str">
            <v>工事料</v>
          </cell>
          <cell r="H33" t="str">
            <v>モデム撤去派遣工事料</v>
          </cell>
          <cell r="I33">
            <v>10</v>
          </cell>
          <cell r="N33" t="str">
            <v>課税</v>
          </cell>
        </row>
        <row r="34">
          <cell r="F34" t="str">
            <v>0001302</v>
          </cell>
          <cell r="G34" t="str">
            <v>工事料</v>
          </cell>
          <cell r="H34" t="str">
            <v>ＮＴＴ（ＡＤＳＬ専用（交換機工事））</v>
          </cell>
          <cell r="I34">
            <v>18</v>
          </cell>
          <cell r="N34" t="str">
            <v>課税</v>
          </cell>
        </row>
        <row r="35">
          <cell r="F35" t="str">
            <v>0001313</v>
          </cell>
          <cell r="G35" t="str">
            <v>工事料</v>
          </cell>
          <cell r="H35" t="str">
            <v>モデム変更工事費</v>
          </cell>
          <cell r="I35">
            <v>8</v>
          </cell>
          <cell r="N35" t="str">
            <v>課税</v>
          </cell>
        </row>
        <row r="36">
          <cell r="F36" t="str">
            <v>0001402</v>
          </cell>
          <cell r="G36" t="str">
            <v>工事料</v>
          </cell>
          <cell r="H36" t="str">
            <v>ＮＴＴ（ＡＤＳＬ専用（交換機工事他））</v>
          </cell>
          <cell r="I36">
            <v>19</v>
          </cell>
          <cell r="N36" t="str">
            <v>課税</v>
          </cell>
        </row>
        <row r="37">
          <cell r="F37" t="str">
            <v>0001413</v>
          </cell>
          <cell r="G37" t="str">
            <v>工事料</v>
          </cell>
          <cell r="H37" t="str">
            <v>回線変更工事費</v>
          </cell>
          <cell r="I37">
            <v>7</v>
          </cell>
          <cell r="N37" t="str">
            <v>課税</v>
          </cell>
        </row>
        <row r="38">
          <cell r="F38" t="str">
            <v>0001502</v>
          </cell>
          <cell r="G38" t="str">
            <v>工事料</v>
          </cell>
          <cell r="H38" t="str">
            <v>モデム撤去工事料</v>
          </cell>
          <cell r="I38">
            <v>8</v>
          </cell>
          <cell r="N38" t="str">
            <v>課税</v>
          </cell>
        </row>
        <row r="39">
          <cell r="F39" t="str">
            <v>0001513</v>
          </cell>
          <cell r="G39" t="str">
            <v>工事料</v>
          </cell>
          <cell r="H39" t="str">
            <v>個別工事費</v>
          </cell>
          <cell r="I39">
            <v>5</v>
          </cell>
          <cell r="N39" t="str">
            <v>課税</v>
          </cell>
        </row>
        <row r="40">
          <cell r="F40" t="str">
            <v>0001602</v>
          </cell>
          <cell r="G40" t="str">
            <v>工事料</v>
          </cell>
          <cell r="H40" t="str">
            <v>回線変更工事料</v>
          </cell>
          <cell r="I40">
            <v>7</v>
          </cell>
          <cell r="N40" t="str">
            <v>課税</v>
          </cell>
        </row>
        <row r="41">
          <cell r="F41" t="str">
            <v>0001613</v>
          </cell>
          <cell r="G41" t="str">
            <v>工事料</v>
          </cell>
          <cell r="H41" t="str">
            <v>サテライト工事費</v>
          </cell>
          <cell r="I41">
            <v>8</v>
          </cell>
          <cell r="N41" t="str">
            <v>課税</v>
          </cell>
        </row>
        <row r="42">
          <cell r="F42" t="str">
            <v>0001702</v>
          </cell>
          <cell r="G42" t="str">
            <v>工事料</v>
          </cell>
          <cell r="H42" t="str">
            <v>ＡＤＳＬモデムタイプ変更工事料</v>
          </cell>
          <cell r="I42">
            <v>15</v>
          </cell>
          <cell r="N42" t="str">
            <v>課税</v>
          </cell>
        </row>
        <row r="43">
          <cell r="F43" t="str">
            <v>0001802</v>
          </cell>
          <cell r="G43" t="str">
            <v>工事料</v>
          </cell>
          <cell r="H43" t="str">
            <v>スプリッタ追加工事料</v>
          </cell>
          <cell r="I43">
            <v>10</v>
          </cell>
          <cell r="N43" t="str">
            <v>課税</v>
          </cell>
        </row>
        <row r="44">
          <cell r="F44" t="str">
            <v>0001902</v>
          </cell>
          <cell r="G44" t="str">
            <v>機器販売</v>
          </cell>
          <cell r="H44" t="str">
            <v>スプリッタ追加販売料</v>
          </cell>
          <cell r="I44">
            <v>10</v>
          </cell>
          <cell r="N44" t="str">
            <v>課税</v>
          </cell>
        </row>
        <row r="45">
          <cell r="F45" t="str">
            <v>0002002</v>
          </cell>
          <cell r="G45" t="str">
            <v>工事料</v>
          </cell>
          <cell r="H45" t="str">
            <v>ＡＤＳＬモデム追加設置工事料</v>
          </cell>
          <cell r="I45">
            <v>14</v>
          </cell>
          <cell r="N45" t="str">
            <v>課税</v>
          </cell>
        </row>
        <row r="46">
          <cell r="F46" t="str">
            <v>0002102</v>
          </cell>
          <cell r="G46" t="str">
            <v>工事料</v>
          </cell>
          <cell r="H46" t="str">
            <v>委託工事料（スプリッタ）</v>
          </cell>
          <cell r="I46">
            <v>12</v>
          </cell>
          <cell r="N46" t="str">
            <v>課税</v>
          </cell>
        </row>
        <row r="47">
          <cell r="F47" t="str">
            <v>0002202</v>
          </cell>
          <cell r="G47" t="str">
            <v>工事料</v>
          </cell>
          <cell r="H47" t="str">
            <v>保安器交換工事料</v>
          </cell>
          <cell r="I47">
            <v>8</v>
          </cell>
          <cell r="N47" t="str">
            <v>課税</v>
          </cell>
        </row>
        <row r="48">
          <cell r="F48" t="str">
            <v>0002302</v>
          </cell>
          <cell r="G48" t="str">
            <v>工事料</v>
          </cell>
          <cell r="H48" t="str">
            <v>光収容変更工事料</v>
          </cell>
          <cell r="I48">
            <v>8</v>
          </cell>
          <cell r="N48" t="str">
            <v>課税</v>
          </cell>
        </row>
        <row r="49">
          <cell r="F49" t="str">
            <v>0002402</v>
          </cell>
          <cell r="G49" t="str">
            <v>工事料</v>
          </cell>
          <cell r="H49" t="str">
            <v>ＮＴＴ回線調整工事料（基本）</v>
          </cell>
          <cell r="I49">
            <v>14</v>
          </cell>
          <cell r="N49" t="str">
            <v>課税</v>
          </cell>
        </row>
        <row r="50">
          <cell r="F50" t="str">
            <v>0002502</v>
          </cell>
          <cell r="G50" t="str">
            <v>工事料</v>
          </cell>
          <cell r="H50" t="str">
            <v>ＮＴＴ回線調整工事料（回線収容替え）</v>
          </cell>
          <cell r="I50">
            <v>18</v>
          </cell>
          <cell r="N50" t="str">
            <v>課税</v>
          </cell>
        </row>
        <row r="51">
          <cell r="F51" t="str">
            <v>0002602</v>
          </cell>
          <cell r="G51" t="str">
            <v>工事料</v>
          </cell>
          <cell r="H51" t="str">
            <v>ＮＴＴ回線調整工事料（ＢＴ外し）</v>
          </cell>
          <cell r="I51">
            <v>16</v>
          </cell>
          <cell r="N51" t="str">
            <v>課税</v>
          </cell>
        </row>
        <row r="52">
          <cell r="F52" t="str">
            <v>0002702</v>
          </cell>
          <cell r="G52" t="str">
            <v>工事料</v>
          </cell>
          <cell r="H52" t="str">
            <v>回線申込手続費</v>
          </cell>
          <cell r="I52">
            <v>7</v>
          </cell>
          <cell r="N52" t="str">
            <v>課税</v>
          </cell>
        </row>
        <row r="53">
          <cell r="F53" t="str">
            <v>0002802</v>
          </cell>
          <cell r="G53" t="str">
            <v>工事料</v>
          </cell>
          <cell r="H53" t="str">
            <v>プロトコル変更工事料</v>
          </cell>
          <cell r="I53">
            <v>10</v>
          </cell>
          <cell r="N53" t="str">
            <v>課税</v>
          </cell>
        </row>
        <row r="54">
          <cell r="F54" t="str">
            <v>0002902</v>
          </cell>
          <cell r="G54" t="str">
            <v>工事料</v>
          </cell>
          <cell r="H54" t="str">
            <v>その他工事料</v>
          </cell>
          <cell r="I54">
            <v>6</v>
          </cell>
          <cell r="N54" t="str">
            <v>課税</v>
          </cell>
        </row>
        <row r="55">
          <cell r="F55" t="str">
            <v>0003102</v>
          </cell>
          <cell r="G55" t="str">
            <v>違約金</v>
          </cell>
          <cell r="H55" t="str">
            <v>モデム未回収</v>
          </cell>
          <cell r="I55">
            <v>6</v>
          </cell>
          <cell r="N55" t="str">
            <v>課税</v>
          </cell>
        </row>
        <row r="56">
          <cell r="F56" t="str">
            <v>0003116</v>
          </cell>
          <cell r="G56" t="str">
            <v>違約金</v>
          </cell>
          <cell r="H56" t="str">
            <v>ＩＰ電話用宅内機器違約金</v>
          </cell>
          <cell r="I56">
            <v>12</v>
          </cell>
          <cell r="N56" t="str">
            <v>課税</v>
          </cell>
        </row>
        <row r="57">
          <cell r="F57" t="str">
            <v>0003202</v>
          </cell>
          <cell r="G57" t="str">
            <v>違約金</v>
          </cell>
          <cell r="H57" t="str">
            <v>モデム未回収</v>
          </cell>
          <cell r="I57">
            <v>6</v>
          </cell>
          <cell r="N57" t="str">
            <v>課税</v>
          </cell>
        </row>
        <row r="58">
          <cell r="F58" t="str">
            <v>0004001</v>
          </cell>
          <cell r="G58" t="str">
            <v>通信料</v>
          </cell>
          <cell r="H58" t="str">
            <v>ＤＩＯＮ月額利用料</v>
          </cell>
          <cell r="I58">
            <v>9</v>
          </cell>
          <cell r="J58" t="str">
            <v>なし</v>
          </cell>
          <cell r="K58" t="str">
            <v>3</v>
          </cell>
          <cell r="L58" t="str">
            <v>対象</v>
          </cell>
          <cell r="M58" t="str">
            <v>対象</v>
          </cell>
          <cell r="N58" t="str">
            <v>課税</v>
          </cell>
        </row>
        <row r="59">
          <cell r="F59" t="str">
            <v>0004002</v>
          </cell>
          <cell r="G59" t="str">
            <v>利用料</v>
          </cell>
          <cell r="H59" t="str">
            <v>月額利用料（ＡＤＳＬ電話共用）</v>
          </cell>
          <cell r="I59">
            <v>15</v>
          </cell>
          <cell r="N59" t="str">
            <v>課税</v>
          </cell>
        </row>
        <row r="60">
          <cell r="F60" t="str">
            <v>0004003</v>
          </cell>
          <cell r="G60" t="str">
            <v>通信料</v>
          </cell>
          <cell r="H60" t="str">
            <v>月額利用料（Ｎｅｗｅｂ）</v>
          </cell>
          <cell r="I60">
            <v>12</v>
          </cell>
          <cell r="N60" t="str">
            <v>課税</v>
          </cell>
        </row>
        <row r="61">
          <cell r="F61" t="str">
            <v>0004005</v>
          </cell>
          <cell r="G61" t="str">
            <v>通信料</v>
          </cell>
          <cell r="H61" t="str">
            <v>月額利用料（メールインワンＦＡＸ）</v>
          </cell>
          <cell r="I61">
            <v>17</v>
          </cell>
          <cell r="N61" t="str">
            <v>課税</v>
          </cell>
        </row>
        <row r="62">
          <cell r="F62" t="str">
            <v>0004006</v>
          </cell>
          <cell r="G62" t="str">
            <v>通信料</v>
          </cell>
          <cell r="H62" t="str">
            <v>月額利用料（メールインワンＦＡＸ）</v>
          </cell>
          <cell r="I62">
            <v>17</v>
          </cell>
          <cell r="N62" t="str">
            <v>課税</v>
          </cell>
        </row>
        <row r="63">
          <cell r="F63" t="str">
            <v>0004010</v>
          </cell>
          <cell r="G63" t="str">
            <v>利用料</v>
          </cell>
          <cell r="H63" t="str">
            <v>月額基本料（ｅ＊Ｔｅｍｐｏ）</v>
          </cell>
          <cell r="I63">
            <v>14</v>
          </cell>
          <cell r="N63" t="str">
            <v>課税</v>
          </cell>
        </row>
        <row r="64">
          <cell r="F64" t="str">
            <v>0004011</v>
          </cell>
          <cell r="G64" t="str">
            <v>利用料</v>
          </cell>
          <cell r="H64" t="str">
            <v>月額基本料（ショッピングパレード）</v>
          </cell>
          <cell r="I64">
            <v>17</v>
          </cell>
          <cell r="N64" t="str">
            <v>課税</v>
          </cell>
        </row>
        <row r="65">
          <cell r="F65" t="str">
            <v>0004013</v>
          </cell>
          <cell r="G65" t="str">
            <v>利用料</v>
          </cell>
          <cell r="H65" t="str">
            <v>月額利用料（”Ｆ”マンション）</v>
          </cell>
          <cell r="I65">
            <v>15</v>
          </cell>
          <cell r="N65" t="str">
            <v>課税</v>
          </cell>
        </row>
        <row r="66">
          <cell r="F66" t="str">
            <v>0004016</v>
          </cell>
          <cell r="G66" t="str">
            <v>利用料</v>
          </cell>
          <cell r="H66" t="str">
            <v>月額利用料（ＩＰ電話）</v>
          </cell>
          <cell r="I66">
            <v>11</v>
          </cell>
          <cell r="N66" t="str">
            <v>課税</v>
          </cell>
        </row>
        <row r="67">
          <cell r="F67" t="str">
            <v>0004102</v>
          </cell>
          <cell r="G67" t="str">
            <v>利用料</v>
          </cell>
          <cell r="H67" t="str">
            <v>月額利用料（ＡＤＳＬ専用）</v>
          </cell>
          <cell r="I67">
            <v>13</v>
          </cell>
          <cell r="N67" t="str">
            <v>課税</v>
          </cell>
        </row>
        <row r="68">
          <cell r="F68" t="str">
            <v>0004602</v>
          </cell>
          <cell r="G68" t="str">
            <v>回線使用料</v>
          </cell>
          <cell r="H68" t="str">
            <v>ＮＴＴ回線使用料（電話共用）</v>
          </cell>
          <cell r="I68">
            <v>14</v>
          </cell>
          <cell r="N68" t="str">
            <v>課税</v>
          </cell>
        </row>
        <row r="69">
          <cell r="F69" t="str">
            <v>0004702</v>
          </cell>
          <cell r="G69" t="str">
            <v>回線使用料</v>
          </cell>
          <cell r="H69" t="str">
            <v>ＮＴＴ回線使用料（ＡＤＳＬ専用）</v>
          </cell>
          <cell r="I69">
            <v>16</v>
          </cell>
          <cell r="N69" t="str">
            <v>課税</v>
          </cell>
        </row>
        <row r="70">
          <cell r="F70" t="str">
            <v>0005013</v>
          </cell>
          <cell r="G70" t="str">
            <v>利用料</v>
          </cell>
          <cell r="H70" t="str">
            <v>月額料金（”Ｆ”マンション）</v>
          </cell>
          <cell r="I70">
            <v>14</v>
          </cell>
          <cell r="J70" t="str">
            <v>DABINCI利用量</v>
          </cell>
          <cell r="N70" t="str">
            <v>課税</v>
          </cell>
        </row>
        <row r="71">
          <cell r="F71" t="str">
            <v>0006001</v>
          </cell>
          <cell r="G71" t="str">
            <v>割引額</v>
          </cell>
          <cell r="H71" t="str">
            <v>割引キャンペーン</v>
          </cell>
          <cell r="I71">
            <v>8</v>
          </cell>
          <cell r="J71" t="str">
            <v>なし</v>
          </cell>
          <cell r="K71" t="str">
            <v>6</v>
          </cell>
          <cell r="L71" t="str">
            <v>対象</v>
          </cell>
          <cell r="M71" t="str">
            <v>対象</v>
          </cell>
          <cell r="N71" t="str">
            <v>課税</v>
          </cell>
        </row>
        <row r="72">
          <cell r="F72" t="str">
            <v>0006010</v>
          </cell>
          <cell r="G72" t="str">
            <v>割引額</v>
          </cell>
          <cell r="H72" t="str">
            <v>（ボリュームディスカウントプランＡ）</v>
          </cell>
          <cell r="I72">
            <v>18</v>
          </cell>
          <cell r="N72" t="str">
            <v>課税</v>
          </cell>
        </row>
        <row r="73">
          <cell r="F73" t="str">
            <v>0006102</v>
          </cell>
          <cell r="G73" t="str">
            <v>割引額</v>
          </cell>
          <cell r="H73" t="str">
            <v>初期費用割引（ＡＤＳＬキャンペーン）</v>
          </cell>
          <cell r="I73">
            <v>18</v>
          </cell>
          <cell r="N73" t="str">
            <v>課税</v>
          </cell>
        </row>
        <row r="74">
          <cell r="F74" t="str">
            <v>0006110</v>
          </cell>
          <cell r="G74" t="str">
            <v>割引額</v>
          </cell>
          <cell r="H74" t="str">
            <v>（ボリュームディスカウントプランＢ）</v>
          </cell>
          <cell r="I74">
            <v>18</v>
          </cell>
          <cell r="N74" t="str">
            <v>課税</v>
          </cell>
        </row>
        <row r="75">
          <cell r="F75" t="str">
            <v>0006201</v>
          </cell>
          <cell r="G75" t="str">
            <v>割引額</v>
          </cell>
          <cell r="H75" t="str">
            <v>ＤＩＯＮセット割　付加サービス割引</v>
          </cell>
          <cell r="I75">
            <v>17</v>
          </cell>
          <cell r="J75" t="str">
            <v>なし</v>
          </cell>
          <cell r="K75" t="str">
            <v>8</v>
          </cell>
          <cell r="L75" t="str">
            <v>対象</v>
          </cell>
          <cell r="M75" t="str">
            <v>対象</v>
          </cell>
          <cell r="N75" t="str">
            <v>課税</v>
          </cell>
        </row>
        <row r="76">
          <cell r="F76" t="str">
            <v>0006202</v>
          </cell>
          <cell r="G76" t="str">
            <v>割引額</v>
          </cell>
          <cell r="H76" t="str">
            <v>ＤＩＯＮセット割　付加サービス割引</v>
          </cell>
          <cell r="I76">
            <v>17</v>
          </cell>
          <cell r="N76" t="str">
            <v>課税</v>
          </cell>
        </row>
        <row r="77">
          <cell r="F77" t="str">
            <v>0006203</v>
          </cell>
          <cell r="G77" t="str">
            <v>割引額</v>
          </cell>
          <cell r="H77" t="str">
            <v>ＤＩＯＮセット割　付加サービス割引</v>
          </cell>
          <cell r="I77">
            <v>17</v>
          </cell>
          <cell r="N77" t="str">
            <v>課税</v>
          </cell>
        </row>
        <row r="78">
          <cell r="F78" t="str">
            <v>0006210</v>
          </cell>
          <cell r="G78" t="str">
            <v>割引額</v>
          </cell>
          <cell r="H78" t="str">
            <v>割引額（ＥＣ割引パック）</v>
          </cell>
          <cell r="I78">
            <v>12</v>
          </cell>
        </row>
        <row r="79">
          <cell r="F79" t="str">
            <v>0006211</v>
          </cell>
          <cell r="G79" t="str">
            <v>割引額</v>
          </cell>
          <cell r="H79" t="str">
            <v>割引額（ＥＣ割引パック）</v>
          </cell>
          <cell r="I79">
            <v>12</v>
          </cell>
          <cell r="N79" t="str">
            <v>課税</v>
          </cell>
        </row>
        <row r="80">
          <cell r="F80" t="str">
            <v>0006213</v>
          </cell>
          <cell r="G80" t="str">
            <v>割引額</v>
          </cell>
          <cell r="H80" t="str">
            <v>ＤＩＯＮセット割　付加サービス割引</v>
          </cell>
          <cell r="I80">
            <v>17</v>
          </cell>
          <cell r="N80" t="str">
            <v>課税</v>
          </cell>
        </row>
        <row r="81">
          <cell r="F81" t="str">
            <v>0006301</v>
          </cell>
          <cell r="G81" t="str">
            <v>割引額</v>
          </cell>
          <cell r="H81" t="str">
            <v>ＤＩＯＮセット割　定額料割引</v>
          </cell>
          <cell r="I81">
            <v>14</v>
          </cell>
          <cell r="J81" t="str">
            <v>なし</v>
          </cell>
          <cell r="K81" t="str">
            <v>7</v>
          </cell>
          <cell r="L81" t="str">
            <v>対象</v>
          </cell>
          <cell r="M81" t="str">
            <v>対象</v>
          </cell>
          <cell r="N81" t="str">
            <v>課税</v>
          </cell>
        </row>
        <row r="82">
          <cell r="F82" t="str">
            <v>0006302</v>
          </cell>
          <cell r="G82" t="str">
            <v>割引額</v>
          </cell>
          <cell r="H82" t="str">
            <v>ＤＩＯＮセット割　ＡＤＳＬ定額料割引</v>
          </cell>
          <cell r="I82">
            <v>18</v>
          </cell>
          <cell r="N82" t="str">
            <v>課税</v>
          </cell>
        </row>
        <row r="83">
          <cell r="F83" t="str">
            <v>0006303</v>
          </cell>
          <cell r="G83" t="str">
            <v>割引額</v>
          </cell>
          <cell r="H83" t="str">
            <v>ＤＩＯＮセット割</v>
          </cell>
          <cell r="I83">
            <v>8</v>
          </cell>
          <cell r="J83" t="str">
            <v>DABINCI利用量</v>
          </cell>
          <cell r="N83" t="str">
            <v>課税</v>
          </cell>
        </row>
        <row r="84">
          <cell r="F84" t="str">
            <v>0006312</v>
          </cell>
          <cell r="G84" t="str">
            <v>初期費用</v>
          </cell>
          <cell r="H84" t="str">
            <v>ＰａｙＣｏｕｎｔｅｒ</v>
          </cell>
          <cell r="I84">
            <v>10</v>
          </cell>
          <cell r="N84" t="str">
            <v>課税</v>
          </cell>
        </row>
        <row r="85">
          <cell r="F85" t="str">
            <v>0006402</v>
          </cell>
          <cell r="G85" t="str">
            <v>割引額</v>
          </cell>
          <cell r="H85" t="str">
            <v>設定工事　割引料</v>
          </cell>
          <cell r="I85">
            <v>8</v>
          </cell>
          <cell r="N85" t="str">
            <v>課税</v>
          </cell>
        </row>
        <row r="86">
          <cell r="F86" t="str">
            <v>0007002</v>
          </cell>
          <cell r="G86" t="str">
            <v>工事料</v>
          </cell>
          <cell r="H86" t="str">
            <v>接続速度変更工事料</v>
          </cell>
          <cell r="I86">
            <v>9</v>
          </cell>
          <cell r="N86" t="str">
            <v>課税</v>
          </cell>
        </row>
        <row r="87">
          <cell r="F87" t="str">
            <v>0007102</v>
          </cell>
          <cell r="G87" t="str">
            <v>工事料</v>
          </cell>
          <cell r="H87" t="str">
            <v>移転工事料</v>
          </cell>
          <cell r="I87">
            <v>5</v>
          </cell>
          <cell r="N87" t="str">
            <v>課税</v>
          </cell>
        </row>
        <row r="88">
          <cell r="F88" t="str">
            <v>0007202</v>
          </cell>
          <cell r="G88" t="str">
            <v>工事料</v>
          </cell>
          <cell r="H88" t="str">
            <v>プラン変更料</v>
          </cell>
          <cell r="I88">
            <v>6</v>
          </cell>
          <cell r="N88" t="str">
            <v>課税</v>
          </cell>
        </row>
        <row r="89">
          <cell r="F89" t="str">
            <v>0007302</v>
          </cell>
          <cell r="G89" t="str">
            <v>工事料</v>
          </cell>
          <cell r="H89" t="str">
            <v>設定工事　基本料</v>
          </cell>
          <cell r="I89">
            <v>8</v>
          </cell>
          <cell r="N89" t="str">
            <v>課税</v>
          </cell>
        </row>
        <row r="90">
          <cell r="F90" t="str">
            <v>0007402</v>
          </cell>
          <cell r="G90" t="str">
            <v>工事料</v>
          </cell>
          <cell r="H90" t="str">
            <v>設定工事　追加工事料</v>
          </cell>
          <cell r="I90">
            <v>10</v>
          </cell>
          <cell r="N90" t="str">
            <v>課税</v>
          </cell>
        </row>
        <row r="91">
          <cell r="F91" t="str">
            <v>0008002</v>
          </cell>
          <cell r="G91" t="str">
            <v>機器販売</v>
          </cell>
          <cell r="H91" t="str">
            <v>ＡＤＳＬモデム（１０Ｂａｓｅ－Ｔ）</v>
          </cell>
          <cell r="I91">
            <v>17</v>
          </cell>
          <cell r="N91" t="str">
            <v>課税</v>
          </cell>
        </row>
        <row r="92">
          <cell r="F92" t="str">
            <v>0008102</v>
          </cell>
          <cell r="G92" t="str">
            <v>機器販売</v>
          </cell>
          <cell r="H92" t="str">
            <v>ＡＤＳＬモデム（１０Ｂａｓｅ－Ｔ）</v>
          </cell>
          <cell r="I92">
            <v>17</v>
          </cell>
          <cell r="N92" t="str">
            <v>課税</v>
          </cell>
        </row>
        <row r="93">
          <cell r="F93" t="str">
            <v>0008202</v>
          </cell>
          <cell r="G93" t="str">
            <v>その他</v>
          </cell>
          <cell r="H93" t="str">
            <v>設定工事　付属品購入（ＬＡＮボード）</v>
          </cell>
          <cell r="I93">
            <v>18</v>
          </cell>
          <cell r="N93" t="str">
            <v>課税</v>
          </cell>
        </row>
        <row r="94">
          <cell r="F94" t="str">
            <v>0008302</v>
          </cell>
          <cell r="G94" t="str">
            <v>その他</v>
          </cell>
          <cell r="H94" t="str">
            <v>設定工事　付属品購入（ＬＡＮカード）</v>
          </cell>
          <cell r="I94">
            <v>18</v>
          </cell>
          <cell r="N94" t="str">
            <v>課税</v>
          </cell>
        </row>
        <row r="95">
          <cell r="F95" t="str">
            <v>0008402</v>
          </cell>
          <cell r="G95" t="str">
            <v>その他</v>
          </cell>
          <cell r="H95" t="str">
            <v>設定工事　付属品購入（ＬＡＮケーブル）</v>
          </cell>
          <cell r="I95">
            <v>19</v>
          </cell>
          <cell r="N95" t="str">
            <v>課税</v>
          </cell>
        </row>
        <row r="96">
          <cell r="F96" t="str">
            <v>0008502</v>
          </cell>
          <cell r="G96" t="str">
            <v>その他</v>
          </cell>
          <cell r="H96" t="str">
            <v>設定工事　付属品購入（その他）</v>
          </cell>
          <cell r="I96">
            <v>15</v>
          </cell>
          <cell r="N96" t="str">
            <v>課税</v>
          </cell>
        </row>
        <row r="97">
          <cell r="F97" t="str">
            <v>0009001</v>
          </cell>
          <cell r="G97" t="str">
            <v>料金調整</v>
          </cell>
          <cell r="H97" t="str">
            <v>ＤＩＯＮ料金調整</v>
          </cell>
          <cell r="I97">
            <v>8</v>
          </cell>
          <cell r="J97" t="str">
            <v>なし</v>
          </cell>
          <cell r="K97" t="str">
            <v>9000</v>
          </cell>
          <cell r="L97" t="str">
            <v>対象</v>
          </cell>
          <cell r="M97" t="str">
            <v>対象</v>
          </cell>
          <cell r="N97" t="str">
            <v>課税</v>
          </cell>
        </row>
        <row r="98">
          <cell r="F98" t="str">
            <v>0009002</v>
          </cell>
          <cell r="G98" t="str">
            <v>料金調整</v>
          </cell>
          <cell r="H98" t="str">
            <v>ＤＩＯＮ料金調整</v>
          </cell>
          <cell r="I98">
            <v>8</v>
          </cell>
          <cell r="N98" t="str">
            <v>課税</v>
          </cell>
        </row>
        <row r="99">
          <cell r="F99" t="str">
            <v>0009003</v>
          </cell>
          <cell r="G99" t="str">
            <v>料金調整</v>
          </cell>
          <cell r="H99" t="str">
            <v>ＤＩＯＮ料金調整</v>
          </cell>
          <cell r="I99">
            <v>8</v>
          </cell>
          <cell r="N99" t="str">
            <v>課税</v>
          </cell>
        </row>
        <row r="100">
          <cell r="F100" t="str">
            <v>0009004</v>
          </cell>
          <cell r="G100" t="str">
            <v>料金調整</v>
          </cell>
          <cell r="H100" t="str">
            <v>ＤＩＯＮ料金調整</v>
          </cell>
          <cell r="I100">
            <v>8</v>
          </cell>
          <cell r="N100" t="str">
            <v>課税</v>
          </cell>
        </row>
        <row r="101">
          <cell r="F101" t="str">
            <v>0009005</v>
          </cell>
          <cell r="G101" t="str">
            <v>料金調整</v>
          </cell>
          <cell r="H101" t="str">
            <v>調整金</v>
          </cell>
          <cell r="I101">
            <v>3</v>
          </cell>
          <cell r="N101" t="str">
            <v>課税</v>
          </cell>
        </row>
        <row r="102">
          <cell r="F102" t="str">
            <v>0009006</v>
          </cell>
          <cell r="G102" t="str">
            <v>料金調整</v>
          </cell>
          <cell r="H102" t="str">
            <v>調整金</v>
          </cell>
          <cell r="I102">
            <v>3</v>
          </cell>
          <cell r="N102" t="str">
            <v>課税</v>
          </cell>
        </row>
        <row r="103">
          <cell r="F103" t="str">
            <v>0009007</v>
          </cell>
          <cell r="G103" t="str">
            <v>料金調整</v>
          </cell>
          <cell r="H103" t="str">
            <v>課税調整金</v>
          </cell>
          <cell r="I103">
            <v>5</v>
          </cell>
          <cell r="N103" t="str">
            <v>課税</v>
          </cell>
        </row>
        <row r="104">
          <cell r="F104" t="str">
            <v>0009008</v>
          </cell>
          <cell r="G104" t="str">
            <v>料金調整</v>
          </cell>
          <cell r="H104" t="str">
            <v>ＤＩＯＮ料金調整</v>
          </cell>
          <cell r="I104">
            <v>8</v>
          </cell>
          <cell r="N104" t="str">
            <v>課税</v>
          </cell>
        </row>
        <row r="105">
          <cell r="F105" t="str">
            <v>0009009</v>
          </cell>
          <cell r="G105" t="str">
            <v>料金調整</v>
          </cell>
          <cell r="H105" t="str">
            <v>サーバーレンタル料金調整</v>
          </cell>
          <cell r="I105">
            <v>12</v>
          </cell>
          <cell r="N105" t="str">
            <v>課税</v>
          </cell>
        </row>
        <row r="106">
          <cell r="F106" t="str">
            <v>0009010</v>
          </cell>
          <cell r="G106" t="str">
            <v>料金調整</v>
          </cell>
          <cell r="H106" t="str">
            <v>料金調整額</v>
          </cell>
          <cell r="I106">
            <v>5</v>
          </cell>
          <cell r="N106" t="str">
            <v>課税</v>
          </cell>
        </row>
        <row r="107">
          <cell r="F107" t="str">
            <v>0009011</v>
          </cell>
          <cell r="G107" t="str">
            <v>料金調整</v>
          </cell>
          <cell r="H107" t="str">
            <v>料金調整額</v>
          </cell>
          <cell r="I107">
            <v>5</v>
          </cell>
          <cell r="N107" t="str">
            <v>課税</v>
          </cell>
        </row>
        <row r="108">
          <cell r="F108" t="str">
            <v>0009012</v>
          </cell>
          <cell r="G108" t="str">
            <v>料金調整</v>
          </cell>
          <cell r="H108" t="str">
            <v>料金調整額</v>
          </cell>
          <cell r="I108">
            <v>5</v>
          </cell>
          <cell r="N108" t="str">
            <v>課税</v>
          </cell>
        </row>
        <row r="109">
          <cell r="F109" t="str">
            <v>0009013</v>
          </cell>
          <cell r="G109" t="str">
            <v>料金調整</v>
          </cell>
          <cell r="H109" t="str">
            <v>ＤＩＯＮ料金調整</v>
          </cell>
          <cell r="I109">
            <v>8</v>
          </cell>
          <cell r="N109" t="str">
            <v>課税</v>
          </cell>
        </row>
        <row r="110">
          <cell r="F110" t="str">
            <v>0009014</v>
          </cell>
          <cell r="G110" t="str">
            <v>料金調整</v>
          </cell>
          <cell r="H110" t="str">
            <v>料金調整</v>
          </cell>
          <cell r="I110">
            <v>4</v>
          </cell>
          <cell r="N110" t="str">
            <v>課税</v>
          </cell>
        </row>
        <row r="111">
          <cell r="F111" t="str">
            <v>0009015</v>
          </cell>
          <cell r="G111" t="str">
            <v>料金調整</v>
          </cell>
          <cell r="H111" t="str">
            <v>コンテンツコース料金調整</v>
          </cell>
          <cell r="I111">
            <v>12</v>
          </cell>
          <cell r="N111" t="str">
            <v>課税</v>
          </cell>
        </row>
        <row r="112">
          <cell r="F112" t="str">
            <v>0009016</v>
          </cell>
          <cell r="G112" t="str">
            <v>料金調整</v>
          </cell>
          <cell r="H112" t="str">
            <v>ＩＰ電話料金調整</v>
          </cell>
          <cell r="I112">
            <v>8</v>
          </cell>
          <cell r="N112" t="str">
            <v>課税</v>
          </cell>
        </row>
        <row r="113">
          <cell r="F113" t="str">
            <v>0104001</v>
          </cell>
          <cell r="G113" t="str">
            <v>通信料</v>
          </cell>
          <cell r="H113" t="str">
            <v>ＤＩＯＮ月額利用料</v>
          </cell>
          <cell r="I113">
            <v>9</v>
          </cell>
          <cell r="J113" t="str">
            <v>DABINCI利用量</v>
          </cell>
          <cell r="K113" t="str">
            <v>4</v>
          </cell>
          <cell r="L113" t="str">
            <v>対象</v>
          </cell>
          <cell r="M113" t="str">
            <v>対象</v>
          </cell>
          <cell r="N113" t="str">
            <v>課税</v>
          </cell>
        </row>
        <row r="114">
          <cell r="F114" t="str">
            <v>0104003</v>
          </cell>
          <cell r="G114" t="str">
            <v>通信料</v>
          </cell>
          <cell r="H114" t="str">
            <v>月額利用料（Ｎｅｗｅｂ）</v>
          </cell>
          <cell r="I114">
            <v>12</v>
          </cell>
          <cell r="J114" t="str">
            <v>DABINCI利用量</v>
          </cell>
          <cell r="N114" t="str">
            <v>課税</v>
          </cell>
        </row>
        <row r="115">
          <cell r="F115" t="str">
            <v>0104202</v>
          </cell>
          <cell r="G115" t="str">
            <v>レンタル料</v>
          </cell>
          <cell r="H115" t="str">
            <v>ＡＤＳＬモデム（ＵＳＢ）</v>
          </cell>
          <cell r="I115">
            <v>12</v>
          </cell>
          <cell r="N115" t="str">
            <v>課税</v>
          </cell>
        </row>
        <row r="116">
          <cell r="F116" t="str">
            <v>0104302</v>
          </cell>
          <cell r="G116" t="str">
            <v>レンタル料</v>
          </cell>
          <cell r="H116" t="str">
            <v>ＡＤＳＬモデム（１０Ｂａｓｅ－Ｔ）</v>
          </cell>
          <cell r="I116">
            <v>17</v>
          </cell>
          <cell r="N116" t="str">
            <v>課税</v>
          </cell>
        </row>
        <row r="117">
          <cell r="F117" t="str">
            <v>0104402</v>
          </cell>
          <cell r="G117" t="str">
            <v>レンタル料</v>
          </cell>
          <cell r="H117" t="str">
            <v>ＡＤＳＬモデム（ＵＳＢ）</v>
          </cell>
          <cell r="I117">
            <v>12</v>
          </cell>
          <cell r="N117" t="str">
            <v>課税</v>
          </cell>
        </row>
        <row r="118">
          <cell r="F118" t="str">
            <v>0104502</v>
          </cell>
          <cell r="G118" t="str">
            <v>レンタル料</v>
          </cell>
          <cell r="H118" t="str">
            <v>ＡＤＳＬモデム（１０Ｂａｓｅ－Ｔ）</v>
          </cell>
          <cell r="I118">
            <v>17</v>
          </cell>
          <cell r="N118" t="str">
            <v>課税</v>
          </cell>
        </row>
        <row r="119">
          <cell r="F119" t="str">
            <v>0104802</v>
          </cell>
          <cell r="G119" t="str">
            <v>レンタル料</v>
          </cell>
          <cell r="H119" t="str">
            <v>ＩＰ電話用宅内機器レンタル料</v>
          </cell>
          <cell r="I119">
            <v>14</v>
          </cell>
          <cell r="N119" t="str">
            <v>課税</v>
          </cell>
        </row>
        <row r="120">
          <cell r="F120" t="str">
            <v>0105001</v>
          </cell>
          <cell r="G120" t="str">
            <v>通信料</v>
          </cell>
          <cell r="H120" t="str">
            <v>ＤＩＯＮ利用料（従量分）</v>
          </cell>
          <cell r="I120">
            <v>12</v>
          </cell>
          <cell r="J120" t="str">
            <v>DABINCI利用量</v>
          </cell>
          <cell r="K120" t="str">
            <v>5</v>
          </cell>
          <cell r="L120" t="str">
            <v>対象</v>
          </cell>
          <cell r="M120" t="str">
            <v>対象</v>
          </cell>
          <cell r="N120" t="str">
            <v>課税</v>
          </cell>
        </row>
        <row r="121">
          <cell r="F121" t="str">
            <v>0105003</v>
          </cell>
          <cell r="G121" t="str">
            <v>通信料</v>
          </cell>
          <cell r="H121" t="str">
            <v>接続料（Ｎｅｗｅｂ）</v>
          </cell>
          <cell r="I121">
            <v>10</v>
          </cell>
          <cell r="J121" t="str">
            <v>DABINCI利用量</v>
          </cell>
          <cell r="N121" t="str">
            <v>課税</v>
          </cell>
        </row>
        <row r="122">
          <cell r="F122" t="str">
            <v>0105004</v>
          </cell>
          <cell r="G122" t="str">
            <v>通信料</v>
          </cell>
          <cell r="H122" t="str">
            <v>接続料（モバイルＧＢ）</v>
          </cell>
          <cell r="I122">
            <v>11</v>
          </cell>
          <cell r="J122" t="str">
            <v>DABINCI利用量</v>
          </cell>
          <cell r="N122" t="str">
            <v>課税</v>
          </cell>
        </row>
        <row r="123">
          <cell r="F123" t="str">
            <v>0115100</v>
          </cell>
          <cell r="G123" t="str">
            <v>利用料</v>
          </cell>
          <cell r="H123" t="str">
            <v>海外ローミング（ＫＤＤＩＧ）１０円／分</v>
          </cell>
          <cell r="I123">
            <v>19</v>
          </cell>
          <cell r="J123" t="str">
            <v>DABINCI利用量</v>
          </cell>
          <cell r="N123" t="str">
            <v>非課税</v>
          </cell>
        </row>
        <row r="124">
          <cell r="F124" t="str">
            <v>0115200</v>
          </cell>
          <cell r="G124" t="str">
            <v>利用料</v>
          </cell>
          <cell r="H124" t="str">
            <v>海外ローミング（ＧＲＩＣ）２０円／分</v>
          </cell>
          <cell r="I124">
            <v>18</v>
          </cell>
          <cell r="J124" t="str">
            <v>DABINCI利用量</v>
          </cell>
          <cell r="N124" t="str">
            <v>非課税</v>
          </cell>
        </row>
        <row r="125">
          <cell r="F125" t="str">
            <v>0115300</v>
          </cell>
          <cell r="G125" t="str">
            <v>利用料</v>
          </cell>
          <cell r="H125" t="str">
            <v>海外ローミング（ＩＰＡＳＳ）３０円／分</v>
          </cell>
          <cell r="I125">
            <v>19</v>
          </cell>
          <cell r="J125" t="str">
            <v>DABINCI利用量</v>
          </cell>
          <cell r="N125" t="str">
            <v>非課税</v>
          </cell>
        </row>
        <row r="126">
          <cell r="F126" t="str">
            <v>0130000</v>
          </cell>
          <cell r="G126" t="str">
            <v>登録料</v>
          </cell>
          <cell r="H126" t="str">
            <v>パケットサービス</v>
          </cell>
          <cell r="I126">
            <v>8</v>
          </cell>
          <cell r="N126" t="str">
            <v>課税</v>
          </cell>
        </row>
        <row r="127">
          <cell r="F127" t="str">
            <v>0134000</v>
          </cell>
          <cell r="G127" t="str">
            <v>利用料</v>
          </cell>
          <cell r="H127" t="str">
            <v>パケットサービス月額利用料</v>
          </cell>
          <cell r="I127">
            <v>13</v>
          </cell>
          <cell r="N127" t="str">
            <v>課税</v>
          </cell>
        </row>
        <row r="128">
          <cell r="F128" t="str">
            <v>0136102</v>
          </cell>
          <cell r="G128" t="str">
            <v>割引額</v>
          </cell>
          <cell r="H128" t="str">
            <v>ＡｉｒＨ”　ＡＤＳＬセット割引</v>
          </cell>
          <cell r="I128">
            <v>15</v>
          </cell>
          <cell r="N128" t="str">
            <v>課税</v>
          </cell>
        </row>
        <row r="129">
          <cell r="F129" t="str">
            <v>0145400</v>
          </cell>
          <cell r="G129" t="str">
            <v>利用料</v>
          </cell>
          <cell r="H129" t="str">
            <v>モバイルアクセス（５円／分）</v>
          </cell>
          <cell r="I129">
            <v>14</v>
          </cell>
          <cell r="J129" t="str">
            <v>DABINCI利用量</v>
          </cell>
          <cell r="N129" t="str">
            <v>課税</v>
          </cell>
        </row>
        <row r="130">
          <cell r="F130" t="str">
            <v>0301000</v>
          </cell>
          <cell r="G130" t="str">
            <v>変更料</v>
          </cell>
          <cell r="H130" t="str">
            <v>基本メールアカウント</v>
          </cell>
          <cell r="I130">
            <v>10</v>
          </cell>
          <cell r="N130" t="str">
            <v>課税</v>
          </cell>
        </row>
        <row r="131">
          <cell r="F131" t="str">
            <v>0305000</v>
          </cell>
          <cell r="G131" t="str">
            <v>利用料</v>
          </cell>
          <cell r="H131" t="str">
            <v>メール蓄積容量追加</v>
          </cell>
          <cell r="I131">
            <v>9</v>
          </cell>
          <cell r="N131" t="str">
            <v>課税</v>
          </cell>
        </row>
        <row r="132">
          <cell r="F132" t="str">
            <v>0331000</v>
          </cell>
          <cell r="G132" t="str">
            <v>変更料</v>
          </cell>
          <cell r="H132" t="str">
            <v>追加メールアカウント</v>
          </cell>
          <cell r="I132">
            <v>10</v>
          </cell>
          <cell r="N132" t="str">
            <v>課税</v>
          </cell>
        </row>
        <row r="133">
          <cell r="F133" t="str">
            <v>0334000</v>
          </cell>
          <cell r="G133" t="str">
            <v>利用料</v>
          </cell>
          <cell r="H133" t="str">
            <v>メールアドレス追加</v>
          </cell>
          <cell r="I133">
            <v>9</v>
          </cell>
          <cell r="N133" t="str">
            <v>課税</v>
          </cell>
        </row>
        <row r="134">
          <cell r="F134" t="str">
            <v>0335000</v>
          </cell>
          <cell r="G134" t="str">
            <v>利用料</v>
          </cell>
          <cell r="H134" t="str">
            <v>追加メールアドレス蓄積容量追加</v>
          </cell>
          <cell r="I134">
            <v>15</v>
          </cell>
          <cell r="N134" t="str">
            <v>課税</v>
          </cell>
        </row>
        <row r="135">
          <cell r="F135" t="str">
            <v>0340000</v>
          </cell>
          <cell r="G135" t="str">
            <v>登録料</v>
          </cell>
          <cell r="H135" t="str">
            <v>お好み転送サービス</v>
          </cell>
          <cell r="I135">
            <v>9</v>
          </cell>
          <cell r="N135" t="str">
            <v>課税</v>
          </cell>
        </row>
        <row r="136">
          <cell r="F136" t="str">
            <v>0344000</v>
          </cell>
          <cell r="G136" t="str">
            <v>利用料</v>
          </cell>
          <cell r="H136" t="str">
            <v>お好み転送サービス月額利用料</v>
          </cell>
          <cell r="I136">
            <v>14</v>
          </cell>
          <cell r="N136" t="str">
            <v>課税</v>
          </cell>
        </row>
        <row r="137">
          <cell r="F137" t="str">
            <v>0350000</v>
          </cell>
          <cell r="G137" t="str">
            <v>登録料</v>
          </cell>
          <cell r="H137" t="str">
            <v>お好み着信サービス</v>
          </cell>
          <cell r="I137">
            <v>9</v>
          </cell>
          <cell r="N137" t="str">
            <v>課税</v>
          </cell>
        </row>
        <row r="138">
          <cell r="F138" t="str">
            <v>0354000</v>
          </cell>
          <cell r="G138" t="str">
            <v>利用料</v>
          </cell>
          <cell r="H138" t="str">
            <v>お好み着信サービス月額利用料</v>
          </cell>
          <cell r="I138">
            <v>14</v>
          </cell>
          <cell r="N138" t="str">
            <v>課税</v>
          </cell>
        </row>
        <row r="139">
          <cell r="F139" t="str">
            <v>0605000</v>
          </cell>
          <cell r="G139" t="str">
            <v>利用料</v>
          </cell>
          <cell r="H139" t="str">
            <v>ホームページ公開代理容量追加</v>
          </cell>
          <cell r="I139">
            <v>14</v>
          </cell>
          <cell r="N139" t="str">
            <v>課税</v>
          </cell>
        </row>
        <row r="140">
          <cell r="F140" t="str">
            <v>0634000</v>
          </cell>
          <cell r="G140" t="str">
            <v>利用料</v>
          </cell>
          <cell r="H140" t="str">
            <v>ホームページ公開代理ＵＲＬ追加</v>
          </cell>
          <cell r="I140">
            <v>15</v>
          </cell>
          <cell r="N140" t="str">
            <v>課税</v>
          </cell>
        </row>
        <row r="141">
          <cell r="F141" t="str">
            <v>0634009</v>
          </cell>
          <cell r="G141" t="str">
            <v>利用料</v>
          </cell>
          <cell r="H141" t="str">
            <v>サーバーレンタル月額利用料</v>
          </cell>
          <cell r="I141">
            <v>13</v>
          </cell>
          <cell r="J141" t="str">
            <v>DABINCI利用量</v>
          </cell>
          <cell r="N141" t="str">
            <v>課税</v>
          </cell>
        </row>
        <row r="142">
          <cell r="F142" t="str">
            <v>0635000</v>
          </cell>
          <cell r="G142" t="str">
            <v>利用料</v>
          </cell>
          <cell r="H142" t="str">
            <v>追加ホームページ公開代理ＵＲＬ容量追加</v>
          </cell>
          <cell r="I142">
            <v>19</v>
          </cell>
          <cell r="N142" t="str">
            <v>課税</v>
          </cell>
        </row>
        <row r="143">
          <cell r="F143" t="str">
            <v>0635009</v>
          </cell>
          <cell r="G143" t="str">
            <v>利用料</v>
          </cell>
          <cell r="H143" t="str">
            <v>サーバーレンタル容量追加</v>
          </cell>
          <cell r="I143">
            <v>12</v>
          </cell>
          <cell r="J143" t="str">
            <v>DABINCI利用量</v>
          </cell>
          <cell r="N143" t="str">
            <v>課税</v>
          </cell>
        </row>
        <row r="144">
          <cell r="F144" t="str">
            <v>0904007</v>
          </cell>
          <cell r="G144" t="str">
            <v>利用料</v>
          </cell>
          <cell r="H144" t="str">
            <v>ＶＡ基本料金</v>
          </cell>
          <cell r="I144">
            <v>6</v>
          </cell>
          <cell r="J144" t="str">
            <v>DABINCI利用量</v>
          </cell>
          <cell r="N144" t="str">
            <v>課税</v>
          </cell>
        </row>
        <row r="145">
          <cell r="F145" t="str">
            <v>0905007</v>
          </cell>
          <cell r="G145" t="str">
            <v>利用料</v>
          </cell>
          <cell r="H145" t="str">
            <v>ＶＡ超過料金</v>
          </cell>
          <cell r="I145">
            <v>6</v>
          </cell>
          <cell r="J145" t="str">
            <v>DABINCI利用量</v>
          </cell>
          <cell r="N145" t="str">
            <v>課税</v>
          </cell>
        </row>
        <row r="146">
          <cell r="F146" t="str">
            <v>0934007</v>
          </cell>
          <cell r="G146" t="str">
            <v>利用料</v>
          </cell>
          <cell r="H146" t="str">
            <v>明細サービス料</v>
          </cell>
          <cell r="I146">
            <v>7</v>
          </cell>
          <cell r="N146" t="str">
            <v>課税</v>
          </cell>
        </row>
        <row r="147">
          <cell r="F147" t="str">
            <v>0944007</v>
          </cell>
          <cell r="G147" t="str">
            <v>利用料</v>
          </cell>
          <cell r="H147" t="str">
            <v>明細サービス料</v>
          </cell>
          <cell r="I147">
            <v>7</v>
          </cell>
          <cell r="N147" t="str">
            <v>課税</v>
          </cell>
        </row>
        <row r="148">
          <cell r="F148" t="str">
            <v>0954007</v>
          </cell>
          <cell r="G148" t="str">
            <v>利用料</v>
          </cell>
          <cell r="H148" t="str">
            <v>明細サービス料</v>
          </cell>
          <cell r="I148">
            <v>7</v>
          </cell>
          <cell r="N148" t="str">
            <v>課税</v>
          </cell>
        </row>
        <row r="149">
          <cell r="F149" t="str">
            <v>1005005</v>
          </cell>
          <cell r="G149" t="str">
            <v>通信料</v>
          </cell>
          <cell r="H149" t="str">
            <v>メールインワンＦＡＸ通信料（課税）</v>
          </cell>
          <cell r="I149">
            <v>17</v>
          </cell>
          <cell r="N149" t="str">
            <v>課税</v>
          </cell>
        </row>
        <row r="150">
          <cell r="F150" t="str">
            <v>1005006</v>
          </cell>
          <cell r="G150" t="str">
            <v>通信料</v>
          </cell>
          <cell r="H150" t="str">
            <v>メールインワンＦＡＸ通信料（課税）</v>
          </cell>
          <cell r="I150">
            <v>17</v>
          </cell>
          <cell r="N150" t="str">
            <v>課税</v>
          </cell>
        </row>
        <row r="151">
          <cell r="F151" t="str">
            <v>1005105</v>
          </cell>
          <cell r="G151" t="str">
            <v>通信料</v>
          </cell>
          <cell r="H151" t="str">
            <v>メールインワンＦＡＸ通信料（非課税）</v>
          </cell>
          <cell r="I151">
            <v>18</v>
          </cell>
          <cell r="N151" t="str">
            <v>非課税</v>
          </cell>
        </row>
        <row r="152">
          <cell r="F152" t="str">
            <v>1005106</v>
          </cell>
          <cell r="G152" t="str">
            <v>通信料</v>
          </cell>
          <cell r="H152" t="str">
            <v>メールインワンＦＡＸ通信料（非課税）</v>
          </cell>
          <cell r="I152">
            <v>18</v>
          </cell>
          <cell r="N152" t="str">
            <v>非課税</v>
          </cell>
        </row>
        <row r="153">
          <cell r="F153" t="str">
            <v>1034005</v>
          </cell>
          <cell r="G153" t="str">
            <v>通信料</v>
          </cell>
          <cell r="H153" t="str">
            <v>明細月額利用料</v>
          </cell>
          <cell r="I153">
            <v>7</v>
          </cell>
          <cell r="N153" t="str">
            <v>課税</v>
          </cell>
        </row>
        <row r="154">
          <cell r="F154" t="str">
            <v>1034006</v>
          </cell>
          <cell r="G154" t="str">
            <v>通信料</v>
          </cell>
          <cell r="H154" t="str">
            <v>明細月額利用料</v>
          </cell>
          <cell r="I154">
            <v>7</v>
          </cell>
          <cell r="N154" t="str">
            <v>課税</v>
          </cell>
        </row>
        <row r="155">
          <cell r="F155" t="str">
            <v>1104000</v>
          </cell>
          <cell r="G155" t="str">
            <v>利用料</v>
          </cell>
          <cell r="H155" t="str">
            <v>メーリングリスト月額利用料</v>
          </cell>
          <cell r="I155">
            <v>13</v>
          </cell>
          <cell r="N155" t="str">
            <v>課税</v>
          </cell>
        </row>
        <row r="156">
          <cell r="F156" t="str">
            <v>1200000</v>
          </cell>
          <cell r="G156" t="str">
            <v>手数料</v>
          </cell>
          <cell r="H156" t="str">
            <v>ドメイン名申請手数料</v>
          </cell>
          <cell r="I156">
            <v>10</v>
          </cell>
          <cell r="N156" t="str">
            <v>課税</v>
          </cell>
        </row>
        <row r="157">
          <cell r="F157" t="str">
            <v>1204000</v>
          </cell>
          <cell r="G157" t="str">
            <v>管理料</v>
          </cell>
          <cell r="H157" t="str">
            <v>ドメイン名維持管理料</v>
          </cell>
          <cell r="I157">
            <v>10</v>
          </cell>
          <cell r="N157" t="str">
            <v>課税</v>
          </cell>
        </row>
        <row r="158">
          <cell r="F158" t="str">
            <v>1230008</v>
          </cell>
          <cell r="G158" t="str">
            <v>登録料</v>
          </cell>
          <cell r="H158" t="str">
            <v>メール独自ドメイン</v>
          </cell>
          <cell r="I158">
            <v>9</v>
          </cell>
          <cell r="N158" t="str">
            <v>課税</v>
          </cell>
        </row>
        <row r="159">
          <cell r="F159" t="str">
            <v>1234008</v>
          </cell>
          <cell r="G159" t="str">
            <v>利用料</v>
          </cell>
          <cell r="H159" t="str">
            <v>メール独自ドメイン</v>
          </cell>
          <cell r="I159">
            <v>9</v>
          </cell>
          <cell r="N159" t="str">
            <v>課税</v>
          </cell>
        </row>
        <row r="160">
          <cell r="F160" t="str">
            <v>1240008</v>
          </cell>
          <cell r="G160" t="str">
            <v>登録料</v>
          </cell>
          <cell r="H160" t="str">
            <v>メーリングリスト独自ドメイン</v>
          </cell>
          <cell r="I160">
            <v>14</v>
          </cell>
          <cell r="N160" t="str">
            <v>課税</v>
          </cell>
        </row>
        <row r="161">
          <cell r="F161" t="str">
            <v>1244008</v>
          </cell>
          <cell r="G161" t="str">
            <v>利用料</v>
          </cell>
          <cell r="H161" t="str">
            <v>メーリングリスト独自ドメイン</v>
          </cell>
          <cell r="I161">
            <v>14</v>
          </cell>
          <cell r="N161" t="str">
            <v>課税</v>
          </cell>
        </row>
        <row r="162">
          <cell r="F162" t="str">
            <v>1250008</v>
          </cell>
          <cell r="G162" t="str">
            <v>登録料</v>
          </cell>
          <cell r="H162" t="str">
            <v>ホームページ独自ドメイン</v>
          </cell>
          <cell r="I162">
            <v>12</v>
          </cell>
          <cell r="N162" t="str">
            <v>課税</v>
          </cell>
        </row>
        <row r="163">
          <cell r="F163" t="str">
            <v>1254008</v>
          </cell>
          <cell r="G163" t="str">
            <v>利用料</v>
          </cell>
          <cell r="H163" t="str">
            <v>ホームページ独自ドメイン</v>
          </cell>
          <cell r="I163">
            <v>12</v>
          </cell>
          <cell r="N163" t="str">
            <v>課税</v>
          </cell>
        </row>
        <row r="164">
          <cell r="F164" t="str">
            <v>1330009</v>
          </cell>
          <cell r="G164" t="str">
            <v>登録料</v>
          </cell>
          <cell r="H164" t="str">
            <v>アクセスログ提供サービス</v>
          </cell>
          <cell r="I164">
            <v>12</v>
          </cell>
          <cell r="N164" t="str">
            <v>課税</v>
          </cell>
        </row>
        <row r="165">
          <cell r="F165" t="str">
            <v>1334009</v>
          </cell>
          <cell r="G165" t="str">
            <v>利用料</v>
          </cell>
          <cell r="H165" t="str">
            <v>アクセスログ提供サービス月額利用料</v>
          </cell>
          <cell r="I165">
            <v>17</v>
          </cell>
          <cell r="N165" t="str">
            <v>課税</v>
          </cell>
        </row>
        <row r="166">
          <cell r="F166" t="str">
            <v>1340009</v>
          </cell>
          <cell r="G166" t="str">
            <v>登録料</v>
          </cell>
          <cell r="H166" t="str">
            <v>アクセスログ解析サービス</v>
          </cell>
          <cell r="I166">
            <v>12</v>
          </cell>
          <cell r="N166" t="str">
            <v>課税</v>
          </cell>
        </row>
        <row r="167">
          <cell r="F167" t="str">
            <v>1344009</v>
          </cell>
          <cell r="G167" t="str">
            <v>利用料</v>
          </cell>
          <cell r="H167" t="str">
            <v>アクセスログ解析サービス月額利用料</v>
          </cell>
          <cell r="I167">
            <v>17</v>
          </cell>
          <cell r="N167" t="str">
            <v>課税</v>
          </cell>
        </row>
        <row r="168">
          <cell r="F168" t="str">
            <v>1634012</v>
          </cell>
          <cell r="G168" t="str">
            <v>利用料</v>
          </cell>
          <cell r="H168" t="str">
            <v>第１種クレジット決済月額基本料</v>
          </cell>
          <cell r="I168">
            <v>15</v>
          </cell>
          <cell r="N168" t="str">
            <v>課税</v>
          </cell>
        </row>
        <row r="169">
          <cell r="F169" t="str">
            <v>1636212</v>
          </cell>
          <cell r="G169" t="str">
            <v>割引額</v>
          </cell>
          <cell r="H169" t="str">
            <v>（ＥＣ割引パック）</v>
          </cell>
          <cell r="I169">
            <v>9</v>
          </cell>
          <cell r="N169" t="str">
            <v>課税</v>
          </cell>
        </row>
        <row r="170">
          <cell r="F170" t="str">
            <v>1644012</v>
          </cell>
          <cell r="G170" t="str">
            <v>利用料</v>
          </cell>
          <cell r="H170" t="str">
            <v>コンビニ決済月額基本料</v>
          </cell>
          <cell r="I170">
            <v>11</v>
          </cell>
          <cell r="N170" t="str">
            <v>課税</v>
          </cell>
        </row>
        <row r="171">
          <cell r="F171" t="str">
            <v>1646212</v>
          </cell>
          <cell r="G171" t="str">
            <v>割引額</v>
          </cell>
          <cell r="H171" t="str">
            <v>（ＥＣ割引パック）</v>
          </cell>
          <cell r="I171">
            <v>9</v>
          </cell>
          <cell r="N171" t="str">
            <v>課税</v>
          </cell>
        </row>
        <row r="172">
          <cell r="F172" t="str">
            <v>1654012</v>
          </cell>
          <cell r="G172" t="str">
            <v>利用料</v>
          </cell>
          <cell r="H172" t="str">
            <v>プリペイド決済月額基本料</v>
          </cell>
          <cell r="I172">
            <v>12</v>
          </cell>
          <cell r="N172" t="str">
            <v>課税</v>
          </cell>
        </row>
        <row r="173">
          <cell r="F173" t="str">
            <v>1656212</v>
          </cell>
          <cell r="G173" t="str">
            <v>割引額</v>
          </cell>
          <cell r="H173" t="str">
            <v>（ＥＣ割引パック）</v>
          </cell>
          <cell r="I173">
            <v>9</v>
          </cell>
          <cell r="N173" t="str">
            <v>課税</v>
          </cell>
        </row>
        <row r="174">
          <cell r="F174" t="str">
            <v>1664012</v>
          </cell>
          <cell r="G174" t="str">
            <v>利用料</v>
          </cell>
          <cell r="H174" t="str">
            <v>代引決済月額基本料</v>
          </cell>
          <cell r="I174">
            <v>9</v>
          </cell>
          <cell r="N174" t="str">
            <v>課税</v>
          </cell>
        </row>
        <row r="175">
          <cell r="F175" t="str">
            <v>1665012</v>
          </cell>
          <cell r="G175" t="str">
            <v>その他</v>
          </cell>
          <cell r="H175" t="str">
            <v>代引／物流連携運送料金等</v>
          </cell>
          <cell r="I175">
            <v>12</v>
          </cell>
          <cell r="N175" t="str">
            <v>課税</v>
          </cell>
        </row>
        <row r="176">
          <cell r="F176" t="str">
            <v>1666212</v>
          </cell>
          <cell r="G176" t="str">
            <v>割引額</v>
          </cell>
          <cell r="H176" t="str">
            <v>代引決済割引</v>
          </cell>
          <cell r="I176">
            <v>6</v>
          </cell>
          <cell r="N176" t="str">
            <v>課税</v>
          </cell>
        </row>
        <row r="177">
          <cell r="F177" t="str">
            <v>1674012</v>
          </cell>
          <cell r="G177" t="str">
            <v>利用料</v>
          </cell>
          <cell r="H177" t="str">
            <v>ＤＩＯＮ回収代行月額基本料</v>
          </cell>
          <cell r="I177">
            <v>13</v>
          </cell>
          <cell r="N177" t="str">
            <v>課税</v>
          </cell>
        </row>
        <row r="178">
          <cell r="F178" t="str">
            <v>1684012</v>
          </cell>
          <cell r="G178" t="str">
            <v>利用料</v>
          </cell>
          <cell r="H178" t="str">
            <v>第２種クレジット決済月額基本料</v>
          </cell>
          <cell r="I178">
            <v>15</v>
          </cell>
          <cell r="N178" t="str">
            <v>課税</v>
          </cell>
        </row>
        <row r="179">
          <cell r="F179" t="str">
            <v>1685012</v>
          </cell>
          <cell r="G179" t="str">
            <v>利用料</v>
          </cell>
          <cell r="H179" t="str">
            <v>第２種クレジット決済従量料金</v>
          </cell>
          <cell r="I179">
            <v>14</v>
          </cell>
          <cell r="N179" t="str">
            <v>課税</v>
          </cell>
        </row>
        <row r="180">
          <cell r="F180" t="str">
            <v>1686212</v>
          </cell>
          <cell r="G180" t="str">
            <v>割引額</v>
          </cell>
          <cell r="H180" t="str">
            <v>（ＥＣ割引パック）</v>
          </cell>
          <cell r="I180">
            <v>9</v>
          </cell>
          <cell r="N180" t="str">
            <v>課税</v>
          </cell>
        </row>
        <row r="181">
          <cell r="F181" t="str">
            <v>1694012</v>
          </cell>
          <cell r="G181" t="str">
            <v>利用料</v>
          </cell>
          <cell r="H181" t="str">
            <v>物流連携月額基本料</v>
          </cell>
          <cell r="I181">
            <v>9</v>
          </cell>
          <cell r="N181" t="str">
            <v>課税</v>
          </cell>
        </row>
        <row r="182">
          <cell r="F182" t="str">
            <v>1695012</v>
          </cell>
          <cell r="G182" t="str">
            <v>その他</v>
          </cell>
          <cell r="H182" t="str">
            <v>代引／物流連携運送料金等</v>
          </cell>
          <cell r="I182">
            <v>12</v>
          </cell>
          <cell r="N182" t="str">
            <v>課税</v>
          </cell>
        </row>
        <row r="183">
          <cell r="F183" t="str">
            <v>1734000</v>
          </cell>
          <cell r="G183" t="str">
            <v>利用料</v>
          </cell>
          <cell r="H183" t="str">
            <v>ビデオチャット月額利用料</v>
          </cell>
          <cell r="I183">
            <v>12</v>
          </cell>
          <cell r="N183" t="str">
            <v>課税</v>
          </cell>
        </row>
        <row r="184">
          <cell r="F184" t="str">
            <v>1734015</v>
          </cell>
          <cell r="G184" t="str">
            <v>利用料</v>
          </cell>
          <cell r="H184" t="str">
            <v>ビデオチャットサービス月額利用料</v>
          </cell>
          <cell r="I184">
            <v>16</v>
          </cell>
          <cell r="N184" t="str">
            <v>課税</v>
          </cell>
        </row>
        <row r="185">
          <cell r="F185" t="str">
            <v>1735000</v>
          </cell>
          <cell r="G185" t="str">
            <v>利用料</v>
          </cell>
          <cell r="H185" t="str">
            <v>ビデオチャット日額利用料</v>
          </cell>
          <cell r="I185">
            <v>12</v>
          </cell>
          <cell r="J185" t="str">
            <v>DABINCI利用量</v>
          </cell>
          <cell r="N185" t="str">
            <v>課税</v>
          </cell>
        </row>
        <row r="186">
          <cell r="F186" t="str">
            <v>1735015</v>
          </cell>
          <cell r="G186" t="str">
            <v>利用料</v>
          </cell>
          <cell r="H186" t="str">
            <v>ビデオチャットサービス日額利用料</v>
          </cell>
          <cell r="I186">
            <v>16</v>
          </cell>
          <cell r="J186" t="str">
            <v>DABINCI利用量</v>
          </cell>
          <cell r="N186" t="str">
            <v>課税</v>
          </cell>
        </row>
        <row r="187">
          <cell r="F187" t="str">
            <v>1904816</v>
          </cell>
          <cell r="G187" t="str">
            <v>機能使用料</v>
          </cell>
          <cell r="H187" t="str">
            <v>ＩＰ電話サービス機能使用料</v>
          </cell>
          <cell r="I187">
            <v>13</v>
          </cell>
          <cell r="N187" t="str">
            <v>課税</v>
          </cell>
        </row>
        <row r="188">
          <cell r="F188" t="str">
            <v>1904916</v>
          </cell>
          <cell r="G188" t="str">
            <v>レンタル料</v>
          </cell>
          <cell r="H188" t="str">
            <v>ＩＰ電話アダプターレンタル料</v>
          </cell>
          <cell r="I188">
            <v>14</v>
          </cell>
          <cell r="N188" t="str">
            <v>課税</v>
          </cell>
        </row>
        <row r="189">
          <cell r="F189" t="str">
            <v>1905016</v>
          </cell>
          <cell r="G189" t="str">
            <v>通信料</v>
          </cell>
          <cell r="H189" t="str">
            <v>ＩＰ電話サービス国内通話料（課税）</v>
          </cell>
          <cell r="I189">
            <v>17</v>
          </cell>
          <cell r="J189" t="str">
            <v>DABINCI利用量</v>
          </cell>
          <cell r="N189" t="str">
            <v>課税</v>
          </cell>
        </row>
        <row r="190">
          <cell r="F190" t="str">
            <v>1905116</v>
          </cell>
          <cell r="G190" t="str">
            <v>通信料</v>
          </cell>
          <cell r="H190" t="str">
            <v>ＩＰ電話サービス国際通話料（非課税）</v>
          </cell>
          <cell r="I190">
            <v>18</v>
          </cell>
          <cell r="J190" t="str">
            <v>DABINCI利用量</v>
          </cell>
          <cell r="N190" t="str">
            <v>非課税</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solidFill>
              <a:srgbClr val="FFFF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kddi.com/smc/fmconline/nwarea/schema/search_area_request" TargetMode="External"/><Relationship Id="rId1" Type="http://schemas.openxmlformats.org/officeDocument/2006/relationships/hyperlink" Target="http://kddi.com/smc/fmconline/nwarea/schema/search_area_respons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K28"/>
  <sheetViews>
    <sheetView zoomScaleNormal="100" workbookViewId="0">
      <selection activeCell="N26" sqref="N26"/>
    </sheetView>
  </sheetViews>
  <sheetFormatPr defaultRowHeight="12.75"/>
  <sheetData>
    <row r="3" spans="2:11">
      <c r="B3" t="s">
        <v>10</v>
      </c>
    </row>
    <row r="4" spans="2:11">
      <c r="B4" s="6" t="s">
        <v>2</v>
      </c>
    </row>
    <row r="6" spans="2:11">
      <c r="B6" s="7"/>
      <c r="C6" s="2"/>
      <c r="D6" s="2"/>
      <c r="E6" s="2"/>
      <c r="F6" s="2"/>
      <c r="G6" s="2"/>
      <c r="H6" s="2"/>
      <c r="I6" s="2"/>
      <c r="J6" s="2"/>
      <c r="K6" s="2"/>
    </row>
    <row r="7" spans="2:11">
      <c r="B7" s="2"/>
      <c r="C7" s="2"/>
      <c r="D7" s="2"/>
      <c r="E7" s="2"/>
      <c r="F7" s="2"/>
      <c r="G7" s="2"/>
      <c r="H7" s="2"/>
      <c r="I7" s="2"/>
      <c r="J7" s="2"/>
      <c r="K7" s="2"/>
    </row>
    <row r="8" spans="2:11">
      <c r="B8" s="8"/>
      <c r="C8" s="4"/>
      <c r="D8" s="4"/>
      <c r="E8" s="4"/>
      <c r="F8" s="4"/>
      <c r="G8" s="4"/>
      <c r="H8" s="4"/>
      <c r="I8" s="4"/>
      <c r="J8" s="4"/>
      <c r="K8" s="4"/>
    </row>
    <row r="9" spans="2:11">
      <c r="B9" s="4"/>
      <c r="C9" s="4"/>
      <c r="D9" s="4"/>
      <c r="E9" s="4"/>
      <c r="F9" s="4"/>
      <c r="G9" s="4"/>
      <c r="H9" s="4" t="s">
        <v>0</v>
      </c>
      <c r="I9" s="4"/>
      <c r="J9" s="4"/>
      <c r="K9" s="4"/>
    </row>
    <row r="10" spans="2:11">
      <c r="B10" s="3"/>
      <c r="C10" s="3"/>
      <c r="D10" s="3"/>
      <c r="E10" s="3"/>
      <c r="F10" s="3"/>
      <c r="G10" s="3"/>
      <c r="H10" s="3"/>
      <c r="I10" s="3"/>
      <c r="J10" s="3"/>
      <c r="K10" s="3"/>
    </row>
    <row r="11" spans="2:11">
      <c r="B11" s="3"/>
      <c r="C11" s="3"/>
      <c r="D11" s="3"/>
      <c r="E11" s="3"/>
      <c r="F11" s="3"/>
      <c r="G11" s="3"/>
      <c r="H11" s="3"/>
      <c r="I11" s="3"/>
      <c r="J11" s="3"/>
      <c r="K11" s="3"/>
    </row>
    <row r="12" spans="2:11">
      <c r="B12" s="3"/>
      <c r="C12" s="5" t="s">
        <v>5</v>
      </c>
      <c r="D12" s="3"/>
      <c r="E12" s="3"/>
      <c r="F12" s="3"/>
      <c r="G12" s="3"/>
      <c r="H12" s="3"/>
      <c r="I12" s="3"/>
      <c r="J12" s="3"/>
      <c r="K12" s="3"/>
    </row>
    <row r="13" spans="2:11">
      <c r="B13" s="3"/>
      <c r="C13" s="3"/>
      <c r="D13" s="3"/>
      <c r="E13" s="3"/>
      <c r="F13" s="3"/>
      <c r="G13" s="3"/>
      <c r="H13" s="3"/>
      <c r="I13" s="3"/>
      <c r="J13" s="3"/>
      <c r="K13" s="3"/>
    </row>
    <row r="14" spans="2:11">
      <c r="B14" s="3"/>
      <c r="C14" s="3"/>
      <c r="D14" s="3"/>
      <c r="E14" s="3"/>
      <c r="F14" s="3"/>
      <c r="G14" s="3"/>
      <c r="H14" s="3"/>
      <c r="I14" s="3"/>
      <c r="J14" s="3"/>
      <c r="K14" s="3"/>
    </row>
    <row r="15" spans="2:11">
      <c r="B15" s="3"/>
      <c r="C15" s="3"/>
      <c r="D15" s="3"/>
      <c r="E15" s="3"/>
      <c r="F15" s="3"/>
      <c r="G15" s="3"/>
      <c r="H15" s="3"/>
      <c r="I15" s="3"/>
      <c r="J15" s="3"/>
      <c r="K15" s="3"/>
    </row>
    <row r="22" spans="2:3">
      <c r="B22" t="s">
        <v>3</v>
      </c>
    </row>
    <row r="23" spans="2:3">
      <c r="C23" t="s">
        <v>4</v>
      </c>
    </row>
    <row r="24" spans="2:3">
      <c r="B24" s="1"/>
    </row>
    <row r="25" spans="2:3">
      <c r="B25" t="s">
        <v>13</v>
      </c>
    </row>
    <row r="26" spans="2:3">
      <c r="C26" t="s">
        <v>6</v>
      </c>
    </row>
    <row r="27" spans="2:3">
      <c r="C27" t="s">
        <v>11</v>
      </c>
    </row>
    <row r="28" spans="2:3">
      <c r="C28" t="s">
        <v>12</v>
      </c>
    </row>
  </sheetData>
  <phoneticPr fontId="3"/>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autoLine="0" autoPict="0" r:id="rId5">
            <anchor moveWithCells="1">
              <from>
                <xdr:col>1</xdr:col>
                <xdr:colOff>0</xdr:colOff>
                <xdr:row>15</xdr:row>
                <xdr:rowOff>66675</xdr:rowOff>
              </from>
              <to>
                <xdr:col>2</xdr:col>
                <xdr:colOff>290513</xdr:colOff>
                <xdr:row>17</xdr:row>
                <xdr:rowOff>95250</xdr:rowOff>
              </to>
            </anchor>
          </controlPr>
        </control>
      </mc:Choice>
      <mc:Fallback>
        <control shapeId="2049" r:id="rId4" name="CommandButton1"/>
      </mc:Fallback>
    </mc:AlternateContent>
    <mc:AlternateContent xmlns:mc="http://schemas.openxmlformats.org/markup-compatibility/2006">
      <mc:Choice Requires="x14">
        <control shapeId="2050" r:id="rId6" name="ISheet">
          <controlPr defaultSize="0" autoLine="0" r:id="rId7">
            <anchor moveWithCells="1">
              <from>
                <xdr:col>2</xdr:col>
                <xdr:colOff>276225</xdr:colOff>
                <xdr:row>5</xdr:row>
                <xdr:rowOff>95250</xdr:rowOff>
              </from>
              <to>
                <xdr:col>3</xdr:col>
                <xdr:colOff>604838</xdr:colOff>
                <xdr:row>6</xdr:row>
                <xdr:rowOff>152400</xdr:rowOff>
              </to>
            </anchor>
          </controlPr>
        </control>
      </mc:Choice>
      <mc:Fallback>
        <control shapeId="2050" r:id="rId6" name="ISheet"/>
      </mc:Fallback>
    </mc:AlternateContent>
    <mc:AlternateContent xmlns:mc="http://schemas.openxmlformats.org/markup-compatibility/2006">
      <mc:Choice Requires="x14">
        <control shapeId="2051" r:id="rId8" name="OPath">
          <controlPr defaultSize="0" autoLine="0" r:id="rId9">
            <anchor moveWithCells="1">
              <from>
                <xdr:col>2</xdr:col>
                <xdr:colOff>500063</xdr:colOff>
                <xdr:row>7</xdr:row>
                <xdr:rowOff>90488</xdr:rowOff>
              </from>
              <to>
                <xdr:col>7</xdr:col>
                <xdr:colOff>138113</xdr:colOff>
                <xdr:row>9</xdr:row>
                <xdr:rowOff>4763</xdr:rowOff>
              </to>
            </anchor>
          </controlPr>
        </control>
      </mc:Choice>
      <mc:Fallback>
        <control shapeId="2051" r:id="rId8" name="OPath"/>
      </mc:Fallback>
    </mc:AlternateContent>
    <mc:AlternateContent xmlns:mc="http://schemas.openxmlformats.org/markup-compatibility/2006">
      <mc:Choice Requires="x14">
        <control shapeId="2052" r:id="rId10" name="Label1">
          <controlPr defaultSize="0" autoLine="0" r:id="rId11">
            <anchor moveWithCells="1">
              <from>
                <xdr:col>1</xdr:col>
                <xdr:colOff>0</xdr:colOff>
                <xdr:row>5</xdr:row>
                <xdr:rowOff>133350</xdr:rowOff>
              </from>
              <to>
                <xdr:col>2</xdr:col>
                <xdr:colOff>285750</xdr:colOff>
                <xdr:row>6</xdr:row>
                <xdr:rowOff>123825</xdr:rowOff>
              </to>
            </anchor>
          </controlPr>
        </control>
      </mc:Choice>
      <mc:Fallback>
        <control shapeId="2052" r:id="rId10" name="Label1"/>
      </mc:Fallback>
    </mc:AlternateContent>
    <mc:AlternateContent xmlns:mc="http://schemas.openxmlformats.org/markup-compatibility/2006">
      <mc:Choice Requires="x14">
        <control shapeId="2053" r:id="rId12" name="Label2">
          <controlPr defaultSize="0" autoLine="0" autoPict="0" r:id="rId13">
            <anchor moveWithCells="1">
              <from>
                <xdr:col>1</xdr:col>
                <xdr:colOff>9525</xdr:colOff>
                <xdr:row>7</xdr:row>
                <xdr:rowOff>123825</xdr:rowOff>
              </from>
              <to>
                <xdr:col>2</xdr:col>
                <xdr:colOff>452438</xdr:colOff>
                <xdr:row>8</xdr:row>
                <xdr:rowOff>119063</xdr:rowOff>
              </to>
            </anchor>
          </controlPr>
        </control>
      </mc:Choice>
      <mc:Fallback>
        <control shapeId="2053" r:id="rId12" name="Label2"/>
      </mc:Fallback>
    </mc:AlternateContent>
    <mc:AlternateContent xmlns:mc="http://schemas.openxmlformats.org/markup-compatibility/2006">
      <mc:Choice Requires="x14">
        <control shapeId="2054" r:id="rId14" name="CommandButton2">
          <controlPr autoLine="0" r:id="rId15">
            <anchor moveWithCells="1">
              <from>
                <xdr:col>2</xdr:col>
                <xdr:colOff>419100</xdr:colOff>
                <xdr:row>15</xdr:row>
                <xdr:rowOff>66675</xdr:rowOff>
              </from>
              <to>
                <xdr:col>4</xdr:col>
                <xdr:colOff>57150</xdr:colOff>
                <xdr:row>17</xdr:row>
                <xdr:rowOff>114300</xdr:rowOff>
              </to>
            </anchor>
          </controlPr>
        </control>
      </mc:Choice>
      <mc:Fallback>
        <control shapeId="2054" r:id="rId14" name="CommandButton2"/>
      </mc:Fallback>
    </mc:AlternateContent>
    <mc:AlternateContent xmlns:mc="http://schemas.openxmlformats.org/markup-compatibility/2006">
      <mc:Choice Requires="x14">
        <control shapeId="2055" r:id="rId16" name="Label3">
          <controlPr defaultSize="0" autoLine="0" r:id="rId17">
            <anchor moveWithCells="1">
              <from>
                <xdr:col>1</xdr:col>
                <xdr:colOff>9525</xdr:colOff>
                <xdr:row>12</xdr:row>
                <xdr:rowOff>95250</xdr:rowOff>
              </from>
              <to>
                <xdr:col>2</xdr:col>
                <xdr:colOff>514350</xdr:colOff>
                <xdr:row>13</xdr:row>
                <xdr:rowOff>123825</xdr:rowOff>
              </to>
            </anchor>
          </controlPr>
        </control>
      </mc:Choice>
      <mc:Fallback>
        <control shapeId="2055" r:id="rId16" name="Label3"/>
      </mc:Fallback>
    </mc:AlternateContent>
    <mc:AlternateContent xmlns:mc="http://schemas.openxmlformats.org/markup-compatibility/2006">
      <mc:Choice Requires="x14">
        <control shapeId="2056" r:id="rId18" name="OStream">
          <controlPr defaultSize="0" autoLine="0" r:id="rId19">
            <anchor moveWithCells="1">
              <from>
                <xdr:col>2</xdr:col>
                <xdr:colOff>452438</xdr:colOff>
                <xdr:row>12</xdr:row>
                <xdr:rowOff>95250</xdr:rowOff>
              </from>
              <to>
                <xdr:col>11</xdr:col>
                <xdr:colOff>238125</xdr:colOff>
                <xdr:row>14</xdr:row>
                <xdr:rowOff>9525</xdr:rowOff>
              </to>
            </anchor>
          </controlPr>
        </control>
      </mc:Choice>
      <mc:Fallback>
        <control shapeId="2056" r:id="rId18" name="OStream"/>
      </mc:Fallback>
    </mc:AlternateContent>
    <mc:AlternateContent xmlns:mc="http://schemas.openxmlformats.org/markup-compatibility/2006">
      <mc:Choice Requires="x14">
        <control shapeId="2058" r:id="rId20" name="Label4">
          <controlPr defaultSize="0" autoLine="0" r:id="rId21">
            <anchor moveWithCells="1">
              <from>
                <xdr:col>3</xdr:col>
                <xdr:colOff>638175</xdr:colOff>
                <xdr:row>5</xdr:row>
                <xdr:rowOff>119063</xdr:rowOff>
              </from>
              <to>
                <xdr:col>4</xdr:col>
                <xdr:colOff>542925</xdr:colOff>
                <xdr:row>6</xdr:row>
                <xdr:rowOff>157163</xdr:rowOff>
              </to>
            </anchor>
          </controlPr>
        </control>
      </mc:Choice>
      <mc:Fallback>
        <control shapeId="2058" r:id="rId20" name="Label4"/>
      </mc:Fallback>
    </mc:AlternateContent>
    <mc:AlternateContent xmlns:mc="http://schemas.openxmlformats.org/markup-compatibility/2006">
      <mc:Choice Requires="x14">
        <control shapeId="2059" r:id="rId22" name="CaseNo">
          <controlPr defaultSize="0" autoLine="0" autoPict="0" r:id="rId23">
            <anchor moveWithCells="1">
              <from>
                <xdr:col>4</xdr:col>
                <xdr:colOff>495300</xdr:colOff>
                <xdr:row>5</xdr:row>
                <xdr:rowOff>95250</xdr:rowOff>
              </from>
              <to>
                <xdr:col>5</xdr:col>
                <xdr:colOff>476250</xdr:colOff>
                <xdr:row>6</xdr:row>
                <xdr:rowOff>152400</xdr:rowOff>
              </to>
            </anchor>
          </controlPr>
        </control>
      </mc:Choice>
      <mc:Fallback>
        <control shapeId="2059" r:id="rId22" name="CaseNo"/>
      </mc:Fallback>
    </mc:AlternateContent>
    <mc:AlternateContent xmlns:mc="http://schemas.openxmlformats.org/markup-compatibility/2006">
      <mc:Choice Requires="x14">
        <control shapeId="2062" r:id="rId24" name="Label6">
          <controlPr defaultSize="0" autoLine="0" r:id="rId25">
            <anchor moveWithCells="1">
              <from>
                <xdr:col>1</xdr:col>
                <xdr:colOff>9525</xdr:colOff>
                <xdr:row>9</xdr:row>
                <xdr:rowOff>52388</xdr:rowOff>
              </from>
              <to>
                <xdr:col>2</xdr:col>
                <xdr:colOff>542925</xdr:colOff>
                <xdr:row>10</xdr:row>
                <xdr:rowOff>90488</xdr:rowOff>
              </to>
            </anchor>
          </controlPr>
        </control>
      </mc:Choice>
      <mc:Fallback>
        <control shapeId="2062" r:id="rId24" name="Label6"/>
      </mc:Fallback>
    </mc:AlternateContent>
    <mc:AlternateContent xmlns:mc="http://schemas.openxmlformats.org/markup-compatibility/2006">
      <mc:Choice Requires="x14">
        <control shapeId="2063" r:id="rId26" name="IFile">
          <controlPr defaultSize="0" autoLine="0" autoPict="0" r:id="rId27">
            <anchor moveWithCells="1">
              <from>
                <xdr:col>2</xdr:col>
                <xdr:colOff>500063</xdr:colOff>
                <xdr:row>9</xdr:row>
                <xdr:rowOff>42863</xdr:rowOff>
              </from>
              <to>
                <xdr:col>9</xdr:col>
                <xdr:colOff>104775</xdr:colOff>
                <xdr:row>10</xdr:row>
                <xdr:rowOff>90488</xdr:rowOff>
              </to>
            </anchor>
          </controlPr>
        </control>
      </mc:Choice>
      <mc:Fallback>
        <control shapeId="2063" r:id="rId26" name="IFile"/>
      </mc:Fallback>
    </mc:AlternateContent>
    <mc:AlternateContent xmlns:mc="http://schemas.openxmlformats.org/markup-compatibility/2006">
      <mc:Choice Requires="x14">
        <control shapeId="2064" r:id="rId28" name="Label7">
          <controlPr defaultSize="0" autoLine="0" r:id="rId29">
            <anchor moveWithCells="1">
              <from>
                <xdr:col>8</xdr:col>
                <xdr:colOff>438150</xdr:colOff>
                <xdr:row>5</xdr:row>
                <xdr:rowOff>109538</xdr:rowOff>
              </from>
              <to>
                <xdr:col>10</xdr:col>
                <xdr:colOff>76200</xdr:colOff>
                <xdr:row>6</xdr:row>
                <xdr:rowOff>109538</xdr:rowOff>
              </to>
            </anchor>
          </controlPr>
        </control>
      </mc:Choice>
      <mc:Fallback>
        <control shapeId="2064" r:id="rId28" name="Label7"/>
      </mc:Fallback>
    </mc:AlternateContent>
    <mc:AlternateContent xmlns:mc="http://schemas.openxmlformats.org/markup-compatibility/2006">
      <mc:Choice Requires="x14">
        <control shapeId="2065" r:id="rId30" name="caseCol">
          <controlPr autoLine="0" r:id="rId31">
            <anchor moveWithCells="1">
              <from>
                <xdr:col>10</xdr:col>
                <xdr:colOff>66675</xdr:colOff>
                <xdr:row>5</xdr:row>
                <xdr:rowOff>80963</xdr:rowOff>
              </from>
              <to>
                <xdr:col>10</xdr:col>
                <xdr:colOff>628650</xdr:colOff>
                <xdr:row>6</xdr:row>
                <xdr:rowOff>147638</xdr:rowOff>
              </to>
            </anchor>
          </controlPr>
        </control>
      </mc:Choice>
      <mc:Fallback>
        <control shapeId="2065" r:id="rId30" name="caseCol"/>
      </mc:Fallback>
    </mc:AlternateContent>
    <mc:AlternateContent xmlns:mc="http://schemas.openxmlformats.org/markup-compatibility/2006">
      <mc:Choice Requires="x14">
        <control shapeId="2067" r:id="rId32" name="CommandButton4">
          <controlPr autoLine="0" autoPict="0" r:id="rId33">
            <anchor moveWithCells="1">
              <from>
                <xdr:col>4</xdr:col>
                <xdr:colOff>90488</xdr:colOff>
                <xdr:row>15</xdr:row>
                <xdr:rowOff>71438</xdr:rowOff>
              </from>
              <to>
                <xdr:col>5</xdr:col>
                <xdr:colOff>300038</xdr:colOff>
                <xdr:row>17</xdr:row>
                <xdr:rowOff>71438</xdr:rowOff>
              </to>
            </anchor>
          </controlPr>
        </control>
      </mc:Choice>
      <mc:Fallback>
        <control shapeId="2067" r:id="rId32" name="CommandButton4"/>
      </mc:Fallback>
    </mc:AlternateContent>
    <mc:AlternateContent xmlns:mc="http://schemas.openxmlformats.org/markup-compatibility/2006">
      <mc:Choice Requires="x14">
        <control shapeId="2068" r:id="rId34" name="CommandButton3">
          <controlPr autoLine="0" r:id="rId35">
            <anchor moveWithCells="1">
              <from>
                <xdr:col>8</xdr:col>
                <xdr:colOff>476250</xdr:colOff>
                <xdr:row>17</xdr:row>
                <xdr:rowOff>133350</xdr:rowOff>
              </from>
              <to>
                <xdr:col>11</xdr:col>
                <xdr:colOff>142875</xdr:colOff>
                <xdr:row>19</xdr:row>
                <xdr:rowOff>114300</xdr:rowOff>
              </to>
            </anchor>
          </controlPr>
        </control>
      </mc:Choice>
      <mc:Fallback>
        <control shapeId="2068" r:id="rId34" name="CommandButton3"/>
      </mc:Fallback>
    </mc:AlternateContent>
    <mc:AlternateContent xmlns:mc="http://schemas.openxmlformats.org/markup-compatibility/2006">
      <mc:Choice Requires="x14">
        <control shapeId="2069" r:id="rId36" name="CommandButton5">
          <controlPr autoLine="0" r:id="rId37">
            <anchor moveWithCells="1">
              <from>
                <xdr:col>8</xdr:col>
                <xdr:colOff>471488</xdr:colOff>
                <xdr:row>15</xdr:row>
                <xdr:rowOff>71438</xdr:rowOff>
              </from>
              <to>
                <xdr:col>11</xdr:col>
                <xdr:colOff>42863</xdr:colOff>
                <xdr:row>17</xdr:row>
                <xdr:rowOff>52388</xdr:rowOff>
              </to>
            </anchor>
          </controlPr>
        </control>
      </mc:Choice>
      <mc:Fallback>
        <control shapeId="2069" r:id="rId36" name="CommandButton5"/>
      </mc:Fallback>
    </mc:AlternateContent>
    <mc:AlternateContent xmlns:mc="http://schemas.openxmlformats.org/markup-compatibility/2006">
      <mc:Choice Requires="x14">
        <control shapeId="2484" r:id="rId38" name="CommandButton6">
          <controlPr autoLine="0" r:id="rId39">
            <anchor moveWithCells="1">
              <from>
                <xdr:col>6</xdr:col>
                <xdr:colOff>509588</xdr:colOff>
                <xdr:row>15</xdr:row>
                <xdr:rowOff>80963</xdr:rowOff>
              </from>
              <to>
                <xdr:col>8</xdr:col>
                <xdr:colOff>252413</xdr:colOff>
                <xdr:row>17</xdr:row>
                <xdr:rowOff>61913</xdr:rowOff>
              </to>
            </anchor>
          </controlPr>
        </control>
      </mc:Choice>
      <mc:Fallback>
        <control shapeId="2484" r:id="rId38" name="CommandButton6"/>
      </mc:Fallback>
    </mc:AlternateContent>
    <mc:AlternateContent xmlns:mc="http://schemas.openxmlformats.org/markup-compatibility/2006">
      <mc:Choice Requires="x14">
        <control shapeId="2485" r:id="rId40" name="CommandButton7">
          <controlPr autoLine="0" r:id="rId41">
            <anchor moveWithCells="1">
              <from>
                <xdr:col>6</xdr:col>
                <xdr:colOff>500063</xdr:colOff>
                <xdr:row>17</xdr:row>
                <xdr:rowOff>109538</xdr:rowOff>
              </from>
              <to>
                <xdr:col>8</xdr:col>
                <xdr:colOff>309563</xdr:colOff>
                <xdr:row>19</xdr:row>
                <xdr:rowOff>90488</xdr:rowOff>
              </to>
            </anchor>
          </controlPr>
        </control>
      </mc:Choice>
      <mc:Fallback>
        <control shapeId="2485" r:id="rId40" name="CommandButton7"/>
      </mc:Fallback>
    </mc:AlternateContent>
    <mc:AlternateContent xmlns:mc="http://schemas.openxmlformats.org/markup-compatibility/2006">
      <mc:Choice Requires="x14">
        <control shapeId="2486" r:id="rId42" name="CommandButton8">
          <controlPr autoLine="0" r:id="rId43">
            <anchor moveWithCells="1">
              <from>
                <xdr:col>2</xdr:col>
                <xdr:colOff>414338</xdr:colOff>
                <xdr:row>18</xdr:row>
                <xdr:rowOff>9525</xdr:rowOff>
              </from>
              <to>
                <xdr:col>4</xdr:col>
                <xdr:colOff>366713</xdr:colOff>
                <xdr:row>20</xdr:row>
                <xdr:rowOff>57150</xdr:rowOff>
              </to>
            </anchor>
          </controlPr>
        </control>
      </mc:Choice>
      <mc:Fallback>
        <control shapeId="2486" r:id="rId42"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K81"/>
  <sheetViews>
    <sheetView view="pageBreakPreview" zoomScale="80" zoomScaleNormal="100" zoomScaleSheetLayoutView="80" workbookViewId="0">
      <selection activeCell="D61" sqref="D59:D61"/>
    </sheetView>
  </sheetViews>
  <sheetFormatPr defaultColWidth="7.86328125" defaultRowHeight="10.5"/>
  <cols>
    <col min="1" max="1" width="1.19921875" style="89" customWidth="1"/>
    <col min="2" max="2" width="3.86328125" style="89" customWidth="1"/>
    <col min="3" max="3" width="24.1328125" style="89" customWidth="1"/>
    <col min="4" max="4" width="46.33203125" style="89" customWidth="1"/>
    <col min="5" max="5" width="40.86328125" style="89" customWidth="1"/>
    <col min="6" max="6" width="41.19921875" style="89" customWidth="1"/>
    <col min="7" max="7" width="48.46484375" style="89" customWidth="1"/>
    <col min="8" max="8" width="7.796875" style="89" customWidth="1"/>
    <col min="9" max="11" width="11" style="89" customWidth="1"/>
    <col min="12" max="16384" width="7.86328125" style="89"/>
  </cols>
  <sheetData>
    <row r="1" spans="2:11" ht="7.5" customHeight="1"/>
    <row r="2" spans="2:11" ht="23.25" thickBot="1">
      <c r="B2" s="90" t="s">
        <v>60</v>
      </c>
      <c r="C2" s="91"/>
      <c r="D2" s="91"/>
      <c r="E2" s="91"/>
      <c r="F2" s="91"/>
      <c r="G2" s="91"/>
      <c r="H2" s="91"/>
      <c r="I2" s="91"/>
      <c r="J2" s="91"/>
      <c r="K2" s="91"/>
    </row>
    <row r="3" spans="2:11" ht="8.25" customHeight="1" thickTop="1">
      <c r="B3" s="92"/>
      <c r="C3" s="93"/>
      <c r="D3" s="93"/>
      <c r="E3" s="93"/>
      <c r="F3" s="93"/>
      <c r="G3" s="93"/>
      <c r="H3" s="93"/>
      <c r="I3" s="93"/>
      <c r="J3" s="93"/>
      <c r="K3" s="93"/>
    </row>
    <row r="4" spans="2:11" ht="15" customHeight="1">
      <c r="B4" s="92"/>
      <c r="C4" s="102" t="s">
        <v>61</v>
      </c>
      <c r="D4" s="103" t="s">
        <v>356</v>
      </c>
      <c r="E4" s="266"/>
      <c r="F4" s="93"/>
      <c r="G4" s="93"/>
      <c r="H4" s="93"/>
      <c r="I4" s="93"/>
      <c r="J4" s="93"/>
      <c r="K4" s="93"/>
    </row>
    <row r="5" spans="2:11" ht="15" customHeight="1">
      <c r="B5" s="92"/>
      <c r="C5" s="104"/>
      <c r="D5" s="105" t="s">
        <v>71</v>
      </c>
      <c r="E5" s="266"/>
      <c r="F5" s="93"/>
      <c r="G5" s="93"/>
      <c r="H5" s="93"/>
      <c r="I5" s="93"/>
      <c r="J5" s="93"/>
      <c r="K5" s="93"/>
    </row>
    <row r="6" spans="2:11" ht="15" customHeight="1">
      <c r="B6" s="92"/>
      <c r="C6" s="94" t="s">
        <v>62</v>
      </c>
      <c r="D6" s="95" t="s">
        <v>75</v>
      </c>
      <c r="E6" s="93"/>
      <c r="F6" s="93"/>
      <c r="G6" s="93"/>
      <c r="H6" s="93"/>
      <c r="I6" s="93"/>
      <c r="J6" s="93"/>
      <c r="K6" s="93"/>
    </row>
    <row r="7" spans="2:11" ht="15" customHeight="1">
      <c r="B7" s="92"/>
      <c r="C7" s="96"/>
      <c r="D7" s="97" t="s">
        <v>102</v>
      </c>
      <c r="E7" s="93"/>
      <c r="F7" s="93"/>
      <c r="G7" s="93"/>
      <c r="H7" s="93"/>
      <c r="I7" s="93"/>
      <c r="J7" s="93"/>
      <c r="K7" s="93"/>
    </row>
    <row r="8" spans="2:11" ht="7.5" customHeight="1">
      <c r="B8" s="92"/>
      <c r="C8" s="93"/>
      <c r="D8" s="93"/>
      <c r="E8" s="93"/>
      <c r="F8" s="93"/>
      <c r="G8" s="93"/>
      <c r="H8" s="93"/>
      <c r="I8" s="93"/>
      <c r="J8" s="93"/>
      <c r="K8" s="93"/>
    </row>
    <row r="9" spans="2:11" ht="22.9">
      <c r="B9" s="92"/>
      <c r="C9" s="115" t="s">
        <v>74</v>
      </c>
      <c r="F9" s="93"/>
      <c r="G9" s="93"/>
      <c r="H9" s="93"/>
      <c r="I9" s="93"/>
      <c r="J9" s="93"/>
      <c r="K9" s="93"/>
    </row>
    <row r="10" spans="2:11" ht="9" customHeight="1" thickBot="1"/>
    <row r="11" spans="2:11">
      <c r="B11" s="98" t="s">
        <v>63</v>
      </c>
      <c r="C11" s="99" t="s">
        <v>64</v>
      </c>
      <c r="D11" s="99" t="s">
        <v>72</v>
      </c>
      <c r="E11" s="99" t="s">
        <v>291</v>
      </c>
      <c r="F11" s="99" t="s">
        <v>65</v>
      </c>
      <c r="G11" s="99" t="s">
        <v>70</v>
      </c>
      <c r="H11" s="99" t="s">
        <v>69</v>
      </c>
      <c r="I11" s="100" t="s">
        <v>66</v>
      </c>
      <c r="J11" s="100" t="s">
        <v>67</v>
      </c>
      <c r="K11" s="101" t="s">
        <v>68</v>
      </c>
    </row>
    <row r="12" spans="2:11">
      <c r="B12" s="292"/>
      <c r="C12" s="293"/>
      <c r="D12" s="293"/>
      <c r="E12" s="293"/>
      <c r="F12" s="293"/>
      <c r="G12" s="293"/>
      <c r="H12" s="294"/>
      <c r="I12" s="295"/>
      <c r="J12" s="295"/>
      <c r="K12" s="296"/>
    </row>
    <row r="13" spans="2:11" ht="231">
      <c r="B13" s="111">
        <f t="shared" ref="B13:B37" si="0">ROW()-12</f>
        <v>1</v>
      </c>
      <c r="C13" s="113" t="s">
        <v>358</v>
      </c>
      <c r="D13" s="114" t="s">
        <v>499</v>
      </c>
      <c r="E13" s="114" t="s">
        <v>359</v>
      </c>
      <c r="F13" s="113" t="s">
        <v>459</v>
      </c>
      <c r="G13" s="113" t="s">
        <v>301</v>
      </c>
      <c r="H13" s="117"/>
      <c r="I13" s="117"/>
      <c r="J13" s="117"/>
      <c r="K13" s="112"/>
    </row>
    <row r="14" spans="2:11" ht="220.5">
      <c r="B14" s="111">
        <f t="shared" si="0"/>
        <v>2</v>
      </c>
      <c r="C14" s="113" t="s">
        <v>358</v>
      </c>
      <c r="D14" s="114" t="s">
        <v>561</v>
      </c>
      <c r="E14" s="114" t="s">
        <v>359</v>
      </c>
      <c r="F14" s="113" t="s">
        <v>460</v>
      </c>
      <c r="G14" s="113" t="s">
        <v>301</v>
      </c>
      <c r="H14" s="117"/>
      <c r="I14" s="117"/>
      <c r="J14" s="117"/>
      <c r="K14" s="112"/>
    </row>
    <row r="15" spans="2:11" ht="220.5">
      <c r="B15" s="111">
        <f t="shared" si="0"/>
        <v>3</v>
      </c>
      <c r="C15" s="113" t="s">
        <v>358</v>
      </c>
      <c r="D15" s="114" t="s">
        <v>562</v>
      </c>
      <c r="E15" s="114" t="s">
        <v>359</v>
      </c>
      <c r="F15" s="113" t="s">
        <v>360</v>
      </c>
      <c r="G15" s="113" t="s">
        <v>301</v>
      </c>
      <c r="H15" s="117"/>
      <c r="I15" s="117"/>
      <c r="J15" s="117"/>
      <c r="K15" s="112"/>
    </row>
    <row r="16" spans="2:11" ht="115.5">
      <c r="B16" s="111">
        <f t="shared" si="0"/>
        <v>4</v>
      </c>
      <c r="C16" s="113" t="s">
        <v>358</v>
      </c>
      <c r="D16" s="114" t="s">
        <v>562</v>
      </c>
      <c r="E16" s="305" t="s">
        <v>361</v>
      </c>
      <c r="F16" s="113" t="s">
        <v>362</v>
      </c>
      <c r="G16" s="113" t="s">
        <v>301</v>
      </c>
      <c r="H16" s="117"/>
      <c r="I16" s="117"/>
      <c r="J16" s="117"/>
      <c r="K16" s="112"/>
    </row>
    <row r="17" spans="2:11" ht="210">
      <c r="B17" s="111">
        <f t="shared" si="0"/>
        <v>5</v>
      </c>
      <c r="C17" s="113" t="s">
        <v>358</v>
      </c>
      <c r="D17" s="114" t="s">
        <v>572</v>
      </c>
      <c r="E17" s="114" t="s">
        <v>363</v>
      </c>
      <c r="F17" s="113" t="s">
        <v>364</v>
      </c>
      <c r="G17" s="113" t="s">
        <v>301</v>
      </c>
      <c r="H17" s="117"/>
      <c r="I17" s="117"/>
      <c r="J17" s="117"/>
      <c r="K17" s="112"/>
    </row>
    <row r="18" spans="2:11" ht="252">
      <c r="B18" s="111">
        <f t="shared" si="0"/>
        <v>6</v>
      </c>
      <c r="C18" s="113" t="s">
        <v>358</v>
      </c>
      <c r="D18" s="114" t="s">
        <v>573</v>
      </c>
      <c r="E18" s="114" t="s">
        <v>363</v>
      </c>
      <c r="F18" s="113" t="s">
        <v>365</v>
      </c>
      <c r="G18" s="113" t="s">
        <v>301</v>
      </c>
      <c r="H18" s="117"/>
      <c r="I18" s="117"/>
      <c r="J18" s="117"/>
      <c r="K18" s="112"/>
    </row>
    <row r="19" spans="2:11" ht="157.5">
      <c r="B19" s="111">
        <f t="shared" si="0"/>
        <v>7</v>
      </c>
      <c r="C19" s="113" t="s">
        <v>358</v>
      </c>
      <c r="D19" s="114" t="s">
        <v>563</v>
      </c>
      <c r="E19" s="114" t="s">
        <v>366</v>
      </c>
      <c r="F19" s="113" t="s">
        <v>367</v>
      </c>
      <c r="G19" s="113" t="s">
        <v>301</v>
      </c>
      <c r="H19" s="117"/>
      <c r="I19" s="117"/>
      <c r="J19" s="117"/>
      <c r="K19" s="112"/>
    </row>
    <row r="20" spans="2:11" ht="157.5">
      <c r="B20" s="111">
        <f t="shared" si="0"/>
        <v>8</v>
      </c>
      <c r="C20" s="113" t="s">
        <v>358</v>
      </c>
      <c r="D20" s="114" t="s">
        <v>564</v>
      </c>
      <c r="E20" s="114" t="s">
        <v>366</v>
      </c>
      <c r="F20" s="113" t="s">
        <v>367</v>
      </c>
      <c r="G20" s="113" t="s">
        <v>301</v>
      </c>
      <c r="H20" s="117"/>
      <c r="I20" s="117"/>
      <c r="J20" s="117"/>
      <c r="K20" s="112"/>
    </row>
    <row r="21" spans="2:11" ht="157.5">
      <c r="B21" s="111">
        <f t="shared" si="0"/>
        <v>9</v>
      </c>
      <c r="C21" s="113" t="s">
        <v>358</v>
      </c>
      <c r="D21" s="114" t="s">
        <v>565</v>
      </c>
      <c r="E21" s="114" t="s">
        <v>366</v>
      </c>
      <c r="F21" s="113" t="s">
        <v>367</v>
      </c>
      <c r="G21" s="113" t="s">
        <v>301</v>
      </c>
      <c r="H21" s="117"/>
      <c r="I21" s="117"/>
      <c r="J21" s="117"/>
      <c r="K21" s="112"/>
    </row>
    <row r="22" spans="2:11" ht="157.5">
      <c r="B22" s="111">
        <f t="shared" si="0"/>
        <v>10</v>
      </c>
      <c r="C22" s="113" t="s">
        <v>358</v>
      </c>
      <c r="D22" s="114" t="s">
        <v>566</v>
      </c>
      <c r="E22" s="114" t="s">
        <v>366</v>
      </c>
      <c r="F22" s="113" t="s">
        <v>367</v>
      </c>
      <c r="G22" s="113" t="s">
        <v>301</v>
      </c>
      <c r="H22" s="117"/>
      <c r="I22" s="117"/>
      <c r="J22" s="117"/>
      <c r="K22" s="112"/>
    </row>
    <row r="23" spans="2:11" ht="157.5">
      <c r="B23" s="111">
        <f t="shared" si="0"/>
        <v>11</v>
      </c>
      <c r="C23" s="113" t="s">
        <v>358</v>
      </c>
      <c r="D23" s="114" t="s">
        <v>567</v>
      </c>
      <c r="E23" s="114" t="s">
        <v>366</v>
      </c>
      <c r="F23" s="113" t="s">
        <v>367</v>
      </c>
      <c r="G23" s="113" t="s">
        <v>301</v>
      </c>
      <c r="H23" s="117"/>
      <c r="I23" s="117"/>
      <c r="J23" s="117"/>
      <c r="K23" s="112"/>
    </row>
    <row r="24" spans="2:11" ht="157.5">
      <c r="B24" s="111">
        <f t="shared" si="0"/>
        <v>12</v>
      </c>
      <c r="C24" s="113" t="s">
        <v>358</v>
      </c>
      <c r="D24" s="114" t="s">
        <v>568</v>
      </c>
      <c r="E24" s="114" t="s">
        <v>366</v>
      </c>
      <c r="F24" s="113" t="s">
        <v>367</v>
      </c>
      <c r="G24" s="113" t="s">
        <v>301</v>
      </c>
      <c r="H24" s="117"/>
      <c r="I24" s="117"/>
      <c r="J24" s="117"/>
      <c r="K24" s="112"/>
    </row>
    <row r="25" spans="2:11" ht="157.5">
      <c r="B25" s="111">
        <f t="shared" si="0"/>
        <v>13</v>
      </c>
      <c r="C25" s="113" t="s">
        <v>358</v>
      </c>
      <c r="D25" s="114" t="s">
        <v>569</v>
      </c>
      <c r="E25" s="114" t="s">
        <v>366</v>
      </c>
      <c r="F25" s="113" t="s">
        <v>367</v>
      </c>
      <c r="G25" s="113" t="s">
        <v>301</v>
      </c>
      <c r="H25" s="117"/>
      <c r="I25" s="117"/>
      <c r="J25" s="117"/>
      <c r="K25" s="112"/>
    </row>
    <row r="26" spans="2:11" ht="157.5">
      <c r="B26" s="111">
        <f t="shared" si="0"/>
        <v>14</v>
      </c>
      <c r="C26" s="113" t="s">
        <v>358</v>
      </c>
      <c r="D26" s="114" t="s">
        <v>574</v>
      </c>
      <c r="E26" s="114" t="s">
        <v>363</v>
      </c>
      <c r="F26" s="113" t="s">
        <v>367</v>
      </c>
      <c r="G26" s="113" t="s">
        <v>301</v>
      </c>
      <c r="H26" s="117"/>
      <c r="I26" s="117"/>
      <c r="J26" s="117"/>
      <c r="K26" s="112"/>
    </row>
    <row r="27" spans="2:11" ht="157.5">
      <c r="B27" s="111">
        <f t="shared" si="0"/>
        <v>15</v>
      </c>
      <c r="C27" s="113" t="s">
        <v>358</v>
      </c>
      <c r="D27" s="114" t="s">
        <v>575</v>
      </c>
      <c r="E27" s="114" t="s">
        <v>363</v>
      </c>
      <c r="F27" s="113" t="s">
        <v>367</v>
      </c>
      <c r="G27" s="113" t="s">
        <v>301</v>
      </c>
      <c r="H27" s="117"/>
      <c r="I27" s="117"/>
      <c r="J27" s="117"/>
      <c r="K27" s="112"/>
    </row>
    <row r="28" spans="2:11" ht="157.5">
      <c r="B28" s="111">
        <f t="shared" si="0"/>
        <v>16</v>
      </c>
      <c r="C28" s="113" t="s">
        <v>358</v>
      </c>
      <c r="D28" s="114" t="s">
        <v>576</v>
      </c>
      <c r="E28" s="114" t="s">
        <v>363</v>
      </c>
      <c r="F28" s="113" t="s">
        <v>367</v>
      </c>
      <c r="G28" s="113" t="s">
        <v>301</v>
      </c>
      <c r="H28" s="117"/>
      <c r="I28" s="117"/>
      <c r="J28" s="117"/>
      <c r="K28" s="112"/>
    </row>
    <row r="29" spans="2:11" ht="157.5">
      <c r="B29" s="111">
        <f t="shared" si="0"/>
        <v>17</v>
      </c>
      <c r="C29" s="113" t="s">
        <v>358</v>
      </c>
      <c r="D29" s="114" t="s">
        <v>577</v>
      </c>
      <c r="E29" s="114" t="s">
        <v>363</v>
      </c>
      <c r="F29" s="113" t="s">
        <v>367</v>
      </c>
      <c r="G29" s="113" t="s">
        <v>301</v>
      </c>
      <c r="H29" s="117"/>
      <c r="I29" s="117"/>
      <c r="J29" s="117"/>
      <c r="K29" s="112"/>
    </row>
    <row r="30" spans="2:11" ht="157.5">
      <c r="B30" s="111">
        <f t="shared" si="0"/>
        <v>18</v>
      </c>
      <c r="C30" s="113" t="s">
        <v>358</v>
      </c>
      <c r="D30" s="114" t="s">
        <v>578</v>
      </c>
      <c r="E30" s="114" t="s">
        <v>363</v>
      </c>
      <c r="F30" s="113" t="s">
        <v>367</v>
      </c>
      <c r="G30" s="113" t="s">
        <v>301</v>
      </c>
      <c r="H30" s="117"/>
      <c r="I30" s="117"/>
      <c r="J30" s="117"/>
      <c r="K30" s="112"/>
    </row>
    <row r="31" spans="2:11" ht="157.5">
      <c r="B31" s="111">
        <f t="shared" si="0"/>
        <v>19</v>
      </c>
      <c r="C31" s="113" t="s">
        <v>358</v>
      </c>
      <c r="D31" s="114" t="s">
        <v>579</v>
      </c>
      <c r="E31" s="114" t="s">
        <v>363</v>
      </c>
      <c r="F31" s="113" t="s">
        <v>367</v>
      </c>
      <c r="G31" s="113" t="s">
        <v>301</v>
      </c>
      <c r="H31" s="117"/>
      <c r="I31" s="117"/>
      <c r="J31" s="117"/>
      <c r="K31" s="112"/>
    </row>
    <row r="32" spans="2:11" ht="157.5">
      <c r="B32" s="111">
        <f t="shared" si="0"/>
        <v>20</v>
      </c>
      <c r="C32" s="113" t="s">
        <v>358</v>
      </c>
      <c r="D32" s="114" t="s">
        <v>580</v>
      </c>
      <c r="E32" s="114" t="s">
        <v>363</v>
      </c>
      <c r="F32" s="113" t="s">
        <v>367</v>
      </c>
      <c r="G32" s="113" t="s">
        <v>301</v>
      </c>
      <c r="H32" s="117"/>
      <c r="I32" s="117"/>
      <c r="J32" s="117"/>
      <c r="K32" s="112"/>
    </row>
    <row r="33" spans="2:11" ht="157.5">
      <c r="B33" s="111">
        <f t="shared" si="0"/>
        <v>21</v>
      </c>
      <c r="C33" s="113" t="s">
        <v>358</v>
      </c>
      <c r="D33" s="114" t="s">
        <v>581</v>
      </c>
      <c r="E33" s="114" t="s">
        <v>363</v>
      </c>
      <c r="F33" s="113" t="s">
        <v>367</v>
      </c>
      <c r="G33" s="113" t="s">
        <v>301</v>
      </c>
      <c r="H33" s="117"/>
      <c r="I33" s="117"/>
      <c r="J33" s="117"/>
      <c r="K33" s="112"/>
    </row>
    <row r="34" spans="2:11" ht="157.5">
      <c r="B34" s="111">
        <f t="shared" si="0"/>
        <v>22</v>
      </c>
      <c r="C34" s="113" t="s">
        <v>358</v>
      </c>
      <c r="D34" s="114" t="s">
        <v>570</v>
      </c>
      <c r="E34" s="114" t="s">
        <v>368</v>
      </c>
      <c r="F34" s="113" t="s">
        <v>367</v>
      </c>
      <c r="G34" s="113" t="s">
        <v>301</v>
      </c>
      <c r="H34" s="117"/>
      <c r="I34" s="117"/>
      <c r="J34" s="117"/>
      <c r="K34" s="112"/>
    </row>
    <row r="35" spans="2:11" ht="157.5">
      <c r="B35" s="111">
        <f t="shared" si="0"/>
        <v>23</v>
      </c>
      <c r="C35" s="113" t="s">
        <v>358</v>
      </c>
      <c r="D35" s="114" t="s">
        <v>582</v>
      </c>
      <c r="E35" s="114" t="s">
        <v>368</v>
      </c>
      <c r="F35" s="113" t="s">
        <v>367</v>
      </c>
      <c r="G35" s="113" t="s">
        <v>301</v>
      </c>
      <c r="H35" s="117"/>
      <c r="I35" s="117"/>
      <c r="J35" s="117"/>
      <c r="K35" s="112"/>
    </row>
    <row r="36" spans="2:11" ht="168">
      <c r="B36" s="111">
        <f t="shared" si="0"/>
        <v>24</v>
      </c>
      <c r="C36" s="113" t="s">
        <v>358</v>
      </c>
      <c r="D36" s="114" t="s">
        <v>571</v>
      </c>
      <c r="E36" s="114" t="s">
        <v>366</v>
      </c>
      <c r="F36" s="113" t="s">
        <v>369</v>
      </c>
      <c r="G36" s="113" t="s">
        <v>301</v>
      </c>
      <c r="H36" s="117"/>
      <c r="I36" s="117"/>
      <c r="J36" s="117"/>
      <c r="K36" s="112"/>
    </row>
    <row r="37" spans="2:11" ht="168">
      <c r="B37" s="111">
        <f t="shared" si="0"/>
        <v>25</v>
      </c>
      <c r="C37" s="113" t="s">
        <v>358</v>
      </c>
      <c r="D37" s="114" t="s">
        <v>583</v>
      </c>
      <c r="E37" s="114" t="s">
        <v>366</v>
      </c>
      <c r="F37" s="113" t="s">
        <v>369</v>
      </c>
      <c r="G37" s="113" t="s">
        <v>301</v>
      </c>
      <c r="H37" s="117"/>
      <c r="I37" s="117"/>
      <c r="J37" s="117"/>
      <c r="K37" s="112"/>
    </row>
    <row r="38" spans="2:11" ht="84">
      <c r="B38" s="111">
        <f t="shared" ref="B38:B66" si="1">ROW()-12</f>
        <v>26</v>
      </c>
      <c r="C38" s="113" t="s">
        <v>554</v>
      </c>
      <c r="D38" s="114" t="s">
        <v>584</v>
      </c>
      <c r="E38" s="114" t="s">
        <v>71</v>
      </c>
      <c r="F38" s="113" t="s">
        <v>310</v>
      </c>
      <c r="G38" s="113" t="s">
        <v>312</v>
      </c>
      <c r="H38" s="117"/>
      <c r="I38" s="117"/>
      <c r="J38" s="117"/>
      <c r="K38" s="112"/>
    </row>
    <row r="39" spans="2:11" ht="84">
      <c r="B39" s="111">
        <f t="shared" si="1"/>
        <v>27</v>
      </c>
      <c r="C39" s="113" t="s">
        <v>554</v>
      </c>
      <c r="D39" s="114" t="s">
        <v>585</v>
      </c>
      <c r="E39" s="114" t="s">
        <v>71</v>
      </c>
      <c r="F39" s="113" t="s">
        <v>310</v>
      </c>
      <c r="G39" s="113" t="s">
        <v>312</v>
      </c>
      <c r="H39" s="117"/>
      <c r="I39" s="117"/>
      <c r="J39" s="117"/>
      <c r="K39" s="112"/>
    </row>
    <row r="40" spans="2:11" ht="84">
      <c r="B40" s="111">
        <f t="shared" si="1"/>
        <v>28</v>
      </c>
      <c r="C40" s="113" t="s">
        <v>554</v>
      </c>
      <c r="D40" s="114" t="s">
        <v>586</v>
      </c>
      <c r="E40" s="114" t="s">
        <v>71</v>
      </c>
      <c r="F40" s="113" t="s">
        <v>310</v>
      </c>
      <c r="G40" s="113" t="s">
        <v>312</v>
      </c>
      <c r="H40" s="117"/>
      <c r="I40" s="117"/>
      <c r="J40" s="117"/>
      <c r="K40" s="112"/>
    </row>
    <row r="41" spans="2:11" ht="84">
      <c r="B41" s="111">
        <f t="shared" si="1"/>
        <v>29</v>
      </c>
      <c r="C41" s="113" t="s">
        <v>554</v>
      </c>
      <c r="D41" s="114" t="s">
        <v>587</v>
      </c>
      <c r="E41" s="114" t="s">
        <v>71</v>
      </c>
      <c r="F41" s="113" t="s">
        <v>310</v>
      </c>
      <c r="G41" s="113" t="s">
        <v>312</v>
      </c>
      <c r="H41" s="117"/>
      <c r="I41" s="117"/>
      <c r="J41" s="117"/>
      <c r="K41" s="112"/>
    </row>
    <row r="42" spans="2:11" ht="84">
      <c r="B42" s="111">
        <f t="shared" si="1"/>
        <v>30</v>
      </c>
      <c r="C42" s="113" t="s">
        <v>554</v>
      </c>
      <c r="D42" s="114" t="s">
        <v>588</v>
      </c>
      <c r="E42" s="114" t="s">
        <v>71</v>
      </c>
      <c r="F42" s="113" t="s">
        <v>310</v>
      </c>
      <c r="G42" s="113" t="s">
        <v>312</v>
      </c>
      <c r="H42" s="117"/>
      <c r="I42" s="117"/>
      <c r="J42" s="117"/>
      <c r="K42" s="112"/>
    </row>
    <row r="43" spans="2:11" ht="84">
      <c r="B43" s="111">
        <f t="shared" si="1"/>
        <v>31</v>
      </c>
      <c r="C43" s="113" t="s">
        <v>554</v>
      </c>
      <c r="D43" s="114" t="s">
        <v>589</v>
      </c>
      <c r="E43" s="114" t="s">
        <v>71</v>
      </c>
      <c r="F43" s="113" t="s">
        <v>310</v>
      </c>
      <c r="G43" s="113" t="s">
        <v>312</v>
      </c>
      <c r="H43" s="117"/>
      <c r="I43" s="117"/>
      <c r="J43" s="117"/>
      <c r="K43" s="112"/>
    </row>
    <row r="44" spans="2:11" ht="84">
      <c r="B44" s="111">
        <f t="shared" si="1"/>
        <v>32</v>
      </c>
      <c r="C44" s="113" t="s">
        <v>554</v>
      </c>
      <c r="D44" s="114" t="s">
        <v>590</v>
      </c>
      <c r="E44" s="114" t="s">
        <v>71</v>
      </c>
      <c r="F44" s="113" t="s">
        <v>310</v>
      </c>
      <c r="G44" s="113" t="s">
        <v>312</v>
      </c>
      <c r="H44" s="117"/>
      <c r="I44" s="117"/>
      <c r="J44" s="117"/>
      <c r="K44" s="112"/>
    </row>
    <row r="45" spans="2:11" ht="84">
      <c r="B45" s="111">
        <f t="shared" si="1"/>
        <v>33</v>
      </c>
      <c r="C45" s="113" t="s">
        <v>554</v>
      </c>
      <c r="D45" s="114" t="s">
        <v>591</v>
      </c>
      <c r="E45" s="114" t="s">
        <v>71</v>
      </c>
      <c r="F45" s="113" t="s">
        <v>310</v>
      </c>
      <c r="G45" s="113" t="s">
        <v>312</v>
      </c>
      <c r="H45" s="117"/>
      <c r="I45" s="117"/>
      <c r="J45" s="117"/>
      <c r="K45" s="112"/>
    </row>
    <row r="46" spans="2:11" ht="84">
      <c r="B46" s="111">
        <f t="shared" si="1"/>
        <v>34</v>
      </c>
      <c r="C46" s="113" t="s">
        <v>554</v>
      </c>
      <c r="D46" s="114" t="s">
        <v>592</v>
      </c>
      <c r="E46" s="114" t="s">
        <v>71</v>
      </c>
      <c r="F46" s="113" t="s">
        <v>310</v>
      </c>
      <c r="G46" s="113" t="s">
        <v>312</v>
      </c>
      <c r="H46" s="117"/>
      <c r="I46" s="117"/>
      <c r="J46" s="117"/>
      <c r="K46" s="112"/>
    </row>
    <row r="47" spans="2:11" ht="84">
      <c r="B47" s="111">
        <f t="shared" si="1"/>
        <v>35</v>
      </c>
      <c r="C47" s="113" t="s">
        <v>554</v>
      </c>
      <c r="D47" s="114" t="s">
        <v>624</v>
      </c>
      <c r="E47" s="114" t="s">
        <v>71</v>
      </c>
      <c r="F47" s="113" t="s">
        <v>595</v>
      </c>
      <c r="G47" s="113" t="s">
        <v>312</v>
      </c>
      <c r="H47" s="117"/>
      <c r="I47" s="117"/>
      <c r="J47" s="117"/>
      <c r="K47" s="112"/>
    </row>
    <row r="48" spans="2:11" ht="84">
      <c r="B48" s="111">
        <f t="shared" si="1"/>
        <v>36</v>
      </c>
      <c r="C48" s="113" t="s">
        <v>554</v>
      </c>
      <c r="D48" s="114" t="s">
        <v>593</v>
      </c>
      <c r="E48" s="114" t="s">
        <v>71</v>
      </c>
      <c r="F48" s="113" t="s">
        <v>310</v>
      </c>
      <c r="G48" s="113" t="s">
        <v>312</v>
      </c>
      <c r="H48" s="117"/>
      <c r="I48" s="117"/>
      <c r="J48" s="117"/>
      <c r="K48" s="112"/>
    </row>
    <row r="49" spans="2:11" ht="84">
      <c r="B49" s="111">
        <f t="shared" si="1"/>
        <v>37</v>
      </c>
      <c r="C49" s="113" t="s">
        <v>554</v>
      </c>
      <c r="D49" s="114" t="s">
        <v>594</v>
      </c>
      <c r="E49" s="114" t="s">
        <v>71</v>
      </c>
      <c r="F49" s="113" t="s">
        <v>310</v>
      </c>
      <c r="G49" s="113" t="s">
        <v>312</v>
      </c>
      <c r="H49" s="117"/>
      <c r="I49" s="117"/>
      <c r="J49" s="117"/>
      <c r="K49" s="112"/>
    </row>
    <row r="50" spans="2:11" ht="73.5">
      <c r="B50" s="111">
        <f t="shared" si="1"/>
        <v>38</v>
      </c>
      <c r="C50" s="113" t="s">
        <v>555</v>
      </c>
      <c r="D50" s="114" t="s">
        <v>597</v>
      </c>
      <c r="E50" s="114" t="s">
        <v>601</v>
      </c>
      <c r="F50" s="113" t="s">
        <v>600</v>
      </c>
      <c r="G50" s="113" t="s">
        <v>599</v>
      </c>
      <c r="H50" s="117"/>
      <c r="I50" s="117"/>
      <c r="J50" s="117"/>
      <c r="K50" s="112"/>
    </row>
    <row r="51" spans="2:11" ht="73.5">
      <c r="B51" s="111">
        <f t="shared" si="1"/>
        <v>39</v>
      </c>
      <c r="C51" s="113" t="s">
        <v>555</v>
      </c>
      <c r="D51" s="114" t="s">
        <v>598</v>
      </c>
      <c r="E51" s="114" t="s">
        <v>602</v>
      </c>
      <c r="F51" s="113" t="s">
        <v>600</v>
      </c>
      <c r="G51" s="113" t="s">
        <v>599</v>
      </c>
      <c r="H51" s="117"/>
      <c r="I51" s="117"/>
      <c r="J51" s="117"/>
      <c r="K51" s="112"/>
    </row>
    <row r="52" spans="2:11" ht="73.5">
      <c r="B52" s="111">
        <f t="shared" si="1"/>
        <v>40</v>
      </c>
      <c r="C52" s="113" t="s">
        <v>555</v>
      </c>
      <c r="D52" s="114" t="s">
        <v>596</v>
      </c>
      <c r="E52" s="114" t="s">
        <v>603</v>
      </c>
      <c r="F52" s="113" t="s">
        <v>600</v>
      </c>
      <c r="G52" s="113" t="s">
        <v>599</v>
      </c>
      <c r="H52" s="117"/>
      <c r="I52" s="117"/>
      <c r="J52" s="117"/>
      <c r="K52" s="112"/>
    </row>
    <row r="53" spans="2:11" ht="73.5">
      <c r="B53" s="111">
        <f t="shared" si="1"/>
        <v>41</v>
      </c>
      <c r="C53" s="113" t="s">
        <v>555</v>
      </c>
      <c r="D53" s="114" t="s">
        <v>625</v>
      </c>
      <c r="E53" s="114" t="s">
        <v>604</v>
      </c>
      <c r="F53" s="113" t="s">
        <v>631</v>
      </c>
      <c r="G53" s="113" t="s">
        <v>599</v>
      </c>
      <c r="H53" s="117"/>
      <c r="I53" s="117"/>
      <c r="J53" s="117"/>
      <c r="K53" s="112"/>
    </row>
    <row r="54" spans="2:11" ht="73.5">
      <c r="B54" s="111">
        <f t="shared" si="1"/>
        <v>42</v>
      </c>
      <c r="C54" s="113" t="s">
        <v>556</v>
      </c>
      <c r="D54" s="114" t="s">
        <v>605</v>
      </c>
      <c r="E54" s="114" t="s">
        <v>470</v>
      </c>
      <c r="F54" s="113" t="s">
        <v>600</v>
      </c>
      <c r="G54" s="113" t="s">
        <v>599</v>
      </c>
      <c r="H54" s="117"/>
      <c r="I54" s="117"/>
      <c r="J54" s="117"/>
      <c r="K54" s="112"/>
    </row>
    <row r="55" spans="2:11" ht="73.5">
      <c r="B55" s="111">
        <f t="shared" si="1"/>
        <v>43</v>
      </c>
      <c r="C55" s="113" t="s">
        <v>557</v>
      </c>
      <c r="D55" s="114" t="s">
        <v>626</v>
      </c>
      <c r="E55" s="114" t="s">
        <v>470</v>
      </c>
      <c r="F55" s="113" t="s">
        <v>631</v>
      </c>
      <c r="G55" s="113" t="s">
        <v>357</v>
      </c>
      <c r="H55" s="117"/>
      <c r="I55" s="117"/>
      <c r="J55" s="117"/>
      <c r="K55" s="112"/>
    </row>
    <row r="56" spans="2:11" ht="73.5">
      <c r="B56" s="111">
        <f t="shared" si="1"/>
        <v>44</v>
      </c>
      <c r="C56" s="113" t="s">
        <v>558</v>
      </c>
      <c r="D56" s="114" t="s">
        <v>606</v>
      </c>
      <c r="E56" s="114" t="s">
        <v>471</v>
      </c>
      <c r="F56" s="113" t="s">
        <v>600</v>
      </c>
      <c r="G56" s="113" t="s">
        <v>357</v>
      </c>
      <c r="H56" s="117"/>
      <c r="I56" s="117"/>
      <c r="J56" s="117"/>
      <c r="K56" s="112"/>
    </row>
    <row r="57" spans="2:11" ht="73.5">
      <c r="B57" s="111">
        <f t="shared" si="1"/>
        <v>45</v>
      </c>
      <c r="C57" s="113" t="s">
        <v>558</v>
      </c>
      <c r="D57" s="114" t="s">
        <v>627</v>
      </c>
      <c r="E57" s="114" t="s">
        <v>471</v>
      </c>
      <c r="F57" s="113" t="s">
        <v>631</v>
      </c>
      <c r="G57" s="113" t="s">
        <v>357</v>
      </c>
      <c r="H57" s="117"/>
      <c r="I57" s="117"/>
      <c r="J57" s="117"/>
      <c r="K57" s="112"/>
    </row>
    <row r="58" spans="2:11" ht="73.5">
      <c r="B58" s="111">
        <f t="shared" si="1"/>
        <v>46</v>
      </c>
      <c r="C58" s="113" t="s">
        <v>559</v>
      </c>
      <c r="D58" s="114" t="s">
        <v>607</v>
      </c>
      <c r="E58" s="114" t="s">
        <v>470</v>
      </c>
      <c r="F58" s="113" t="s">
        <v>600</v>
      </c>
      <c r="G58" s="113" t="s">
        <v>357</v>
      </c>
      <c r="H58" s="117"/>
      <c r="I58" s="117"/>
      <c r="J58" s="117"/>
      <c r="K58" s="112"/>
    </row>
    <row r="59" spans="2:11" ht="73.5">
      <c r="B59" s="111">
        <f t="shared" si="1"/>
        <v>47</v>
      </c>
      <c r="C59" s="113" t="s">
        <v>560</v>
      </c>
      <c r="D59" s="114" t="s">
        <v>611</v>
      </c>
      <c r="E59" s="114" t="s">
        <v>608</v>
      </c>
      <c r="F59" s="113" t="s">
        <v>632</v>
      </c>
      <c r="G59" s="113" t="s">
        <v>357</v>
      </c>
      <c r="H59" s="117"/>
      <c r="I59" s="117"/>
      <c r="J59" s="117"/>
      <c r="K59" s="112"/>
    </row>
    <row r="60" spans="2:11" ht="73.5">
      <c r="B60" s="111">
        <f t="shared" si="1"/>
        <v>48</v>
      </c>
      <c r="C60" s="113" t="s">
        <v>560</v>
      </c>
      <c r="D60" s="114" t="s">
        <v>628</v>
      </c>
      <c r="E60" s="114" t="s">
        <v>370</v>
      </c>
      <c r="F60" s="113" t="s">
        <v>633</v>
      </c>
      <c r="G60" s="113" t="s">
        <v>357</v>
      </c>
      <c r="H60" s="117"/>
      <c r="I60" s="117"/>
      <c r="J60" s="117"/>
      <c r="K60" s="112"/>
    </row>
    <row r="61" spans="2:11" ht="73.5">
      <c r="B61" s="111">
        <f t="shared" si="1"/>
        <v>49</v>
      </c>
      <c r="C61" s="113" t="s">
        <v>560</v>
      </c>
      <c r="D61" s="114" t="s">
        <v>612</v>
      </c>
      <c r="E61" s="114" t="s">
        <v>609</v>
      </c>
      <c r="F61" s="113" t="s">
        <v>610</v>
      </c>
      <c r="G61" s="307" t="s">
        <v>637</v>
      </c>
      <c r="H61" s="117"/>
      <c r="I61" s="117"/>
      <c r="J61" s="117"/>
      <c r="K61" s="112"/>
    </row>
    <row r="62" spans="2:11" ht="84">
      <c r="B62" s="111">
        <f t="shared" si="1"/>
        <v>50</v>
      </c>
      <c r="C62" s="113" t="s">
        <v>555</v>
      </c>
      <c r="D62" s="114" t="s">
        <v>613</v>
      </c>
      <c r="E62" s="114" t="s">
        <v>615</v>
      </c>
      <c r="F62" s="113" t="s">
        <v>600</v>
      </c>
      <c r="G62" s="113" t="s">
        <v>357</v>
      </c>
      <c r="H62" s="117"/>
      <c r="I62" s="117"/>
      <c r="J62" s="117"/>
      <c r="K62" s="112"/>
    </row>
    <row r="63" spans="2:11" ht="84">
      <c r="B63" s="111">
        <f t="shared" si="1"/>
        <v>51</v>
      </c>
      <c r="C63" s="113" t="s">
        <v>555</v>
      </c>
      <c r="D63" s="114" t="s">
        <v>614</v>
      </c>
      <c r="E63" s="114" t="s">
        <v>616</v>
      </c>
      <c r="F63" s="113" t="s">
        <v>600</v>
      </c>
      <c r="G63" s="113" t="s">
        <v>357</v>
      </c>
      <c r="H63" s="117"/>
      <c r="I63" s="117"/>
      <c r="J63" s="117"/>
      <c r="K63" s="112"/>
    </row>
    <row r="64" spans="2:11" ht="84">
      <c r="B64" s="111">
        <f t="shared" si="1"/>
        <v>52</v>
      </c>
      <c r="C64" s="113" t="s">
        <v>555</v>
      </c>
      <c r="D64" s="114" t="s">
        <v>629</v>
      </c>
      <c r="E64" s="114" t="s">
        <v>617</v>
      </c>
      <c r="F64" s="113" t="s">
        <v>631</v>
      </c>
      <c r="G64" s="113" t="s">
        <v>357</v>
      </c>
      <c r="H64" s="117"/>
      <c r="I64" s="117"/>
      <c r="J64" s="117"/>
      <c r="K64" s="112"/>
    </row>
    <row r="65" spans="2:11" ht="84">
      <c r="B65" s="111">
        <f t="shared" si="1"/>
        <v>53</v>
      </c>
      <c r="C65" s="113" t="s">
        <v>558</v>
      </c>
      <c r="D65" s="114" t="s">
        <v>618</v>
      </c>
      <c r="E65" s="114" t="s">
        <v>619</v>
      </c>
      <c r="F65" s="113" t="s">
        <v>600</v>
      </c>
      <c r="G65" s="113" t="s">
        <v>357</v>
      </c>
      <c r="H65" s="117"/>
      <c r="I65" s="117"/>
      <c r="J65" s="117"/>
      <c r="K65" s="112"/>
    </row>
    <row r="66" spans="2:11" ht="84">
      <c r="B66" s="111">
        <f t="shared" si="1"/>
        <v>54</v>
      </c>
      <c r="C66" s="113" t="s">
        <v>560</v>
      </c>
      <c r="D66" s="114" t="s">
        <v>621</v>
      </c>
      <c r="E66" s="114" t="s">
        <v>608</v>
      </c>
      <c r="F66" s="113" t="s">
        <v>635</v>
      </c>
      <c r="G66" s="113" t="s">
        <v>357</v>
      </c>
      <c r="H66" s="117"/>
      <c r="I66" s="117"/>
      <c r="J66" s="117"/>
      <c r="K66" s="112"/>
    </row>
    <row r="67" spans="2:11" ht="84">
      <c r="B67" s="111">
        <f>ROW()-12</f>
        <v>55</v>
      </c>
      <c r="C67" s="113" t="s">
        <v>560</v>
      </c>
      <c r="D67" s="114" t="s">
        <v>630</v>
      </c>
      <c r="E67" s="114" t="s">
        <v>620</v>
      </c>
      <c r="F67" s="113" t="s">
        <v>634</v>
      </c>
      <c r="G67" s="113" t="s">
        <v>357</v>
      </c>
      <c r="H67" s="117"/>
      <c r="I67" s="117"/>
      <c r="J67" s="117"/>
      <c r="K67" s="112"/>
    </row>
    <row r="68" spans="2:11" ht="84">
      <c r="B68" s="111">
        <f>ROW()-12</f>
        <v>56</v>
      </c>
      <c r="C68" s="113" t="s">
        <v>560</v>
      </c>
      <c r="D68" s="114" t="s">
        <v>622</v>
      </c>
      <c r="E68" s="114" t="s">
        <v>623</v>
      </c>
      <c r="F68" s="113" t="s">
        <v>636</v>
      </c>
      <c r="G68" s="113" t="s">
        <v>301</v>
      </c>
      <c r="H68" s="117"/>
      <c r="I68" s="117"/>
      <c r="J68" s="117"/>
      <c r="K68" s="112"/>
    </row>
    <row r="69" spans="2:11" ht="10.9" thickBot="1">
      <c r="B69" s="116"/>
      <c r="C69" s="106"/>
      <c r="D69" s="107"/>
      <c r="E69" s="107"/>
      <c r="F69" s="106"/>
      <c r="G69" s="106"/>
      <c r="H69" s="108"/>
      <c r="I69" s="109"/>
      <c r="J69" s="109"/>
      <c r="K69" s="110"/>
    </row>
    <row r="70" spans="2:11" ht="11.25" customHeight="1"/>
    <row r="71" spans="2:11" ht="11.25" customHeight="1"/>
    <row r="72" spans="2:11" ht="11.25" customHeight="1"/>
    <row r="73" spans="2:11" ht="11.25" customHeight="1"/>
    <row r="74" spans="2:11" ht="11.25" customHeight="1"/>
    <row r="75" spans="2:11" ht="11.25" customHeight="1"/>
    <row r="76" spans="2:11" ht="11.25" customHeight="1"/>
    <row r="77" spans="2:11" ht="11.25" customHeight="1"/>
    <row r="78" spans="2:11" ht="11.25" customHeight="1"/>
    <row r="79" spans="2:11" ht="11.25" customHeight="1"/>
    <row r="80" spans="2:11" ht="11.25" customHeight="1"/>
    <row r="81" ht="11.25" customHeight="1"/>
  </sheetData>
  <phoneticPr fontId="3"/>
  <pageMargins left="0.70866141732283472" right="0.70866141732283472" top="0.74803149606299213" bottom="0.74803149606299213" header="0.31496062992125984" footer="0.31496062992125984"/>
  <pageSetup paperSize="9" scale="36" fitToHeight="0" orientation="portrait"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FF00"/>
  </sheetPr>
  <dimension ref="A1:GC457"/>
  <sheetViews>
    <sheetView showGridLines="0" tabSelected="1" view="pageBreakPreview" zoomScale="70" zoomScaleNormal="100" zoomScaleSheetLayoutView="70" workbookViewId="0">
      <pane xSplit="29" ySplit="7" topLeftCell="AD60" activePane="bottomRight" state="frozen"/>
      <selection pane="topRight" activeCell="AD1" sqref="AD1"/>
      <selection pane="bottomLeft" activeCell="A8" sqref="A8"/>
      <selection pane="bottomRight" activeCell="Q69" sqref="Q69"/>
    </sheetView>
  </sheetViews>
  <sheetFormatPr defaultColWidth="21.86328125" defaultRowHeight="12.75"/>
  <cols>
    <col min="1" max="1" width="1.19921875" style="9" customWidth="1"/>
    <col min="2" max="2" width="3.33203125" style="10" customWidth="1"/>
    <col min="3" max="3" width="1.796875" style="10" customWidth="1"/>
    <col min="4" max="5" width="1.796875" style="11" customWidth="1"/>
    <col min="6" max="7" width="1.796875" style="9" customWidth="1"/>
    <col min="8" max="8" width="24.86328125" style="9" customWidth="1"/>
    <col min="9" max="9" width="3.6640625" style="9" customWidth="1"/>
    <col min="10" max="10" width="3.46484375" style="9" bestFit="1" customWidth="1"/>
    <col min="11" max="12" width="5" style="9" bestFit="1" customWidth="1"/>
    <col min="13" max="13" width="47.796875" style="9" customWidth="1"/>
    <col min="14" max="14" width="6.796875" style="9" customWidth="1"/>
    <col min="15" max="15" width="7.796875" style="11" customWidth="1"/>
    <col min="16" max="16" width="3.86328125" style="11" customWidth="1"/>
    <col min="17" max="17" width="5.6640625" style="11" customWidth="1"/>
    <col min="18" max="18" width="5.19921875" style="11" customWidth="1"/>
    <col min="19" max="20" width="5" style="11" customWidth="1"/>
    <col min="21" max="21" width="4.6640625" style="11" customWidth="1"/>
    <col min="22" max="22" width="10.796875" style="11" customWidth="1"/>
    <col min="23" max="23" width="3.33203125" style="11" customWidth="1"/>
    <col min="24" max="24" width="17.33203125" style="11" customWidth="1"/>
    <col min="25" max="25" width="4.46484375" style="11" customWidth="1"/>
    <col min="26" max="26" width="5.6640625" style="9" customWidth="1"/>
    <col min="27" max="27" width="4.46484375" style="11" customWidth="1"/>
    <col min="28" max="28" width="4.6640625" style="9" customWidth="1"/>
    <col min="29" max="29" width="11.19921875" style="9" customWidth="1"/>
    <col min="30" max="31" width="12.46484375" style="120" customWidth="1"/>
    <col min="32" max="32" width="12.46484375" style="169" hidden="1" customWidth="1"/>
    <col min="33" max="33" width="8.19921875" style="169" hidden="1" customWidth="1"/>
    <col min="34" max="34" width="12.46484375" style="120" customWidth="1"/>
    <col min="35" max="35" width="8.1328125" style="120" customWidth="1"/>
    <col min="36" max="37" width="12.46484375" style="120" customWidth="1"/>
    <col min="38" max="38" width="12.46484375" style="169" hidden="1" customWidth="1"/>
    <col min="39" max="39" width="8.19921875" style="169" hidden="1" customWidth="1"/>
    <col min="40" max="40" width="12.46484375" style="120" customWidth="1"/>
    <col min="41" max="41" width="8.1328125" style="120" customWidth="1"/>
    <col min="42" max="43" width="12.46484375" style="120" customWidth="1"/>
    <col min="44" max="44" width="12.46484375" style="169" customWidth="1"/>
    <col min="45" max="45" width="8.19921875" style="169" customWidth="1"/>
    <col min="46" max="46" width="12.46484375" style="120" hidden="1" customWidth="1"/>
    <col min="47" max="47" width="8.1328125" style="120" hidden="1" customWidth="1"/>
    <col min="48" max="49" width="12.46484375" style="120" customWidth="1"/>
    <col min="50" max="50" width="12.46484375" style="169" hidden="1" customWidth="1"/>
    <col min="51" max="51" width="8.19921875" style="169" hidden="1" customWidth="1"/>
    <col min="52" max="52" width="12.46484375" style="120" customWidth="1"/>
    <col min="53" max="53" width="8.1328125" style="120" customWidth="1"/>
    <col min="54" max="55" width="12.46484375" style="120" customWidth="1"/>
    <col min="56" max="56" width="12.46484375" style="169" customWidth="1"/>
    <col min="57" max="57" width="8.19921875" style="169" customWidth="1"/>
    <col min="58" max="58" width="12.46484375" style="120" hidden="1" customWidth="1"/>
    <col min="59" max="59" width="8.1328125" style="120" hidden="1" customWidth="1"/>
    <col min="60" max="61" width="12.46484375" style="120" customWidth="1"/>
    <col min="62" max="62" width="12.46484375" style="169" hidden="1" customWidth="1"/>
    <col min="63" max="63" width="8.19921875" style="169" hidden="1" customWidth="1"/>
    <col min="64" max="64" width="12.46484375" style="120" customWidth="1"/>
    <col min="65" max="65" width="8.1328125" style="120" customWidth="1"/>
    <col min="66" max="67" width="12.46484375" style="120" customWidth="1"/>
    <col min="68" max="68" width="12.46484375" style="169" customWidth="1"/>
    <col min="69" max="69" width="8.19921875" style="169" customWidth="1"/>
    <col min="70" max="70" width="12.46484375" style="120" hidden="1" customWidth="1"/>
    <col min="71" max="71" width="8.1328125" style="120" hidden="1" customWidth="1"/>
    <col min="72" max="73" width="12.46484375" style="120" customWidth="1"/>
    <col min="74" max="74" width="12.46484375" style="169" hidden="1" customWidth="1"/>
    <col min="75" max="75" width="8.19921875" style="169" hidden="1" customWidth="1"/>
    <col min="76" max="76" width="12.46484375" style="120" customWidth="1"/>
    <col min="77" max="77" width="8.1328125" style="120" customWidth="1"/>
    <col min="78" max="79" width="12.46484375" style="120" customWidth="1"/>
    <col min="80" max="80" width="12.46484375" style="169" customWidth="1"/>
    <col min="81" max="81" width="8.19921875" style="169" customWidth="1"/>
    <col min="82" max="82" width="12.46484375" style="120" hidden="1" customWidth="1"/>
    <col min="83" max="83" width="8.1328125" style="120" hidden="1" customWidth="1"/>
    <col min="84" max="85" width="12.46484375" style="120" customWidth="1"/>
    <col min="86" max="86" width="12.46484375" style="169" hidden="1" customWidth="1"/>
    <col min="87" max="87" width="8.19921875" style="169" hidden="1" customWidth="1"/>
    <col min="88" max="88" width="12.46484375" style="120" customWidth="1"/>
    <col min="89" max="89" width="8.1328125" style="120" customWidth="1"/>
    <col min="90" max="91" width="12.46484375" style="120" customWidth="1"/>
    <col min="92" max="92" width="12.46484375" style="169" customWidth="1"/>
    <col min="93" max="93" width="8.19921875" style="169" customWidth="1"/>
    <col min="94" max="94" width="12.46484375" style="120" hidden="1" customWidth="1"/>
    <col min="95" max="95" width="8.1328125" style="120" hidden="1" customWidth="1"/>
    <col min="96" max="97" width="12.46484375" style="120" customWidth="1"/>
    <col min="98" max="98" width="12.46484375" style="169" hidden="1" customWidth="1"/>
    <col min="99" max="99" width="8.19921875" style="169" hidden="1" customWidth="1"/>
    <col min="100" max="100" width="12.46484375" style="120" customWidth="1"/>
    <col min="101" max="101" width="8.1328125" style="120" customWidth="1"/>
    <col min="102" max="103" width="12.46484375" style="120" customWidth="1"/>
    <col min="104" max="104" width="12.46484375" style="169" customWidth="1"/>
    <col min="105" max="105" width="8.19921875" style="169" customWidth="1"/>
    <col min="106" max="106" width="12.46484375" style="120" hidden="1" customWidth="1"/>
    <col min="107" max="107" width="8.1328125" style="120" hidden="1" customWidth="1"/>
    <col min="108" max="109" width="12.46484375" style="120" customWidth="1"/>
    <col min="110" max="110" width="12.46484375" style="169" hidden="1" customWidth="1"/>
    <col min="111" max="111" width="8.19921875" style="169" hidden="1" customWidth="1"/>
    <col min="112" max="112" width="12.46484375" style="120" customWidth="1"/>
    <col min="113" max="113" width="8.1328125" style="120" customWidth="1"/>
    <col min="114" max="115" width="12.46484375" style="120" customWidth="1"/>
    <col min="116" max="116" width="12.46484375" style="169" customWidth="1"/>
    <col min="117" max="117" width="8.19921875" style="169" customWidth="1"/>
    <col min="118" max="118" width="12.46484375" style="120" hidden="1" customWidth="1"/>
    <col min="119" max="119" width="8.1328125" style="120" hidden="1" customWidth="1"/>
    <col min="120" max="121" width="12.46484375" style="120" customWidth="1"/>
    <col min="122" max="122" width="12.46484375" style="169" hidden="1" customWidth="1"/>
    <col min="123" max="123" width="8.19921875" style="169" hidden="1" customWidth="1"/>
    <col min="124" max="124" width="12.46484375" style="120" customWidth="1"/>
    <col min="125" max="125" width="8.1328125" style="120" customWidth="1"/>
    <col min="126" max="127" width="12.46484375" style="120" customWidth="1"/>
    <col min="128" max="128" width="12.46484375" style="169" customWidth="1"/>
    <col min="129" max="129" width="8.19921875" style="169" customWidth="1"/>
    <col min="130" max="130" width="12.46484375" style="120" hidden="1" customWidth="1"/>
    <col min="131" max="131" width="8.1328125" style="120" hidden="1" customWidth="1"/>
    <col min="132" max="133" width="12.46484375" style="120" customWidth="1"/>
    <col min="134" max="134" width="12.46484375" style="169" hidden="1" customWidth="1"/>
    <col min="135" max="135" width="8.19921875" style="169" hidden="1" customWidth="1"/>
    <col min="136" max="136" width="12.46484375" style="120" customWidth="1"/>
    <col min="137" max="137" width="8.1328125" style="120" customWidth="1"/>
    <col min="138" max="139" width="12.46484375" style="120" customWidth="1"/>
    <col min="140" max="140" width="12.46484375" style="169" customWidth="1"/>
    <col min="141" max="141" width="8.19921875" style="169" customWidth="1"/>
    <col min="142" max="142" width="12.46484375" style="120" hidden="1" customWidth="1"/>
    <col min="143" max="143" width="8.1328125" style="120" hidden="1" customWidth="1"/>
    <col min="144" max="145" width="12.46484375" style="120" customWidth="1"/>
    <col min="146" max="146" width="12.46484375" style="169" hidden="1" customWidth="1"/>
    <col min="147" max="147" width="8.19921875" style="169" hidden="1" customWidth="1"/>
    <col min="148" max="148" width="12.46484375" style="120" customWidth="1"/>
    <col min="149" max="149" width="8.1328125" style="120" customWidth="1"/>
    <col min="150" max="151" width="12.46484375" style="120" customWidth="1"/>
    <col min="152" max="152" width="12.46484375" style="169" customWidth="1"/>
    <col min="153" max="153" width="8.19921875" style="169" customWidth="1"/>
    <col min="154" max="154" width="12.46484375" style="120" hidden="1" customWidth="1"/>
    <col min="155" max="155" width="8.1328125" style="120" hidden="1" customWidth="1"/>
    <col min="156" max="157" width="12.46484375" style="120" customWidth="1"/>
    <col min="158" max="158" width="12.46484375" style="169" hidden="1" customWidth="1"/>
    <col min="159" max="159" width="8.19921875" style="169" hidden="1" customWidth="1"/>
    <col min="160" max="160" width="12.46484375" style="120" customWidth="1"/>
    <col min="161" max="161" width="8.1328125" style="120" customWidth="1"/>
    <col min="162" max="163" width="12.46484375" style="120" customWidth="1"/>
    <col min="164" max="164" width="12.46484375" style="169" customWidth="1"/>
    <col min="165" max="165" width="8.19921875" style="169" customWidth="1"/>
    <col min="166" max="166" width="12.46484375" style="120" hidden="1" customWidth="1"/>
    <col min="167" max="167" width="8.1328125" style="120" hidden="1" customWidth="1"/>
    <col min="168" max="169" width="12.46484375" style="120" customWidth="1"/>
    <col min="170" max="170" width="12.46484375" style="169" hidden="1" customWidth="1"/>
    <col min="171" max="171" width="8.19921875" style="169" hidden="1" customWidth="1"/>
    <col min="172" max="172" width="12.46484375" style="120" customWidth="1"/>
    <col min="173" max="173" width="8.1328125" style="120" customWidth="1"/>
    <col min="174" max="175" width="12.46484375" style="120" customWidth="1"/>
    <col min="176" max="176" width="12.46484375" style="169" customWidth="1"/>
    <col min="177" max="177" width="8.19921875" style="169" customWidth="1"/>
    <col min="178" max="178" width="12.46484375" style="120" hidden="1" customWidth="1"/>
    <col min="179" max="179" width="8.1328125" style="120" hidden="1" customWidth="1"/>
    <col min="180" max="181" width="12.46484375" style="120" customWidth="1"/>
    <col min="182" max="182" width="12.46484375" style="169" hidden="1" customWidth="1"/>
    <col min="183" max="183" width="8.19921875" style="169" hidden="1" customWidth="1"/>
    <col min="184" max="184" width="12.46484375" style="120" customWidth="1"/>
    <col min="185" max="185" width="8.1328125" style="120" customWidth="1"/>
  </cols>
  <sheetData>
    <row r="1" spans="1:185" ht="13.15" thickBot="1">
      <c r="B1" s="119" t="s">
        <v>76</v>
      </c>
      <c r="C1" s="118"/>
      <c r="D1" s="118"/>
      <c r="E1" s="118"/>
      <c r="F1" s="118"/>
      <c r="G1" s="118"/>
      <c r="H1" s="118"/>
      <c r="I1" s="118"/>
      <c r="J1" s="118"/>
      <c r="K1" s="118"/>
      <c r="L1" s="118"/>
      <c r="M1" s="118"/>
      <c r="N1" s="118"/>
      <c r="O1" s="118"/>
      <c r="P1" s="118"/>
      <c r="Q1" s="118"/>
      <c r="R1" s="118"/>
      <c r="S1" s="118"/>
      <c r="T1" s="118"/>
      <c r="U1" s="118"/>
      <c r="V1" s="118"/>
      <c r="W1" s="118"/>
      <c r="X1" s="118"/>
      <c r="Y1" s="9"/>
      <c r="AA1" s="9"/>
    </row>
    <row r="2" spans="1:185" ht="13.15" thickBot="1">
      <c r="B2" s="335" t="s">
        <v>103</v>
      </c>
      <c r="C2" s="335"/>
      <c r="D2" s="335"/>
      <c r="E2" s="335"/>
      <c r="F2" s="336" t="s">
        <v>104</v>
      </c>
      <c r="G2" s="337"/>
      <c r="H2" s="338"/>
      <c r="I2" s="339" t="s">
        <v>14</v>
      </c>
      <c r="J2" s="339"/>
      <c r="K2" s="339"/>
      <c r="L2" s="340" t="s">
        <v>105</v>
      </c>
      <c r="M2" s="341"/>
      <c r="N2" s="341"/>
      <c r="O2" s="342"/>
      <c r="P2" s="343" t="s">
        <v>15</v>
      </c>
      <c r="Q2" s="344"/>
      <c r="R2" s="344"/>
      <c r="S2" s="345"/>
      <c r="T2" s="346" t="s">
        <v>106</v>
      </c>
      <c r="U2" s="347"/>
      <c r="V2" s="348"/>
      <c r="W2" s="79"/>
      <c r="X2" s="80"/>
      <c r="Y2" s="80"/>
      <c r="AA2" s="9"/>
    </row>
    <row r="3" spans="1:185" ht="13.15" thickBot="1">
      <c r="B3" s="332" t="s">
        <v>16</v>
      </c>
      <c r="C3" s="333"/>
      <c r="D3" s="333"/>
      <c r="E3" s="333"/>
      <c r="F3" s="333"/>
      <c r="G3" s="333"/>
      <c r="H3" s="333"/>
      <c r="I3" s="333"/>
      <c r="J3" s="333"/>
      <c r="K3" s="334"/>
      <c r="L3" s="322" t="s">
        <v>107</v>
      </c>
      <c r="M3" s="323"/>
      <c r="N3" s="323"/>
      <c r="O3" s="323"/>
      <c r="P3" s="323"/>
      <c r="Q3" s="323"/>
      <c r="R3" s="323"/>
      <c r="S3" s="323"/>
      <c r="T3" s="323"/>
      <c r="U3" s="323"/>
      <c r="V3" s="323"/>
      <c r="W3" s="79"/>
      <c r="X3" s="80"/>
      <c r="Y3" s="80"/>
      <c r="AA3" s="9"/>
    </row>
    <row r="4" spans="1:185" ht="13.15" thickBot="1">
      <c r="B4" s="332" t="s">
        <v>17</v>
      </c>
      <c r="C4" s="333"/>
      <c r="D4" s="333"/>
      <c r="E4" s="333"/>
      <c r="F4" s="333"/>
      <c r="G4" s="333"/>
      <c r="H4" s="333"/>
      <c r="I4" s="333"/>
      <c r="J4" s="333"/>
      <c r="K4" s="334"/>
      <c r="L4" s="322" t="s">
        <v>108</v>
      </c>
      <c r="M4" s="323"/>
      <c r="N4" s="323"/>
      <c r="O4" s="323"/>
      <c r="P4" s="323"/>
      <c r="Q4" s="323"/>
      <c r="R4" s="323"/>
      <c r="S4" s="323"/>
      <c r="T4" s="323"/>
      <c r="U4" s="323"/>
      <c r="V4" s="323"/>
      <c r="W4" s="121"/>
      <c r="X4" s="122"/>
      <c r="Y4" s="122"/>
      <c r="AA4" s="9"/>
      <c r="AD4" s="267"/>
      <c r="AJ4" s="267"/>
      <c r="AP4" s="267"/>
      <c r="AV4" s="267"/>
      <c r="BB4" s="267"/>
      <c r="BH4" s="267"/>
      <c r="BN4" s="267"/>
      <c r="BT4" s="267"/>
      <c r="BZ4" s="267"/>
      <c r="CF4" s="267"/>
      <c r="CL4" s="267"/>
      <c r="CR4" s="267"/>
      <c r="CX4" s="267"/>
      <c r="DD4" s="267"/>
      <c r="DJ4" s="267"/>
      <c r="DP4" s="267"/>
      <c r="DV4" s="267"/>
      <c r="EB4" s="267"/>
      <c r="EH4" s="267"/>
      <c r="EN4" s="267"/>
      <c r="ET4" s="267"/>
      <c r="EZ4" s="267"/>
      <c r="FF4" s="267"/>
      <c r="FL4" s="267"/>
      <c r="FR4" s="267"/>
      <c r="FX4" s="267"/>
    </row>
    <row r="5" spans="1:185" ht="13.15" thickBot="1">
      <c r="O5" s="9"/>
      <c r="P5" s="9"/>
      <c r="Q5" s="9"/>
      <c r="R5" s="9"/>
      <c r="S5" s="9"/>
      <c r="T5" s="9"/>
      <c r="U5" s="9"/>
      <c r="V5" s="9"/>
      <c r="W5" s="9"/>
      <c r="Z5" s="11"/>
      <c r="AD5" s="267"/>
      <c r="AJ5" s="267"/>
      <c r="AP5" s="267"/>
      <c r="AV5" s="267"/>
      <c r="BB5" s="267"/>
      <c r="BH5" s="267"/>
      <c r="BN5" s="267"/>
      <c r="BT5" s="267"/>
      <c r="BZ5" s="267"/>
      <c r="CF5" s="267"/>
      <c r="CL5" s="267"/>
      <c r="CR5" s="267"/>
      <c r="CX5" s="267"/>
      <c r="DD5" s="267"/>
      <c r="DJ5" s="267"/>
      <c r="DP5" s="267"/>
      <c r="DV5" s="267"/>
      <c r="EB5" s="267"/>
      <c r="EH5" s="267"/>
      <c r="EN5" s="267"/>
      <c r="ET5" s="267"/>
      <c r="EZ5" s="267"/>
      <c r="FF5" s="267"/>
      <c r="FL5" s="267"/>
      <c r="FR5" s="267"/>
      <c r="FX5" s="267"/>
    </row>
    <row r="6" spans="1:185">
      <c r="B6" s="324" t="s">
        <v>18</v>
      </c>
      <c r="C6" s="325"/>
      <c r="D6" s="325"/>
      <c r="E6" s="325"/>
      <c r="F6" s="325"/>
      <c r="G6" s="325"/>
      <c r="H6" s="325"/>
      <c r="I6" s="325"/>
      <c r="J6" s="325"/>
      <c r="K6" s="325"/>
      <c r="L6" s="325"/>
      <c r="M6" s="325"/>
      <c r="N6" s="325"/>
      <c r="O6" s="326"/>
      <c r="P6" s="327" t="s">
        <v>19</v>
      </c>
      <c r="Q6" s="328"/>
      <c r="R6" s="328"/>
      <c r="S6" s="328"/>
      <c r="T6" s="328"/>
      <c r="U6" s="328"/>
      <c r="V6" s="328"/>
      <c r="W6" s="329" t="s">
        <v>20</v>
      </c>
      <c r="X6" s="330"/>
      <c r="Y6" s="330"/>
      <c r="Z6" s="330"/>
      <c r="AA6" s="330"/>
      <c r="AB6" s="330"/>
      <c r="AC6" s="331"/>
      <c r="AD6" s="308" t="s">
        <v>292</v>
      </c>
      <c r="AE6" s="308"/>
      <c r="AF6" s="308"/>
      <c r="AG6" s="308"/>
      <c r="AH6" s="308"/>
      <c r="AI6" s="309"/>
      <c r="AJ6" s="308" t="s">
        <v>292</v>
      </c>
      <c r="AK6" s="308"/>
      <c r="AL6" s="308"/>
      <c r="AM6" s="308"/>
      <c r="AN6" s="308"/>
      <c r="AO6" s="309"/>
      <c r="AP6" s="308" t="s">
        <v>293</v>
      </c>
      <c r="AQ6" s="308"/>
      <c r="AR6" s="308"/>
      <c r="AS6" s="308"/>
      <c r="AT6" s="308"/>
      <c r="AU6" s="309"/>
      <c r="AV6" s="308" t="s">
        <v>546</v>
      </c>
      <c r="AW6" s="308"/>
      <c r="AX6" s="308"/>
      <c r="AY6" s="308"/>
      <c r="AZ6" s="308"/>
      <c r="BA6" s="309"/>
      <c r="BB6" s="308" t="s">
        <v>547</v>
      </c>
      <c r="BC6" s="308"/>
      <c r="BD6" s="308"/>
      <c r="BE6" s="308"/>
      <c r="BF6" s="308"/>
      <c r="BG6" s="309"/>
      <c r="BH6" s="308" t="s">
        <v>548</v>
      </c>
      <c r="BI6" s="308"/>
      <c r="BJ6" s="308"/>
      <c r="BK6" s="308"/>
      <c r="BL6" s="308"/>
      <c r="BM6" s="309"/>
      <c r="BN6" s="308" t="s">
        <v>549</v>
      </c>
      <c r="BO6" s="308"/>
      <c r="BP6" s="308"/>
      <c r="BQ6" s="308"/>
      <c r="BR6" s="308"/>
      <c r="BS6" s="309"/>
      <c r="BT6" s="308" t="s">
        <v>550</v>
      </c>
      <c r="BU6" s="308"/>
      <c r="BV6" s="308"/>
      <c r="BW6" s="308"/>
      <c r="BX6" s="308"/>
      <c r="BY6" s="309"/>
      <c r="BZ6" s="308" t="s">
        <v>551</v>
      </c>
      <c r="CA6" s="308"/>
      <c r="CB6" s="308"/>
      <c r="CC6" s="308"/>
      <c r="CD6" s="308"/>
      <c r="CE6" s="309"/>
      <c r="CF6" s="308" t="s">
        <v>552</v>
      </c>
      <c r="CG6" s="308"/>
      <c r="CH6" s="308"/>
      <c r="CI6" s="308"/>
      <c r="CJ6" s="308"/>
      <c r="CK6" s="309"/>
      <c r="CL6" s="308" t="s">
        <v>371</v>
      </c>
      <c r="CM6" s="308"/>
      <c r="CN6" s="308"/>
      <c r="CO6" s="308"/>
      <c r="CP6" s="308"/>
      <c r="CQ6" s="309"/>
      <c r="CR6" s="308" t="s">
        <v>372</v>
      </c>
      <c r="CS6" s="308"/>
      <c r="CT6" s="308"/>
      <c r="CU6" s="308"/>
      <c r="CV6" s="308"/>
      <c r="CW6" s="309"/>
      <c r="CX6" s="308" t="s">
        <v>373</v>
      </c>
      <c r="CY6" s="308"/>
      <c r="CZ6" s="308"/>
      <c r="DA6" s="308"/>
      <c r="DB6" s="308"/>
      <c r="DC6" s="309"/>
      <c r="DD6" s="308" t="s">
        <v>553</v>
      </c>
      <c r="DE6" s="308"/>
      <c r="DF6" s="308"/>
      <c r="DG6" s="308"/>
      <c r="DH6" s="308"/>
      <c r="DI6" s="309"/>
      <c r="DJ6" s="308" t="s">
        <v>374</v>
      </c>
      <c r="DK6" s="308"/>
      <c r="DL6" s="308"/>
      <c r="DM6" s="308"/>
      <c r="DN6" s="308"/>
      <c r="DO6" s="309"/>
      <c r="DP6" s="308" t="s">
        <v>375</v>
      </c>
      <c r="DQ6" s="308"/>
      <c r="DR6" s="308"/>
      <c r="DS6" s="308"/>
      <c r="DT6" s="308"/>
      <c r="DU6" s="309"/>
      <c r="DV6" s="308" t="s">
        <v>376</v>
      </c>
      <c r="DW6" s="308"/>
      <c r="DX6" s="308"/>
      <c r="DY6" s="308"/>
      <c r="DZ6" s="308"/>
      <c r="EA6" s="309"/>
      <c r="EB6" s="308" t="s">
        <v>377</v>
      </c>
      <c r="EC6" s="308"/>
      <c r="ED6" s="308"/>
      <c r="EE6" s="308"/>
      <c r="EF6" s="308"/>
      <c r="EG6" s="309"/>
      <c r="EH6" s="308" t="s">
        <v>378</v>
      </c>
      <c r="EI6" s="308"/>
      <c r="EJ6" s="308"/>
      <c r="EK6" s="308"/>
      <c r="EL6" s="308"/>
      <c r="EM6" s="309"/>
      <c r="EN6" s="308" t="s">
        <v>379</v>
      </c>
      <c r="EO6" s="308"/>
      <c r="EP6" s="308"/>
      <c r="EQ6" s="308"/>
      <c r="ER6" s="308"/>
      <c r="ES6" s="309"/>
      <c r="ET6" s="308" t="s">
        <v>380</v>
      </c>
      <c r="EU6" s="308"/>
      <c r="EV6" s="308"/>
      <c r="EW6" s="308"/>
      <c r="EX6" s="308"/>
      <c r="EY6" s="309"/>
      <c r="EZ6" s="308" t="s">
        <v>381</v>
      </c>
      <c r="FA6" s="308"/>
      <c r="FB6" s="308"/>
      <c r="FC6" s="308"/>
      <c r="FD6" s="308"/>
      <c r="FE6" s="309"/>
      <c r="FF6" s="308" t="s">
        <v>382</v>
      </c>
      <c r="FG6" s="308"/>
      <c r="FH6" s="308"/>
      <c r="FI6" s="308"/>
      <c r="FJ6" s="308"/>
      <c r="FK6" s="309"/>
      <c r="FL6" s="308" t="s">
        <v>383</v>
      </c>
      <c r="FM6" s="308"/>
      <c r="FN6" s="308"/>
      <c r="FO6" s="308"/>
      <c r="FP6" s="308"/>
      <c r="FQ6" s="309"/>
      <c r="FR6" s="308" t="s">
        <v>384</v>
      </c>
      <c r="FS6" s="308"/>
      <c r="FT6" s="308"/>
      <c r="FU6" s="308"/>
      <c r="FV6" s="308"/>
      <c r="FW6" s="309"/>
      <c r="FX6" s="308" t="s">
        <v>385</v>
      </c>
      <c r="FY6" s="308"/>
      <c r="FZ6" s="308"/>
      <c r="GA6" s="308"/>
      <c r="GB6" s="308"/>
      <c r="GC6" s="309"/>
    </row>
    <row r="7" spans="1:185" ht="77.650000000000006" thickBot="1">
      <c r="B7" s="81" t="s">
        <v>21</v>
      </c>
      <c r="C7" s="319" t="s">
        <v>22</v>
      </c>
      <c r="D7" s="320"/>
      <c r="E7" s="320"/>
      <c r="F7" s="320"/>
      <c r="G7" s="320"/>
      <c r="H7" s="321"/>
      <c r="I7" s="82" t="s">
        <v>23</v>
      </c>
      <c r="J7" s="82" t="s">
        <v>24</v>
      </c>
      <c r="K7" s="83" t="s">
        <v>25</v>
      </c>
      <c r="L7" s="83" t="s">
        <v>26</v>
      </c>
      <c r="M7" s="84" t="s">
        <v>27</v>
      </c>
      <c r="N7" s="83" t="s">
        <v>109</v>
      </c>
      <c r="O7" s="83" t="s">
        <v>386</v>
      </c>
      <c r="P7" s="123" t="s">
        <v>28</v>
      </c>
      <c r="Q7" s="124" t="s">
        <v>110</v>
      </c>
      <c r="R7" s="125" t="s">
        <v>111</v>
      </c>
      <c r="S7" s="126" t="s">
        <v>29</v>
      </c>
      <c r="T7" s="126" t="s">
        <v>30</v>
      </c>
      <c r="U7" s="127" t="s">
        <v>112</v>
      </c>
      <c r="V7" s="128" t="s">
        <v>31</v>
      </c>
      <c r="W7" s="129" t="s">
        <v>32</v>
      </c>
      <c r="X7" s="85" t="s">
        <v>33</v>
      </c>
      <c r="Y7" s="86" t="s">
        <v>34</v>
      </c>
      <c r="Z7" s="86" t="s">
        <v>35</v>
      </c>
      <c r="AA7" s="85" t="s">
        <v>113</v>
      </c>
      <c r="AB7" s="87" t="s">
        <v>114</v>
      </c>
      <c r="AC7" s="130" t="s">
        <v>31</v>
      </c>
      <c r="AD7" s="131" t="s">
        <v>115</v>
      </c>
      <c r="AE7" s="132" t="s">
        <v>116</v>
      </c>
      <c r="AF7" s="133" t="s">
        <v>117</v>
      </c>
      <c r="AG7" s="170" t="s">
        <v>118</v>
      </c>
      <c r="AH7" s="134" t="s">
        <v>119</v>
      </c>
      <c r="AI7" s="135" t="s">
        <v>120</v>
      </c>
      <c r="AJ7" s="131" t="s">
        <v>115</v>
      </c>
      <c r="AK7" s="132" t="s">
        <v>116</v>
      </c>
      <c r="AL7" s="133" t="s">
        <v>117</v>
      </c>
      <c r="AM7" s="170" t="s">
        <v>118</v>
      </c>
      <c r="AN7" s="134" t="s">
        <v>119</v>
      </c>
      <c r="AO7" s="135" t="s">
        <v>120</v>
      </c>
      <c r="AP7" s="131" t="s">
        <v>485</v>
      </c>
      <c r="AQ7" s="132" t="s">
        <v>314</v>
      </c>
      <c r="AR7" s="133" t="s">
        <v>117</v>
      </c>
      <c r="AS7" s="170" t="s">
        <v>118</v>
      </c>
      <c r="AT7" s="134" t="s">
        <v>119</v>
      </c>
      <c r="AU7" s="135" t="s">
        <v>120</v>
      </c>
      <c r="AV7" s="131" t="s">
        <v>495</v>
      </c>
      <c r="AW7" s="132" t="s">
        <v>496</v>
      </c>
      <c r="AX7" s="133" t="s">
        <v>117</v>
      </c>
      <c r="AY7" s="170" t="s">
        <v>118</v>
      </c>
      <c r="AZ7" s="134" t="s">
        <v>119</v>
      </c>
      <c r="BA7" s="135" t="s">
        <v>120</v>
      </c>
      <c r="BB7" s="131" t="s">
        <v>497</v>
      </c>
      <c r="BC7" s="132" t="s">
        <v>498</v>
      </c>
      <c r="BD7" s="133" t="s">
        <v>117</v>
      </c>
      <c r="BE7" s="170" t="s">
        <v>118</v>
      </c>
      <c r="BF7" s="134" t="s">
        <v>119</v>
      </c>
      <c r="BG7" s="135" t="s">
        <v>120</v>
      </c>
      <c r="BH7" s="131" t="s">
        <v>294</v>
      </c>
      <c r="BI7" s="132" t="s">
        <v>295</v>
      </c>
      <c r="BJ7" s="133" t="s">
        <v>117</v>
      </c>
      <c r="BK7" s="170" t="s">
        <v>118</v>
      </c>
      <c r="BL7" s="134" t="s">
        <v>119</v>
      </c>
      <c r="BM7" s="135" t="s">
        <v>120</v>
      </c>
      <c r="BN7" s="131" t="s">
        <v>500</v>
      </c>
      <c r="BO7" s="132" t="s">
        <v>501</v>
      </c>
      <c r="BP7" s="133" t="s">
        <v>117</v>
      </c>
      <c r="BQ7" s="170" t="s">
        <v>118</v>
      </c>
      <c r="BR7" s="134" t="s">
        <v>119</v>
      </c>
      <c r="BS7" s="135" t="s">
        <v>120</v>
      </c>
      <c r="BT7" s="131" t="s">
        <v>502</v>
      </c>
      <c r="BU7" s="132" t="s">
        <v>503</v>
      </c>
      <c r="BV7" s="133" t="s">
        <v>117</v>
      </c>
      <c r="BW7" s="170" t="s">
        <v>118</v>
      </c>
      <c r="BX7" s="134" t="s">
        <v>119</v>
      </c>
      <c r="BY7" s="135" t="s">
        <v>120</v>
      </c>
      <c r="BZ7" s="131" t="s">
        <v>504</v>
      </c>
      <c r="CA7" s="132" t="s">
        <v>505</v>
      </c>
      <c r="CB7" s="133" t="s">
        <v>117</v>
      </c>
      <c r="CC7" s="170" t="s">
        <v>118</v>
      </c>
      <c r="CD7" s="134" t="s">
        <v>119</v>
      </c>
      <c r="CE7" s="135" t="s">
        <v>120</v>
      </c>
      <c r="CF7" s="131" t="s">
        <v>506</v>
      </c>
      <c r="CG7" s="132" t="s">
        <v>507</v>
      </c>
      <c r="CH7" s="133" t="s">
        <v>117</v>
      </c>
      <c r="CI7" s="170" t="s">
        <v>118</v>
      </c>
      <c r="CJ7" s="134" t="s">
        <v>119</v>
      </c>
      <c r="CK7" s="135" t="s">
        <v>120</v>
      </c>
      <c r="CL7" s="131" t="s">
        <v>508</v>
      </c>
      <c r="CM7" s="132" t="s">
        <v>509</v>
      </c>
      <c r="CN7" s="133" t="s">
        <v>117</v>
      </c>
      <c r="CO7" s="170" t="s">
        <v>118</v>
      </c>
      <c r="CP7" s="134" t="s">
        <v>119</v>
      </c>
      <c r="CQ7" s="135" t="s">
        <v>120</v>
      </c>
      <c r="CR7" s="131" t="s">
        <v>510</v>
      </c>
      <c r="CS7" s="132" t="s">
        <v>511</v>
      </c>
      <c r="CT7" s="133" t="s">
        <v>117</v>
      </c>
      <c r="CU7" s="170" t="s">
        <v>118</v>
      </c>
      <c r="CV7" s="134" t="s">
        <v>119</v>
      </c>
      <c r="CW7" s="135" t="s">
        <v>120</v>
      </c>
      <c r="CX7" s="131" t="s">
        <v>512</v>
      </c>
      <c r="CY7" s="132" t="s">
        <v>513</v>
      </c>
      <c r="CZ7" s="133" t="s">
        <v>117</v>
      </c>
      <c r="DA7" s="170" t="s">
        <v>118</v>
      </c>
      <c r="DB7" s="134" t="s">
        <v>119</v>
      </c>
      <c r="DC7" s="135" t="s">
        <v>120</v>
      </c>
      <c r="DD7" s="131" t="s">
        <v>514</v>
      </c>
      <c r="DE7" s="132" t="s">
        <v>515</v>
      </c>
      <c r="DF7" s="133" t="s">
        <v>117</v>
      </c>
      <c r="DG7" s="170" t="s">
        <v>118</v>
      </c>
      <c r="DH7" s="134" t="s">
        <v>119</v>
      </c>
      <c r="DI7" s="135" t="s">
        <v>120</v>
      </c>
      <c r="DJ7" s="131" t="s">
        <v>516</v>
      </c>
      <c r="DK7" s="132" t="s">
        <v>517</v>
      </c>
      <c r="DL7" s="133" t="s">
        <v>117</v>
      </c>
      <c r="DM7" s="170" t="s">
        <v>118</v>
      </c>
      <c r="DN7" s="134" t="s">
        <v>119</v>
      </c>
      <c r="DO7" s="135" t="s">
        <v>120</v>
      </c>
      <c r="DP7" s="131" t="s">
        <v>518</v>
      </c>
      <c r="DQ7" s="132" t="s">
        <v>519</v>
      </c>
      <c r="DR7" s="133" t="s">
        <v>117</v>
      </c>
      <c r="DS7" s="170" t="s">
        <v>118</v>
      </c>
      <c r="DT7" s="134" t="s">
        <v>119</v>
      </c>
      <c r="DU7" s="135" t="s">
        <v>120</v>
      </c>
      <c r="DV7" s="131" t="s">
        <v>520</v>
      </c>
      <c r="DW7" s="132" t="s">
        <v>521</v>
      </c>
      <c r="DX7" s="133" t="s">
        <v>117</v>
      </c>
      <c r="DY7" s="170" t="s">
        <v>118</v>
      </c>
      <c r="DZ7" s="134" t="s">
        <v>119</v>
      </c>
      <c r="EA7" s="135" t="s">
        <v>120</v>
      </c>
      <c r="EB7" s="131" t="s">
        <v>522</v>
      </c>
      <c r="EC7" s="132" t="s">
        <v>523</v>
      </c>
      <c r="ED7" s="133" t="s">
        <v>117</v>
      </c>
      <c r="EE7" s="170" t="s">
        <v>118</v>
      </c>
      <c r="EF7" s="134" t="s">
        <v>119</v>
      </c>
      <c r="EG7" s="135" t="s">
        <v>120</v>
      </c>
      <c r="EH7" s="131" t="s">
        <v>526</v>
      </c>
      <c r="EI7" s="132" t="s">
        <v>527</v>
      </c>
      <c r="EJ7" s="133" t="s">
        <v>117</v>
      </c>
      <c r="EK7" s="170" t="s">
        <v>118</v>
      </c>
      <c r="EL7" s="134" t="s">
        <v>119</v>
      </c>
      <c r="EM7" s="135" t="s">
        <v>120</v>
      </c>
      <c r="EN7" s="131" t="s">
        <v>531</v>
      </c>
      <c r="EO7" s="132" t="s">
        <v>532</v>
      </c>
      <c r="EP7" s="133" t="s">
        <v>117</v>
      </c>
      <c r="EQ7" s="170" t="s">
        <v>118</v>
      </c>
      <c r="ER7" s="134" t="s">
        <v>119</v>
      </c>
      <c r="ES7" s="135" t="s">
        <v>120</v>
      </c>
      <c r="ET7" s="131" t="s">
        <v>533</v>
      </c>
      <c r="EU7" s="132" t="s">
        <v>534</v>
      </c>
      <c r="EV7" s="133" t="s">
        <v>117</v>
      </c>
      <c r="EW7" s="170" t="s">
        <v>118</v>
      </c>
      <c r="EX7" s="134" t="s">
        <v>119</v>
      </c>
      <c r="EY7" s="135" t="s">
        <v>120</v>
      </c>
      <c r="EZ7" s="131" t="s">
        <v>536</v>
      </c>
      <c r="FA7" s="132" t="s">
        <v>537</v>
      </c>
      <c r="FB7" s="133" t="s">
        <v>117</v>
      </c>
      <c r="FC7" s="170" t="s">
        <v>118</v>
      </c>
      <c r="FD7" s="134" t="s">
        <v>119</v>
      </c>
      <c r="FE7" s="135" t="s">
        <v>120</v>
      </c>
      <c r="FF7" s="131" t="s">
        <v>538</v>
      </c>
      <c r="FG7" s="132" t="s">
        <v>539</v>
      </c>
      <c r="FH7" s="133" t="s">
        <v>117</v>
      </c>
      <c r="FI7" s="170" t="s">
        <v>118</v>
      </c>
      <c r="FJ7" s="134" t="s">
        <v>119</v>
      </c>
      <c r="FK7" s="135" t="s">
        <v>120</v>
      </c>
      <c r="FL7" s="131" t="s">
        <v>540</v>
      </c>
      <c r="FM7" s="132" t="s">
        <v>541</v>
      </c>
      <c r="FN7" s="133" t="s">
        <v>117</v>
      </c>
      <c r="FO7" s="170" t="s">
        <v>118</v>
      </c>
      <c r="FP7" s="134" t="s">
        <v>119</v>
      </c>
      <c r="FQ7" s="135" t="s">
        <v>120</v>
      </c>
      <c r="FR7" s="131" t="s">
        <v>542</v>
      </c>
      <c r="FS7" s="132" t="s">
        <v>543</v>
      </c>
      <c r="FT7" s="133" t="s">
        <v>117</v>
      </c>
      <c r="FU7" s="170" t="s">
        <v>118</v>
      </c>
      <c r="FV7" s="134" t="s">
        <v>119</v>
      </c>
      <c r="FW7" s="135" t="s">
        <v>120</v>
      </c>
      <c r="FX7" s="131" t="s">
        <v>544</v>
      </c>
      <c r="FY7" s="132" t="s">
        <v>545</v>
      </c>
      <c r="FZ7" s="133" t="s">
        <v>117</v>
      </c>
      <c r="GA7" s="170" t="s">
        <v>118</v>
      </c>
      <c r="GB7" s="134" t="s">
        <v>119</v>
      </c>
      <c r="GC7" s="135" t="s">
        <v>120</v>
      </c>
    </row>
    <row r="8" spans="1:185" s="6" customFormat="1" ht="13.15" thickTop="1">
      <c r="A8" s="9"/>
      <c r="B8" s="12">
        <v>1</v>
      </c>
      <c r="C8" s="13" t="s">
        <v>36</v>
      </c>
      <c r="D8" s="14"/>
      <c r="E8" s="14"/>
      <c r="F8" s="14"/>
      <c r="G8" s="14"/>
      <c r="H8" s="15"/>
      <c r="I8" s="16"/>
      <c r="J8" s="16" t="s">
        <v>121</v>
      </c>
      <c r="K8" s="17"/>
      <c r="L8" s="17"/>
      <c r="M8" s="18" t="s">
        <v>37</v>
      </c>
      <c r="N8" s="17"/>
      <c r="O8" s="19"/>
      <c r="P8" s="20"/>
      <c r="Q8" s="21"/>
      <c r="R8" s="16"/>
      <c r="S8" s="18"/>
      <c r="T8" s="18"/>
      <c r="U8" s="16"/>
      <c r="V8" s="19"/>
      <c r="W8" s="136" t="str">
        <f t="shared" ref="W8:W18" si="0">IF(C8&lt;&gt;"","0",IF(D8&lt;&gt;"","1",IF(E8&lt;&gt;"","2",IF(F8&lt;&gt;"","3",IF(G8&lt;&gt;"","4",IF(H8&lt;&gt;"","5"))))))</f>
        <v>0</v>
      </c>
      <c r="X8" s="23" t="s">
        <v>122</v>
      </c>
      <c r="Y8" s="23"/>
      <c r="Z8" s="23"/>
      <c r="AA8" s="17"/>
      <c r="AB8" s="17" t="s">
        <v>123</v>
      </c>
      <c r="AC8" s="137"/>
      <c r="AD8" s="171"/>
      <c r="AE8" s="138"/>
      <c r="AF8" s="139"/>
      <c r="AG8" s="172" t="str">
        <f t="shared" ref="AG8:AG71" si="1">IF(OR(AE$8="判定対象外",AF$8="判定対象外",AF8="-"),"-",IF(AE8=AF8,"OK","NG"))</f>
        <v>OK</v>
      </c>
      <c r="AH8" s="274"/>
      <c r="AI8" s="172" t="str">
        <f>IF(OR(AE$8="判定対象外",AH$8="判定対象外",AH8="-"),"-",IF(AE8=AH8,"OK","NG"))</f>
        <v>OK</v>
      </c>
      <c r="AJ8" s="171"/>
      <c r="AK8" s="138"/>
      <c r="AL8" s="139"/>
      <c r="AM8" s="172" t="str">
        <f t="shared" ref="AM8:AM22" si="2">IF(OR(AK$8="判定対象外",AL$8="判定対象外",AL8="-"),"-",IF(AK8=AL8,"OK","NG"))</f>
        <v>OK</v>
      </c>
      <c r="AN8" s="274"/>
      <c r="AO8" s="172" t="str">
        <f>IF(OR(AK$8="判定対象外",AN$8="判定対象外",AN8="-"),"-",IF(AK8=AN8,"OK","NG"))</f>
        <v>OK</v>
      </c>
      <c r="AP8" s="171"/>
      <c r="AQ8" s="138"/>
      <c r="AR8" s="139"/>
      <c r="AS8" s="172" t="str">
        <f t="shared" ref="AS8:AS22" si="3">IF(OR(AQ$8="判定対象外",AR$8="判定対象外",AR8="-"),"-",IF(AQ8=AR8,"OK","NG"))</f>
        <v>OK</v>
      </c>
      <c r="AT8" s="274"/>
      <c r="AU8" s="172" t="str">
        <f>IF(OR(AQ$8="判定対象外",AT$8="判定対象外",AT8="-"),"-",IF(AQ8=AT8,"OK","NG"))</f>
        <v>OK</v>
      </c>
      <c r="AV8" s="171"/>
      <c r="AW8" s="138"/>
      <c r="AX8" s="139"/>
      <c r="AY8" s="172" t="str">
        <f t="shared" ref="AY8:AY22" si="4">IF(OR(AW$8="判定対象外",AX$8="判定対象外",AX8="-"),"-",IF(AW8=AX8,"OK","NG"))</f>
        <v>OK</v>
      </c>
      <c r="AZ8" s="274"/>
      <c r="BA8" s="172" t="str">
        <f>IF(OR(AW$8="判定対象外",AZ$8="判定対象外",AZ8="-"),"-",IF(AW8=AZ8,"OK","NG"))</f>
        <v>OK</v>
      </c>
      <c r="BB8" s="171"/>
      <c r="BC8" s="138"/>
      <c r="BD8" s="139"/>
      <c r="BE8" s="172" t="str">
        <f t="shared" ref="BE8:BE22" si="5">IF(OR(BC$8="判定対象外",BD$8="判定対象外",BD8="-"),"-",IF(BC8=BD8,"OK","NG"))</f>
        <v>OK</v>
      </c>
      <c r="BF8" s="274"/>
      <c r="BG8" s="172" t="str">
        <f>IF(OR(BC$8="判定対象外",BF$8="判定対象外",BF8="-"),"-",IF(BC8=BF8,"OK","NG"))</f>
        <v>OK</v>
      </c>
      <c r="BH8" s="171"/>
      <c r="BI8" s="138"/>
      <c r="BJ8" s="139"/>
      <c r="BK8" s="172" t="str">
        <f t="shared" ref="BK8:BK71" si="6">IF(OR(BI$8="判定対象外",BJ$8="判定対象外",BJ8="-"),"-",IF(BI8=BJ8,"OK","NG"))</f>
        <v>OK</v>
      </c>
      <c r="BL8" s="274"/>
      <c r="BM8" s="172" t="str">
        <f>IF(OR(BI$8="判定対象外",BL$8="判定対象外",BL8="-"),"-",IF(BI8=BL8,"OK","NG"))</f>
        <v>OK</v>
      </c>
      <c r="BN8" s="171"/>
      <c r="BO8" s="138"/>
      <c r="BP8" s="139"/>
      <c r="BQ8" s="172" t="str">
        <f t="shared" ref="BQ8:BQ71" si="7">IF(OR(BO$8="判定対象外",BP$8="判定対象外",BP8="-"),"-",IF(BO8=BP8,"OK","NG"))</f>
        <v>OK</v>
      </c>
      <c r="BR8" s="274"/>
      <c r="BS8" s="172" t="str">
        <f>IF(OR(BO$8="判定対象外",BR$8="判定対象外",BR8="-"),"-",IF(BO8=BR8,"OK","NG"))</f>
        <v>OK</v>
      </c>
      <c r="BT8" s="171"/>
      <c r="BU8" s="138"/>
      <c r="BV8" s="139"/>
      <c r="BW8" s="172" t="str">
        <f t="shared" ref="BW8:BW71" si="8">IF(OR(BU$8="判定対象外",BV$8="判定対象外",BV8="-"),"-",IF(BU8=BV8,"OK","NG"))</f>
        <v>OK</v>
      </c>
      <c r="BX8" s="274"/>
      <c r="BY8" s="172" t="str">
        <f>IF(OR(BU$8="判定対象外",BX$8="判定対象外",BX8="-"),"-",IF(BU8=BX8,"OK","NG"))</f>
        <v>OK</v>
      </c>
      <c r="BZ8" s="171"/>
      <c r="CA8" s="138"/>
      <c r="CB8" s="139"/>
      <c r="CC8" s="172" t="str">
        <f t="shared" ref="CC8:CC71" si="9">IF(OR(CA$8="判定対象外",CB$8="判定対象外",CB8="-"),"-",IF(CA8=CB8,"OK","NG"))</f>
        <v>OK</v>
      </c>
      <c r="CD8" s="274"/>
      <c r="CE8" s="172" t="str">
        <f>IF(OR(CA$8="判定対象外",CD$8="判定対象外",CD8="-"),"-",IF(CA8=CD8,"OK","NG"))</f>
        <v>OK</v>
      </c>
      <c r="CF8" s="171"/>
      <c r="CG8" s="138"/>
      <c r="CH8" s="139"/>
      <c r="CI8" s="172" t="str">
        <f t="shared" ref="CI8:CI71" si="10">IF(OR(CG$8="判定対象外",CH$8="判定対象外",CH8="-"),"-",IF(CG8=CH8,"OK","NG"))</f>
        <v>OK</v>
      </c>
      <c r="CJ8" s="274"/>
      <c r="CK8" s="172" t="str">
        <f>IF(OR(CG$8="判定対象外",CJ$8="判定対象外",CJ8="-"),"-",IF(CG8=CJ8,"OK","NG"))</f>
        <v>OK</v>
      </c>
      <c r="CL8" s="171"/>
      <c r="CM8" s="138"/>
      <c r="CN8" s="139"/>
      <c r="CO8" s="172" t="str">
        <f t="shared" ref="CO8:CO71" si="11">IF(OR(CM$8="判定対象外",CN$8="判定対象外",CN8="-"),"-",IF(CM8=CN8,"OK","NG"))</f>
        <v>OK</v>
      </c>
      <c r="CP8" s="274"/>
      <c r="CQ8" s="172" t="str">
        <f>IF(OR(CM$8="判定対象外",CP$8="判定対象外",CP8="-"),"-",IF(CM8=CP8,"OK","NG"))</f>
        <v>OK</v>
      </c>
      <c r="CR8" s="171"/>
      <c r="CS8" s="138"/>
      <c r="CT8" s="139"/>
      <c r="CU8" s="172" t="str">
        <f t="shared" ref="CU8:CU71" si="12">IF(OR(CS$8="判定対象外",CT$8="判定対象外",CT8="-"),"-",IF(CS8=CT8,"OK","NG"))</f>
        <v>OK</v>
      </c>
      <c r="CV8" s="274"/>
      <c r="CW8" s="172" t="str">
        <f>IF(OR(CS$8="判定対象外",CV$8="判定対象外",CV8="-"),"-",IF(CS8=CV8,"OK","NG"))</f>
        <v>OK</v>
      </c>
      <c r="CX8" s="171"/>
      <c r="CY8" s="138"/>
      <c r="CZ8" s="139"/>
      <c r="DA8" s="172" t="str">
        <f t="shared" ref="DA8:DA71" si="13">IF(OR(CY$8="判定対象外",CZ$8="判定対象外",CZ8="-"),"-",IF(CY8=CZ8,"OK","NG"))</f>
        <v>OK</v>
      </c>
      <c r="DB8" s="274"/>
      <c r="DC8" s="172" t="str">
        <f>IF(OR(CY$8="判定対象外",DB$8="判定対象外",DB8="-"),"-",IF(CY8=DB8,"OK","NG"))</f>
        <v>OK</v>
      </c>
      <c r="DD8" s="171"/>
      <c r="DE8" s="138"/>
      <c r="DF8" s="139"/>
      <c r="DG8" s="172" t="str">
        <f t="shared" ref="DG8:DG71" si="14">IF(OR(DE$8="判定対象外",DF$8="判定対象外",DF8="-"),"-",IF(DE8=DF8,"OK","NG"))</f>
        <v>OK</v>
      </c>
      <c r="DH8" s="274"/>
      <c r="DI8" s="172" t="str">
        <f>IF(OR(DE$8="判定対象外",DH$8="判定対象外",DH8="-"),"-",IF(DE8=DH8,"OK","NG"))</f>
        <v>OK</v>
      </c>
      <c r="DJ8" s="171"/>
      <c r="DK8" s="138"/>
      <c r="DL8" s="139"/>
      <c r="DM8" s="172" t="str">
        <f t="shared" ref="DM8:DM71" si="15">IF(OR(DK$8="判定対象外",DL$8="判定対象外",DL8="-"),"-",IF(DK8=DL8,"OK","NG"))</f>
        <v>OK</v>
      </c>
      <c r="DN8" s="274"/>
      <c r="DO8" s="172" t="str">
        <f>IF(OR(DK$8="判定対象外",DN$8="判定対象外",DN8="-"),"-",IF(DK8=DN8,"OK","NG"))</f>
        <v>OK</v>
      </c>
      <c r="DP8" s="171"/>
      <c r="DQ8" s="138"/>
      <c r="DR8" s="139"/>
      <c r="DS8" s="172" t="str">
        <f t="shared" ref="DS8:DS39" si="16">IF(OR(DQ$8="判定対象外",DR$8="判定対象外",DR8="-"),"-",IF(DQ8=DR8,"OK","NG"))</f>
        <v>OK</v>
      </c>
      <c r="DT8" s="274"/>
      <c r="DU8" s="172" t="str">
        <f>IF(OR(DQ$8="判定対象外",DT$8="判定対象外",DT8="-"),"-",IF(DQ8=DT8,"OK","NG"))</f>
        <v>OK</v>
      </c>
      <c r="DV8" s="171"/>
      <c r="DW8" s="138"/>
      <c r="DX8" s="139"/>
      <c r="DY8" s="172" t="str">
        <f t="shared" ref="DY8:DY39" si="17">IF(OR(DW$8="判定対象外",DX$8="判定対象外",DX8="-"),"-",IF(DW8=DX8,"OK","NG"))</f>
        <v>OK</v>
      </c>
      <c r="DZ8" s="274"/>
      <c r="EA8" s="172" t="str">
        <f>IF(OR(DW$8="判定対象外",DZ$8="判定対象外",DZ8="-"),"-",IF(DW8=DZ8,"OK","NG"))</f>
        <v>OK</v>
      </c>
      <c r="EB8" s="171"/>
      <c r="EC8" s="138"/>
      <c r="ED8" s="139"/>
      <c r="EE8" s="172" t="str">
        <f t="shared" ref="EE8:EE39" si="18">IF(OR(EC$8="判定対象外",ED$8="判定対象外",ED8="-"),"-",IF(EC8=ED8,"OK","NG"))</f>
        <v>OK</v>
      </c>
      <c r="EF8" s="274"/>
      <c r="EG8" s="172" t="str">
        <f>IF(OR(EC$8="判定対象外",EF$8="判定対象外",EF8="-"),"-",IF(EC8=EF8,"OK","NG"))</f>
        <v>OK</v>
      </c>
      <c r="EH8" s="171"/>
      <c r="EI8" s="138"/>
      <c r="EJ8" s="139"/>
      <c r="EK8" s="172" t="str">
        <f t="shared" ref="EK8:EK39" si="19">IF(OR(EI$8="判定対象外",EJ$8="判定対象外",EJ8="-"),"-",IF(EI8=EJ8,"OK","NG"))</f>
        <v>OK</v>
      </c>
      <c r="EL8" s="274"/>
      <c r="EM8" s="172" t="str">
        <f>IF(OR(EI$8="判定対象外",EL$8="判定対象外",EL8="-"),"-",IF(EI8=EL8,"OK","NG"))</f>
        <v>OK</v>
      </c>
      <c r="EN8" s="171"/>
      <c r="EO8" s="138"/>
      <c r="EP8" s="139"/>
      <c r="EQ8" s="172" t="str">
        <f t="shared" ref="EQ8:EQ39" si="20">IF(OR(EO$8="判定対象外",EP$8="判定対象外",EP8="-"),"-",IF(EO8=EP8,"OK","NG"))</f>
        <v>OK</v>
      </c>
      <c r="ER8" s="274"/>
      <c r="ES8" s="172" t="str">
        <f>IF(OR(EO$8="判定対象外",ER$8="判定対象外",ER8="-"),"-",IF(EO8=ER8,"OK","NG"))</f>
        <v>OK</v>
      </c>
      <c r="ET8" s="171"/>
      <c r="EU8" s="138"/>
      <c r="EV8" s="139"/>
      <c r="EW8" s="172" t="str">
        <f t="shared" ref="EW8:EW39" si="21">IF(OR(EU$8="判定対象外",EV$8="判定対象外",EV8="-"),"-",IF(EU8=EV8,"OK","NG"))</f>
        <v>OK</v>
      </c>
      <c r="EX8" s="274"/>
      <c r="EY8" s="172" t="str">
        <f>IF(OR(EU$8="判定対象外",EX$8="判定対象外",EX8="-"),"-",IF(EU8=EX8,"OK","NG"))</f>
        <v>OK</v>
      </c>
      <c r="EZ8" s="171"/>
      <c r="FA8" s="138"/>
      <c r="FB8" s="139"/>
      <c r="FC8" s="172" t="str">
        <f t="shared" ref="FC8:FC39" si="22">IF(OR(FA$8="判定対象外",FB$8="判定対象外",FB8="-"),"-",IF(FA8=FB8,"OK","NG"))</f>
        <v>OK</v>
      </c>
      <c r="FD8" s="274"/>
      <c r="FE8" s="172" t="str">
        <f>IF(OR(FA$8="判定対象外",FD$8="判定対象外",FD8="-"),"-",IF(FA8=FD8,"OK","NG"))</f>
        <v>OK</v>
      </c>
      <c r="FF8" s="171"/>
      <c r="FG8" s="138"/>
      <c r="FH8" s="139"/>
      <c r="FI8" s="172" t="str">
        <f t="shared" ref="FI8:FI66" si="23">IF(OR(FG$8="判定対象外",FH$8="判定対象外",FH8="-"),"-",IF(FG8=FH8,"OK","NG"))</f>
        <v>OK</v>
      </c>
      <c r="FJ8" s="274"/>
      <c r="FK8" s="172" t="str">
        <f>IF(OR(FG$8="判定対象外",FJ$8="判定対象外",FJ8="-"),"-",IF(FG8=FJ8,"OK","NG"))</f>
        <v>OK</v>
      </c>
      <c r="FL8" s="171"/>
      <c r="FM8" s="138"/>
      <c r="FN8" s="139"/>
      <c r="FO8" s="172" t="str">
        <f t="shared" ref="FO8:FO71" si="24">IF(OR(FM$8="判定対象外",FN$8="判定対象外",FN8="-"),"-",IF(FM8=FN8,"OK","NG"))</f>
        <v>OK</v>
      </c>
      <c r="FP8" s="274"/>
      <c r="FQ8" s="172" t="str">
        <f>IF(OR(FM$8="判定対象外",FP$8="判定対象外",FP8="-"),"-",IF(FM8=FP8,"OK","NG"))</f>
        <v>OK</v>
      </c>
      <c r="FR8" s="171"/>
      <c r="FS8" s="138"/>
      <c r="FT8" s="139"/>
      <c r="FU8" s="172" t="str">
        <f t="shared" ref="FU8:FU71" si="25">IF(OR(FS$8="判定対象外",FT$8="判定対象外",FT8="-"),"-",IF(FS8=FT8,"OK","NG"))</f>
        <v>OK</v>
      </c>
      <c r="FV8" s="274"/>
      <c r="FW8" s="172" t="str">
        <f>IF(OR(FS$8="判定対象外",FV$8="判定対象外",FV8="-"),"-",IF(FS8=FV8,"OK","NG"))</f>
        <v>OK</v>
      </c>
      <c r="FX8" s="171"/>
      <c r="FY8" s="138"/>
      <c r="FZ8" s="139"/>
      <c r="GA8" s="172" t="str">
        <f t="shared" ref="GA8:GA71" si="26">IF(OR(FY$8="判定対象外",FZ$8="判定対象外",FZ8="-"),"-",IF(FY8=FZ8,"OK","NG"))</f>
        <v>OK</v>
      </c>
      <c r="GB8" s="274"/>
      <c r="GC8" s="172" t="str">
        <f>IF(OR(FY$8="判定対象外",GB$8="判定対象外",GB8="-"),"-",IF(FY8=GB8,"OK","NG"))</f>
        <v>OK</v>
      </c>
    </row>
    <row r="9" spans="1:185" s="6" customFormat="1">
      <c r="A9" s="9"/>
      <c r="B9" s="24">
        <v>1</v>
      </c>
      <c r="C9" s="25" t="s">
        <v>38</v>
      </c>
      <c r="D9" s="26"/>
      <c r="E9" s="27"/>
      <c r="F9" s="27"/>
      <c r="G9" s="27"/>
      <c r="H9" s="28"/>
      <c r="I9" s="29"/>
      <c r="J9" s="29" t="s">
        <v>1</v>
      </c>
      <c r="K9" s="30"/>
      <c r="L9" s="30"/>
      <c r="M9" s="31" t="s">
        <v>39</v>
      </c>
      <c r="N9" s="30"/>
      <c r="O9" s="32"/>
      <c r="P9" s="33"/>
      <c r="Q9" s="34"/>
      <c r="R9" s="29"/>
      <c r="S9" s="31"/>
      <c r="T9" s="31"/>
      <c r="U9" s="29"/>
      <c r="V9" s="32"/>
      <c r="W9" s="22" t="str">
        <f t="shared" si="0"/>
        <v>0</v>
      </c>
      <c r="X9" s="35" t="s">
        <v>40</v>
      </c>
      <c r="Y9" s="35"/>
      <c r="Z9" s="35"/>
      <c r="AA9" s="30"/>
      <c r="AB9" s="30" t="s">
        <v>125</v>
      </c>
      <c r="AC9" s="140"/>
      <c r="AD9" s="173"/>
      <c r="AE9" s="141"/>
      <c r="AF9" s="141" t="str">
        <f>IF(AH9="-","-",AH9&amp;REPT(IF($R9="N","　",IF($R9="9","0"," ")),$Z9-LEN(AH9)))</f>
        <v/>
      </c>
      <c r="AG9" s="174" t="str">
        <f t="shared" si="1"/>
        <v>OK</v>
      </c>
      <c r="AH9" s="141"/>
      <c r="AI9" s="172" t="str">
        <f>IF(OR(AE$8="判定対象外",AH$8="判定対象外",AH9="-"),"-",IF(AE9=AH9,"OK","NG"))</f>
        <v>OK</v>
      </c>
      <c r="AJ9" s="173"/>
      <c r="AK9" s="141"/>
      <c r="AL9" s="141" t="str">
        <f>IF(AN9="-","-",AN9&amp;REPT(IF($R9="N","　",IF($R9="9","0"," ")),$Z9-LEN(AN9)))</f>
        <v/>
      </c>
      <c r="AM9" s="174" t="str">
        <f t="shared" si="2"/>
        <v>OK</v>
      </c>
      <c r="AN9" s="141"/>
      <c r="AO9" s="172" t="str">
        <f>IF(OR(AK$8="判定対象外",AN$8="判定対象外",AN9="-"),"-",IF(AK9=AN9,"OK","NG"))</f>
        <v>OK</v>
      </c>
      <c r="AP9" s="173"/>
      <c r="AQ9" s="141"/>
      <c r="AR9" s="141" t="str">
        <f>IF(AT9="-","-",AT9&amp;REPT(IF($R9="N","　",IF($R9="9","0"," ")),$Z9-LEN(AT9)))</f>
        <v/>
      </c>
      <c r="AS9" s="174" t="str">
        <f t="shared" si="3"/>
        <v>OK</v>
      </c>
      <c r="AT9" s="141"/>
      <c r="AU9" s="172" t="str">
        <f>IF(OR(AQ$8="判定対象外",AT$8="判定対象外",AT9="-"),"-",IF(AQ9=AT9,"OK","NG"))</f>
        <v>OK</v>
      </c>
      <c r="AV9" s="173"/>
      <c r="AW9" s="141"/>
      <c r="AX9" s="141" t="str">
        <f>IF(AZ9="-","-",AZ9&amp;REPT(IF($R9="N","　",IF($R9="9","0"," ")),$Z9-LEN(AZ9)))</f>
        <v/>
      </c>
      <c r="AY9" s="174" t="str">
        <f t="shared" si="4"/>
        <v>OK</v>
      </c>
      <c r="AZ9" s="141"/>
      <c r="BA9" s="172" t="str">
        <f>IF(OR(AW$8="判定対象外",AZ$8="判定対象外",AZ9="-"),"-",IF(AW9=AZ9,"OK","NG"))</f>
        <v>OK</v>
      </c>
      <c r="BB9" s="173"/>
      <c r="BC9" s="141"/>
      <c r="BD9" s="141" t="str">
        <f>IF(BF9="-","-",BF9&amp;REPT(IF($R9="N","　",IF($R9="9","0"," ")),$Z9-LEN(BF9)))</f>
        <v/>
      </c>
      <c r="BE9" s="174" t="str">
        <f t="shared" si="5"/>
        <v>OK</v>
      </c>
      <c r="BF9" s="141"/>
      <c r="BG9" s="172" t="str">
        <f>IF(OR(BC$8="判定対象外",BF$8="判定対象外",BF9="-"),"-",IF(BC9=BF9,"OK","NG"))</f>
        <v>OK</v>
      </c>
      <c r="BH9" s="173"/>
      <c r="BI9" s="141"/>
      <c r="BJ9" s="141" t="str">
        <f>IF(BL9="-","-",BL9&amp;REPT(IF($R9="N","　",IF($R9="9","0"," ")),$Z9-LEN(BL9)))</f>
        <v/>
      </c>
      <c r="BK9" s="174" t="str">
        <f t="shared" si="6"/>
        <v>OK</v>
      </c>
      <c r="BL9" s="141"/>
      <c r="BM9" s="172" t="str">
        <f>IF(OR(BI$8="判定対象外",BL$8="判定対象外",BL9="-"),"-",IF(BI9=BL9,"OK","NG"))</f>
        <v>OK</v>
      </c>
      <c r="BN9" s="173"/>
      <c r="BO9" s="141"/>
      <c r="BP9" s="141" t="str">
        <f>IF(BR9="-","-",BR9&amp;REPT(IF($R9="N","　",IF($R9="9","0"," ")),$Z9-LEN(BR9)))</f>
        <v/>
      </c>
      <c r="BQ9" s="174" t="str">
        <f t="shared" si="7"/>
        <v>OK</v>
      </c>
      <c r="BR9" s="141"/>
      <c r="BS9" s="172" t="str">
        <f>IF(OR(BO$8="判定対象外",BR$8="判定対象外",BR9="-"),"-",IF(BO9=BR9,"OK","NG"))</f>
        <v>OK</v>
      </c>
      <c r="BT9" s="173"/>
      <c r="BU9" s="141"/>
      <c r="BV9" s="141" t="str">
        <f>IF(BX9="-","-",BX9&amp;REPT(IF($R9="N","　",IF($R9="9","0"," ")),$Z9-LEN(BX9)))</f>
        <v/>
      </c>
      <c r="BW9" s="174" t="str">
        <f t="shared" si="8"/>
        <v>OK</v>
      </c>
      <c r="BX9" s="141"/>
      <c r="BY9" s="172" t="str">
        <f>IF(OR(BU$8="判定対象外",BX$8="判定対象外",BX9="-"),"-",IF(BU9=BX9,"OK","NG"))</f>
        <v>OK</v>
      </c>
      <c r="BZ9" s="173"/>
      <c r="CA9" s="141"/>
      <c r="CB9" s="141" t="str">
        <f>IF(CD9="-","-",CD9&amp;REPT(IF($R9="N","　",IF($R9="9","0"," ")),$Z9-LEN(CD9)))</f>
        <v/>
      </c>
      <c r="CC9" s="174" t="str">
        <f t="shared" si="9"/>
        <v>OK</v>
      </c>
      <c r="CD9" s="141"/>
      <c r="CE9" s="172" t="str">
        <f>IF(OR(CA$8="判定対象外",CD$8="判定対象外",CD9="-"),"-",IF(CA9=CD9,"OK","NG"))</f>
        <v>OK</v>
      </c>
      <c r="CF9" s="173"/>
      <c r="CG9" s="141"/>
      <c r="CH9" s="141" t="str">
        <f>IF(CJ9="-","-",CJ9&amp;REPT(IF($R9="N","　",IF($R9="9","0"," ")),$Z9-LEN(CJ9)))</f>
        <v/>
      </c>
      <c r="CI9" s="174" t="str">
        <f t="shared" si="10"/>
        <v>OK</v>
      </c>
      <c r="CJ9" s="141"/>
      <c r="CK9" s="172" t="str">
        <f>IF(OR(CG$8="判定対象外",CJ$8="判定対象外",CJ9="-"),"-",IF(CG9=CJ9,"OK","NG"))</f>
        <v>OK</v>
      </c>
      <c r="CL9" s="173"/>
      <c r="CM9" s="141"/>
      <c r="CN9" s="141" t="str">
        <f>IF(CP9="-","-",CP9&amp;REPT(IF($R9="N","　",IF($R9="9","0"," ")),$Z9-LEN(CP9)))</f>
        <v/>
      </c>
      <c r="CO9" s="174" t="str">
        <f t="shared" si="11"/>
        <v>OK</v>
      </c>
      <c r="CP9" s="141"/>
      <c r="CQ9" s="172" t="str">
        <f>IF(OR(CM$8="判定対象外",CP$8="判定対象外",CP9="-"),"-",IF(CM9=CP9,"OK","NG"))</f>
        <v>OK</v>
      </c>
      <c r="CR9" s="173"/>
      <c r="CS9" s="141"/>
      <c r="CT9" s="141" t="str">
        <f>IF(CV9="-","-",CV9&amp;REPT(IF($R9="N","　",IF($R9="9","0"," ")),$Z9-LEN(CV9)))</f>
        <v/>
      </c>
      <c r="CU9" s="174" t="str">
        <f t="shared" si="12"/>
        <v>OK</v>
      </c>
      <c r="CV9" s="141"/>
      <c r="CW9" s="172" t="str">
        <f>IF(OR(CS$8="判定対象外",CV$8="判定対象外",CV9="-"),"-",IF(CS9=CV9,"OK","NG"))</f>
        <v>OK</v>
      </c>
      <c r="CX9" s="173"/>
      <c r="CY9" s="141"/>
      <c r="CZ9" s="141" t="str">
        <f>IF(DB9="-","-",DB9&amp;REPT(IF($R9="N","　",IF($R9="9","0"," ")),$Z9-LEN(DB9)))</f>
        <v/>
      </c>
      <c r="DA9" s="174" t="str">
        <f t="shared" si="13"/>
        <v>OK</v>
      </c>
      <c r="DB9" s="141"/>
      <c r="DC9" s="172" t="str">
        <f>IF(OR(CY$8="判定対象外",DB$8="判定対象外",DB9="-"),"-",IF(CY9=DB9,"OK","NG"))</f>
        <v>OK</v>
      </c>
      <c r="DD9" s="173"/>
      <c r="DE9" s="141"/>
      <c r="DF9" s="141" t="str">
        <f>IF(DH9="-","-",DH9&amp;REPT(IF($R9="N","　",IF($R9="9","0"," ")),$Z9-LEN(DH9)))</f>
        <v/>
      </c>
      <c r="DG9" s="174" t="str">
        <f t="shared" si="14"/>
        <v>OK</v>
      </c>
      <c r="DH9" s="141"/>
      <c r="DI9" s="172" t="str">
        <f>IF(OR(DE$8="判定対象外",DH$8="判定対象外",DH9="-"),"-",IF(DE9=DH9,"OK","NG"))</f>
        <v>OK</v>
      </c>
      <c r="DJ9" s="173"/>
      <c r="DK9" s="141"/>
      <c r="DL9" s="141" t="str">
        <f>IF(DN9="-","-",DN9&amp;REPT(IF($R9="N","　",IF($R9="9","0"," ")),$Z9-LEN(DN9)))</f>
        <v/>
      </c>
      <c r="DM9" s="174" t="str">
        <f t="shared" si="15"/>
        <v>OK</v>
      </c>
      <c r="DN9" s="141"/>
      <c r="DO9" s="172" t="str">
        <f>IF(OR(DK$8="判定対象外",DN$8="判定対象外",DN9="-"),"-",IF(DK9=DN9,"OK","NG"))</f>
        <v>OK</v>
      </c>
      <c r="DP9" s="173"/>
      <c r="DQ9" s="141"/>
      <c r="DR9" s="141" t="str">
        <f>IF(DT9="-","-",DT9&amp;REPT(IF($R9="N","　",IF($R9="9","0"," ")),$Z9-LEN(DT9)))</f>
        <v/>
      </c>
      <c r="DS9" s="174" t="str">
        <f t="shared" si="16"/>
        <v>OK</v>
      </c>
      <c r="DT9" s="141"/>
      <c r="DU9" s="172" t="str">
        <f>IF(OR(DQ$8="判定対象外",DT$8="判定対象外",DT9="-"),"-",IF(DQ9=DT9,"OK","NG"))</f>
        <v>OK</v>
      </c>
      <c r="DV9" s="173"/>
      <c r="DW9" s="141"/>
      <c r="DX9" s="141" t="str">
        <f>IF(DZ9="-","-",DZ9&amp;REPT(IF($R9="N","　",IF($R9="9","0"," ")),$Z9-LEN(DZ9)))</f>
        <v/>
      </c>
      <c r="DY9" s="174" t="str">
        <f t="shared" si="17"/>
        <v>OK</v>
      </c>
      <c r="DZ9" s="141"/>
      <c r="EA9" s="172" t="str">
        <f>IF(OR(DW$8="判定対象外",DZ$8="判定対象外",DZ9="-"),"-",IF(DW9=DZ9,"OK","NG"))</f>
        <v>OK</v>
      </c>
      <c r="EB9" s="173"/>
      <c r="EC9" s="141"/>
      <c r="ED9" s="141" t="str">
        <f>IF(EF9="-","-",EF9&amp;REPT(IF($R9="N","　",IF($R9="9","0"," ")),$Z9-LEN(EF9)))</f>
        <v/>
      </c>
      <c r="EE9" s="174" t="str">
        <f t="shared" si="18"/>
        <v>OK</v>
      </c>
      <c r="EF9" s="141"/>
      <c r="EG9" s="172" t="str">
        <f>IF(OR(EC$8="判定対象外",EF$8="判定対象外",EF9="-"),"-",IF(EC9=EF9,"OK","NG"))</f>
        <v>OK</v>
      </c>
      <c r="EH9" s="173"/>
      <c r="EI9" s="141"/>
      <c r="EJ9" s="141" t="str">
        <f>IF(EL9="-","-",EL9&amp;REPT(IF($R9="N","　",IF($R9="9","0"," ")),$Z9-LEN(EL9)))</f>
        <v/>
      </c>
      <c r="EK9" s="174" t="str">
        <f t="shared" si="19"/>
        <v>OK</v>
      </c>
      <c r="EL9" s="141"/>
      <c r="EM9" s="172" t="str">
        <f>IF(OR(EI$8="判定対象外",EL$8="判定対象外",EL9="-"),"-",IF(EI9=EL9,"OK","NG"))</f>
        <v>OK</v>
      </c>
      <c r="EN9" s="173"/>
      <c r="EO9" s="141"/>
      <c r="EP9" s="141" t="str">
        <f>IF(ER9="-","-",ER9&amp;REPT(IF($R9="N","　",IF($R9="9","0"," ")),$Z9-LEN(ER9)))</f>
        <v/>
      </c>
      <c r="EQ9" s="174" t="str">
        <f t="shared" si="20"/>
        <v>OK</v>
      </c>
      <c r="ER9" s="141"/>
      <c r="ES9" s="172" t="str">
        <f>IF(OR(EO$8="判定対象外",ER$8="判定対象外",ER9="-"),"-",IF(EO9=ER9,"OK","NG"))</f>
        <v>OK</v>
      </c>
      <c r="ET9" s="173"/>
      <c r="EU9" s="141"/>
      <c r="EV9" s="141" t="str">
        <f>IF(EX9="-","-",EX9&amp;REPT(IF($R9="N","　",IF($R9="9","0"," ")),$Z9-LEN(EX9)))</f>
        <v/>
      </c>
      <c r="EW9" s="174" t="str">
        <f t="shared" si="21"/>
        <v>OK</v>
      </c>
      <c r="EX9" s="141"/>
      <c r="EY9" s="172" t="str">
        <f>IF(OR(EU$8="判定対象外",EX$8="判定対象外",EX9="-"),"-",IF(EU9=EX9,"OK","NG"))</f>
        <v>OK</v>
      </c>
      <c r="EZ9" s="173"/>
      <c r="FA9" s="141"/>
      <c r="FB9" s="141" t="str">
        <f>IF(FD9="-","-",FD9&amp;REPT(IF($R9="N","　",IF($R9="9","0"," ")),$Z9-LEN(FD9)))</f>
        <v/>
      </c>
      <c r="FC9" s="174" t="str">
        <f t="shared" si="22"/>
        <v>OK</v>
      </c>
      <c r="FD9" s="141"/>
      <c r="FE9" s="172" t="str">
        <f>IF(OR(FA$8="判定対象外",FD$8="判定対象外",FD9="-"),"-",IF(FA9=FD9,"OK","NG"))</f>
        <v>OK</v>
      </c>
      <c r="FF9" s="173"/>
      <c r="FG9" s="141"/>
      <c r="FH9" s="141" t="str">
        <f>IF(FJ9="-","-",FJ9&amp;REPT(IF($R9="N","　",IF($R9="9","0"," ")),$Z9-LEN(FJ9)))</f>
        <v/>
      </c>
      <c r="FI9" s="174" t="str">
        <f t="shared" si="23"/>
        <v>OK</v>
      </c>
      <c r="FJ9" s="141"/>
      <c r="FK9" s="172" t="str">
        <f>IF(OR(FG$8="判定対象外",FJ$8="判定対象外",FJ9="-"),"-",IF(FG9=FJ9,"OK","NG"))</f>
        <v>OK</v>
      </c>
      <c r="FL9" s="173"/>
      <c r="FM9" s="141"/>
      <c r="FN9" s="141" t="str">
        <f>IF(FP9="-","-",FP9&amp;REPT(IF($R9="N","　",IF($R9="9","0"," ")),$Z9-LEN(FP9)))</f>
        <v/>
      </c>
      <c r="FO9" s="174" t="str">
        <f t="shared" si="24"/>
        <v>OK</v>
      </c>
      <c r="FP9" s="141"/>
      <c r="FQ9" s="172" t="str">
        <f>IF(OR(FM$8="判定対象外",FP$8="判定対象外",FP9="-"),"-",IF(FM9=FP9,"OK","NG"))</f>
        <v>OK</v>
      </c>
      <c r="FR9" s="173"/>
      <c r="FS9" s="141"/>
      <c r="FT9" s="141" t="str">
        <f>IF(FV9="-","-",FV9&amp;REPT(IF($R9="N","　",IF($R9="9","0"," ")),$Z9-LEN(FV9)))</f>
        <v/>
      </c>
      <c r="FU9" s="174" t="str">
        <f t="shared" si="25"/>
        <v>OK</v>
      </c>
      <c r="FV9" s="141"/>
      <c r="FW9" s="172" t="str">
        <f>IF(OR(FS$8="判定対象外",FV$8="判定対象外",FV9="-"),"-",IF(FS9=FV9,"OK","NG"))</f>
        <v>OK</v>
      </c>
      <c r="FX9" s="173"/>
      <c r="FY9" s="141"/>
      <c r="FZ9" s="141" t="str">
        <f>IF(GB9="-","-",GB9&amp;REPT(IF($R9="N","　",IF($R9="9","0"," ")),$Z9-LEN(GB9)))</f>
        <v/>
      </c>
      <c r="GA9" s="174" t="str">
        <f t="shared" si="26"/>
        <v>OK</v>
      </c>
      <c r="GB9" s="141"/>
      <c r="GC9" s="172" t="str">
        <f>IF(OR(FY$8="判定対象外",GB$8="判定対象外",GB9="-"),"-",IF(FY9=GB9,"OK","NG"))</f>
        <v>OK</v>
      </c>
    </row>
    <row r="10" spans="1:185" s="6" customFormat="1">
      <c r="A10" s="9"/>
      <c r="B10" s="36">
        <v>2</v>
      </c>
      <c r="C10" s="37"/>
      <c r="D10" s="38" t="s">
        <v>41</v>
      </c>
      <c r="E10" s="39"/>
      <c r="F10" s="39"/>
      <c r="G10" s="39"/>
      <c r="H10" s="40"/>
      <c r="I10" s="41"/>
      <c r="J10" s="41" t="s">
        <v>121</v>
      </c>
      <c r="K10" s="42"/>
      <c r="L10" s="42"/>
      <c r="M10" s="43"/>
      <c r="N10" s="42"/>
      <c r="O10" s="44"/>
      <c r="P10" s="45"/>
      <c r="Q10" s="46"/>
      <c r="R10" s="41"/>
      <c r="S10" s="43"/>
      <c r="T10" s="43"/>
      <c r="U10" s="41"/>
      <c r="V10" s="44"/>
      <c r="W10" s="22" t="str">
        <f t="shared" si="0"/>
        <v>1</v>
      </c>
      <c r="X10" s="47" t="s">
        <v>126</v>
      </c>
      <c r="Y10" s="47"/>
      <c r="Z10" s="47"/>
      <c r="AA10" s="42"/>
      <c r="AB10" s="42" t="s">
        <v>114</v>
      </c>
      <c r="AC10" s="143"/>
      <c r="AD10" s="173"/>
      <c r="AE10" s="141"/>
      <c r="AF10" s="141" t="str">
        <f>IF(AH10="-","-",AH10&amp;REPT(IF($R10="N","　",IF($R10="9","0"," ")),$Z10-LEN(AH10)))</f>
        <v/>
      </c>
      <c r="AG10" s="174" t="str">
        <f t="shared" si="1"/>
        <v>OK</v>
      </c>
      <c r="AH10" s="141"/>
      <c r="AI10" s="172" t="str">
        <f t="shared" ref="AI10:AI15" si="27">IF(OR(AE$8="判定対象外",AH$8="判定対象外",AH10="-"),"-",IF(AE10=AH10,"OK","NG"))</f>
        <v>OK</v>
      </c>
      <c r="AJ10" s="173"/>
      <c r="AK10" s="141"/>
      <c r="AL10" s="141" t="str">
        <f>IF(AN10="-","-",AN10&amp;REPT(IF($R10="N","　",IF($R10="9","0"," ")),$Z10-LEN(AN10)))</f>
        <v/>
      </c>
      <c r="AM10" s="174" t="str">
        <f t="shared" si="2"/>
        <v>OK</v>
      </c>
      <c r="AN10" s="141"/>
      <c r="AO10" s="172" t="str">
        <f t="shared" ref="AO10:AO15" si="28">IF(OR(AK$8="判定対象外",AN$8="判定対象外",AN10="-"),"-",IF(AK10=AN10,"OK","NG"))</f>
        <v>OK</v>
      </c>
      <c r="AP10" s="173"/>
      <c r="AQ10" s="141"/>
      <c r="AR10" s="141" t="str">
        <f>IF(AT10="-","-",AT10&amp;REPT(IF($R10="N","　",IF($R10="9","0"," ")),$Z10-LEN(AT10)))</f>
        <v/>
      </c>
      <c r="AS10" s="174" t="str">
        <f t="shared" si="3"/>
        <v>OK</v>
      </c>
      <c r="AT10" s="141"/>
      <c r="AU10" s="172" t="str">
        <f t="shared" ref="AU10:AU15" si="29">IF(OR(AQ$8="判定対象外",AT$8="判定対象外",AT10="-"),"-",IF(AQ10=AT10,"OK","NG"))</f>
        <v>OK</v>
      </c>
      <c r="AV10" s="173"/>
      <c r="AW10" s="141"/>
      <c r="AX10" s="141" t="str">
        <f>IF(AZ10="-","-",AZ10&amp;REPT(IF($R10="N","　",IF($R10="9","0"," ")),$Z10-LEN(AZ10)))</f>
        <v/>
      </c>
      <c r="AY10" s="174" t="str">
        <f t="shared" si="4"/>
        <v>OK</v>
      </c>
      <c r="AZ10" s="141"/>
      <c r="BA10" s="172" t="str">
        <f t="shared" ref="BA10:BA15" si="30">IF(OR(AW$8="判定対象外",AZ$8="判定対象外",AZ10="-"),"-",IF(AW10=AZ10,"OK","NG"))</f>
        <v>OK</v>
      </c>
      <c r="BB10" s="173"/>
      <c r="BC10" s="141"/>
      <c r="BD10" s="141" t="str">
        <f>IF(BF10="-","-",BF10&amp;REPT(IF($R10="N","　",IF($R10="9","0"," ")),$Z10-LEN(BF10)))</f>
        <v/>
      </c>
      <c r="BE10" s="174" t="str">
        <f t="shared" si="5"/>
        <v>OK</v>
      </c>
      <c r="BF10" s="141"/>
      <c r="BG10" s="172" t="str">
        <f t="shared" ref="BG10:BG15" si="31">IF(OR(BC$8="判定対象外",BF$8="判定対象外",BF10="-"),"-",IF(BC10=BF10,"OK","NG"))</f>
        <v>OK</v>
      </c>
      <c r="BH10" s="173"/>
      <c r="BI10" s="141"/>
      <c r="BJ10" s="141" t="str">
        <f>IF(BL10="-","-",BL10&amp;REPT(IF($R10="N","　",IF($R10="9","0"," ")),$Z10-LEN(BL10)))</f>
        <v/>
      </c>
      <c r="BK10" s="174" t="str">
        <f t="shared" si="6"/>
        <v>OK</v>
      </c>
      <c r="BL10" s="141"/>
      <c r="BM10" s="172" t="str">
        <f t="shared" ref="BM10:BM15" si="32">IF(OR(BI$8="判定対象外",BL$8="判定対象外",BL10="-"),"-",IF(BI10=BL10,"OK","NG"))</f>
        <v>OK</v>
      </c>
      <c r="BN10" s="173"/>
      <c r="BO10" s="141"/>
      <c r="BP10" s="141" t="str">
        <f>IF(BR10="-","-",BR10&amp;REPT(IF($R10="N","　",IF($R10="9","0"," ")),$Z10-LEN(BR10)))</f>
        <v/>
      </c>
      <c r="BQ10" s="174" t="str">
        <f t="shared" si="7"/>
        <v>OK</v>
      </c>
      <c r="BR10" s="141"/>
      <c r="BS10" s="172" t="str">
        <f t="shared" ref="BS10:BS15" si="33">IF(OR(BO$8="判定対象外",BR$8="判定対象外",BR10="-"),"-",IF(BO10=BR10,"OK","NG"))</f>
        <v>OK</v>
      </c>
      <c r="BT10" s="173"/>
      <c r="BU10" s="141"/>
      <c r="BV10" s="141" t="str">
        <f>IF(BX10="-","-",BX10&amp;REPT(IF($R10="N","　",IF($R10="9","0"," ")),$Z10-LEN(BX10)))</f>
        <v/>
      </c>
      <c r="BW10" s="174" t="str">
        <f t="shared" si="8"/>
        <v>OK</v>
      </c>
      <c r="BX10" s="141"/>
      <c r="BY10" s="172" t="str">
        <f t="shared" ref="BY10:BY15" si="34">IF(OR(BU$8="判定対象外",BX$8="判定対象外",BX10="-"),"-",IF(BU10=BX10,"OK","NG"))</f>
        <v>OK</v>
      </c>
      <c r="BZ10" s="173"/>
      <c r="CA10" s="141"/>
      <c r="CB10" s="141" t="str">
        <f>IF(CD10="-","-",CD10&amp;REPT(IF($R10="N","　",IF($R10="9","0"," ")),$Z10-LEN(CD10)))</f>
        <v/>
      </c>
      <c r="CC10" s="174" t="str">
        <f t="shared" si="9"/>
        <v>OK</v>
      </c>
      <c r="CD10" s="141"/>
      <c r="CE10" s="172" t="str">
        <f t="shared" ref="CE10:CE15" si="35">IF(OR(CA$8="判定対象外",CD$8="判定対象外",CD10="-"),"-",IF(CA10=CD10,"OK","NG"))</f>
        <v>OK</v>
      </c>
      <c r="CF10" s="173"/>
      <c r="CG10" s="141"/>
      <c r="CH10" s="141" t="str">
        <f>IF(CJ10="-","-",CJ10&amp;REPT(IF($R10="N","　",IF($R10="9","0"," ")),$Z10-LEN(CJ10)))</f>
        <v/>
      </c>
      <c r="CI10" s="174" t="str">
        <f t="shared" si="10"/>
        <v>OK</v>
      </c>
      <c r="CJ10" s="141"/>
      <c r="CK10" s="172" t="str">
        <f t="shared" ref="CK10:CK15" si="36">IF(OR(CG$8="判定対象外",CJ$8="判定対象外",CJ10="-"),"-",IF(CG10=CJ10,"OK","NG"))</f>
        <v>OK</v>
      </c>
      <c r="CL10" s="173"/>
      <c r="CM10" s="141"/>
      <c r="CN10" s="141" t="str">
        <f>IF(CP10="-","-",CP10&amp;REPT(IF($R10="N","　",IF($R10="9","0"," ")),$Z10-LEN(CP10)))</f>
        <v/>
      </c>
      <c r="CO10" s="174" t="str">
        <f t="shared" si="11"/>
        <v>OK</v>
      </c>
      <c r="CP10" s="141"/>
      <c r="CQ10" s="172" t="str">
        <f t="shared" ref="CQ10:CQ15" si="37">IF(OR(CM$8="判定対象外",CP$8="判定対象外",CP10="-"),"-",IF(CM10=CP10,"OK","NG"))</f>
        <v>OK</v>
      </c>
      <c r="CR10" s="173"/>
      <c r="CS10" s="141"/>
      <c r="CT10" s="141" t="str">
        <f>IF(CV10="-","-",CV10&amp;REPT(IF($R10="N","　",IF($R10="9","0"," ")),$Z10-LEN(CV10)))</f>
        <v/>
      </c>
      <c r="CU10" s="174" t="str">
        <f t="shared" si="12"/>
        <v>OK</v>
      </c>
      <c r="CV10" s="141"/>
      <c r="CW10" s="172" t="str">
        <f t="shared" ref="CW10:CW15" si="38">IF(OR(CS$8="判定対象外",CV$8="判定対象外",CV10="-"),"-",IF(CS10=CV10,"OK","NG"))</f>
        <v>OK</v>
      </c>
      <c r="CX10" s="173"/>
      <c r="CY10" s="141"/>
      <c r="CZ10" s="141" t="str">
        <f>IF(DB10="-","-",DB10&amp;REPT(IF($R10="N","　",IF($R10="9","0"," ")),$Z10-LEN(DB10)))</f>
        <v/>
      </c>
      <c r="DA10" s="174" t="str">
        <f t="shared" si="13"/>
        <v>OK</v>
      </c>
      <c r="DB10" s="141"/>
      <c r="DC10" s="172" t="str">
        <f t="shared" ref="DC10:DC15" si="39">IF(OR(CY$8="判定対象外",DB$8="判定対象外",DB10="-"),"-",IF(CY10=DB10,"OK","NG"))</f>
        <v>OK</v>
      </c>
      <c r="DD10" s="173"/>
      <c r="DE10" s="141"/>
      <c r="DF10" s="141" t="str">
        <f>IF(DH10="-","-",DH10&amp;REPT(IF($R10="N","　",IF($R10="9","0"," ")),$Z10-LEN(DH10)))</f>
        <v/>
      </c>
      <c r="DG10" s="174" t="str">
        <f t="shared" si="14"/>
        <v>OK</v>
      </c>
      <c r="DH10" s="141"/>
      <c r="DI10" s="172" t="str">
        <f t="shared" ref="DI10:DI15" si="40">IF(OR(DE$8="判定対象外",DH$8="判定対象外",DH10="-"),"-",IF(DE10=DH10,"OK","NG"))</f>
        <v>OK</v>
      </c>
      <c r="DJ10" s="173"/>
      <c r="DK10" s="141"/>
      <c r="DL10" s="141" t="str">
        <f>IF(DN10="-","-",DN10&amp;REPT(IF($R10="N","　",IF($R10="9","0"," ")),$Z10-LEN(DN10)))</f>
        <v/>
      </c>
      <c r="DM10" s="174" t="str">
        <f t="shared" si="15"/>
        <v>OK</v>
      </c>
      <c r="DN10" s="141"/>
      <c r="DO10" s="172" t="str">
        <f t="shared" ref="DO10:DO15" si="41">IF(OR(DK$8="判定対象外",DN$8="判定対象外",DN10="-"),"-",IF(DK10=DN10,"OK","NG"))</f>
        <v>OK</v>
      </c>
      <c r="DP10" s="173"/>
      <c r="DQ10" s="141"/>
      <c r="DR10" s="141" t="str">
        <f>IF(DT10="-","-",DT10&amp;REPT(IF($R10="N","　",IF($R10="9","0"," ")),$Z10-LEN(DT10)))</f>
        <v/>
      </c>
      <c r="DS10" s="174" t="str">
        <f t="shared" si="16"/>
        <v>OK</v>
      </c>
      <c r="DT10" s="141"/>
      <c r="DU10" s="172" t="str">
        <f t="shared" ref="DU10:DU15" si="42">IF(OR(DQ$8="判定対象外",DT$8="判定対象外",DT10="-"),"-",IF(DQ10=DT10,"OK","NG"))</f>
        <v>OK</v>
      </c>
      <c r="DV10" s="173"/>
      <c r="DW10" s="141"/>
      <c r="DX10" s="141" t="str">
        <f>IF(DZ10="-","-",DZ10&amp;REPT(IF($R10="N","　",IF($R10="9","0"," ")),$Z10-LEN(DZ10)))</f>
        <v/>
      </c>
      <c r="DY10" s="174" t="str">
        <f t="shared" si="17"/>
        <v>OK</v>
      </c>
      <c r="DZ10" s="141"/>
      <c r="EA10" s="172" t="str">
        <f t="shared" ref="EA10:EA15" si="43">IF(OR(DW$8="判定対象外",DZ$8="判定対象外",DZ10="-"),"-",IF(DW10=DZ10,"OK","NG"))</f>
        <v>OK</v>
      </c>
      <c r="EB10" s="173"/>
      <c r="EC10" s="141"/>
      <c r="ED10" s="141" t="str">
        <f>IF(EF10="-","-",EF10&amp;REPT(IF($R10="N","　",IF($R10="9","0"," ")),$Z10-LEN(EF10)))</f>
        <v/>
      </c>
      <c r="EE10" s="174" t="str">
        <f t="shared" si="18"/>
        <v>OK</v>
      </c>
      <c r="EF10" s="141"/>
      <c r="EG10" s="172" t="str">
        <f t="shared" ref="EG10:EG15" si="44">IF(OR(EC$8="判定対象外",EF$8="判定対象外",EF10="-"),"-",IF(EC10=EF10,"OK","NG"))</f>
        <v>OK</v>
      </c>
      <c r="EH10" s="173"/>
      <c r="EI10" s="141"/>
      <c r="EJ10" s="141" t="str">
        <f>IF(EL10="-","-",EL10&amp;REPT(IF($R10="N","　",IF($R10="9","0"," ")),$Z10-LEN(EL10)))</f>
        <v/>
      </c>
      <c r="EK10" s="174" t="str">
        <f t="shared" si="19"/>
        <v>OK</v>
      </c>
      <c r="EL10" s="141"/>
      <c r="EM10" s="172" t="str">
        <f t="shared" ref="EM10:EM15" si="45">IF(OR(EI$8="判定対象外",EL$8="判定対象外",EL10="-"),"-",IF(EI10=EL10,"OK","NG"))</f>
        <v>OK</v>
      </c>
      <c r="EN10" s="173"/>
      <c r="EO10" s="141"/>
      <c r="EP10" s="141" t="str">
        <f>IF(ER10="-","-",ER10&amp;REPT(IF($R10="N","　",IF($R10="9","0"," ")),$Z10-LEN(ER10)))</f>
        <v/>
      </c>
      <c r="EQ10" s="174" t="str">
        <f t="shared" si="20"/>
        <v>OK</v>
      </c>
      <c r="ER10" s="141"/>
      <c r="ES10" s="172" t="str">
        <f t="shared" ref="ES10:ES15" si="46">IF(OR(EO$8="判定対象外",ER$8="判定対象外",ER10="-"),"-",IF(EO10=ER10,"OK","NG"))</f>
        <v>OK</v>
      </c>
      <c r="ET10" s="173"/>
      <c r="EU10" s="141"/>
      <c r="EV10" s="141" t="str">
        <f>IF(EX10="-","-",EX10&amp;REPT(IF($R10="N","　",IF($R10="9","0"," ")),$Z10-LEN(EX10)))</f>
        <v/>
      </c>
      <c r="EW10" s="174" t="str">
        <f t="shared" si="21"/>
        <v>OK</v>
      </c>
      <c r="EX10" s="141"/>
      <c r="EY10" s="172" t="str">
        <f t="shared" ref="EY10:EY15" si="47">IF(OR(EU$8="判定対象外",EX$8="判定対象外",EX10="-"),"-",IF(EU10=EX10,"OK","NG"))</f>
        <v>OK</v>
      </c>
      <c r="EZ10" s="173"/>
      <c r="FA10" s="141"/>
      <c r="FB10" s="141" t="str">
        <f>IF(FD10="-","-",FD10&amp;REPT(IF($R10="N","　",IF($R10="9","0"," ")),$Z10-LEN(FD10)))</f>
        <v/>
      </c>
      <c r="FC10" s="174" t="str">
        <f t="shared" si="22"/>
        <v>OK</v>
      </c>
      <c r="FD10" s="141"/>
      <c r="FE10" s="172" t="str">
        <f t="shared" ref="FE10:FE15" si="48">IF(OR(FA$8="判定対象外",FD$8="判定対象外",FD10="-"),"-",IF(FA10=FD10,"OK","NG"))</f>
        <v>OK</v>
      </c>
      <c r="FF10" s="173"/>
      <c r="FG10" s="141"/>
      <c r="FH10" s="141" t="str">
        <f>IF(FJ10="-","-",FJ10&amp;REPT(IF($R10="N","　",IF($R10="9","0"," ")),$Z10-LEN(FJ10)))</f>
        <v/>
      </c>
      <c r="FI10" s="174" t="str">
        <f t="shared" si="23"/>
        <v>OK</v>
      </c>
      <c r="FJ10" s="141"/>
      <c r="FK10" s="172" t="str">
        <f t="shared" ref="FK10:FK15" si="49">IF(OR(FG$8="判定対象外",FJ$8="判定対象外",FJ10="-"),"-",IF(FG10=FJ10,"OK","NG"))</f>
        <v>OK</v>
      </c>
      <c r="FL10" s="173"/>
      <c r="FM10" s="141"/>
      <c r="FN10" s="141" t="str">
        <f>IF(FP10="-","-",FP10&amp;REPT(IF($R10="N","　",IF($R10="9","0"," ")),$Z10-LEN(FP10)))</f>
        <v/>
      </c>
      <c r="FO10" s="174" t="str">
        <f t="shared" si="24"/>
        <v>OK</v>
      </c>
      <c r="FP10" s="141"/>
      <c r="FQ10" s="172" t="str">
        <f t="shared" ref="FQ10:FQ15" si="50">IF(OR(FM$8="判定対象外",FP$8="判定対象外",FP10="-"),"-",IF(FM10=FP10,"OK","NG"))</f>
        <v>OK</v>
      </c>
      <c r="FR10" s="173"/>
      <c r="FS10" s="141"/>
      <c r="FT10" s="141" t="str">
        <f>IF(FV10="-","-",FV10&amp;REPT(IF($R10="N","　",IF($R10="9","0"," ")),$Z10-LEN(FV10)))</f>
        <v/>
      </c>
      <c r="FU10" s="174" t="str">
        <f t="shared" si="25"/>
        <v>OK</v>
      </c>
      <c r="FV10" s="141"/>
      <c r="FW10" s="172" t="str">
        <f t="shared" ref="FW10:FW15" si="51">IF(OR(FS$8="判定対象外",FV$8="判定対象外",FV10="-"),"-",IF(FS10=FV10,"OK","NG"))</f>
        <v>OK</v>
      </c>
      <c r="FX10" s="173"/>
      <c r="FY10" s="141"/>
      <c r="FZ10" s="141" t="str">
        <f>IF(GB10="-","-",GB10&amp;REPT(IF($R10="N","　",IF($R10="9","0"," ")),$Z10-LEN(GB10)))</f>
        <v/>
      </c>
      <c r="GA10" s="174" t="str">
        <f t="shared" si="26"/>
        <v>OK</v>
      </c>
      <c r="GB10" s="141"/>
      <c r="GC10" s="172" t="str">
        <f t="shared" ref="GC10:GC15" si="52">IF(OR(FY$8="判定対象外",GB$8="判定対象外",GB10="-"),"-",IF(FY10=GB10,"OK","NG"))</f>
        <v>OK</v>
      </c>
    </row>
    <row r="11" spans="1:185" s="6" customFormat="1" ht="25.5">
      <c r="A11" s="9"/>
      <c r="B11" s="48">
        <v>3</v>
      </c>
      <c r="C11" s="37"/>
      <c r="D11" s="37"/>
      <c r="E11" s="49" t="s">
        <v>127</v>
      </c>
      <c r="F11" s="39"/>
      <c r="G11" s="39"/>
      <c r="H11" s="40"/>
      <c r="I11" s="42"/>
      <c r="J11" s="42" t="s">
        <v>121</v>
      </c>
      <c r="K11" s="42"/>
      <c r="L11" s="42"/>
      <c r="M11" s="50" t="s">
        <v>42</v>
      </c>
      <c r="N11" s="42"/>
      <c r="O11" s="44"/>
      <c r="P11" s="45">
        <v>1</v>
      </c>
      <c r="Q11" s="46">
        <v>5</v>
      </c>
      <c r="R11" s="41" t="s">
        <v>128</v>
      </c>
      <c r="S11" s="43"/>
      <c r="T11" s="43"/>
      <c r="U11" s="41" t="s">
        <v>114</v>
      </c>
      <c r="V11" s="44" t="s">
        <v>43</v>
      </c>
      <c r="W11" s="22" t="str">
        <f t="shared" si="0"/>
        <v>2</v>
      </c>
      <c r="X11" s="47" t="s">
        <v>129</v>
      </c>
      <c r="Y11" s="47">
        <v>4</v>
      </c>
      <c r="Z11" s="47">
        <v>4</v>
      </c>
      <c r="AA11" s="42" t="s">
        <v>128</v>
      </c>
      <c r="AB11" s="42" t="s">
        <v>114</v>
      </c>
      <c r="AC11" s="143"/>
      <c r="AD11" s="144" t="s">
        <v>104</v>
      </c>
      <c r="AE11" s="145"/>
      <c r="AF11" s="146" t="s">
        <v>130</v>
      </c>
      <c r="AG11" s="174" t="str">
        <f t="shared" si="1"/>
        <v>NG</v>
      </c>
      <c r="AH11" s="146" t="str">
        <f t="shared" ref="AH11:AH20" si="53">IF(AD11&lt;&gt;"",AD11,"")</f>
        <v>B004</v>
      </c>
      <c r="AI11" s="172" t="str">
        <f t="shared" si="27"/>
        <v>NG</v>
      </c>
      <c r="AJ11" s="144" t="s">
        <v>104</v>
      </c>
      <c r="AK11" s="145"/>
      <c r="AL11" s="146" t="s">
        <v>130</v>
      </c>
      <c r="AM11" s="174" t="str">
        <f t="shared" si="2"/>
        <v>NG</v>
      </c>
      <c r="AN11" s="146" t="str">
        <f t="shared" ref="AN11:AN20" si="54">IF(AJ11&lt;&gt;"",AJ11,"")</f>
        <v>B004</v>
      </c>
      <c r="AO11" s="172" t="str">
        <f t="shared" si="28"/>
        <v>NG</v>
      </c>
      <c r="AP11" s="144" t="s">
        <v>104</v>
      </c>
      <c r="AQ11" s="145"/>
      <c r="AR11" s="146" t="s">
        <v>130</v>
      </c>
      <c r="AS11" s="174" t="str">
        <f t="shared" si="3"/>
        <v>NG</v>
      </c>
      <c r="AT11" s="146" t="str">
        <f t="shared" ref="AT11:AT20" si="55">IF(AP11&lt;&gt;"",AP11,"")</f>
        <v>B004</v>
      </c>
      <c r="AU11" s="172" t="str">
        <f t="shared" si="29"/>
        <v>NG</v>
      </c>
      <c r="AV11" s="144" t="s">
        <v>104</v>
      </c>
      <c r="AW11" s="145"/>
      <c r="AX11" s="146" t="s">
        <v>130</v>
      </c>
      <c r="AY11" s="174" t="str">
        <f t="shared" si="4"/>
        <v>NG</v>
      </c>
      <c r="AZ11" s="146" t="str">
        <f t="shared" ref="AZ11:AZ20" si="56">IF(AV11&lt;&gt;"",AV11,"")</f>
        <v>B004</v>
      </c>
      <c r="BA11" s="172" t="str">
        <f t="shared" si="30"/>
        <v>NG</v>
      </c>
      <c r="BB11" s="144" t="s">
        <v>104</v>
      </c>
      <c r="BC11" s="145"/>
      <c r="BD11" s="146" t="s">
        <v>130</v>
      </c>
      <c r="BE11" s="174" t="str">
        <f t="shared" si="5"/>
        <v>NG</v>
      </c>
      <c r="BF11" s="146" t="str">
        <f t="shared" ref="BF11:BF20" si="57">IF(BB11&lt;&gt;"",BB11,"")</f>
        <v>B004</v>
      </c>
      <c r="BG11" s="172" t="str">
        <f t="shared" si="31"/>
        <v>NG</v>
      </c>
      <c r="BH11" s="144" t="s">
        <v>104</v>
      </c>
      <c r="BI11" s="145"/>
      <c r="BJ11" s="146" t="s">
        <v>130</v>
      </c>
      <c r="BK11" s="174" t="str">
        <f t="shared" si="6"/>
        <v>NG</v>
      </c>
      <c r="BL11" s="146" t="str">
        <f t="shared" ref="BL11:BL20" si="58">IF(BH11&lt;&gt;"",BH11,"")</f>
        <v>B004</v>
      </c>
      <c r="BM11" s="172" t="str">
        <f t="shared" si="32"/>
        <v>NG</v>
      </c>
      <c r="BN11" s="144" t="s">
        <v>104</v>
      </c>
      <c r="BO11" s="145" t="s">
        <v>463</v>
      </c>
      <c r="BP11" s="146" t="s">
        <v>130</v>
      </c>
      <c r="BQ11" s="174" t="str">
        <f t="shared" si="7"/>
        <v>NG</v>
      </c>
      <c r="BR11" s="146" t="str">
        <f t="shared" ref="BR11:BR20" si="59">IF(BN11&lt;&gt;"",BN11,"")</f>
        <v>B004</v>
      </c>
      <c r="BS11" s="172" t="str">
        <f t="shared" si="33"/>
        <v>OK</v>
      </c>
      <c r="BT11" s="144" t="s">
        <v>104</v>
      </c>
      <c r="BU11" s="145" t="s">
        <v>463</v>
      </c>
      <c r="BV11" s="146" t="s">
        <v>130</v>
      </c>
      <c r="BW11" s="174" t="str">
        <f t="shared" si="8"/>
        <v>NG</v>
      </c>
      <c r="BX11" s="146" t="str">
        <f t="shared" ref="BX11:BX20" si="60">IF(BT11&lt;&gt;"",BT11,"")</f>
        <v>B004</v>
      </c>
      <c r="BY11" s="172" t="str">
        <f t="shared" si="34"/>
        <v>OK</v>
      </c>
      <c r="BZ11" s="144" t="s">
        <v>104</v>
      </c>
      <c r="CA11" s="145" t="s">
        <v>463</v>
      </c>
      <c r="CB11" s="146" t="s">
        <v>130</v>
      </c>
      <c r="CC11" s="174" t="str">
        <f t="shared" si="9"/>
        <v>NG</v>
      </c>
      <c r="CD11" s="146" t="str">
        <f t="shared" ref="CD11:CD20" si="61">IF(BZ11&lt;&gt;"",BZ11,"")</f>
        <v>B004</v>
      </c>
      <c r="CE11" s="172" t="str">
        <f t="shared" si="35"/>
        <v>OK</v>
      </c>
      <c r="CF11" s="144" t="s">
        <v>104</v>
      </c>
      <c r="CG11" s="145" t="s">
        <v>463</v>
      </c>
      <c r="CH11" s="146" t="s">
        <v>130</v>
      </c>
      <c r="CI11" s="174" t="str">
        <f t="shared" si="10"/>
        <v>NG</v>
      </c>
      <c r="CJ11" s="146" t="str">
        <f t="shared" ref="CJ11:CJ20" si="62">IF(CF11&lt;&gt;"",CF11,"")</f>
        <v>B004</v>
      </c>
      <c r="CK11" s="172" t="str">
        <f t="shared" si="36"/>
        <v>OK</v>
      </c>
      <c r="CL11" s="144" t="s">
        <v>104</v>
      </c>
      <c r="CM11" s="145"/>
      <c r="CN11" s="146" t="s">
        <v>130</v>
      </c>
      <c r="CO11" s="174" t="str">
        <f t="shared" si="11"/>
        <v>NG</v>
      </c>
      <c r="CP11" s="146" t="str">
        <f t="shared" ref="CP11:CP20" si="63">IF(CL11&lt;&gt;"",CL11,"")</f>
        <v>B004</v>
      </c>
      <c r="CQ11" s="172" t="str">
        <f t="shared" si="37"/>
        <v>NG</v>
      </c>
      <c r="CR11" s="144" t="s">
        <v>104</v>
      </c>
      <c r="CS11" s="145"/>
      <c r="CT11" s="146" t="s">
        <v>130</v>
      </c>
      <c r="CU11" s="174" t="str">
        <f t="shared" si="12"/>
        <v>NG</v>
      </c>
      <c r="CV11" s="146" t="str">
        <f t="shared" ref="CV11:CV20" si="64">IF(CR11&lt;&gt;"",CR11,"")</f>
        <v>B004</v>
      </c>
      <c r="CW11" s="172" t="str">
        <f t="shared" si="38"/>
        <v>NG</v>
      </c>
      <c r="CX11" s="144" t="s">
        <v>104</v>
      </c>
      <c r="CY11" s="145"/>
      <c r="CZ11" s="146" t="s">
        <v>130</v>
      </c>
      <c r="DA11" s="174" t="str">
        <f t="shared" si="13"/>
        <v>NG</v>
      </c>
      <c r="DB11" s="146" t="str">
        <f t="shared" ref="DB11:DB20" si="65">IF(CX11&lt;&gt;"",CX11,"")</f>
        <v>B004</v>
      </c>
      <c r="DC11" s="172" t="str">
        <f t="shared" si="39"/>
        <v>NG</v>
      </c>
      <c r="DD11" s="144" t="s">
        <v>104</v>
      </c>
      <c r="DE11" s="145"/>
      <c r="DF11" s="146" t="s">
        <v>130</v>
      </c>
      <c r="DG11" s="174" t="str">
        <f t="shared" si="14"/>
        <v>NG</v>
      </c>
      <c r="DH11" s="146" t="str">
        <f t="shared" ref="DH11:DH20" si="66">IF(DD11&lt;&gt;"",DD11,"")</f>
        <v>B004</v>
      </c>
      <c r="DI11" s="172" t="str">
        <f t="shared" si="40"/>
        <v>NG</v>
      </c>
      <c r="DJ11" s="144" t="s">
        <v>104</v>
      </c>
      <c r="DK11" s="145"/>
      <c r="DL11" s="146" t="s">
        <v>130</v>
      </c>
      <c r="DM11" s="174" t="str">
        <f t="shared" si="15"/>
        <v>NG</v>
      </c>
      <c r="DN11" s="146" t="str">
        <f t="shared" ref="DN11:DN20" si="67">IF(DJ11&lt;&gt;"",DJ11,"")</f>
        <v>B004</v>
      </c>
      <c r="DO11" s="172" t="str">
        <f t="shared" si="41"/>
        <v>NG</v>
      </c>
      <c r="DP11" s="144" t="s">
        <v>104</v>
      </c>
      <c r="DQ11" s="145"/>
      <c r="DR11" s="146" t="s">
        <v>130</v>
      </c>
      <c r="DS11" s="174" t="str">
        <f t="shared" si="16"/>
        <v>NG</v>
      </c>
      <c r="DT11" s="146" t="str">
        <f t="shared" ref="DT11:DT20" si="68">IF(DP11&lt;&gt;"",DP11,"")</f>
        <v>B004</v>
      </c>
      <c r="DU11" s="172" t="str">
        <f t="shared" si="42"/>
        <v>NG</v>
      </c>
      <c r="DV11" s="144" t="s">
        <v>104</v>
      </c>
      <c r="DW11" s="145"/>
      <c r="DX11" s="146" t="s">
        <v>130</v>
      </c>
      <c r="DY11" s="174" t="str">
        <f t="shared" si="17"/>
        <v>NG</v>
      </c>
      <c r="DZ11" s="146" t="str">
        <f t="shared" ref="DZ11:DZ20" si="69">IF(DV11&lt;&gt;"",DV11,"")</f>
        <v>B004</v>
      </c>
      <c r="EA11" s="172" t="str">
        <f t="shared" si="43"/>
        <v>NG</v>
      </c>
      <c r="EB11" s="144" t="s">
        <v>104</v>
      </c>
      <c r="EC11" s="145"/>
      <c r="ED11" s="146" t="s">
        <v>130</v>
      </c>
      <c r="EE11" s="174" t="str">
        <f t="shared" si="18"/>
        <v>NG</v>
      </c>
      <c r="EF11" s="146" t="str">
        <f t="shared" ref="EF11:EF20" si="70">IF(EB11&lt;&gt;"",EB11,"")</f>
        <v>B004</v>
      </c>
      <c r="EG11" s="172" t="str">
        <f t="shared" si="44"/>
        <v>NG</v>
      </c>
      <c r="EH11" s="144" t="s">
        <v>104</v>
      </c>
      <c r="EI11" s="145"/>
      <c r="EJ11" s="146" t="s">
        <v>130</v>
      </c>
      <c r="EK11" s="174" t="str">
        <f t="shared" si="19"/>
        <v>NG</v>
      </c>
      <c r="EL11" s="146" t="str">
        <f t="shared" ref="EL11:EL20" si="71">IF(EH11&lt;&gt;"",EH11,"")</f>
        <v>B004</v>
      </c>
      <c r="EM11" s="172" t="str">
        <f t="shared" si="45"/>
        <v>NG</v>
      </c>
      <c r="EN11" s="144" t="s">
        <v>104</v>
      </c>
      <c r="EO11" s="145"/>
      <c r="EP11" s="146" t="s">
        <v>130</v>
      </c>
      <c r="EQ11" s="174" t="str">
        <f t="shared" si="20"/>
        <v>NG</v>
      </c>
      <c r="ER11" s="146" t="str">
        <f t="shared" ref="ER11:ER20" si="72">IF(EN11&lt;&gt;"",EN11,"")</f>
        <v>B004</v>
      </c>
      <c r="ES11" s="172" t="str">
        <f t="shared" si="46"/>
        <v>NG</v>
      </c>
      <c r="ET11" s="144" t="s">
        <v>104</v>
      </c>
      <c r="EU11" s="145"/>
      <c r="EV11" s="146" t="s">
        <v>130</v>
      </c>
      <c r="EW11" s="174" t="str">
        <f t="shared" si="21"/>
        <v>NG</v>
      </c>
      <c r="EX11" s="146" t="str">
        <f t="shared" ref="EX11:EX20" si="73">IF(ET11&lt;&gt;"",ET11,"")</f>
        <v>B004</v>
      </c>
      <c r="EY11" s="172" t="str">
        <f t="shared" si="47"/>
        <v>NG</v>
      </c>
      <c r="EZ11" s="144" t="s">
        <v>104</v>
      </c>
      <c r="FA11" s="145"/>
      <c r="FB11" s="146" t="s">
        <v>130</v>
      </c>
      <c r="FC11" s="174" t="str">
        <f t="shared" si="22"/>
        <v>NG</v>
      </c>
      <c r="FD11" s="146" t="str">
        <f t="shared" ref="FD11:FD20" si="74">IF(EZ11&lt;&gt;"",EZ11,"")</f>
        <v>B004</v>
      </c>
      <c r="FE11" s="172" t="str">
        <f t="shared" si="48"/>
        <v>NG</v>
      </c>
      <c r="FF11" s="144" t="s">
        <v>104</v>
      </c>
      <c r="FG11" s="145"/>
      <c r="FH11" s="146" t="s">
        <v>130</v>
      </c>
      <c r="FI11" s="174" t="str">
        <f t="shared" si="23"/>
        <v>NG</v>
      </c>
      <c r="FJ11" s="146" t="str">
        <f t="shared" ref="FJ11:FJ20" si="75">IF(FF11&lt;&gt;"",FF11,"")</f>
        <v>B004</v>
      </c>
      <c r="FK11" s="172" t="str">
        <f t="shared" si="49"/>
        <v>NG</v>
      </c>
      <c r="FL11" s="144" t="s">
        <v>104</v>
      </c>
      <c r="FM11" s="145"/>
      <c r="FN11" s="146" t="s">
        <v>130</v>
      </c>
      <c r="FO11" s="174" t="str">
        <f t="shared" si="24"/>
        <v>NG</v>
      </c>
      <c r="FP11" s="146" t="str">
        <f t="shared" ref="FP11:FP20" si="76">IF(FL11&lt;&gt;"",FL11,"")</f>
        <v>B004</v>
      </c>
      <c r="FQ11" s="172" t="str">
        <f t="shared" si="50"/>
        <v>NG</v>
      </c>
      <c r="FR11" s="144" t="s">
        <v>104</v>
      </c>
      <c r="FS11" s="145"/>
      <c r="FT11" s="146" t="s">
        <v>130</v>
      </c>
      <c r="FU11" s="174" t="str">
        <f t="shared" si="25"/>
        <v>NG</v>
      </c>
      <c r="FV11" s="146" t="str">
        <f t="shared" ref="FV11:FV20" si="77">IF(FR11&lt;&gt;"",FR11,"")</f>
        <v>B004</v>
      </c>
      <c r="FW11" s="172" t="str">
        <f t="shared" si="51"/>
        <v>NG</v>
      </c>
      <c r="FX11" s="144" t="s">
        <v>104</v>
      </c>
      <c r="FY11" s="145"/>
      <c r="FZ11" s="146" t="s">
        <v>130</v>
      </c>
      <c r="GA11" s="174" t="str">
        <f t="shared" si="26"/>
        <v>NG</v>
      </c>
      <c r="GB11" s="146" t="str">
        <f t="shared" ref="GB11:GB20" si="78">IF(FX11&lt;&gt;"",FX11,"")</f>
        <v>B004</v>
      </c>
      <c r="GC11" s="172" t="str">
        <f t="shared" si="52"/>
        <v>NG</v>
      </c>
    </row>
    <row r="12" spans="1:185" s="6" customFormat="1" ht="25.5">
      <c r="A12" s="9"/>
      <c r="B12" s="48">
        <v>4</v>
      </c>
      <c r="C12" s="37"/>
      <c r="D12" s="37"/>
      <c r="E12" s="49" t="s">
        <v>131</v>
      </c>
      <c r="F12" s="39"/>
      <c r="G12" s="39"/>
      <c r="H12" s="40"/>
      <c r="I12" s="42"/>
      <c r="J12" s="42" t="s">
        <v>132</v>
      </c>
      <c r="K12" s="42"/>
      <c r="L12" s="42"/>
      <c r="M12" s="50" t="s">
        <v>44</v>
      </c>
      <c r="N12" s="42"/>
      <c r="O12" s="44"/>
      <c r="P12" s="45">
        <v>2</v>
      </c>
      <c r="Q12" s="46">
        <v>2</v>
      </c>
      <c r="R12" s="41" t="s">
        <v>133</v>
      </c>
      <c r="S12" s="43"/>
      <c r="T12" s="43"/>
      <c r="U12" s="41" t="s">
        <v>134</v>
      </c>
      <c r="V12" s="44"/>
      <c r="W12" s="22" t="str">
        <f t="shared" si="0"/>
        <v>2</v>
      </c>
      <c r="X12" s="47" t="s">
        <v>135</v>
      </c>
      <c r="Y12" s="47">
        <v>2</v>
      </c>
      <c r="Z12" s="47">
        <v>2</v>
      </c>
      <c r="AA12" s="42">
        <v>9</v>
      </c>
      <c r="AB12" s="42" t="s">
        <v>134</v>
      </c>
      <c r="AC12" s="143"/>
      <c r="AD12" s="144" t="s">
        <v>45</v>
      </c>
      <c r="AE12" s="145"/>
      <c r="AF12" s="146" t="str">
        <f>IF(AH12="-","-",AH12&amp;REPT(IF($R12="N","　",IF($R12="9","0"," ")),$Z12-LENB(AH12)))</f>
        <v>10</v>
      </c>
      <c r="AG12" s="174" t="str">
        <f t="shared" si="1"/>
        <v>NG</v>
      </c>
      <c r="AH12" s="146" t="str">
        <f t="shared" si="53"/>
        <v>10</v>
      </c>
      <c r="AI12" s="172" t="str">
        <f t="shared" si="27"/>
        <v>NG</v>
      </c>
      <c r="AJ12" s="144" t="s">
        <v>45</v>
      </c>
      <c r="AK12" s="145"/>
      <c r="AL12" s="146" t="str">
        <f>IF(AN12="-","-",AN12&amp;REPT(IF($R12="N","　",IF($R12="9","0"," ")),$Z12-LENB(AN12)))</f>
        <v>10</v>
      </c>
      <c r="AM12" s="174" t="str">
        <f t="shared" si="2"/>
        <v>NG</v>
      </c>
      <c r="AN12" s="146" t="str">
        <f t="shared" si="54"/>
        <v>10</v>
      </c>
      <c r="AO12" s="172" t="str">
        <f t="shared" si="28"/>
        <v>NG</v>
      </c>
      <c r="AP12" s="144" t="s">
        <v>45</v>
      </c>
      <c r="AQ12" s="145"/>
      <c r="AR12" s="146" t="str">
        <f>IF(AT12="-","-",AT12&amp;REPT(IF($R12="N","　",IF($R12="9","0"," ")),$Z12-LENB(AT12)))</f>
        <v>10</v>
      </c>
      <c r="AS12" s="174" t="str">
        <f t="shared" si="3"/>
        <v>NG</v>
      </c>
      <c r="AT12" s="146" t="str">
        <f t="shared" si="55"/>
        <v>10</v>
      </c>
      <c r="AU12" s="172" t="str">
        <f t="shared" si="29"/>
        <v>NG</v>
      </c>
      <c r="AV12" s="144" t="s">
        <v>45</v>
      </c>
      <c r="AW12" s="145"/>
      <c r="AX12" s="146" t="str">
        <f>IF(AZ12="-","-",AZ12&amp;REPT(IF($R12="N","　",IF($R12="9","0"," ")),$Z12-LENB(AZ12)))</f>
        <v>10</v>
      </c>
      <c r="AY12" s="174" t="str">
        <f t="shared" si="4"/>
        <v>NG</v>
      </c>
      <c r="AZ12" s="146" t="str">
        <f t="shared" si="56"/>
        <v>10</v>
      </c>
      <c r="BA12" s="172" t="str">
        <f t="shared" si="30"/>
        <v>NG</v>
      </c>
      <c r="BB12" s="144" t="s">
        <v>45</v>
      </c>
      <c r="BC12" s="145"/>
      <c r="BD12" s="146" t="str">
        <f>IF(BF12="-","-",BF12&amp;REPT(IF($R12="N","　",IF($R12="9","0"," ")),$Z12-LENB(BF12)))</f>
        <v>10</v>
      </c>
      <c r="BE12" s="174" t="str">
        <f t="shared" si="5"/>
        <v>NG</v>
      </c>
      <c r="BF12" s="146" t="str">
        <f t="shared" si="57"/>
        <v>10</v>
      </c>
      <c r="BG12" s="172" t="str">
        <f t="shared" si="31"/>
        <v>NG</v>
      </c>
      <c r="BH12" s="144" t="s">
        <v>45</v>
      </c>
      <c r="BI12" s="145"/>
      <c r="BJ12" s="146" t="str">
        <f>IF(BL12="-","-",BL12&amp;REPT(IF($R12="N","　",IF($R12="9","0"," ")),$Z12-LENB(BL12)))</f>
        <v>10</v>
      </c>
      <c r="BK12" s="174" t="str">
        <f t="shared" si="6"/>
        <v>NG</v>
      </c>
      <c r="BL12" s="146" t="str">
        <f t="shared" si="58"/>
        <v>10</v>
      </c>
      <c r="BM12" s="172" t="str">
        <f t="shared" si="32"/>
        <v>NG</v>
      </c>
      <c r="BN12" s="144" t="s">
        <v>45</v>
      </c>
      <c r="BO12" s="145" t="s">
        <v>45</v>
      </c>
      <c r="BP12" s="146" t="str">
        <f>IF(BR12="-","-",BR12&amp;REPT(IF($R12="N","　",IF($R12="9","0"," ")),$Z12-LENB(BR12)))</f>
        <v>10</v>
      </c>
      <c r="BQ12" s="174" t="str">
        <f t="shared" si="7"/>
        <v>OK</v>
      </c>
      <c r="BR12" s="146" t="str">
        <f t="shared" si="59"/>
        <v>10</v>
      </c>
      <c r="BS12" s="172" t="str">
        <f t="shared" si="33"/>
        <v>OK</v>
      </c>
      <c r="BT12" s="144" t="s">
        <v>45</v>
      </c>
      <c r="BU12" s="145" t="s">
        <v>45</v>
      </c>
      <c r="BV12" s="146" t="str">
        <f>IF(BX12="-","-",BX12&amp;REPT(IF($R12="N","　",IF($R12="9","0"," ")),$Z12-LENB(BX12)))</f>
        <v>10</v>
      </c>
      <c r="BW12" s="174" t="str">
        <f t="shared" si="8"/>
        <v>OK</v>
      </c>
      <c r="BX12" s="146" t="str">
        <f t="shared" si="60"/>
        <v>10</v>
      </c>
      <c r="BY12" s="172" t="str">
        <f t="shared" si="34"/>
        <v>OK</v>
      </c>
      <c r="BZ12" s="144" t="s">
        <v>45</v>
      </c>
      <c r="CA12" s="145" t="s">
        <v>45</v>
      </c>
      <c r="CB12" s="146" t="str">
        <f>IF(CD12="-","-",CD12&amp;REPT(IF($R12="N","　",IF($R12="9","0"," ")),$Z12-LENB(CD12)))</f>
        <v>10</v>
      </c>
      <c r="CC12" s="174" t="str">
        <f t="shared" si="9"/>
        <v>OK</v>
      </c>
      <c r="CD12" s="146" t="str">
        <f t="shared" si="61"/>
        <v>10</v>
      </c>
      <c r="CE12" s="172" t="str">
        <f t="shared" si="35"/>
        <v>OK</v>
      </c>
      <c r="CF12" s="144" t="s">
        <v>45</v>
      </c>
      <c r="CG12" s="145" t="s">
        <v>45</v>
      </c>
      <c r="CH12" s="146" t="str">
        <f>IF(CJ12="-","-",CJ12&amp;REPT(IF($R12="N","　",IF($R12="9","0"," ")),$Z12-LENB(CJ12)))</f>
        <v>10</v>
      </c>
      <c r="CI12" s="174" t="str">
        <f t="shared" si="10"/>
        <v>OK</v>
      </c>
      <c r="CJ12" s="146" t="str">
        <f t="shared" si="62"/>
        <v>10</v>
      </c>
      <c r="CK12" s="172" t="str">
        <f t="shared" si="36"/>
        <v>OK</v>
      </c>
      <c r="CL12" s="144" t="s">
        <v>45</v>
      </c>
      <c r="CM12" s="145"/>
      <c r="CN12" s="146" t="str">
        <f>IF(CP12="-","-",CP12&amp;REPT(IF($R12="N","　",IF($R12="9","0"," ")),$Z12-LENB(CP12)))</f>
        <v>10</v>
      </c>
      <c r="CO12" s="174" t="str">
        <f t="shared" si="11"/>
        <v>NG</v>
      </c>
      <c r="CP12" s="146" t="str">
        <f t="shared" si="63"/>
        <v>10</v>
      </c>
      <c r="CQ12" s="172" t="str">
        <f t="shared" si="37"/>
        <v>NG</v>
      </c>
      <c r="CR12" s="144" t="s">
        <v>45</v>
      </c>
      <c r="CS12" s="145"/>
      <c r="CT12" s="146" t="str">
        <f>IF(CV12="-","-",CV12&amp;REPT(IF($R12="N","　",IF($R12="9","0"," ")),$Z12-LENB(CV12)))</f>
        <v>10</v>
      </c>
      <c r="CU12" s="174" t="str">
        <f t="shared" si="12"/>
        <v>NG</v>
      </c>
      <c r="CV12" s="146" t="str">
        <f t="shared" si="64"/>
        <v>10</v>
      </c>
      <c r="CW12" s="172" t="str">
        <f t="shared" si="38"/>
        <v>NG</v>
      </c>
      <c r="CX12" s="144" t="s">
        <v>45</v>
      </c>
      <c r="CY12" s="145"/>
      <c r="CZ12" s="146" t="str">
        <f>IF(DB12="-","-",DB12&amp;REPT(IF($R12="N","　",IF($R12="9","0"," ")),$Z12-LENB(DB12)))</f>
        <v>10</v>
      </c>
      <c r="DA12" s="174" t="str">
        <f t="shared" si="13"/>
        <v>NG</v>
      </c>
      <c r="DB12" s="146" t="str">
        <f t="shared" si="65"/>
        <v>10</v>
      </c>
      <c r="DC12" s="172" t="str">
        <f t="shared" si="39"/>
        <v>NG</v>
      </c>
      <c r="DD12" s="144" t="s">
        <v>45</v>
      </c>
      <c r="DE12" s="145"/>
      <c r="DF12" s="146" t="str">
        <f>IF(DH12="-","-",DH12&amp;REPT(IF($R12="N","　",IF($R12="9","0"," ")),$Z12-LENB(DH12)))</f>
        <v>10</v>
      </c>
      <c r="DG12" s="174" t="str">
        <f t="shared" si="14"/>
        <v>NG</v>
      </c>
      <c r="DH12" s="146" t="str">
        <f t="shared" si="66"/>
        <v>10</v>
      </c>
      <c r="DI12" s="172" t="str">
        <f t="shared" si="40"/>
        <v>NG</v>
      </c>
      <c r="DJ12" s="144" t="s">
        <v>45</v>
      </c>
      <c r="DK12" s="145"/>
      <c r="DL12" s="146" t="str">
        <f>IF(DN12="-","-",DN12&amp;REPT(IF($R12="N","　",IF($R12="9","0"," ")),$Z12-LENB(DN12)))</f>
        <v>10</v>
      </c>
      <c r="DM12" s="174" t="str">
        <f t="shared" si="15"/>
        <v>NG</v>
      </c>
      <c r="DN12" s="146" t="str">
        <f t="shared" si="67"/>
        <v>10</v>
      </c>
      <c r="DO12" s="172" t="str">
        <f t="shared" si="41"/>
        <v>NG</v>
      </c>
      <c r="DP12" s="144" t="s">
        <v>45</v>
      </c>
      <c r="DQ12" s="145"/>
      <c r="DR12" s="146" t="str">
        <f t="shared" ref="DR12:DR39" si="79">IF(DT12="-","-",DT12&amp;REPT(IF($R12="N","　",IF($R12="9","0"," ")),$Z12-LENB(DT12)))</f>
        <v>10</v>
      </c>
      <c r="DS12" s="174" t="str">
        <f t="shared" si="16"/>
        <v>NG</v>
      </c>
      <c r="DT12" s="146" t="str">
        <f t="shared" si="68"/>
        <v>10</v>
      </c>
      <c r="DU12" s="172" t="str">
        <f t="shared" si="42"/>
        <v>NG</v>
      </c>
      <c r="DV12" s="144" t="s">
        <v>45</v>
      </c>
      <c r="DW12" s="145"/>
      <c r="DX12" s="146" t="str">
        <f t="shared" ref="DX12:DX39" si="80">IF(DZ12="-","-",DZ12&amp;REPT(IF($R12="N","　",IF($R12="9","0"," ")),$Z12-LENB(DZ12)))</f>
        <v>10</v>
      </c>
      <c r="DY12" s="174" t="str">
        <f t="shared" si="17"/>
        <v>NG</v>
      </c>
      <c r="DZ12" s="146" t="str">
        <f t="shared" si="69"/>
        <v>10</v>
      </c>
      <c r="EA12" s="172" t="str">
        <f t="shared" si="43"/>
        <v>NG</v>
      </c>
      <c r="EB12" s="144" t="s">
        <v>45</v>
      </c>
      <c r="EC12" s="145"/>
      <c r="ED12" s="146" t="str">
        <f t="shared" ref="ED12:ED39" si="81">IF(EF12="-","-",EF12&amp;REPT(IF($R12="N","　",IF($R12="9","0"," ")),$Z12-LENB(EF12)))</f>
        <v>10</v>
      </c>
      <c r="EE12" s="174" t="str">
        <f t="shared" si="18"/>
        <v>NG</v>
      </c>
      <c r="EF12" s="146" t="str">
        <f t="shared" si="70"/>
        <v>10</v>
      </c>
      <c r="EG12" s="172" t="str">
        <f t="shared" si="44"/>
        <v>NG</v>
      </c>
      <c r="EH12" s="144" t="s">
        <v>45</v>
      </c>
      <c r="EI12" s="145"/>
      <c r="EJ12" s="146" t="str">
        <f t="shared" ref="EJ12:EJ39" si="82">IF(EL12="-","-",EL12&amp;REPT(IF($R12="N","　",IF($R12="9","0"," ")),$Z12-LENB(EL12)))</f>
        <v>10</v>
      </c>
      <c r="EK12" s="174" t="str">
        <f t="shared" si="19"/>
        <v>NG</v>
      </c>
      <c r="EL12" s="146" t="str">
        <f t="shared" si="71"/>
        <v>10</v>
      </c>
      <c r="EM12" s="172" t="str">
        <f t="shared" si="45"/>
        <v>NG</v>
      </c>
      <c r="EN12" s="144" t="s">
        <v>45</v>
      </c>
      <c r="EO12" s="145"/>
      <c r="EP12" s="146" t="str">
        <f t="shared" ref="EP12:EP39" si="83">IF(ER12="-","-",ER12&amp;REPT(IF($R12="N","　",IF($R12="9","0"," ")),$Z12-LENB(ER12)))</f>
        <v>10</v>
      </c>
      <c r="EQ12" s="174" t="str">
        <f t="shared" si="20"/>
        <v>NG</v>
      </c>
      <c r="ER12" s="146" t="str">
        <f t="shared" si="72"/>
        <v>10</v>
      </c>
      <c r="ES12" s="172" t="str">
        <f t="shared" si="46"/>
        <v>NG</v>
      </c>
      <c r="ET12" s="144" t="s">
        <v>45</v>
      </c>
      <c r="EU12" s="145"/>
      <c r="EV12" s="146" t="str">
        <f t="shared" ref="EV12:EV39" si="84">IF(EX12="-","-",EX12&amp;REPT(IF($R12="N","　",IF($R12="9","0"," ")),$Z12-LENB(EX12)))</f>
        <v>10</v>
      </c>
      <c r="EW12" s="174" t="str">
        <f t="shared" si="21"/>
        <v>NG</v>
      </c>
      <c r="EX12" s="146" t="str">
        <f t="shared" si="73"/>
        <v>10</v>
      </c>
      <c r="EY12" s="172" t="str">
        <f t="shared" si="47"/>
        <v>NG</v>
      </c>
      <c r="EZ12" s="144" t="s">
        <v>45</v>
      </c>
      <c r="FA12" s="145"/>
      <c r="FB12" s="146" t="str">
        <f t="shared" ref="FB12:FB39" si="85">IF(FD12="-","-",FD12&amp;REPT(IF($R12="N","　",IF($R12="9","0"," ")),$Z12-LENB(FD12)))</f>
        <v>10</v>
      </c>
      <c r="FC12" s="174" t="str">
        <f t="shared" si="22"/>
        <v>NG</v>
      </c>
      <c r="FD12" s="146" t="str">
        <f t="shared" si="74"/>
        <v>10</v>
      </c>
      <c r="FE12" s="172" t="str">
        <f t="shared" si="48"/>
        <v>NG</v>
      </c>
      <c r="FF12" s="144" t="s">
        <v>45</v>
      </c>
      <c r="FG12" s="145"/>
      <c r="FH12" s="146" t="str">
        <f>IF(FJ12="-","-",FJ12&amp;REPT(IF($R12="N","　",IF($R12="9","0"," ")),$Z12-LENB(FJ12)))</f>
        <v>10</v>
      </c>
      <c r="FI12" s="174" t="str">
        <f t="shared" si="23"/>
        <v>NG</v>
      </c>
      <c r="FJ12" s="146" t="str">
        <f t="shared" si="75"/>
        <v>10</v>
      </c>
      <c r="FK12" s="172" t="str">
        <f t="shared" si="49"/>
        <v>NG</v>
      </c>
      <c r="FL12" s="144" t="s">
        <v>45</v>
      </c>
      <c r="FM12" s="145"/>
      <c r="FN12" s="146" t="str">
        <f>IF(FP12="-","-",FP12&amp;REPT(IF($R12="N","　",IF($R12="9","0"," ")),$Z12-LENB(FP12)))</f>
        <v>10</v>
      </c>
      <c r="FO12" s="174" t="str">
        <f t="shared" si="24"/>
        <v>NG</v>
      </c>
      <c r="FP12" s="146" t="str">
        <f t="shared" si="76"/>
        <v>10</v>
      </c>
      <c r="FQ12" s="172" t="str">
        <f t="shared" si="50"/>
        <v>NG</v>
      </c>
      <c r="FR12" s="144" t="s">
        <v>45</v>
      </c>
      <c r="FS12" s="145"/>
      <c r="FT12" s="146" t="str">
        <f>IF(FV12="-","-",FV12&amp;REPT(IF($R12="N","　",IF($R12="9","0"," ")),$Z12-LENB(FV12)))</f>
        <v>10</v>
      </c>
      <c r="FU12" s="174" t="str">
        <f t="shared" si="25"/>
        <v>NG</v>
      </c>
      <c r="FV12" s="146" t="str">
        <f t="shared" si="77"/>
        <v>10</v>
      </c>
      <c r="FW12" s="172" t="str">
        <f t="shared" si="51"/>
        <v>NG</v>
      </c>
      <c r="FX12" s="144" t="s">
        <v>45</v>
      </c>
      <c r="FY12" s="145"/>
      <c r="FZ12" s="146" t="str">
        <f>IF(GB12="-","-",GB12&amp;REPT(IF($R12="N","　",IF($R12="9","0"," ")),$Z12-LENB(GB12)))</f>
        <v>10</v>
      </c>
      <c r="GA12" s="174" t="str">
        <f t="shared" si="26"/>
        <v>NG</v>
      </c>
      <c r="GB12" s="146" t="str">
        <f t="shared" si="78"/>
        <v>10</v>
      </c>
      <c r="GC12" s="172" t="str">
        <f t="shared" si="52"/>
        <v>NG</v>
      </c>
    </row>
    <row r="13" spans="1:185" s="6" customFormat="1">
      <c r="A13" s="9"/>
      <c r="B13" s="48">
        <v>5</v>
      </c>
      <c r="C13" s="37"/>
      <c r="D13" s="37"/>
      <c r="E13" s="49" t="s">
        <v>46</v>
      </c>
      <c r="F13" s="39"/>
      <c r="G13" s="39"/>
      <c r="H13" s="40"/>
      <c r="I13" s="41"/>
      <c r="J13" s="41" t="s">
        <v>132</v>
      </c>
      <c r="K13" s="42"/>
      <c r="L13" s="42"/>
      <c r="M13" s="43" t="s">
        <v>136</v>
      </c>
      <c r="N13" s="42"/>
      <c r="O13" s="44"/>
      <c r="P13" s="45">
        <v>3</v>
      </c>
      <c r="Q13" s="46">
        <v>14</v>
      </c>
      <c r="R13" s="41" t="s">
        <v>133</v>
      </c>
      <c r="S13" s="43"/>
      <c r="T13" s="43"/>
      <c r="U13" s="41" t="s">
        <v>134</v>
      </c>
      <c r="V13" s="44"/>
      <c r="W13" s="22" t="str">
        <f t="shared" si="0"/>
        <v>2</v>
      </c>
      <c r="X13" s="47" t="s">
        <v>137</v>
      </c>
      <c r="Y13" s="47">
        <v>14</v>
      </c>
      <c r="Z13" s="47">
        <v>14</v>
      </c>
      <c r="AA13" s="42">
        <v>9</v>
      </c>
      <c r="AB13" s="42" t="s">
        <v>134</v>
      </c>
      <c r="AC13" s="143"/>
      <c r="AD13" s="147" t="s">
        <v>289</v>
      </c>
      <c r="AE13" s="148"/>
      <c r="AF13" s="146" t="str">
        <f>IF(AH13="-","-",AH13&amp;REPT(IF($R13="N","　",IF($R13="9","0"," ")),$Z13-LENB(AH13)))</f>
        <v>20170707120000</v>
      </c>
      <c r="AG13" s="174" t="str">
        <f t="shared" si="1"/>
        <v>NG</v>
      </c>
      <c r="AH13" s="146" t="str">
        <f t="shared" si="53"/>
        <v>20170707120000</v>
      </c>
      <c r="AI13" s="172" t="str">
        <f t="shared" si="27"/>
        <v>NG</v>
      </c>
      <c r="AJ13" s="147" t="s">
        <v>289</v>
      </c>
      <c r="AK13" s="148"/>
      <c r="AL13" s="146" t="str">
        <f>IF(AN13="-","-",AN13&amp;REPT(IF($R13="N","　",IF($R13="9","0"," ")),$Z13-LENB(AN13)))</f>
        <v>20170707120000</v>
      </c>
      <c r="AM13" s="174" t="str">
        <f t="shared" si="2"/>
        <v>NG</v>
      </c>
      <c r="AN13" s="146" t="str">
        <f t="shared" si="54"/>
        <v>20170707120000</v>
      </c>
      <c r="AO13" s="172" t="str">
        <f t="shared" si="28"/>
        <v>NG</v>
      </c>
      <c r="AP13" s="147" t="s">
        <v>289</v>
      </c>
      <c r="AQ13" s="148"/>
      <c r="AR13" s="146" t="str">
        <f>IF(AT13="-","-",AT13&amp;REPT(IF($R13="N","　",IF($R13="9","0"," ")),$Z13-LENB(AT13)))</f>
        <v>20170707120000</v>
      </c>
      <c r="AS13" s="174" t="str">
        <f t="shared" si="3"/>
        <v>NG</v>
      </c>
      <c r="AT13" s="146" t="str">
        <f t="shared" si="55"/>
        <v>20170707120000</v>
      </c>
      <c r="AU13" s="172" t="str">
        <f t="shared" si="29"/>
        <v>NG</v>
      </c>
      <c r="AV13" s="147" t="s">
        <v>289</v>
      </c>
      <c r="AW13" s="148"/>
      <c r="AX13" s="146" t="str">
        <f>IF(AZ13="-","-",AZ13&amp;REPT(IF($R13="N","　",IF($R13="9","0"," ")),$Z13-LENB(AZ13)))</f>
        <v>20170707120000</v>
      </c>
      <c r="AY13" s="174" t="str">
        <f t="shared" si="4"/>
        <v>NG</v>
      </c>
      <c r="AZ13" s="146" t="str">
        <f t="shared" si="56"/>
        <v>20170707120000</v>
      </c>
      <c r="BA13" s="172" t="str">
        <f t="shared" si="30"/>
        <v>NG</v>
      </c>
      <c r="BB13" s="147" t="s">
        <v>289</v>
      </c>
      <c r="BC13" s="148"/>
      <c r="BD13" s="146" t="str">
        <f>IF(BF13="-","-",BF13&amp;REPT(IF($R13="N","　",IF($R13="9","0"," ")),$Z13-LENB(BF13)))</f>
        <v>20170707120000</v>
      </c>
      <c r="BE13" s="174" t="str">
        <f t="shared" si="5"/>
        <v>NG</v>
      </c>
      <c r="BF13" s="146" t="str">
        <f t="shared" si="57"/>
        <v>20170707120000</v>
      </c>
      <c r="BG13" s="172" t="str">
        <f t="shared" si="31"/>
        <v>NG</v>
      </c>
      <c r="BH13" s="147" t="s">
        <v>289</v>
      </c>
      <c r="BI13" s="148"/>
      <c r="BJ13" s="146" t="str">
        <f>IF(BL13="-","-",BL13&amp;REPT(IF($R13="N","　",IF($R13="9","0"," ")),$Z13-LENB(BL13)))</f>
        <v>20170707120000</v>
      </c>
      <c r="BK13" s="174" t="str">
        <f t="shared" si="6"/>
        <v>NG</v>
      </c>
      <c r="BL13" s="146" t="str">
        <f t="shared" si="58"/>
        <v>20170707120000</v>
      </c>
      <c r="BM13" s="172" t="str">
        <f t="shared" si="32"/>
        <v>NG</v>
      </c>
      <c r="BN13" s="147" t="s">
        <v>289</v>
      </c>
      <c r="BO13" s="148" t="s">
        <v>464</v>
      </c>
      <c r="BP13" s="146" t="str">
        <f>IF(BR13="-","-",BR13&amp;REPT(IF($R13="N","　",IF($R13="9","0"," ")),$Z13-LENB(BR13)))</f>
        <v>20170707120000</v>
      </c>
      <c r="BQ13" s="174" t="str">
        <f t="shared" si="7"/>
        <v>OK</v>
      </c>
      <c r="BR13" s="146" t="str">
        <f t="shared" si="59"/>
        <v>20170707120000</v>
      </c>
      <c r="BS13" s="172" t="str">
        <f t="shared" si="33"/>
        <v>OK</v>
      </c>
      <c r="BT13" s="147" t="s">
        <v>289</v>
      </c>
      <c r="BU13" s="148" t="s">
        <v>464</v>
      </c>
      <c r="BV13" s="146" t="str">
        <f>IF(BX13="-","-",BX13&amp;REPT(IF($R13="N","　",IF($R13="9","0"," ")),$Z13-LENB(BX13)))</f>
        <v>20170707120000</v>
      </c>
      <c r="BW13" s="174" t="str">
        <f t="shared" si="8"/>
        <v>OK</v>
      </c>
      <c r="BX13" s="146" t="str">
        <f t="shared" si="60"/>
        <v>20170707120000</v>
      </c>
      <c r="BY13" s="172" t="str">
        <f t="shared" si="34"/>
        <v>OK</v>
      </c>
      <c r="BZ13" s="147" t="s">
        <v>289</v>
      </c>
      <c r="CA13" s="148" t="s">
        <v>464</v>
      </c>
      <c r="CB13" s="146" t="str">
        <f>IF(CD13="-","-",CD13&amp;REPT(IF($R13="N","　",IF($R13="9","0"," ")),$Z13-LENB(CD13)))</f>
        <v>20170707120000</v>
      </c>
      <c r="CC13" s="174" t="str">
        <f t="shared" si="9"/>
        <v>OK</v>
      </c>
      <c r="CD13" s="146" t="str">
        <f t="shared" si="61"/>
        <v>20170707120000</v>
      </c>
      <c r="CE13" s="172" t="str">
        <f t="shared" si="35"/>
        <v>OK</v>
      </c>
      <c r="CF13" s="147" t="s">
        <v>289</v>
      </c>
      <c r="CG13" s="148" t="s">
        <v>464</v>
      </c>
      <c r="CH13" s="146" t="str">
        <f>IF(CJ13="-","-",CJ13&amp;REPT(IF($R13="N","　",IF($R13="9","0"," ")),$Z13-LENB(CJ13)))</f>
        <v>20170707120000</v>
      </c>
      <c r="CI13" s="174" t="str">
        <f t="shared" si="10"/>
        <v>OK</v>
      </c>
      <c r="CJ13" s="146" t="str">
        <f t="shared" si="62"/>
        <v>20170707120000</v>
      </c>
      <c r="CK13" s="172" t="str">
        <f t="shared" si="36"/>
        <v>OK</v>
      </c>
      <c r="CL13" s="147" t="s">
        <v>289</v>
      </c>
      <c r="CM13" s="148"/>
      <c r="CN13" s="146" t="str">
        <f>IF(CP13="-","-",CP13&amp;REPT(IF($R13="N","　",IF($R13="9","0"," ")),$Z13-LENB(CP13)))</f>
        <v>20170707120000</v>
      </c>
      <c r="CO13" s="174" t="str">
        <f t="shared" si="11"/>
        <v>NG</v>
      </c>
      <c r="CP13" s="146" t="str">
        <f t="shared" si="63"/>
        <v>20170707120000</v>
      </c>
      <c r="CQ13" s="172" t="str">
        <f t="shared" si="37"/>
        <v>NG</v>
      </c>
      <c r="CR13" s="147" t="s">
        <v>289</v>
      </c>
      <c r="CS13" s="148"/>
      <c r="CT13" s="146" t="str">
        <f>IF(CV13="-","-",CV13&amp;REPT(IF($R13="N","　",IF($R13="9","0"," ")),$Z13-LENB(CV13)))</f>
        <v>20170707120000</v>
      </c>
      <c r="CU13" s="174" t="str">
        <f t="shared" si="12"/>
        <v>NG</v>
      </c>
      <c r="CV13" s="146" t="str">
        <f t="shared" si="64"/>
        <v>20170707120000</v>
      </c>
      <c r="CW13" s="172" t="str">
        <f t="shared" si="38"/>
        <v>NG</v>
      </c>
      <c r="CX13" s="147" t="s">
        <v>289</v>
      </c>
      <c r="CY13" s="148"/>
      <c r="CZ13" s="146" t="str">
        <f>IF(DB13="-","-",DB13&amp;REPT(IF($R13="N","　",IF($R13="9","0"," ")),$Z13-LENB(DB13)))</f>
        <v>20170707120000</v>
      </c>
      <c r="DA13" s="174" t="str">
        <f t="shared" si="13"/>
        <v>NG</v>
      </c>
      <c r="DB13" s="146" t="str">
        <f t="shared" si="65"/>
        <v>20170707120000</v>
      </c>
      <c r="DC13" s="172" t="str">
        <f t="shared" si="39"/>
        <v>NG</v>
      </c>
      <c r="DD13" s="147" t="s">
        <v>289</v>
      </c>
      <c r="DE13" s="148"/>
      <c r="DF13" s="146" t="str">
        <f>IF(DH13="-","-",DH13&amp;REPT(IF($R13="N","　",IF($R13="9","0"," ")),$Z13-LENB(DH13)))</f>
        <v>20170707120000</v>
      </c>
      <c r="DG13" s="174" t="str">
        <f t="shared" si="14"/>
        <v>NG</v>
      </c>
      <c r="DH13" s="146" t="str">
        <f t="shared" si="66"/>
        <v>20170707120000</v>
      </c>
      <c r="DI13" s="172" t="str">
        <f t="shared" si="40"/>
        <v>NG</v>
      </c>
      <c r="DJ13" s="147" t="s">
        <v>289</v>
      </c>
      <c r="DK13" s="148"/>
      <c r="DL13" s="146" t="str">
        <f>IF(DN13="-","-",DN13&amp;REPT(IF($R13="N","　",IF($R13="9","0"," ")),$Z13-LENB(DN13)))</f>
        <v>20170707120000</v>
      </c>
      <c r="DM13" s="174" t="str">
        <f t="shared" si="15"/>
        <v>NG</v>
      </c>
      <c r="DN13" s="146" t="str">
        <f t="shared" si="67"/>
        <v>20170707120000</v>
      </c>
      <c r="DO13" s="172" t="str">
        <f t="shared" si="41"/>
        <v>NG</v>
      </c>
      <c r="DP13" s="147" t="s">
        <v>289</v>
      </c>
      <c r="DQ13" s="148"/>
      <c r="DR13" s="146" t="str">
        <f t="shared" si="79"/>
        <v>20170707120000</v>
      </c>
      <c r="DS13" s="174" t="str">
        <f t="shared" si="16"/>
        <v>NG</v>
      </c>
      <c r="DT13" s="146" t="str">
        <f t="shared" si="68"/>
        <v>20170707120000</v>
      </c>
      <c r="DU13" s="172" t="str">
        <f t="shared" si="42"/>
        <v>NG</v>
      </c>
      <c r="DV13" s="147" t="s">
        <v>289</v>
      </c>
      <c r="DW13" s="148"/>
      <c r="DX13" s="146" t="str">
        <f t="shared" si="80"/>
        <v>20170707120000</v>
      </c>
      <c r="DY13" s="174" t="str">
        <f t="shared" si="17"/>
        <v>NG</v>
      </c>
      <c r="DZ13" s="146" t="str">
        <f t="shared" si="69"/>
        <v>20170707120000</v>
      </c>
      <c r="EA13" s="172" t="str">
        <f t="shared" si="43"/>
        <v>NG</v>
      </c>
      <c r="EB13" s="147" t="s">
        <v>289</v>
      </c>
      <c r="EC13" s="148"/>
      <c r="ED13" s="146" t="str">
        <f t="shared" si="81"/>
        <v>20170707120000</v>
      </c>
      <c r="EE13" s="174" t="str">
        <f t="shared" si="18"/>
        <v>NG</v>
      </c>
      <c r="EF13" s="146" t="str">
        <f t="shared" si="70"/>
        <v>20170707120000</v>
      </c>
      <c r="EG13" s="172" t="str">
        <f t="shared" si="44"/>
        <v>NG</v>
      </c>
      <c r="EH13" s="147" t="s">
        <v>289</v>
      </c>
      <c r="EI13" s="148"/>
      <c r="EJ13" s="146" t="str">
        <f t="shared" si="82"/>
        <v>20170707120000</v>
      </c>
      <c r="EK13" s="174" t="str">
        <f t="shared" si="19"/>
        <v>NG</v>
      </c>
      <c r="EL13" s="146" t="str">
        <f t="shared" si="71"/>
        <v>20170707120000</v>
      </c>
      <c r="EM13" s="172" t="str">
        <f t="shared" si="45"/>
        <v>NG</v>
      </c>
      <c r="EN13" s="147" t="s">
        <v>289</v>
      </c>
      <c r="EO13" s="148"/>
      <c r="EP13" s="146" t="str">
        <f t="shared" si="83"/>
        <v>20170707120000</v>
      </c>
      <c r="EQ13" s="174" t="str">
        <f t="shared" si="20"/>
        <v>NG</v>
      </c>
      <c r="ER13" s="146" t="str">
        <f t="shared" si="72"/>
        <v>20170707120000</v>
      </c>
      <c r="ES13" s="172" t="str">
        <f t="shared" si="46"/>
        <v>NG</v>
      </c>
      <c r="ET13" s="147" t="s">
        <v>289</v>
      </c>
      <c r="EU13" s="148"/>
      <c r="EV13" s="146" t="str">
        <f t="shared" si="84"/>
        <v>20170707120000</v>
      </c>
      <c r="EW13" s="174" t="str">
        <f t="shared" si="21"/>
        <v>NG</v>
      </c>
      <c r="EX13" s="146" t="str">
        <f t="shared" si="73"/>
        <v>20170707120000</v>
      </c>
      <c r="EY13" s="172" t="str">
        <f t="shared" si="47"/>
        <v>NG</v>
      </c>
      <c r="EZ13" s="147" t="s">
        <v>289</v>
      </c>
      <c r="FA13" s="148"/>
      <c r="FB13" s="146" t="str">
        <f t="shared" si="85"/>
        <v>20170707120000</v>
      </c>
      <c r="FC13" s="174" t="str">
        <f t="shared" si="22"/>
        <v>NG</v>
      </c>
      <c r="FD13" s="146" t="str">
        <f t="shared" si="74"/>
        <v>20170707120000</v>
      </c>
      <c r="FE13" s="172" t="str">
        <f t="shared" si="48"/>
        <v>NG</v>
      </c>
      <c r="FF13" s="147" t="s">
        <v>289</v>
      </c>
      <c r="FG13" s="148"/>
      <c r="FH13" s="146" t="str">
        <f>IF(FJ13="-","-",FJ13&amp;REPT(IF($R13="N","　",IF($R13="9","0"," ")),$Z13-LENB(FJ13)))</f>
        <v>20170707120000</v>
      </c>
      <c r="FI13" s="174" t="str">
        <f t="shared" si="23"/>
        <v>NG</v>
      </c>
      <c r="FJ13" s="146" t="str">
        <f t="shared" si="75"/>
        <v>20170707120000</v>
      </c>
      <c r="FK13" s="172" t="str">
        <f t="shared" si="49"/>
        <v>NG</v>
      </c>
      <c r="FL13" s="147" t="s">
        <v>289</v>
      </c>
      <c r="FM13" s="148"/>
      <c r="FN13" s="146" t="str">
        <f>IF(FP13="-","-",FP13&amp;REPT(IF($R13="N","　",IF($R13="9","0"," ")),$Z13-LENB(FP13)))</f>
        <v>20170707120000</v>
      </c>
      <c r="FO13" s="174" t="str">
        <f t="shared" si="24"/>
        <v>NG</v>
      </c>
      <c r="FP13" s="146" t="str">
        <f t="shared" si="76"/>
        <v>20170707120000</v>
      </c>
      <c r="FQ13" s="172" t="str">
        <f t="shared" si="50"/>
        <v>NG</v>
      </c>
      <c r="FR13" s="147" t="s">
        <v>289</v>
      </c>
      <c r="FS13" s="148"/>
      <c r="FT13" s="146" t="str">
        <f>IF(FV13="-","-",FV13&amp;REPT(IF($R13="N","　",IF($R13="9","0"," ")),$Z13-LENB(FV13)))</f>
        <v>20170707120000</v>
      </c>
      <c r="FU13" s="174" t="str">
        <f t="shared" si="25"/>
        <v>NG</v>
      </c>
      <c r="FV13" s="146" t="str">
        <f t="shared" si="77"/>
        <v>20170707120000</v>
      </c>
      <c r="FW13" s="172" t="str">
        <f t="shared" si="51"/>
        <v>NG</v>
      </c>
      <c r="FX13" s="147" t="s">
        <v>289</v>
      </c>
      <c r="FY13" s="148"/>
      <c r="FZ13" s="146" t="str">
        <f>IF(GB13="-","-",GB13&amp;REPT(IF($R13="N","　",IF($R13="9","0"," ")),$Z13-LENB(GB13)))</f>
        <v>20170707120000</v>
      </c>
      <c r="GA13" s="174" t="str">
        <f t="shared" si="26"/>
        <v>NG</v>
      </c>
      <c r="GB13" s="146" t="str">
        <f t="shared" si="78"/>
        <v>20170707120000</v>
      </c>
      <c r="GC13" s="172" t="str">
        <f t="shared" si="52"/>
        <v>NG</v>
      </c>
    </row>
    <row r="14" spans="1:185" s="6" customFormat="1">
      <c r="A14" s="9"/>
      <c r="B14" s="48">
        <v>6</v>
      </c>
      <c r="C14" s="37"/>
      <c r="D14" s="37"/>
      <c r="E14" s="38" t="s">
        <v>7</v>
      </c>
      <c r="F14" s="39"/>
      <c r="G14" s="39"/>
      <c r="H14" s="40"/>
      <c r="I14" s="41"/>
      <c r="J14" s="41" t="s">
        <v>132</v>
      </c>
      <c r="K14" s="42"/>
      <c r="L14" s="42"/>
      <c r="M14" s="43"/>
      <c r="N14" s="42"/>
      <c r="O14" s="44"/>
      <c r="P14" s="45"/>
      <c r="Q14" s="46"/>
      <c r="R14" s="41"/>
      <c r="S14" s="43"/>
      <c r="T14" s="43"/>
      <c r="U14" s="41"/>
      <c r="V14" s="44"/>
      <c r="W14" s="22" t="str">
        <f t="shared" si="0"/>
        <v>2</v>
      </c>
      <c r="X14" s="47" t="s">
        <v>138</v>
      </c>
      <c r="Y14" s="47"/>
      <c r="Z14" s="47"/>
      <c r="AA14" s="42"/>
      <c r="AB14" s="42" t="s">
        <v>134</v>
      </c>
      <c r="AC14" s="143"/>
      <c r="AD14" s="144"/>
      <c r="AE14" s="142"/>
      <c r="AF14" s="146" t="str">
        <f t="shared" ref="AF14:AF40" si="86">IF(AH14="-","-",AH14&amp;REPT(IF($R14="N","　",IF($R14="9","0"," ")),$Z14-LENB(AH14)))</f>
        <v/>
      </c>
      <c r="AG14" s="174" t="str">
        <f t="shared" si="1"/>
        <v>OK</v>
      </c>
      <c r="AH14" s="146" t="str">
        <f t="shared" si="53"/>
        <v/>
      </c>
      <c r="AI14" s="172" t="str">
        <f t="shared" si="27"/>
        <v>OK</v>
      </c>
      <c r="AJ14" s="144"/>
      <c r="AK14" s="142"/>
      <c r="AL14" s="146" t="str">
        <f t="shared" ref="AL14:AL22" si="87">IF(AN14="-","-",AN14&amp;REPT(IF($R14="N","　",IF($R14="9","0"," ")),$Z14-LENB(AN14)))</f>
        <v/>
      </c>
      <c r="AM14" s="174" t="str">
        <f t="shared" si="2"/>
        <v>OK</v>
      </c>
      <c r="AN14" s="146" t="str">
        <f t="shared" si="54"/>
        <v/>
      </c>
      <c r="AO14" s="172" t="str">
        <f t="shared" si="28"/>
        <v>OK</v>
      </c>
      <c r="AP14" s="144"/>
      <c r="AQ14" s="142"/>
      <c r="AR14" s="146" t="str">
        <f t="shared" ref="AR14:AR22" si="88">IF(AT14="-","-",AT14&amp;REPT(IF($R14="N","　",IF($R14="9","0"," ")),$Z14-LENB(AT14)))</f>
        <v/>
      </c>
      <c r="AS14" s="174" t="str">
        <f t="shared" si="3"/>
        <v>OK</v>
      </c>
      <c r="AT14" s="146" t="str">
        <f t="shared" si="55"/>
        <v/>
      </c>
      <c r="AU14" s="172" t="str">
        <f t="shared" si="29"/>
        <v>OK</v>
      </c>
      <c r="AV14" s="144"/>
      <c r="AW14" s="142"/>
      <c r="AX14" s="146" t="str">
        <f t="shared" ref="AX14:AX22" si="89">IF(AZ14="-","-",AZ14&amp;REPT(IF($R14="N","　",IF($R14="9","0"," ")),$Z14-LENB(AZ14)))</f>
        <v/>
      </c>
      <c r="AY14" s="174" t="str">
        <f t="shared" si="4"/>
        <v>OK</v>
      </c>
      <c r="AZ14" s="146" t="str">
        <f t="shared" si="56"/>
        <v/>
      </c>
      <c r="BA14" s="172" t="str">
        <f t="shared" si="30"/>
        <v>OK</v>
      </c>
      <c r="BB14" s="144"/>
      <c r="BC14" s="142"/>
      <c r="BD14" s="146" t="str">
        <f t="shared" ref="BD14:BD22" si="90">IF(BF14="-","-",BF14&amp;REPT(IF($R14="N","　",IF($R14="9","0"," ")),$Z14-LENB(BF14)))</f>
        <v/>
      </c>
      <c r="BE14" s="174" t="str">
        <f t="shared" si="5"/>
        <v>OK</v>
      </c>
      <c r="BF14" s="146" t="str">
        <f t="shared" si="57"/>
        <v/>
      </c>
      <c r="BG14" s="172" t="str">
        <f t="shared" si="31"/>
        <v>OK</v>
      </c>
      <c r="BH14" s="144"/>
      <c r="BI14" s="142"/>
      <c r="BJ14" s="146" t="str">
        <f t="shared" ref="BJ14:BJ77" si="91">IF(BL14="-","-",BL14&amp;REPT(IF($R14="N","　",IF($R14="9","0"," ")),$Z14-LENB(BL14)))</f>
        <v/>
      </c>
      <c r="BK14" s="174" t="str">
        <f t="shared" si="6"/>
        <v>OK</v>
      </c>
      <c r="BL14" s="146" t="str">
        <f t="shared" si="58"/>
        <v/>
      </c>
      <c r="BM14" s="172" t="str">
        <f t="shared" si="32"/>
        <v>OK</v>
      </c>
      <c r="BN14" s="144"/>
      <c r="BO14" s="142"/>
      <c r="BP14" s="146" t="str">
        <f t="shared" ref="BP14:BP77" si="92">IF(BR14="-","-",BR14&amp;REPT(IF($R14="N","　",IF($R14="9","0"," ")),$Z14-LENB(BR14)))</f>
        <v/>
      </c>
      <c r="BQ14" s="174" t="str">
        <f t="shared" si="7"/>
        <v>OK</v>
      </c>
      <c r="BR14" s="146" t="str">
        <f t="shared" si="59"/>
        <v/>
      </c>
      <c r="BS14" s="172" t="str">
        <f t="shared" si="33"/>
        <v>OK</v>
      </c>
      <c r="BT14" s="144"/>
      <c r="BU14" s="142"/>
      <c r="BV14" s="146" t="str">
        <f t="shared" ref="BV14:BV77" si="93">IF(BX14="-","-",BX14&amp;REPT(IF($R14="N","　",IF($R14="9","0"," ")),$Z14-LENB(BX14)))</f>
        <v/>
      </c>
      <c r="BW14" s="174" t="str">
        <f t="shared" si="8"/>
        <v>OK</v>
      </c>
      <c r="BX14" s="146" t="str">
        <f t="shared" si="60"/>
        <v/>
      </c>
      <c r="BY14" s="172" t="str">
        <f t="shared" si="34"/>
        <v>OK</v>
      </c>
      <c r="BZ14" s="144"/>
      <c r="CA14" s="142"/>
      <c r="CB14" s="146" t="str">
        <f t="shared" ref="CB14:CB77" si="94">IF(CD14="-","-",CD14&amp;REPT(IF($R14="N","　",IF($R14="9","0"," ")),$Z14-LENB(CD14)))</f>
        <v/>
      </c>
      <c r="CC14" s="174" t="str">
        <f t="shared" si="9"/>
        <v>OK</v>
      </c>
      <c r="CD14" s="146" t="str">
        <f t="shared" si="61"/>
        <v/>
      </c>
      <c r="CE14" s="172" t="str">
        <f t="shared" si="35"/>
        <v>OK</v>
      </c>
      <c r="CF14" s="144"/>
      <c r="CG14" s="142"/>
      <c r="CH14" s="146" t="str">
        <f t="shared" ref="CH14:CH77" si="95">IF(CJ14="-","-",CJ14&amp;REPT(IF($R14="N","　",IF($R14="9","0"," ")),$Z14-LENB(CJ14)))</f>
        <v/>
      </c>
      <c r="CI14" s="174" t="str">
        <f t="shared" si="10"/>
        <v>OK</v>
      </c>
      <c r="CJ14" s="146" t="str">
        <f t="shared" si="62"/>
        <v/>
      </c>
      <c r="CK14" s="172" t="str">
        <f t="shared" si="36"/>
        <v>OK</v>
      </c>
      <c r="CL14" s="144"/>
      <c r="CM14" s="142"/>
      <c r="CN14" s="146" t="str">
        <f t="shared" ref="CN14:CN77" si="96">IF(CP14="-","-",CP14&amp;REPT(IF($R14="N","　",IF($R14="9","0"," ")),$Z14-LENB(CP14)))</f>
        <v/>
      </c>
      <c r="CO14" s="174" t="str">
        <f t="shared" si="11"/>
        <v>OK</v>
      </c>
      <c r="CP14" s="146" t="str">
        <f t="shared" si="63"/>
        <v/>
      </c>
      <c r="CQ14" s="172" t="str">
        <f t="shared" si="37"/>
        <v>OK</v>
      </c>
      <c r="CR14" s="144"/>
      <c r="CS14" s="142"/>
      <c r="CT14" s="146" t="str">
        <f t="shared" ref="CT14:CT77" si="97">IF(CV14="-","-",CV14&amp;REPT(IF($R14="N","　",IF($R14="9","0"," ")),$Z14-LENB(CV14)))</f>
        <v/>
      </c>
      <c r="CU14" s="174" t="str">
        <f t="shared" si="12"/>
        <v>OK</v>
      </c>
      <c r="CV14" s="146" t="str">
        <f t="shared" si="64"/>
        <v/>
      </c>
      <c r="CW14" s="172" t="str">
        <f t="shared" si="38"/>
        <v>OK</v>
      </c>
      <c r="CX14" s="144"/>
      <c r="CY14" s="142"/>
      <c r="CZ14" s="146" t="str">
        <f t="shared" ref="CZ14:CZ77" si="98">IF(DB14="-","-",DB14&amp;REPT(IF($R14="N","　",IF($R14="9","0"," ")),$Z14-LENB(DB14)))</f>
        <v/>
      </c>
      <c r="DA14" s="174" t="str">
        <f t="shared" si="13"/>
        <v>OK</v>
      </c>
      <c r="DB14" s="146" t="str">
        <f t="shared" si="65"/>
        <v/>
      </c>
      <c r="DC14" s="172" t="str">
        <f t="shared" si="39"/>
        <v>OK</v>
      </c>
      <c r="DD14" s="144"/>
      <c r="DE14" s="142"/>
      <c r="DF14" s="146" t="str">
        <f t="shared" ref="DF14:DF77" si="99">IF(DH14="-","-",DH14&amp;REPT(IF($R14="N","　",IF($R14="9","0"," ")),$Z14-LENB(DH14)))</f>
        <v/>
      </c>
      <c r="DG14" s="174" t="str">
        <f t="shared" si="14"/>
        <v>OK</v>
      </c>
      <c r="DH14" s="146" t="str">
        <f t="shared" si="66"/>
        <v/>
      </c>
      <c r="DI14" s="172" t="str">
        <f t="shared" si="40"/>
        <v>OK</v>
      </c>
      <c r="DJ14" s="144"/>
      <c r="DK14" s="142"/>
      <c r="DL14" s="146" t="str">
        <f t="shared" ref="DL14:DL77" si="100">IF(DN14="-","-",DN14&amp;REPT(IF($R14="N","　",IF($R14="9","0"," ")),$Z14-LENB(DN14)))</f>
        <v/>
      </c>
      <c r="DM14" s="174" t="str">
        <f t="shared" si="15"/>
        <v>OK</v>
      </c>
      <c r="DN14" s="146" t="str">
        <f t="shared" si="67"/>
        <v/>
      </c>
      <c r="DO14" s="172" t="str">
        <f t="shared" si="41"/>
        <v>OK</v>
      </c>
      <c r="DP14" s="144"/>
      <c r="DQ14" s="142"/>
      <c r="DR14" s="146" t="str">
        <f t="shared" si="79"/>
        <v/>
      </c>
      <c r="DS14" s="174" t="str">
        <f t="shared" si="16"/>
        <v>OK</v>
      </c>
      <c r="DT14" s="146" t="str">
        <f t="shared" si="68"/>
        <v/>
      </c>
      <c r="DU14" s="172" t="str">
        <f t="shared" si="42"/>
        <v>OK</v>
      </c>
      <c r="DV14" s="144"/>
      <c r="DW14" s="142"/>
      <c r="DX14" s="146" t="str">
        <f t="shared" si="80"/>
        <v/>
      </c>
      <c r="DY14" s="174" t="str">
        <f t="shared" si="17"/>
        <v>OK</v>
      </c>
      <c r="DZ14" s="146" t="str">
        <f t="shared" si="69"/>
        <v/>
      </c>
      <c r="EA14" s="172" t="str">
        <f t="shared" si="43"/>
        <v>OK</v>
      </c>
      <c r="EB14" s="144"/>
      <c r="EC14" s="142"/>
      <c r="ED14" s="146" t="str">
        <f t="shared" si="81"/>
        <v/>
      </c>
      <c r="EE14" s="174" t="str">
        <f t="shared" si="18"/>
        <v>OK</v>
      </c>
      <c r="EF14" s="146" t="str">
        <f t="shared" si="70"/>
        <v/>
      </c>
      <c r="EG14" s="172" t="str">
        <f t="shared" si="44"/>
        <v>OK</v>
      </c>
      <c r="EH14" s="144"/>
      <c r="EI14" s="142"/>
      <c r="EJ14" s="146" t="str">
        <f t="shared" si="82"/>
        <v/>
      </c>
      <c r="EK14" s="174" t="str">
        <f t="shared" si="19"/>
        <v>OK</v>
      </c>
      <c r="EL14" s="146" t="str">
        <f t="shared" si="71"/>
        <v/>
      </c>
      <c r="EM14" s="172" t="str">
        <f t="shared" si="45"/>
        <v>OK</v>
      </c>
      <c r="EN14" s="144"/>
      <c r="EO14" s="142"/>
      <c r="EP14" s="146" t="str">
        <f t="shared" si="83"/>
        <v/>
      </c>
      <c r="EQ14" s="174" t="str">
        <f t="shared" si="20"/>
        <v>OK</v>
      </c>
      <c r="ER14" s="146" t="str">
        <f t="shared" si="72"/>
        <v/>
      </c>
      <c r="ES14" s="172" t="str">
        <f t="shared" si="46"/>
        <v>OK</v>
      </c>
      <c r="ET14" s="144"/>
      <c r="EU14" s="142"/>
      <c r="EV14" s="146" t="str">
        <f t="shared" si="84"/>
        <v/>
      </c>
      <c r="EW14" s="174" t="str">
        <f t="shared" si="21"/>
        <v>OK</v>
      </c>
      <c r="EX14" s="146" t="str">
        <f t="shared" si="73"/>
        <v/>
      </c>
      <c r="EY14" s="172" t="str">
        <f t="shared" si="47"/>
        <v>OK</v>
      </c>
      <c r="EZ14" s="144"/>
      <c r="FA14" s="142"/>
      <c r="FB14" s="146" t="str">
        <f t="shared" si="85"/>
        <v/>
      </c>
      <c r="FC14" s="174" t="str">
        <f t="shared" si="22"/>
        <v>OK</v>
      </c>
      <c r="FD14" s="146" t="str">
        <f t="shared" si="74"/>
        <v/>
      </c>
      <c r="FE14" s="172" t="str">
        <f t="shared" si="48"/>
        <v>OK</v>
      </c>
      <c r="FF14" s="144"/>
      <c r="FG14" s="142"/>
      <c r="FH14" s="146" t="str">
        <f t="shared" ref="FH14:FH66" si="101">IF(FJ14="-","-",FJ14&amp;REPT(IF($R14="N","　",IF($R14="9","0"," ")),$Z14-LENB(FJ14)))</f>
        <v/>
      </c>
      <c r="FI14" s="174" t="str">
        <f t="shared" si="23"/>
        <v>OK</v>
      </c>
      <c r="FJ14" s="146" t="str">
        <f t="shared" si="75"/>
        <v/>
      </c>
      <c r="FK14" s="172" t="str">
        <f t="shared" si="49"/>
        <v>OK</v>
      </c>
      <c r="FL14" s="144"/>
      <c r="FM14" s="142"/>
      <c r="FN14" s="146" t="str">
        <f t="shared" ref="FN14:FN77" si="102">IF(FP14="-","-",FP14&amp;REPT(IF($R14="N","　",IF($R14="9","0"," ")),$Z14-LENB(FP14)))</f>
        <v/>
      </c>
      <c r="FO14" s="174" t="str">
        <f t="shared" si="24"/>
        <v>OK</v>
      </c>
      <c r="FP14" s="146" t="str">
        <f t="shared" si="76"/>
        <v/>
      </c>
      <c r="FQ14" s="172" t="str">
        <f t="shared" si="50"/>
        <v>OK</v>
      </c>
      <c r="FR14" s="144"/>
      <c r="FS14" s="142"/>
      <c r="FT14" s="146" t="str">
        <f t="shared" ref="FT14:FT77" si="103">IF(FV14="-","-",FV14&amp;REPT(IF($R14="N","　",IF($R14="9","0"," ")),$Z14-LENB(FV14)))</f>
        <v/>
      </c>
      <c r="FU14" s="174" t="str">
        <f t="shared" si="25"/>
        <v>OK</v>
      </c>
      <c r="FV14" s="146" t="str">
        <f t="shared" si="77"/>
        <v/>
      </c>
      <c r="FW14" s="172" t="str">
        <f t="shared" si="51"/>
        <v>OK</v>
      </c>
      <c r="FX14" s="144"/>
      <c r="FY14" s="142"/>
      <c r="FZ14" s="146" t="str">
        <f t="shared" ref="FZ14:FZ77" si="104">IF(GB14="-","-",GB14&amp;REPT(IF($R14="N","　",IF($R14="9","0"," ")),$Z14-LENB(GB14)))</f>
        <v/>
      </c>
      <c r="GA14" s="174" t="str">
        <f t="shared" si="26"/>
        <v>OK</v>
      </c>
      <c r="GB14" s="146" t="str">
        <f t="shared" si="78"/>
        <v/>
      </c>
      <c r="GC14" s="172" t="str">
        <f t="shared" si="52"/>
        <v>OK</v>
      </c>
    </row>
    <row r="15" spans="1:185" s="6" customFormat="1">
      <c r="A15" s="9"/>
      <c r="B15" s="48">
        <v>7</v>
      </c>
      <c r="C15" s="37"/>
      <c r="D15" s="37"/>
      <c r="E15" s="37"/>
      <c r="F15" s="49" t="s">
        <v>47</v>
      </c>
      <c r="G15" s="49"/>
      <c r="H15" s="40"/>
      <c r="I15" s="41"/>
      <c r="J15" s="41" t="s">
        <v>132</v>
      </c>
      <c r="K15" s="42"/>
      <c r="L15" s="42"/>
      <c r="M15" s="51" t="s">
        <v>48</v>
      </c>
      <c r="N15" s="47"/>
      <c r="O15" s="44"/>
      <c r="P15" s="45">
        <v>4</v>
      </c>
      <c r="Q15" s="46">
        <v>4</v>
      </c>
      <c r="R15" s="41" t="s">
        <v>133</v>
      </c>
      <c r="S15" s="43"/>
      <c r="T15" s="43"/>
      <c r="U15" s="41" t="s">
        <v>134</v>
      </c>
      <c r="V15" s="44"/>
      <c r="W15" s="22" t="str">
        <f t="shared" si="0"/>
        <v>3</v>
      </c>
      <c r="X15" s="47" t="s">
        <v>139</v>
      </c>
      <c r="Y15" s="47">
        <v>1</v>
      </c>
      <c r="Z15" s="47">
        <v>4</v>
      </c>
      <c r="AA15" s="42" t="s">
        <v>133</v>
      </c>
      <c r="AB15" s="42" t="s">
        <v>134</v>
      </c>
      <c r="AC15" s="143"/>
      <c r="AD15" s="144" t="s">
        <v>140</v>
      </c>
      <c r="AE15" s="145"/>
      <c r="AF15" s="146" t="str">
        <f t="shared" si="86"/>
        <v xml:space="preserve">FMC </v>
      </c>
      <c r="AG15" s="174" t="str">
        <f t="shared" si="1"/>
        <v>NG</v>
      </c>
      <c r="AH15" s="146" t="str">
        <f t="shared" si="53"/>
        <v>FMC</v>
      </c>
      <c r="AI15" s="172" t="str">
        <f t="shared" si="27"/>
        <v>NG</v>
      </c>
      <c r="AJ15" s="144" t="s">
        <v>140</v>
      </c>
      <c r="AK15" s="145"/>
      <c r="AL15" s="146" t="str">
        <f t="shared" si="87"/>
        <v xml:space="preserve">FMC </v>
      </c>
      <c r="AM15" s="174" t="str">
        <f t="shared" si="2"/>
        <v>NG</v>
      </c>
      <c r="AN15" s="146" t="str">
        <f t="shared" si="54"/>
        <v>FMC</v>
      </c>
      <c r="AO15" s="172" t="str">
        <f t="shared" si="28"/>
        <v>NG</v>
      </c>
      <c r="AP15" s="144" t="s">
        <v>140</v>
      </c>
      <c r="AQ15" s="145"/>
      <c r="AR15" s="146" t="str">
        <f t="shared" si="88"/>
        <v xml:space="preserve">FMC </v>
      </c>
      <c r="AS15" s="174" t="str">
        <f t="shared" si="3"/>
        <v>NG</v>
      </c>
      <c r="AT15" s="146" t="str">
        <f t="shared" si="55"/>
        <v>FMC</v>
      </c>
      <c r="AU15" s="172" t="str">
        <f t="shared" si="29"/>
        <v>NG</v>
      </c>
      <c r="AV15" s="144" t="s">
        <v>140</v>
      </c>
      <c r="AW15" s="145"/>
      <c r="AX15" s="146" t="str">
        <f t="shared" si="89"/>
        <v xml:space="preserve">FMC </v>
      </c>
      <c r="AY15" s="174" t="str">
        <f t="shared" si="4"/>
        <v>NG</v>
      </c>
      <c r="AZ15" s="146" t="str">
        <f t="shared" si="56"/>
        <v>FMC</v>
      </c>
      <c r="BA15" s="172" t="str">
        <f t="shared" si="30"/>
        <v>NG</v>
      </c>
      <c r="BB15" s="144" t="s">
        <v>140</v>
      </c>
      <c r="BC15" s="145"/>
      <c r="BD15" s="146" t="str">
        <f t="shared" si="90"/>
        <v xml:space="preserve">FMC </v>
      </c>
      <c r="BE15" s="174" t="str">
        <f t="shared" si="5"/>
        <v>NG</v>
      </c>
      <c r="BF15" s="146" t="str">
        <f t="shared" si="57"/>
        <v>FMC</v>
      </c>
      <c r="BG15" s="172" t="str">
        <f t="shared" si="31"/>
        <v>NG</v>
      </c>
      <c r="BH15" s="144" t="s">
        <v>140</v>
      </c>
      <c r="BI15" s="145"/>
      <c r="BJ15" s="146" t="str">
        <f t="shared" si="91"/>
        <v xml:space="preserve">FMC </v>
      </c>
      <c r="BK15" s="174" t="str">
        <f t="shared" si="6"/>
        <v>NG</v>
      </c>
      <c r="BL15" s="146" t="str">
        <f t="shared" si="58"/>
        <v>FMC</v>
      </c>
      <c r="BM15" s="172" t="str">
        <f t="shared" si="32"/>
        <v>NG</v>
      </c>
      <c r="BN15" s="144" t="s">
        <v>140</v>
      </c>
      <c r="BO15" s="145" t="s">
        <v>465</v>
      </c>
      <c r="BP15" s="146" t="str">
        <f t="shared" si="92"/>
        <v xml:space="preserve">FMC </v>
      </c>
      <c r="BQ15" s="174" t="str">
        <f t="shared" si="7"/>
        <v>NG</v>
      </c>
      <c r="BR15" s="146" t="str">
        <f t="shared" si="59"/>
        <v>FMC</v>
      </c>
      <c r="BS15" s="172" t="str">
        <f t="shared" si="33"/>
        <v>OK</v>
      </c>
      <c r="BT15" s="144" t="s">
        <v>140</v>
      </c>
      <c r="BU15" s="145" t="s">
        <v>465</v>
      </c>
      <c r="BV15" s="146" t="str">
        <f t="shared" si="93"/>
        <v xml:space="preserve">FMC </v>
      </c>
      <c r="BW15" s="174" t="str">
        <f t="shared" si="8"/>
        <v>NG</v>
      </c>
      <c r="BX15" s="146" t="str">
        <f t="shared" si="60"/>
        <v>FMC</v>
      </c>
      <c r="BY15" s="172" t="str">
        <f t="shared" si="34"/>
        <v>OK</v>
      </c>
      <c r="BZ15" s="144" t="s">
        <v>140</v>
      </c>
      <c r="CA15" s="145" t="s">
        <v>465</v>
      </c>
      <c r="CB15" s="146" t="str">
        <f t="shared" si="94"/>
        <v xml:space="preserve">FMC </v>
      </c>
      <c r="CC15" s="174" t="str">
        <f t="shared" si="9"/>
        <v>NG</v>
      </c>
      <c r="CD15" s="146" t="str">
        <f t="shared" si="61"/>
        <v>FMC</v>
      </c>
      <c r="CE15" s="172" t="str">
        <f t="shared" si="35"/>
        <v>OK</v>
      </c>
      <c r="CF15" s="144" t="s">
        <v>140</v>
      </c>
      <c r="CG15" s="145" t="s">
        <v>465</v>
      </c>
      <c r="CH15" s="146" t="str">
        <f t="shared" si="95"/>
        <v xml:space="preserve">FMC </v>
      </c>
      <c r="CI15" s="174" t="str">
        <f t="shared" si="10"/>
        <v>NG</v>
      </c>
      <c r="CJ15" s="146" t="str">
        <f t="shared" si="62"/>
        <v>FMC</v>
      </c>
      <c r="CK15" s="172" t="str">
        <f t="shared" si="36"/>
        <v>OK</v>
      </c>
      <c r="CL15" s="144" t="s">
        <v>140</v>
      </c>
      <c r="CM15" s="145"/>
      <c r="CN15" s="146" t="str">
        <f t="shared" si="96"/>
        <v xml:space="preserve">FMC </v>
      </c>
      <c r="CO15" s="174" t="str">
        <f t="shared" si="11"/>
        <v>NG</v>
      </c>
      <c r="CP15" s="146" t="str">
        <f t="shared" si="63"/>
        <v>FMC</v>
      </c>
      <c r="CQ15" s="172" t="str">
        <f t="shared" si="37"/>
        <v>NG</v>
      </c>
      <c r="CR15" s="144" t="s">
        <v>140</v>
      </c>
      <c r="CS15" s="145"/>
      <c r="CT15" s="146" t="str">
        <f t="shared" si="97"/>
        <v xml:space="preserve">FMC </v>
      </c>
      <c r="CU15" s="174" t="str">
        <f t="shared" si="12"/>
        <v>NG</v>
      </c>
      <c r="CV15" s="146" t="str">
        <f t="shared" si="64"/>
        <v>FMC</v>
      </c>
      <c r="CW15" s="172" t="str">
        <f t="shared" si="38"/>
        <v>NG</v>
      </c>
      <c r="CX15" s="144" t="s">
        <v>140</v>
      </c>
      <c r="CY15" s="145"/>
      <c r="CZ15" s="146" t="str">
        <f t="shared" si="98"/>
        <v xml:space="preserve">FMC </v>
      </c>
      <c r="DA15" s="174" t="str">
        <f t="shared" si="13"/>
        <v>NG</v>
      </c>
      <c r="DB15" s="146" t="str">
        <f t="shared" si="65"/>
        <v>FMC</v>
      </c>
      <c r="DC15" s="172" t="str">
        <f t="shared" si="39"/>
        <v>NG</v>
      </c>
      <c r="DD15" s="144" t="s">
        <v>140</v>
      </c>
      <c r="DE15" s="145"/>
      <c r="DF15" s="146" t="str">
        <f t="shared" si="99"/>
        <v xml:space="preserve">FMC </v>
      </c>
      <c r="DG15" s="174" t="str">
        <f t="shared" si="14"/>
        <v>NG</v>
      </c>
      <c r="DH15" s="146" t="str">
        <f t="shared" si="66"/>
        <v>FMC</v>
      </c>
      <c r="DI15" s="172" t="str">
        <f t="shared" si="40"/>
        <v>NG</v>
      </c>
      <c r="DJ15" s="144" t="s">
        <v>140</v>
      </c>
      <c r="DK15" s="145"/>
      <c r="DL15" s="146" t="str">
        <f t="shared" si="100"/>
        <v xml:space="preserve">FMC </v>
      </c>
      <c r="DM15" s="174" t="str">
        <f t="shared" si="15"/>
        <v>NG</v>
      </c>
      <c r="DN15" s="146" t="str">
        <f t="shared" si="67"/>
        <v>FMC</v>
      </c>
      <c r="DO15" s="172" t="str">
        <f t="shared" si="41"/>
        <v>NG</v>
      </c>
      <c r="DP15" s="144" t="s">
        <v>140</v>
      </c>
      <c r="DQ15" s="145"/>
      <c r="DR15" s="146" t="str">
        <f t="shared" si="79"/>
        <v xml:space="preserve">FMC </v>
      </c>
      <c r="DS15" s="174" t="str">
        <f t="shared" si="16"/>
        <v>NG</v>
      </c>
      <c r="DT15" s="146" t="str">
        <f t="shared" si="68"/>
        <v>FMC</v>
      </c>
      <c r="DU15" s="172" t="str">
        <f t="shared" si="42"/>
        <v>NG</v>
      </c>
      <c r="DV15" s="144" t="s">
        <v>140</v>
      </c>
      <c r="DW15" s="145"/>
      <c r="DX15" s="146" t="str">
        <f t="shared" si="80"/>
        <v xml:space="preserve">FMC </v>
      </c>
      <c r="DY15" s="174" t="str">
        <f t="shared" si="17"/>
        <v>NG</v>
      </c>
      <c r="DZ15" s="146" t="str">
        <f t="shared" si="69"/>
        <v>FMC</v>
      </c>
      <c r="EA15" s="172" t="str">
        <f t="shared" si="43"/>
        <v>NG</v>
      </c>
      <c r="EB15" s="144" t="s">
        <v>140</v>
      </c>
      <c r="EC15" s="145"/>
      <c r="ED15" s="146" t="str">
        <f t="shared" si="81"/>
        <v xml:space="preserve">FMC </v>
      </c>
      <c r="EE15" s="174" t="str">
        <f t="shared" si="18"/>
        <v>NG</v>
      </c>
      <c r="EF15" s="146" t="str">
        <f t="shared" si="70"/>
        <v>FMC</v>
      </c>
      <c r="EG15" s="172" t="str">
        <f t="shared" si="44"/>
        <v>NG</v>
      </c>
      <c r="EH15" s="144" t="s">
        <v>140</v>
      </c>
      <c r="EI15" s="145"/>
      <c r="EJ15" s="146" t="str">
        <f t="shared" si="82"/>
        <v xml:space="preserve">FMC </v>
      </c>
      <c r="EK15" s="174" t="str">
        <f t="shared" si="19"/>
        <v>NG</v>
      </c>
      <c r="EL15" s="146" t="str">
        <f t="shared" si="71"/>
        <v>FMC</v>
      </c>
      <c r="EM15" s="172" t="str">
        <f t="shared" si="45"/>
        <v>NG</v>
      </c>
      <c r="EN15" s="144" t="s">
        <v>140</v>
      </c>
      <c r="EO15" s="145"/>
      <c r="EP15" s="146" t="str">
        <f t="shared" si="83"/>
        <v xml:space="preserve">FMC </v>
      </c>
      <c r="EQ15" s="174" t="str">
        <f t="shared" si="20"/>
        <v>NG</v>
      </c>
      <c r="ER15" s="146" t="str">
        <f t="shared" si="72"/>
        <v>FMC</v>
      </c>
      <c r="ES15" s="172" t="str">
        <f t="shared" si="46"/>
        <v>NG</v>
      </c>
      <c r="ET15" s="144" t="s">
        <v>140</v>
      </c>
      <c r="EU15" s="145"/>
      <c r="EV15" s="146" t="str">
        <f t="shared" si="84"/>
        <v xml:space="preserve">FMC </v>
      </c>
      <c r="EW15" s="174" t="str">
        <f t="shared" si="21"/>
        <v>NG</v>
      </c>
      <c r="EX15" s="146" t="str">
        <f t="shared" si="73"/>
        <v>FMC</v>
      </c>
      <c r="EY15" s="172" t="str">
        <f t="shared" si="47"/>
        <v>NG</v>
      </c>
      <c r="EZ15" s="144" t="s">
        <v>140</v>
      </c>
      <c r="FA15" s="145"/>
      <c r="FB15" s="146" t="str">
        <f t="shared" si="85"/>
        <v xml:space="preserve">FMC </v>
      </c>
      <c r="FC15" s="174" t="str">
        <f t="shared" si="22"/>
        <v>NG</v>
      </c>
      <c r="FD15" s="146" t="str">
        <f t="shared" si="74"/>
        <v>FMC</v>
      </c>
      <c r="FE15" s="172" t="str">
        <f t="shared" si="48"/>
        <v>NG</v>
      </c>
      <c r="FF15" s="144" t="s">
        <v>140</v>
      </c>
      <c r="FG15" s="145"/>
      <c r="FH15" s="146" t="str">
        <f t="shared" si="101"/>
        <v xml:space="preserve">FMC </v>
      </c>
      <c r="FI15" s="174" t="str">
        <f t="shared" si="23"/>
        <v>NG</v>
      </c>
      <c r="FJ15" s="146" t="str">
        <f t="shared" si="75"/>
        <v>FMC</v>
      </c>
      <c r="FK15" s="172" t="str">
        <f t="shared" si="49"/>
        <v>NG</v>
      </c>
      <c r="FL15" s="144" t="s">
        <v>140</v>
      </c>
      <c r="FM15" s="145"/>
      <c r="FN15" s="146" t="str">
        <f t="shared" si="102"/>
        <v xml:space="preserve">FMC </v>
      </c>
      <c r="FO15" s="174" t="str">
        <f t="shared" si="24"/>
        <v>NG</v>
      </c>
      <c r="FP15" s="146" t="str">
        <f t="shared" si="76"/>
        <v>FMC</v>
      </c>
      <c r="FQ15" s="172" t="str">
        <f t="shared" si="50"/>
        <v>NG</v>
      </c>
      <c r="FR15" s="144" t="s">
        <v>140</v>
      </c>
      <c r="FS15" s="145"/>
      <c r="FT15" s="146" t="str">
        <f t="shared" si="103"/>
        <v xml:space="preserve">FMC </v>
      </c>
      <c r="FU15" s="174" t="str">
        <f t="shared" si="25"/>
        <v>NG</v>
      </c>
      <c r="FV15" s="146" t="str">
        <f t="shared" si="77"/>
        <v>FMC</v>
      </c>
      <c r="FW15" s="172" t="str">
        <f t="shared" si="51"/>
        <v>NG</v>
      </c>
      <c r="FX15" s="144" t="s">
        <v>140</v>
      </c>
      <c r="FY15" s="145"/>
      <c r="FZ15" s="146" t="str">
        <f t="shared" si="104"/>
        <v xml:space="preserve">FMC </v>
      </c>
      <c r="GA15" s="174" t="str">
        <f t="shared" si="26"/>
        <v>NG</v>
      </c>
      <c r="GB15" s="146" t="str">
        <f t="shared" si="78"/>
        <v>FMC</v>
      </c>
      <c r="GC15" s="172" t="str">
        <f t="shared" si="52"/>
        <v>NG</v>
      </c>
    </row>
    <row r="16" spans="1:185" s="6" customFormat="1" ht="89.25">
      <c r="A16" s="9"/>
      <c r="B16" s="48">
        <v>8</v>
      </c>
      <c r="C16" s="37"/>
      <c r="D16" s="37"/>
      <c r="E16" s="37"/>
      <c r="F16" s="49" t="s">
        <v>49</v>
      </c>
      <c r="G16" s="49"/>
      <c r="H16" s="40"/>
      <c r="I16" s="41"/>
      <c r="J16" s="42" t="s">
        <v>82</v>
      </c>
      <c r="K16" s="42"/>
      <c r="L16" s="42"/>
      <c r="M16" s="50" t="s">
        <v>50</v>
      </c>
      <c r="N16" s="42"/>
      <c r="O16" s="44"/>
      <c r="P16" s="45">
        <v>5</v>
      </c>
      <c r="Q16" s="46">
        <v>7</v>
      </c>
      <c r="R16" s="41" t="s">
        <v>81</v>
      </c>
      <c r="S16" s="43"/>
      <c r="T16" s="43"/>
      <c r="U16" s="41" t="s">
        <v>77</v>
      </c>
      <c r="V16" s="44"/>
      <c r="W16" s="22" t="str">
        <f t="shared" si="0"/>
        <v>3</v>
      </c>
      <c r="X16" s="47" t="s">
        <v>83</v>
      </c>
      <c r="Y16" s="47">
        <v>7</v>
      </c>
      <c r="Z16" s="47">
        <v>7</v>
      </c>
      <c r="AA16" s="42" t="s">
        <v>81</v>
      </c>
      <c r="AB16" s="42" t="s">
        <v>77</v>
      </c>
      <c r="AC16" s="143"/>
      <c r="AD16" s="144" t="s">
        <v>141</v>
      </c>
      <c r="AE16" s="145"/>
      <c r="AF16" s="146" t="str">
        <f t="shared" si="86"/>
        <v>E845001</v>
      </c>
      <c r="AG16" s="174" t="str">
        <f t="shared" si="1"/>
        <v>NG</v>
      </c>
      <c r="AH16" s="146" t="str">
        <f t="shared" si="53"/>
        <v>E845001</v>
      </c>
      <c r="AI16" s="172" t="str">
        <f t="shared" ref="AI16:AI21" si="105">IF(OR(AE$8="判定対象外",AH$8="判定対象外",AH16="-"),"-",IF(AE16=AH16,"OK","NG"))</f>
        <v>NG</v>
      </c>
      <c r="AJ16" s="144" t="s">
        <v>141</v>
      </c>
      <c r="AK16" s="145"/>
      <c r="AL16" s="146" t="str">
        <f t="shared" si="87"/>
        <v>E845001</v>
      </c>
      <c r="AM16" s="174" t="str">
        <f t="shared" si="2"/>
        <v>NG</v>
      </c>
      <c r="AN16" s="146" t="str">
        <f t="shared" si="54"/>
        <v>E845001</v>
      </c>
      <c r="AO16" s="172" t="str">
        <f t="shared" ref="AO16:AO22" si="106">IF(OR(AK$8="判定対象外",AN$8="判定対象外",AN16="-"),"-",IF(AK16=AN16,"OK","NG"))</f>
        <v>NG</v>
      </c>
      <c r="AP16" s="144" t="s">
        <v>141</v>
      </c>
      <c r="AQ16" s="145"/>
      <c r="AR16" s="146" t="str">
        <f t="shared" si="88"/>
        <v>E845001</v>
      </c>
      <c r="AS16" s="174" t="str">
        <f t="shared" si="3"/>
        <v>NG</v>
      </c>
      <c r="AT16" s="146" t="str">
        <f t="shared" si="55"/>
        <v>E845001</v>
      </c>
      <c r="AU16" s="172" t="str">
        <f t="shared" ref="AU16:AU22" si="107">IF(OR(AQ$8="判定対象外",AT$8="判定対象外",AT16="-"),"-",IF(AQ16=AT16,"OK","NG"))</f>
        <v>NG</v>
      </c>
      <c r="AV16" s="144" t="s">
        <v>141</v>
      </c>
      <c r="AW16" s="145"/>
      <c r="AX16" s="146" t="str">
        <f t="shared" si="89"/>
        <v>E845001</v>
      </c>
      <c r="AY16" s="174" t="str">
        <f t="shared" si="4"/>
        <v>NG</v>
      </c>
      <c r="AZ16" s="146" t="str">
        <f t="shared" si="56"/>
        <v>E845001</v>
      </c>
      <c r="BA16" s="172" t="str">
        <f t="shared" ref="BA16:BA22" si="108">IF(OR(AW$8="判定対象外",AZ$8="判定対象外",AZ16="-"),"-",IF(AW16=AZ16,"OK","NG"))</f>
        <v>NG</v>
      </c>
      <c r="BB16" s="144" t="s">
        <v>141</v>
      </c>
      <c r="BC16" s="145"/>
      <c r="BD16" s="146" t="str">
        <f t="shared" si="90"/>
        <v>E845001</v>
      </c>
      <c r="BE16" s="174" t="str">
        <f t="shared" si="5"/>
        <v>NG</v>
      </c>
      <c r="BF16" s="146" t="str">
        <f t="shared" si="57"/>
        <v>E845001</v>
      </c>
      <c r="BG16" s="172" t="str">
        <f t="shared" ref="BG16:BG22" si="109">IF(OR(BC$8="判定対象外",BF$8="判定対象外",BF16="-"),"-",IF(BC16=BF16,"OK","NG"))</f>
        <v>NG</v>
      </c>
      <c r="BH16" s="144" t="s">
        <v>141</v>
      </c>
      <c r="BI16" s="145"/>
      <c r="BJ16" s="146" t="str">
        <f t="shared" si="91"/>
        <v>E845001</v>
      </c>
      <c r="BK16" s="174" t="str">
        <f t="shared" si="6"/>
        <v>NG</v>
      </c>
      <c r="BL16" s="146" t="str">
        <f t="shared" si="58"/>
        <v>E845001</v>
      </c>
      <c r="BM16" s="172" t="str">
        <f t="shared" ref="BM16:BM21" si="110">IF(OR(BI$8="判定対象外",BL$8="判定対象外",BL16="-"),"-",IF(BI16=BL16,"OK","NG"))</f>
        <v>NG</v>
      </c>
      <c r="BN16" s="144" t="s">
        <v>141</v>
      </c>
      <c r="BO16" s="145" t="s">
        <v>466</v>
      </c>
      <c r="BP16" s="146" t="str">
        <f t="shared" si="92"/>
        <v>E845001</v>
      </c>
      <c r="BQ16" s="174" t="str">
        <f t="shared" si="7"/>
        <v>OK</v>
      </c>
      <c r="BR16" s="146" t="str">
        <f t="shared" si="59"/>
        <v>E845001</v>
      </c>
      <c r="BS16" s="172" t="str">
        <f t="shared" ref="BS16:BS21" si="111">IF(OR(BO$8="判定対象外",BR$8="判定対象外",BR16="-"),"-",IF(BO16=BR16,"OK","NG"))</f>
        <v>OK</v>
      </c>
      <c r="BT16" s="144" t="s">
        <v>141</v>
      </c>
      <c r="BU16" s="145" t="s">
        <v>466</v>
      </c>
      <c r="BV16" s="146" t="str">
        <f t="shared" si="93"/>
        <v>E845001</v>
      </c>
      <c r="BW16" s="174" t="str">
        <f t="shared" si="8"/>
        <v>OK</v>
      </c>
      <c r="BX16" s="146" t="str">
        <f t="shared" si="60"/>
        <v>E845001</v>
      </c>
      <c r="BY16" s="172" t="str">
        <f t="shared" ref="BY16:BY21" si="112">IF(OR(BU$8="判定対象外",BX$8="判定対象外",BX16="-"),"-",IF(BU16=BX16,"OK","NG"))</f>
        <v>OK</v>
      </c>
      <c r="BZ16" s="144" t="s">
        <v>141</v>
      </c>
      <c r="CA16" s="145" t="s">
        <v>466</v>
      </c>
      <c r="CB16" s="146" t="str">
        <f t="shared" si="94"/>
        <v>E845001</v>
      </c>
      <c r="CC16" s="174" t="str">
        <f t="shared" si="9"/>
        <v>OK</v>
      </c>
      <c r="CD16" s="146" t="str">
        <f t="shared" si="61"/>
        <v>E845001</v>
      </c>
      <c r="CE16" s="172" t="str">
        <f t="shared" ref="CE16:CE21" si="113">IF(OR(CA$8="判定対象外",CD$8="判定対象外",CD16="-"),"-",IF(CA16=CD16,"OK","NG"))</f>
        <v>OK</v>
      </c>
      <c r="CF16" s="144" t="s">
        <v>141</v>
      </c>
      <c r="CG16" s="145" t="s">
        <v>466</v>
      </c>
      <c r="CH16" s="146" t="str">
        <f t="shared" si="95"/>
        <v>E845001</v>
      </c>
      <c r="CI16" s="174" t="str">
        <f t="shared" si="10"/>
        <v>OK</v>
      </c>
      <c r="CJ16" s="146" t="str">
        <f t="shared" si="62"/>
        <v>E845001</v>
      </c>
      <c r="CK16" s="172" t="str">
        <f t="shared" ref="CK16:CK21" si="114">IF(OR(CG$8="判定対象外",CJ$8="判定対象外",CJ16="-"),"-",IF(CG16=CJ16,"OK","NG"))</f>
        <v>OK</v>
      </c>
      <c r="CL16" s="144" t="s">
        <v>141</v>
      </c>
      <c r="CM16" s="145"/>
      <c r="CN16" s="146" t="str">
        <f t="shared" si="96"/>
        <v>E845001</v>
      </c>
      <c r="CO16" s="174" t="str">
        <f t="shared" si="11"/>
        <v>NG</v>
      </c>
      <c r="CP16" s="146" t="str">
        <f t="shared" si="63"/>
        <v>E845001</v>
      </c>
      <c r="CQ16" s="172" t="str">
        <f t="shared" ref="CQ16:CQ21" si="115">IF(OR(CM$8="判定対象外",CP$8="判定対象外",CP16="-"),"-",IF(CM16=CP16,"OK","NG"))</f>
        <v>NG</v>
      </c>
      <c r="CR16" s="144" t="s">
        <v>141</v>
      </c>
      <c r="CS16" s="145"/>
      <c r="CT16" s="146" t="str">
        <f t="shared" si="97"/>
        <v>E845001</v>
      </c>
      <c r="CU16" s="174" t="str">
        <f t="shared" si="12"/>
        <v>NG</v>
      </c>
      <c r="CV16" s="146" t="str">
        <f t="shared" si="64"/>
        <v>E845001</v>
      </c>
      <c r="CW16" s="172" t="str">
        <f t="shared" ref="CW16:CW21" si="116">IF(OR(CS$8="判定対象外",CV$8="判定対象外",CV16="-"),"-",IF(CS16=CV16,"OK","NG"))</f>
        <v>NG</v>
      </c>
      <c r="CX16" s="144" t="s">
        <v>141</v>
      </c>
      <c r="CY16" s="145"/>
      <c r="CZ16" s="146" t="str">
        <f t="shared" si="98"/>
        <v>E845001</v>
      </c>
      <c r="DA16" s="174" t="str">
        <f t="shared" si="13"/>
        <v>NG</v>
      </c>
      <c r="DB16" s="146" t="str">
        <f t="shared" si="65"/>
        <v>E845001</v>
      </c>
      <c r="DC16" s="172" t="str">
        <f t="shared" ref="DC16:DC21" si="117">IF(OR(CY$8="判定対象外",DB$8="判定対象外",DB16="-"),"-",IF(CY16=DB16,"OK","NG"))</f>
        <v>NG</v>
      </c>
      <c r="DD16" s="144" t="s">
        <v>141</v>
      </c>
      <c r="DE16" s="145"/>
      <c r="DF16" s="146" t="str">
        <f t="shared" si="99"/>
        <v>E845001</v>
      </c>
      <c r="DG16" s="174" t="str">
        <f t="shared" si="14"/>
        <v>NG</v>
      </c>
      <c r="DH16" s="146" t="str">
        <f t="shared" si="66"/>
        <v>E845001</v>
      </c>
      <c r="DI16" s="172" t="str">
        <f t="shared" ref="DI16:DI21" si="118">IF(OR(DE$8="判定対象外",DH$8="判定対象外",DH16="-"),"-",IF(DE16=DH16,"OK","NG"))</f>
        <v>NG</v>
      </c>
      <c r="DJ16" s="144" t="s">
        <v>141</v>
      </c>
      <c r="DK16" s="145"/>
      <c r="DL16" s="146" t="str">
        <f t="shared" si="100"/>
        <v>E845001</v>
      </c>
      <c r="DM16" s="174" t="str">
        <f t="shared" si="15"/>
        <v>NG</v>
      </c>
      <c r="DN16" s="146" t="str">
        <f t="shared" si="67"/>
        <v>E845001</v>
      </c>
      <c r="DO16" s="172" t="str">
        <f t="shared" ref="DO16:DO21" si="119">IF(OR(DK$8="判定対象外",DN$8="判定対象外",DN16="-"),"-",IF(DK16=DN16,"OK","NG"))</f>
        <v>NG</v>
      </c>
      <c r="DP16" s="144" t="s">
        <v>141</v>
      </c>
      <c r="DQ16" s="145"/>
      <c r="DR16" s="146" t="str">
        <f t="shared" si="79"/>
        <v>E845001</v>
      </c>
      <c r="DS16" s="174" t="str">
        <f t="shared" si="16"/>
        <v>NG</v>
      </c>
      <c r="DT16" s="146" t="str">
        <f t="shared" si="68"/>
        <v>E845001</v>
      </c>
      <c r="DU16" s="172" t="str">
        <f t="shared" ref="DU16:DU21" si="120">IF(OR(DQ$8="判定対象外",DT$8="判定対象外",DT16="-"),"-",IF(DQ16=DT16,"OK","NG"))</f>
        <v>NG</v>
      </c>
      <c r="DV16" s="144" t="s">
        <v>141</v>
      </c>
      <c r="DW16" s="145"/>
      <c r="DX16" s="146" t="str">
        <f t="shared" si="80"/>
        <v>E845001</v>
      </c>
      <c r="DY16" s="174" t="str">
        <f t="shared" si="17"/>
        <v>NG</v>
      </c>
      <c r="DZ16" s="146" t="str">
        <f t="shared" si="69"/>
        <v>E845001</v>
      </c>
      <c r="EA16" s="172" t="str">
        <f t="shared" ref="EA16:EA21" si="121">IF(OR(DW$8="判定対象外",DZ$8="判定対象外",DZ16="-"),"-",IF(DW16=DZ16,"OK","NG"))</f>
        <v>NG</v>
      </c>
      <c r="EB16" s="144" t="s">
        <v>141</v>
      </c>
      <c r="EC16" s="145"/>
      <c r="ED16" s="146" t="str">
        <f t="shared" si="81"/>
        <v>E845001</v>
      </c>
      <c r="EE16" s="174" t="str">
        <f t="shared" si="18"/>
        <v>NG</v>
      </c>
      <c r="EF16" s="146" t="str">
        <f t="shared" si="70"/>
        <v>E845001</v>
      </c>
      <c r="EG16" s="172" t="str">
        <f t="shared" ref="EG16:EG21" si="122">IF(OR(EC$8="判定対象外",EF$8="判定対象外",EF16="-"),"-",IF(EC16=EF16,"OK","NG"))</f>
        <v>NG</v>
      </c>
      <c r="EH16" s="144" t="s">
        <v>141</v>
      </c>
      <c r="EI16" s="145"/>
      <c r="EJ16" s="146" t="str">
        <f t="shared" si="82"/>
        <v>E845001</v>
      </c>
      <c r="EK16" s="174" t="str">
        <f t="shared" si="19"/>
        <v>NG</v>
      </c>
      <c r="EL16" s="146" t="str">
        <f t="shared" si="71"/>
        <v>E845001</v>
      </c>
      <c r="EM16" s="172" t="str">
        <f t="shared" ref="EM16:EM21" si="123">IF(OR(EI$8="判定対象外",EL$8="判定対象外",EL16="-"),"-",IF(EI16=EL16,"OK","NG"))</f>
        <v>NG</v>
      </c>
      <c r="EN16" s="144" t="s">
        <v>141</v>
      </c>
      <c r="EO16" s="145"/>
      <c r="EP16" s="146" t="str">
        <f t="shared" si="83"/>
        <v>E845001</v>
      </c>
      <c r="EQ16" s="174" t="str">
        <f t="shared" si="20"/>
        <v>NG</v>
      </c>
      <c r="ER16" s="146" t="str">
        <f t="shared" si="72"/>
        <v>E845001</v>
      </c>
      <c r="ES16" s="172" t="str">
        <f t="shared" ref="ES16:ES21" si="124">IF(OR(EO$8="判定対象外",ER$8="判定対象外",ER16="-"),"-",IF(EO16=ER16,"OK","NG"))</f>
        <v>NG</v>
      </c>
      <c r="ET16" s="144" t="s">
        <v>141</v>
      </c>
      <c r="EU16" s="145"/>
      <c r="EV16" s="146" t="str">
        <f t="shared" si="84"/>
        <v>E845001</v>
      </c>
      <c r="EW16" s="174" t="str">
        <f t="shared" si="21"/>
        <v>NG</v>
      </c>
      <c r="EX16" s="146" t="str">
        <f t="shared" si="73"/>
        <v>E845001</v>
      </c>
      <c r="EY16" s="172" t="str">
        <f t="shared" ref="EY16:EY21" si="125">IF(OR(EU$8="判定対象外",EX$8="判定対象外",EX16="-"),"-",IF(EU16=EX16,"OK","NG"))</f>
        <v>NG</v>
      </c>
      <c r="EZ16" s="144" t="s">
        <v>141</v>
      </c>
      <c r="FA16" s="145"/>
      <c r="FB16" s="146" t="str">
        <f t="shared" si="85"/>
        <v>E845001</v>
      </c>
      <c r="FC16" s="174" t="str">
        <f t="shared" si="22"/>
        <v>NG</v>
      </c>
      <c r="FD16" s="146" t="str">
        <f t="shared" si="74"/>
        <v>E845001</v>
      </c>
      <c r="FE16" s="172" t="str">
        <f t="shared" ref="FE16:FE21" si="126">IF(OR(FA$8="判定対象外",FD$8="判定対象外",FD16="-"),"-",IF(FA16=FD16,"OK","NG"))</f>
        <v>NG</v>
      </c>
      <c r="FF16" s="144" t="s">
        <v>141</v>
      </c>
      <c r="FG16" s="145"/>
      <c r="FH16" s="146" t="str">
        <f t="shared" si="101"/>
        <v>E845001</v>
      </c>
      <c r="FI16" s="174" t="str">
        <f t="shared" si="23"/>
        <v>NG</v>
      </c>
      <c r="FJ16" s="146" t="str">
        <f t="shared" si="75"/>
        <v>E845001</v>
      </c>
      <c r="FK16" s="172" t="str">
        <f t="shared" ref="FK16:FK21" si="127">IF(OR(FG$8="判定対象外",FJ$8="判定対象外",FJ16="-"),"-",IF(FG16=FJ16,"OK","NG"))</f>
        <v>NG</v>
      </c>
      <c r="FL16" s="144" t="s">
        <v>141</v>
      </c>
      <c r="FM16" s="145"/>
      <c r="FN16" s="146" t="str">
        <f t="shared" si="102"/>
        <v>E845001</v>
      </c>
      <c r="FO16" s="174" t="str">
        <f t="shared" si="24"/>
        <v>NG</v>
      </c>
      <c r="FP16" s="146" t="str">
        <f t="shared" si="76"/>
        <v>E845001</v>
      </c>
      <c r="FQ16" s="172" t="str">
        <f t="shared" ref="FQ16:FQ21" si="128">IF(OR(FM$8="判定対象外",FP$8="判定対象外",FP16="-"),"-",IF(FM16=FP16,"OK","NG"))</f>
        <v>NG</v>
      </c>
      <c r="FR16" s="144" t="s">
        <v>141</v>
      </c>
      <c r="FS16" s="145"/>
      <c r="FT16" s="146" t="str">
        <f t="shared" si="103"/>
        <v>E845001</v>
      </c>
      <c r="FU16" s="174" t="str">
        <f t="shared" si="25"/>
        <v>NG</v>
      </c>
      <c r="FV16" s="146" t="str">
        <f t="shared" si="77"/>
        <v>E845001</v>
      </c>
      <c r="FW16" s="172" t="str">
        <f t="shared" ref="FW16:FW21" si="129">IF(OR(FS$8="判定対象外",FV$8="判定対象外",FV16="-"),"-",IF(FS16=FV16,"OK","NG"))</f>
        <v>NG</v>
      </c>
      <c r="FX16" s="144" t="s">
        <v>141</v>
      </c>
      <c r="FY16" s="145"/>
      <c r="FZ16" s="146" t="str">
        <f t="shared" si="104"/>
        <v>E845001</v>
      </c>
      <c r="GA16" s="174" t="str">
        <f t="shared" si="26"/>
        <v>NG</v>
      </c>
      <c r="GB16" s="146" t="str">
        <f t="shared" si="78"/>
        <v>E845001</v>
      </c>
      <c r="GC16" s="172" t="str">
        <f t="shared" ref="GC16:GC21" si="130">IF(OR(FY$8="判定対象外",GB$8="判定対象外",GB16="-"),"-",IF(FY16=GB16,"OK","NG"))</f>
        <v>NG</v>
      </c>
    </row>
    <row r="17" spans="1:185" s="6" customFormat="1">
      <c r="A17" s="9"/>
      <c r="B17" s="48">
        <v>9</v>
      </c>
      <c r="C17" s="37"/>
      <c r="D17" s="37"/>
      <c r="E17" s="37"/>
      <c r="F17" s="49" t="s">
        <v>51</v>
      </c>
      <c r="G17" s="49"/>
      <c r="H17" s="40"/>
      <c r="I17" s="41"/>
      <c r="J17" s="41" t="s">
        <v>78</v>
      </c>
      <c r="K17" s="42"/>
      <c r="L17" s="42"/>
      <c r="M17" s="43" t="s">
        <v>52</v>
      </c>
      <c r="N17" s="42"/>
      <c r="O17" s="44"/>
      <c r="P17" s="45">
        <v>6</v>
      </c>
      <c r="Q17" s="46">
        <v>8</v>
      </c>
      <c r="R17" s="41" t="s">
        <v>81</v>
      </c>
      <c r="S17" s="43"/>
      <c r="T17" s="43"/>
      <c r="U17" s="41" t="s">
        <v>77</v>
      </c>
      <c r="V17" s="44"/>
      <c r="W17" s="22" t="str">
        <f t="shared" si="0"/>
        <v>3</v>
      </c>
      <c r="X17" s="47" t="s">
        <v>84</v>
      </c>
      <c r="Y17" s="47">
        <v>8</v>
      </c>
      <c r="Z17" s="47">
        <v>8</v>
      </c>
      <c r="AA17" s="42" t="s">
        <v>81</v>
      </c>
      <c r="AB17" s="42" t="s">
        <v>77</v>
      </c>
      <c r="AC17" s="143"/>
      <c r="AD17" s="147" t="s">
        <v>85</v>
      </c>
      <c r="AE17" s="145"/>
      <c r="AF17" s="146" t="str">
        <f t="shared" si="86"/>
        <v>CASE0010</v>
      </c>
      <c r="AG17" s="174" t="str">
        <f t="shared" si="1"/>
        <v>NG</v>
      </c>
      <c r="AH17" s="146" t="str">
        <f t="shared" si="53"/>
        <v>CASE0010</v>
      </c>
      <c r="AI17" s="172" t="str">
        <f t="shared" si="105"/>
        <v>NG</v>
      </c>
      <c r="AJ17" s="147" t="s">
        <v>85</v>
      </c>
      <c r="AK17" s="145"/>
      <c r="AL17" s="146" t="str">
        <f t="shared" si="87"/>
        <v>CASE0010</v>
      </c>
      <c r="AM17" s="174" t="str">
        <f t="shared" si="2"/>
        <v>NG</v>
      </c>
      <c r="AN17" s="146" t="str">
        <f t="shared" si="54"/>
        <v>CASE0010</v>
      </c>
      <c r="AO17" s="172" t="str">
        <f t="shared" si="106"/>
        <v>NG</v>
      </c>
      <c r="AP17" s="147" t="s">
        <v>85</v>
      </c>
      <c r="AQ17" s="145"/>
      <c r="AR17" s="146" t="str">
        <f t="shared" si="88"/>
        <v>CASE0010</v>
      </c>
      <c r="AS17" s="174" t="str">
        <f t="shared" si="3"/>
        <v>NG</v>
      </c>
      <c r="AT17" s="146" t="str">
        <f t="shared" si="55"/>
        <v>CASE0010</v>
      </c>
      <c r="AU17" s="172" t="str">
        <f t="shared" si="107"/>
        <v>NG</v>
      </c>
      <c r="AV17" s="147" t="s">
        <v>85</v>
      </c>
      <c r="AW17" s="145"/>
      <c r="AX17" s="146" t="str">
        <f t="shared" si="89"/>
        <v>CASE0010</v>
      </c>
      <c r="AY17" s="174" t="str">
        <f t="shared" si="4"/>
        <v>NG</v>
      </c>
      <c r="AZ17" s="146" t="str">
        <f t="shared" si="56"/>
        <v>CASE0010</v>
      </c>
      <c r="BA17" s="172" t="str">
        <f t="shared" si="108"/>
        <v>NG</v>
      </c>
      <c r="BB17" s="147" t="s">
        <v>85</v>
      </c>
      <c r="BC17" s="145"/>
      <c r="BD17" s="146" t="str">
        <f t="shared" si="90"/>
        <v>CASE0010</v>
      </c>
      <c r="BE17" s="174" t="str">
        <f t="shared" si="5"/>
        <v>NG</v>
      </c>
      <c r="BF17" s="146" t="str">
        <f t="shared" si="57"/>
        <v>CASE0010</v>
      </c>
      <c r="BG17" s="172" t="str">
        <f t="shared" si="109"/>
        <v>NG</v>
      </c>
      <c r="BH17" s="147" t="s">
        <v>85</v>
      </c>
      <c r="BI17" s="145"/>
      <c r="BJ17" s="146" t="str">
        <f t="shared" si="91"/>
        <v>CASE0010</v>
      </c>
      <c r="BK17" s="174" t="str">
        <f t="shared" si="6"/>
        <v>NG</v>
      </c>
      <c r="BL17" s="146" t="str">
        <f t="shared" si="58"/>
        <v>CASE0010</v>
      </c>
      <c r="BM17" s="172" t="str">
        <f t="shared" si="110"/>
        <v>NG</v>
      </c>
      <c r="BN17" s="147" t="s">
        <v>85</v>
      </c>
      <c r="BO17" s="145" t="s">
        <v>467</v>
      </c>
      <c r="BP17" s="146" t="str">
        <f t="shared" si="92"/>
        <v>CASE0010</v>
      </c>
      <c r="BQ17" s="174" t="str">
        <f t="shared" si="7"/>
        <v>OK</v>
      </c>
      <c r="BR17" s="146" t="str">
        <f t="shared" si="59"/>
        <v>CASE0010</v>
      </c>
      <c r="BS17" s="172" t="str">
        <f t="shared" si="111"/>
        <v>OK</v>
      </c>
      <c r="BT17" s="147" t="s">
        <v>85</v>
      </c>
      <c r="BU17" s="145" t="s">
        <v>467</v>
      </c>
      <c r="BV17" s="146" t="str">
        <f t="shared" si="93"/>
        <v>CASE0010</v>
      </c>
      <c r="BW17" s="174" t="str">
        <f t="shared" si="8"/>
        <v>OK</v>
      </c>
      <c r="BX17" s="146" t="str">
        <f t="shared" si="60"/>
        <v>CASE0010</v>
      </c>
      <c r="BY17" s="172" t="str">
        <f t="shared" si="112"/>
        <v>OK</v>
      </c>
      <c r="BZ17" s="147" t="s">
        <v>85</v>
      </c>
      <c r="CA17" s="145" t="s">
        <v>467</v>
      </c>
      <c r="CB17" s="146" t="str">
        <f t="shared" si="94"/>
        <v>CASE0010</v>
      </c>
      <c r="CC17" s="174" t="str">
        <f t="shared" si="9"/>
        <v>OK</v>
      </c>
      <c r="CD17" s="146" t="str">
        <f t="shared" si="61"/>
        <v>CASE0010</v>
      </c>
      <c r="CE17" s="172" t="str">
        <f t="shared" si="113"/>
        <v>OK</v>
      </c>
      <c r="CF17" s="147" t="s">
        <v>85</v>
      </c>
      <c r="CG17" s="145" t="s">
        <v>467</v>
      </c>
      <c r="CH17" s="146" t="str">
        <f t="shared" si="95"/>
        <v>CASE0010</v>
      </c>
      <c r="CI17" s="174" t="str">
        <f t="shared" si="10"/>
        <v>OK</v>
      </c>
      <c r="CJ17" s="146" t="str">
        <f t="shared" si="62"/>
        <v>CASE0010</v>
      </c>
      <c r="CK17" s="172" t="str">
        <f t="shared" si="114"/>
        <v>OK</v>
      </c>
      <c r="CL17" s="147" t="s">
        <v>85</v>
      </c>
      <c r="CM17" s="145"/>
      <c r="CN17" s="146" t="str">
        <f t="shared" si="96"/>
        <v>CASE0010</v>
      </c>
      <c r="CO17" s="174" t="str">
        <f t="shared" si="11"/>
        <v>NG</v>
      </c>
      <c r="CP17" s="146" t="str">
        <f t="shared" si="63"/>
        <v>CASE0010</v>
      </c>
      <c r="CQ17" s="172" t="str">
        <f t="shared" si="115"/>
        <v>NG</v>
      </c>
      <c r="CR17" s="147" t="s">
        <v>85</v>
      </c>
      <c r="CS17" s="145"/>
      <c r="CT17" s="146" t="str">
        <f t="shared" si="97"/>
        <v>CASE0010</v>
      </c>
      <c r="CU17" s="174" t="str">
        <f t="shared" si="12"/>
        <v>NG</v>
      </c>
      <c r="CV17" s="146" t="str">
        <f t="shared" si="64"/>
        <v>CASE0010</v>
      </c>
      <c r="CW17" s="172" t="str">
        <f t="shared" si="116"/>
        <v>NG</v>
      </c>
      <c r="CX17" s="147" t="s">
        <v>85</v>
      </c>
      <c r="CY17" s="145"/>
      <c r="CZ17" s="146" t="str">
        <f t="shared" si="98"/>
        <v>CASE0010</v>
      </c>
      <c r="DA17" s="174" t="str">
        <f t="shared" si="13"/>
        <v>NG</v>
      </c>
      <c r="DB17" s="146" t="str">
        <f t="shared" si="65"/>
        <v>CASE0010</v>
      </c>
      <c r="DC17" s="172" t="str">
        <f t="shared" si="117"/>
        <v>NG</v>
      </c>
      <c r="DD17" s="147" t="s">
        <v>85</v>
      </c>
      <c r="DE17" s="145"/>
      <c r="DF17" s="146" t="str">
        <f t="shared" si="99"/>
        <v>CASE0010</v>
      </c>
      <c r="DG17" s="174" t="str">
        <f t="shared" si="14"/>
        <v>NG</v>
      </c>
      <c r="DH17" s="146" t="str">
        <f t="shared" si="66"/>
        <v>CASE0010</v>
      </c>
      <c r="DI17" s="172" t="str">
        <f t="shared" si="118"/>
        <v>NG</v>
      </c>
      <c r="DJ17" s="147" t="s">
        <v>85</v>
      </c>
      <c r="DK17" s="145"/>
      <c r="DL17" s="146" t="str">
        <f t="shared" si="100"/>
        <v>CASE0010</v>
      </c>
      <c r="DM17" s="174" t="str">
        <f t="shared" si="15"/>
        <v>NG</v>
      </c>
      <c r="DN17" s="146" t="str">
        <f t="shared" si="67"/>
        <v>CASE0010</v>
      </c>
      <c r="DO17" s="172" t="str">
        <f t="shared" si="119"/>
        <v>NG</v>
      </c>
      <c r="DP17" s="147" t="s">
        <v>85</v>
      </c>
      <c r="DQ17" s="145"/>
      <c r="DR17" s="146" t="str">
        <f t="shared" si="79"/>
        <v>CASE0010</v>
      </c>
      <c r="DS17" s="174" t="str">
        <f t="shared" si="16"/>
        <v>NG</v>
      </c>
      <c r="DT17" s="146" t="str">
        <f t="shared" si="68"/>
        <v>CASE0010</v>
      </c>
      <c r="DU17" s="172" t="str">
        <f t="shared" si="120"/>
        <v>NG</v>
      </c>
      <c r="DV17" s="147" t="s">
        <v>85</v>
      </c>
      <c r="DW17" s="145"/>
      <c r="DX17" s="146" t="str">
        <f t="shared" si="80"/>
        <v>CASE0010</v>
      </c>
      <c r="DY17" s="174" t="str">
        <f t="shared" si="17"/>
        <v>NG</v>
      </c>
      <c r="DZ17" s="146" t="str">
        <f t="shared" si="69"/>
        <v>CASE0010</v>
      </c>
      <c r="EA17" s="172" t="str">
        <f t="shared" si="121"/>
        <v>NG</v>
      </c>
      <c r="EB17" s="147" t="s">
        <v>85</v>
      </c>
      <c r="EC17" s="145"/>
      <c r="ED17" s="146" t="str">
        <f t="shared" si="81"/>
        <v>CASE0010</v>
      </c>
      <c r="EE17" s="174" t="str">
        <f t="shared" si="18"/>
        <v>NG</v>
      </c>
      <c r="EF17" s="146" t="str">
        <f t="shared" si="70"/>
        <v>CASE0010</v>
      </c>
      <c r="EG17" s="172" t="str">
        <f t="shared" si="122"/>
        <v>NG</v>
      </c>
      <c r="EH17" s="147" t="s">
        <v>85</v>
      </c>
      <c r="EI17" s="145"/>
      <c r="EJ17" s="146" t="str">
        <f t="shared" si="82"/>
        <v>CASE0010</v>
      </c>
      <c r="EK17" s="174" t="str">
        <f t="shared" si="19"/>
        <v>NG</v>
      </c>
      <c r="EL17" s="146" t="str">
        <f t="shared" si="71"/>
        <v>CASE0010</v>
      </c>
      <c r="EM17" s="172" t="str">
        <f t="shared" si="123"/>
        <v>NG</v>
      </c>
      <c r="EN17" s="147" t="s">
        <v>85</v>
      </c>
      <c r="EO17" s="145"/>
      <c r="EP17" s="146" t="str">
        <f t="shared" si="83"/>
        <v>CASE0010</v>
      </c>
      <c r="EQ17" s="174" t="str">
        <f t="shared" si="20"/>
        <v>NG</v>
      </c>
      <c r="ER17" s="146" t="str">
        <f t="shared" si="72"/>
        <v>CASE0010</v>
      </c>
      <c r="ES17" s="172" t="str">
        <f t="shared" si="124"/>
        <v>NG</v>
      </c>
      <c r="ET17" s="147" t="s">
        <v>85</v>
      </c>
      <c r="EU17" s="145"/>
      <c r="EV17" s="146" t="str">
        <f t="shared" si="84"/>
        <v>CASE0010</v>
      </c>
      <c r="EW17" s="174" t="str">
        <f t="shared" si="21"/>
        <v>NG</v>
      </c>
      <c r="EX17" s="146" t="str">
        <f t="shared" si="73"/>
        <v>CASE0010</v>
      </c>
      <c r="EY17" s="172" t="str">
        <f t="shared" si="125"/>
        <v>NG</v>
      </c>
      <c r="EZ17" s="147" t="s">
        <v>85</v>
      </c>
      <c r="FA17" s="145"/>
      <c r="FB17" s="146" t="str">
        <f t="shared" si="85"/>
        <v>CASE0010</v>
      </c>
      <c r="FC17" s="174" t="str">
        <f t="shared" si="22"/>
        <v>NG</v>
      </c>
      <c r="FD17" s="146" t="str">
        <f t="shared" si="74"/>
        <v>CASE0010</v>
      </c>
      <c r="FE17" s="172" t="str">
        <f t="shared" si="126"/>
        <v>NG</v>
      </c>
      <c r="FF17" s="147" t="s">
        <v>85</v>
      </c>
      <c r="FG17" s="145"/>
      <c r="FH17" s="146" t="str">
        <f t="shared" si="101"/>
        <v>CASE0010</v>
      </c>
      <c r="FI17" s="174" t="str">
        <f t="shared" si="23"/>
        <v>NG</v>
      </c>
      <c r="FJ17" s="146" t="str">
        <f t="shared" si="75"/>
        <v>CASE0010</v>
      </c>
      <c r="FK17" s="172" t="str">
        <f t="shared" si="127"/>
        <v>NG</v>
      </c>
      <c r="FL17" s="147" t="s">
        <v>85</v>
      </c>
      <c r="FM17" s="145"/>
      <c r="FN17" s="146" t="str">
        <f t="shared" si="102"/>
        <v>CASE0010</v>
      </c>
      <c r="FO17" s="174" t="str">
        <f t="shared" si="24"/>
        <v>NG</v>
      </c>
      <c r="FP17" s="146" t="str">
        <f t="shared" si="76"/>
        <v>CASE0010</v>
      </c>
      <c r="FQ17" s="172" t="str">
        <f t="shared" si="128"/>
        <v>NG</v>
      </c>
      <c r="FR17" s="147" t="s">
        <v>85</v>
      </c>
      <c r="FS17" s="145"/>
      <c r="FT17" s="146" t="str">
        <f t="shared" si="103"/>
        <v>CASE0010</v>
      </c>
      <c r="FU17" s="174" t="str">
        <f t="shared" si="25"/>
        <v>NG</v>
      </c>
      <c r="FV17" s="146" t="str">
        <f t="shared" si="77"/>
        <v>CASE0010</v>
      </c>
      <c r="FW17" s="172" t="str">
        <f t="shared" si="129"/>
        <v>NG</v>
      </c>
      <c r="FX17" s="147" t="s">
        <v>85</v>
      </c>
      <c r="FY17" s="145"/>
      <c r="FZ17" s="146" t="str">
        <f t="shared" si="104"/>
        <v>CASE0010</v>
      </c>
      <c r="GA17" s="174" t="str">
        <f t="shared" si="26"/>
        <v>NG</v>
      </c>
      <c r="GB17" s="146" t="str">
        <f t="shared" si="78"/>
        <v>CASE0010</v>
      </c>
      <c r="GC17" s="172" t="str">
        <f t="shared" si="130"/>
        <v>NG</v>
      </c>
    </row>
    <row r="18" spans="1:185" s="52" customFormat="1" ht="38.25">
      <c r="B18" s="48">
        <v>10</v>
      </c>
      <c r="C18" s="37"/>
      <c r="D18" s="37"/>
      <c r="E18" s="37"/>
      <c r="F18" s="39" t="s">
        <v>53</v>
      </c>
      <c r="G18" s="49"/>
      <c r="H18" s="40"/>
      <c r="I18" s="41"/>
      <c r="J18" s="41" t="s">
        <v>78</v>
      </c>
      <c r="K18" s="42"/>
      <c r="L18" s="42"/>
      <c r="M18" s="78" t="s">
        <v>58</v>
      </c>
      <c r="N18" s="42"/>
      <c r="O18" s="44" t="s">
        <v>86</v>
      </c>
      <c r="P18" s="45">
        <v>7</v>
      </c>
      <c r="Q18" s="46">
        <v>15</v>
      </c>
      <c r="R18" s="41" t="s">
        <v>81</v>
      </c>
      <c r="S18" s="43"/>
      <c r="T18" s="43"/>
      <c r="U18" s="41" t="s">
        <v>77</v>
      </c>
      <c r="V18" s="44"/>
      <c r="W18" s="22" t="str">
        <f t="shared" si="0"/>
        <v>3</v>
      </c>
      <c r="X18" s="47" t="s">
        <v>87</v>
      </c>
      <c r="Y18" s="47">
        <v>7</v>
      </c>
      <c r="Z18" s="47">
        <v>15</v>
      </c>
      <c r="AA18" s="42" t="s">
        <v>81</v>
      </c>
      <c r="AB18" s="42" t="s">
        <v>77</v>
      </c>
      <c r="AC18" s="143"/>
      <c r="AD18" s="149" t="s">
        <v>142</v>
      </c>
      <c r="AE18" s="145"/>
      <c r="AF18" s="146" t="str">
        <f t="shared" si="86"/>
        <v>192.168.134.174</v>
      </c>
      <c r="AG18" s="174" t="str">
        <f t="shared" si="1"/>
        <v>NG</v>
      </c>
      <c r="AH18" s="146" t="str">
        <f t="shared" si="53"/>
        <v>192.168.134.174</v>
      </c>
      <c r="AI18" s="172" t="str">
        <f t="shared" si="105"/>
        <v>NG</v>
      </c>
      <c r="AJ18" s="149" t="s">
        <v>142</v>
      </c>
      <c r="AK18" s="145"/>
      <c r="AL18" s="146" t="str">
        <f t="shared" si="87"/>
        <v>192.168.134.174</v>
      </c>
      <c r="AM18" s="174" t="str">
        <f t="shared" si="2"/>
        <v>NG</v>
      </c>
      <c r="AN18" s="146" t="str">
        <f t="shared" si="54"/>
        <v>192.168.134.174</v>
      </c>
      <c r="AO18" s="172" t="str">
        <f t="shared" si="106"/>
        <v>NG</v>
      </c>
      <c r="AP18" s="149" t="s">
        <v>142</v>
      </c>
      <c r="AQ18" s="145"/>
      <c r="AR18" s="146" t="str">
        <f t="shared" si="88"/>
        <v>192.168.134.174</v>
      </c>
      <c r="AS18" s="174" t="str">
        <f t="shared" si="3"/>
        <v>NG</v>
      </c>
      <c r="AT18" s="146" t="str">
        <f t="shared" si="55"/>
        <v>192.168.134.174</v>
      </c>
      <c r="AU18" s="172" t="str">
        <f t="shared" si="107"/>
        <v>NG</v>
      </c>
      <c r="AV18" s="149" t="s">
        <v>142</v>
      </c>
      <c r="AW18" s="145"/>
      <c r="AX18" s="146" t="str">
        <f t="shared" si="89"/>
        <v>192.168.134.174</v>
      </c>
      <c r="AY18" s="174" t="str">
        <f t="shared" si="4"/>
        <v>NG</v>
      </c>
      <c r="AZ18" s="146" t="str">
        <f t="shared" si="56"/>
        <v>192.168.134.174</v>
      </c>
      <c r="BA18" s="172" t="str">
        <f t="shared" si="108"/>
        <v>NG</v>
      </c>
      <c r="BB18" s="149" t="s">
        <v>142</v>
      </c>
      <c r="BC18" s="145"/>
      <c r="BD18" s="146" t="str">
        <f t="shared" si="90"/>
        <v>192.168.134.174</v>
      </c>
      <c r="BE18" s="174" t="str">
        <f t="shared" si="5"/>
        <v>NG</v>
      </c>
      <c r="BF18" s="146" t="str">
        <f t="shared" si="57"/>
        <v>192.168.134.174</v>
      </c>
      <c r="BG18" s="172" t="str">
        <f t="shared" si="109"/>
        <v>NG</v>
      </c>
      <c r="BH18" s="149" t="s">
        <v>142</v>
      </c>
      <c r="BI18" s="145"/>
      <c r="BJ18" s="146" t="str">
        <f t="shared" si="91"/>
        <v>192.168.134.174</v>
      </c>
      <c r="BK18" s="174" t="str">
        <f t="shared" si="6"/>
        <v>NG</v>
      </c>
      <c r="BL18" s="146" t="str">
        <f t="shared" si="58"/>
        <v>192.168.134.174</v>
      </c>
      <c r="BM18" s="172" t="str">
        <f t="shared" si="110"/>
        <v>NG</v>
      </c>
      <c r="BN18" s="149" t="s">
        <v>142</v>
      </c>
      <c r="BO18" s="145" t="s">
        <v>468</v>
      </c>
      <c r="BP18" s="146" t="str">
        <f t="shared" si="92"/>
        <v>192.168.134.174</v>
      </c>
      <c r="BQ18" s="174" t="str">
        <f t="shared" si="7"/>
        <v>OK</v>
      </c>
      <c r="BR18" s="146" t="str">
        <f t="shared" si="59"/>
        <v>192.168.134.174</v>
      </c>
      <c r="BS18" s="172" t="str">
        <f t="shared" si="111"/>
        <v>OK</v>
      </c>
      <c r="BT18" s="149" t="s">
        <v>142</v>
      </c>
      <c r="BU18" s="145" t="s">
        <v>468</v>
      </c>
      <c r="BV18" s="146" t="str">
        <f t="shared" si="93"/>
        <v>192.168.134.174</v>
      </c>
      <c r="BW18" s="174" t="str">
        <f t="shared" si="8"/>
        <v>OK</v>
      </c>
      <c r="BX18" s="146" t="str">
        <f t="shared" si="60"/>
        <v>192.168.134.174</v>
      </c>
      <c r="BY18" s="172" t="str">
        <f t="shared" si="112"/>
        <v>OK</v>
      </c>
      <c r="BZ18" s="149" t="s">
        <v>142</v>
      </c>
      <c r="CA18" s="145" t="s">
        <v>468</v>
      </c>
      <c r="CB18" s="146" t="str">
        <f t="shared" si="94"/>
        <v>192.168.134.174</v>
      </c>
      <c r="CC18" s="174" t="str">
        <f t="shared" si="9"/>
        <v>OK</v>
      </c>
      <c r="CD18" s="146" t="str">
        <f t="shared" si="61"/>
        <v>192.168.134.174</v>
      </c>
      <c r="CE18" s="172" t="str">
        <f t="shared" si="113"/>
        <v>OK</v>
      </c>
      <c r="CF18" s="149" t="s">
        <v>142</v>
      </c>
      <c r="CG18" s="145" t="s">
        <v>468</v>
      </c>
      <c r="CH18" s="146" t="str">
        <f t="shared" si="95"/>
        <v>192.168.134.174</v>
      </c>
      <c r="CI18" s="174" t="str">
        <f t="shared" si="10"/>
        <v>OK</v>
      </c>
      <c r="CJ18" s="146" t="str">
        <f t="shared" si="62"/>
        <v>192.168.134.174</v>
      </c>
      <c r="CK18" s="172" t="str">
        <f t="shared" si="114"/>
        <v>OK</v>
      </c>
      <c r="CL18" s="149" t="s">
        <v>142</v>
      </c>
      <c r="CM18" s="145"/>
      <c r="CN18" s="146" t="str">
        <f t="shared" si="96"/>
        <v>192.168.134.174</v>
      </c>
      <c r="CO18" s="174" t="str">
        <f t="shared" si="11"/>
        <v>NG</v>
      </c>
      <c r="CP18" s="146" t="str">
        <f t="shared" si="63"/>
        <v>192.168.134.174</v>
      </c>
      <c r="CQ18" s="172" t="str">
        <f t="shared" si="115"/>
        <v>NG</v>
      </c>
      <c r="CR18" s="149" t="s">
        <v>142</v>
      </c>
      <c r="CS18" s="145"/>
      <c r="CT18" s="146" t="str">
        <f t="shared" si="97"/>
        <v>192.168.134.174</v>
      </c>
      <c r="CU18" s="174" t="str">
        <f t="shared" si="12"/>
        <v>NG</v>
      </c>
      <c r="CV18" s="146" t="str">
        <f t="shared" si="64"/>
        <v>192.168.134.174</v>
      </c>
      <c r="CW18" s="172" t="str">
        <f t="shared" si="116"/>
        <v>NG</v>
      </c>
      <c r="CX18" s="149" t="s">
        <v>142</v>
      </c>
      <c r="CY18" s="145"/>
      <c r="CZ18" s="146" t="str">
        <f t="shared" si="98"/>
        <v>192.168.134.174</v>
      </c>
      <c r="DA18" s="174" t="str">
        <f t="shared" si="13"/>
        <v>NG</v>
      </c>
      <c r="DB18" s="146" t="str">
        <f t="shared" si="65"/>
        <v>192.168.134.174</v>
      </c>
      <c r="DC18" s="172" t="str">
        <f t="shared" si="117"/>
        <v>NG</v>
      </c>
      <c r="DD18" s="149" t="s">
        <v>142</v>
      </c>
      <c r="DE18" s="145"/>
      <c r="DF18" s="146" t="str">
        <f t="shared" si="99"/>
        <v>192.168.134.174</v>
      </c>
      <c r="DG18" s="174" t="str">
        <f t="shared" si="14"/>
        <v>NG</v>
      </c>
      <c r="DH18" s="146" t="str">
        <f t="shared" si="66"/>
        <v>192.168.134.174</v>
      </c>
      <c r="DI18" s="172" t="str">
        <f t="shared" si="118"/>
        <v>NG</v>
      </c>
      <c r="DJ18" s="149" t="s">
        <v>142</v>
      </c>
      <c r="DK18" s="145"/>
      <c r="DL18" s="146" t="str">
        <f t="shared" si="100"/>
        <v>192.168.134.174</v>
      </c>
      <c r="DM18" s="174" t="str">
        <f t="shared" si="15"/>
        <v>NG</v>
      </c>
      <c r="DN18" s="146" t="str">
        <f t="shared" si="67"/>
        <v>192.168.134.174</v>
      </c>
      <c r="DO18" s="172" t="str">
        <f t="shared" si="119"/>
        <v>NG</v>
      </c>
      <c r="DP18" s="149" t="s">
        <v>142</v>
      </c>
      <c r="DQ18" s="145"/>
      <c r="DR18" s="146" t="str">
        <f t="shared" si="79"/>
        <v>192.168.134.174</v>
      </c>
      <c r="DS18" s="174" t="str">
        <f t="shared" si="16"/>
        <v>NG</v>
      </c>
      <c r="DT18" s="146" t="str">
        <f t="shared" si="68"/>
        <v>192.168.134.174</v>
      </c>
      <c r="DU18" s="172" t="str">
        <f t="shared" si="120"/>
        <v>NG</v>
      </c>
      <c r="DV18" s="149" t="s">
        <v>142</v>
      </c>
      <c r="DW18" s="145"/>
      <c r="DX18" s="146" t="str">
        <f t="shared" si="80"/>
        <v>192.168.134.174</v>
      </c>
      <c r="DY18" s="174" t="str">
        <f t="shared" si="17"/>
        <v>NG</v>
      </c>
      <c r="DZ18" s="146" t="str">
        <f t="shared" si="69"/>
        <v>192.168.134.174</v>
      </c>
      <c r="EA18" s="172" t="str">
        <f t="shared" si="121"/>
        <v>NG</v>
      </c>
      <c r="EB18" s="149" t="s">
        <v>142</v>
      </c>
      <c r="EC18" s="145"/>
      <c r="ED18" s="146" t="str">
        <f t="shared" si="81"/>
        <v>192.168.134.174</v>
      </c>
      <c r="EE18" s="174" t="str">
        <f t="shared" si="18"/>
        <v>NG</v>
      </c>
      <c r="EF18" s="146" t="str">
        <f t="shared" si="70"/>
        <v>192.168.134.174</v>
      </c>
      <c r="EG18" s="172" t="str">
        <f t="shared" si="122"/>
        <v>NG</v>
      </c>
      <c r="EH18" s="149" t="s">
        <v>142</v>
      </c>
      <c r="EI18" s="145"/>
      <c r="EJ18" s="146" t="str">
        <f t="shared" si="82"/>
        <v>192.168.134.174</v>
      </c>
      <c r="EK18" s="174" t="str">
        <f t="shared" si="19"/>
        <v>NG</v>
      </c>
      <c r="EL18" s="146" t="str">
        <f t="shared" si="71"/>
        <v>192.168.134.174</v>
      </c>
      <c r="EM18" s="172" t="str">
        <f t="shared" si="123"/>
        <v>NG</v>
      </c>
      <c r="EN18" s="149" t="s">
        <v>142</v>
      </c>
      <c r="EO18" s="145"/>
      <c r="EP18" s="146" t="str">
        <f t="shared" si="83"/>
        <v>192.168.134.174</v>
      </c>
      <c r="EQ18" s="174" t="str">
        <f t="shared" si="20"/>
        <v>NG</v>
      </c>
      <c r="ER18" s="146" t="str">
        <f t="shared" si="72"/>
        <v>192.168.134.174</v>
      </c>
      <c r="ES18" s="172" t="str">
        <f t="shared" si="124"/>
        <v>NG</v>
      </c>
      <c r="ET18" s="149" t="s">
        <v>142</v>
      </c>
      <c r="EU18" s="145"/>
      <c r="EV18" s="146" t="str">
        <f t="shared" si="84"/>
        <v>192.168.134.174</v>
      </c>
      <c r="EW18" s="174" t="str">
        <f t="shared" si="21"/>
        <v>NG</v>
      </c>
      <c r="EX18" s="146" t="str">
        <f t="shared" si="73"/>
        <v>192.168.134.174</v>
      </c>
      <c r="EY18" s="172" t="str">
        <f t="shared" si="125"/>
        <v>NG</v>
      </c>
      <c r="EZ18" s="149" t="s">
        <v>142</v>
      </c>
      <c r="FA18" s="145"/>
      <c r="FB18" s="146" t="str">
        <f t="shared" si="85"/>
        <v>192.168.134.174</v>
      </c>
      <c r="FC18" s="174" t="str">
        <f t="shared" si="22"/>
        <v>NG</v>
      </c>
      <c r="FD18" s="146" t="str">
        <f t="shared" si="74"/>
        <v>192.168.134.174</v>
      </c>
      <c r="FE18" s="172" t="str">
        <f t="shared" si="126"/>
        <v>NG</v>
      </c>
      <c r="FF18" s="149" t="s">
        <v>142</v>
      </c>
      <c r="FG18" s="145"/>
      <c r="FH18" s="146" t="str">
        <f t="shared" si="101"/>
        <v>192.168.134.174</v>
      </c>
      <c r="FI18" s="174" t="str">
        <f t="shared" si="23"/>
        <v>NG</v>
      </c>
      <c r="FJ18" s="146" t="str">
        <f t="shared" si="75"/>
        <v>192.168.134.174</v>
      </c>
      <c r="FK18" s="172" t="str">
        <f t="shared" si="127"/>
        <v>NG</v>
      </c>
      <c r="FL18" s="149" t="s">
        <v>142</v>
      </c>
      <c r="FM18" s="145"/>
      <c r="FN18" s="146" t="str">
        <f t="shared" si="102"/>
        <v>192.168.134.174</v>
      </c>
      <c r="FO18" s="174" t="str">
        <f t="shared" si="24"/>
        <v>NG</v>
      </c>
      <c r="FP18" s="146" t="str">
        <f t="shared" si="76"/>
        <v>192.168.134.174</v>
      </c>
      <c r="FQ18" s="172" t="str">
        <f t="shared" si="128"/>
        <v>NG</v>
      </c>
      <c r="FR18" s="149" t="s">
        <v>142</v>
      </c>
      <c r="FS18" s="145"/>
      <c r="FT18" s="146" t="str">
        <f t="shared" si="103"/>
        <v>192.168.134.174</v>
      </c>
      <c r="FU18" s="174" t="str">
        <f t="shared" si="25"/>
        <v>NG</v>
      </c>
      <c r="FV18" s="146" t="str">
        <f t="shared" si="77"/>
        <v>192.168.134.174</v>
      </c>
      <c r="FW18" s="172" t="str">
        <f t="shared" si="129"/>
        <v>NG</v>
      </c>
      <c r="FX18" s="149" t="s">
        <v>142</v>
      </c>
      <c r="FY18" s="145"/>
      <c r="FZ18" s="146" t="str">
        <f t="shared" si="104"/>
        <v>192.168.134.174</v>
      </c>
      <c r="GA18" s="174" t="str">
        <f t="shared" si="26"/>
        <v>NG</v>
      </c>
      <c r="GB18" s="146" t="str">
        <f t="shared" si="78"/>
        <v>192.168.134.174</v>
      </c>
      <c r="GC18" s="172" t="str">
        <f t="shared" si="130"/>
        <v>NG</v>
      </c>
    </row>
    <row r="19" spans="1:185" s="52" customFormat="1" ht="63.75">
      <c r="B19" s="53">
        <v>11</v>
      </c>
      <c r="C19" s="37"/>
      <c r="D19" s="37"/>
      <c r="E19" s="37"/>
      <c r="F19" s="54" t="s">
        <v>8</v>
      </c>
      <c r="G19" s="54"/>
      <c r="H19" s="55"/>
      <c r="I19" s="56"/>
      <c r="J19" s="56" t="s">
        <v>78</v>
      </c>
      <c r="K19" s="57"/>
      <c r="L19" s="57"/>
      <c r="M19" s="88" t="s">
        <v>59</v>
      </c>
      <c r="N19" s="58" t="s">
        <v>88</v>
      </c>
      <c r="O19" s="59"/>
      <c r="P19" s="45">
        <v>8</v>
      </c>
      <c r="Q19" s="60">
        <v>6</v>
      </c>
      <c r="R19" s="41" t="s">
        <v>81</v>
      </c>
      <c r="S19" s="43"/>
      <c r="T19" s="43"/>
      <c r="U19" s="41" t="s">
        <v>77</v>
      </c>
      <c r="V19" s="44"/>
      <c r="W19" s="61">
        <v>3</v>
      </c>
      <c r="X19" s="62" t="s">
        <v>89</v>
      </c>
      <c r="Y19" s="62">
        <v>6</v>
      </c>
      <c r="Z19" s="62">
        <v>6</v>
      </c>
      <c r="AA19" s="57" t="s">
        <v>81</v>
      </c>
      <c r="AB19" s="42" t="s">
        <v>77</v>
      </c>
      <c r="AC19" s="150"/>
      <c r="AD19" s="147" t="s">
        <v>143</v>
      </c>
      <c r="AE19" s="145"/>
      <c r="AF19" s="146" t="str">
        <f t="shared" si="86"/>
        <v>ORANGE</v>
      </c>
      <c r="AG19" s="174" t="str">
        <f t="shared" si="1"/>
        <v>NG</v>
      </c>
      <c r="AH19" s="146" t="str">
        <f t="shared" si="53"/>
        <v>ORANGE</v>
      </c>
      <c r="AI19" s="172" t="str">
        <f t="shared" si="105"/>
        <v>NG</v>
      </c>
      <c r="AJ19" s="147" t="s">
        <v>143</v>
      </c>
      <c r="AK19" s="145"/>
      <c r="AL19" s="146" t="str">
        <f t="shared" si="87"/>
        <v>ORANGE</v>
      </c>
      <c r="AM19" s="174" t="str">
        <f t="shared" si="2"/>
        <v>NG</v>
      </c>
      <c r="AN19" s="146" t="str">
        <f t="shared" si="54"/>
        <v>ORANGE</v>
      </c>
      <c r="AO19" s="172" t="str">
        <f t="shared" si="106"/>
        <v>NG</v>
      </c>
      <c r="AP19" s="147" t="s">
        <v>143</v>
      </c>
      <c r="AQ19" s="145"/>
      <c r="AR19" s="146" t="str">
        <f t="shared" si="88"/>
        <v>ORANGE</v>
      </c>
      <c r="AS19" s="174" t="str">
        <f t="shared" si="3"/>
        <v>NG</v>
      </c>
      <c r="AT19" s="146" t="str">
        <f t="shared" si="55"/>
        <v>ORANGE</v>
      </c>
      <c r="AU19" s="172" t="str">
        <f t="shared" si="107"/>
        <v>NG</v>
      </c>
      <c r="AV19" s="147" t="s">
        <v>143</v>
      </c>
      <c r="AW19" s="145"/>
      <c r="AX19" s="146" t="str">
        <f t="shared" si="89"/>
        <v>ORANGE</v>
      </c>
      <c r="AY19" s="174" t="str">
        <f t="shared" si="4"/>
        <v>NG</v>
      </c>
      <c r="AZ19" s="146" t="str">
        <f t="shared" si="56"/>
        <v>ORANGE</v>
      </c>
      <c r="BA19" s="172" t="str">
        <f t="shared" si="108"/>
        <v>NG</v>
      </c>
      <c r="BB19" s="147" t="s">
        <v>143</v>
      </c>
      <c r="BC19" s="145"/>
      <c r="BD19" s="146" t="str">
        <f t="shared" si="90"/>
        <v>ORANGE</v>
      </c>
      <c r="BE19" s="174" t="str">
        <f t="shared" si="5"/>
        <v>NG</v>
      </c>
      <c r="BF19" s="146" t="str">
        <f t="shared" si="57"/>
        <v>ORANGE</v>
      </c>
      <c r="BG19" s="172" t="str">
        <f t="shared" si="109"/>
        <v>NG</v>
      </c>
      <c r="BH19" s="147" t="s">
        <v>143</v>
      </c>
      <c r="BI19" s="145"/>
      <c r="BJ19" s="146" t="str">
        <f t="shared" si="91"/>
        <v>ORANGE</v>
      </c>
      <c r="BK19" s="174" t="str">
        <f t="shared" si="6"/>
        <v>NG</v>
      </c>
      <c r="BL19" s="146" t="str">
        <f t="shared" si="58"/>
        <v>ORANGE</v>
      </c>
      <c r="BM19" s="172" t="str">
        <f t="shared" si="110"/>
        <v>NG</v>
      </c>
      <c r="BN19" s="147" t="s">
        <v>143</v>
      </c>
      <c r="BO19" s="145" t="s">
        <v>469</v>
      </c>
      <c r="BP19" s="146" t="str">
        <f t="shared" si="92"/>
        <v>ORANGE</v>
      </c>
      <c r="BQ19" s="174" t="str">
        <f t="shared" si="7"/>
        <v>OK</v>
      </c>
      <c r="BR19" s="146" t="str">
        <f t="shared" si="59"/>
        <v>ORANGE</v>
      </c>
      <c r="BS19" s="172" t="str">
        <f t="shared" si="111"/>
        <v>OK</v>
      </c>
      <c r="BT19" s="147" t="s">
        <v>143</v>
      </c>
      <c r="BU19" s="145" t="s">
        <v>469</v>
      </c>
      <c r="BV19" s="146" t="str">
        <f t="shared" si="93"/>
        <v>ORANGE</v>
      </c>
      <c r="BW19" s="174" t="str">
        <f t="shared" si="8"/>
        <v>OK</v>
      </c>
      <c r="BX19" s="146" t="str">
        <f t="shared" si="60"/>
        <v>ORANGE</v>
      </c>
      <c r="BY19" s="172" t="str">
        <f t="shared" si="112"/>
        <v>OK</v>
      </c>
      <c r="BZ19" s="147" t="s">
        <v>143</v>
      </c>
      <c r="CA19" s="145" t="s">
        <v>469</v>
      </c>
      <c r="CB19" s="146" t="str">
        <f t="shared" si="94"/>
        <v>ORANGE</v>
      </c>
      <c r="CC19" s="174" t="str">
        <f t="shared" si="9"/>
        <v>OK</v>
      </c>
      <c r="CD19" s="146" t="str">
        <f t="shared" si="61"/>
        <v>ORANGE</v>
      </c>
      <c r="CE19" s="172" t="str">
        <f t="shared" si="113"/>
        <v>OK</v>
      </c>
      <c r="CF19" s="147" t="s">
        <v>143</v>
      </c>
      <c r="CG19" s="145" t="s">
        <v>469</v>
      </c>
      <c r="CH19" s="146" t="str">
        <f t="shared" si="95"/>
        <v>ORANGE</v>
      </c>
      <c r="CI19" s="174" t="str">
        <f t="shared" si="10"/>
        <v>OK</v>
      </c>
      <c r="CJ19" s="146" t="str">
        <f t="shared" si="62"/>
        <v>ORANGE</v>
      </c>
      <c r="CK19" s="172" t="str">
        <f t="shared" si="114"/>
        <v>OK</v>
      </c>
      <c r="CL19" s="147" t="s">
        <v>143</v>
      </c>
      <c r="CM19" s="145"/>
      <c r="CN19" s="146" t="str">
        <f t="shared" si="96"/>
        <v>ORANGE</v>
      </c>
      <c r="CO19" s="174" t="str">
        <f t="shared" si="11"/>
        <v>NG</v>
      </c>
      <c r="CP19" s="146" t="str">
        <f t="shared" si="63"/>
        <v>ORANGE</v>
      </c>
      <c r="CQ19" s="172" t="str">
        <f t="shared" si="115"/>
        <v>NG</v>
      </c>
      <c r="CR19" s="147" t="s">
        <v>143</v>
      </c>
      <c r="CS19" s="145"/>
      <c r="CT19" s="146" t="str">
        <f t="shared" si="97"/>
        <v>ORANGE</v>
      </c>
      <c r="CU19" s="174" t="str">
        <f t="shared" si="12"/>
        <v>NG</v>
      </c>
      <c r="CV19" s="146" t="str">
        <f t="shared" si="64"/>
        <v>ORANGE</v>
      </c>
      <c r="CW19" s="172" t="str">
        <f t="shared" si="116"/>
        <v>NG</v>
      </c>
      <c r="CX19" s="147" t="s">
        <v>143</v>
      </c>
      <c r="CY19" s="145"/>
      <c r="CZ19" s="146" t="str">
        <f t="shared" si="98"/>
        <v>ORANGE</v>
      </c>
      <c r="DA19" s="174" t="str">
        <f t="shared" si="13"/>
        <v>NG</v>
      </c>
      <c r="DB19" s="146" t="str">
        <f t="shared" si="65"/>
        <v>ORANGE</v>
      </c>
      <c r="DC19" s="172" t="str">
        <f t="shared" si="117"/>
        <v>NG</v>
      </c>
      <c r="DD19" s="147" t="s">
        <v>143</v>
      </c>
      <c r="DE19" s="145"/>
      <c r="DF19" s="146" t="str">
        <f t="shared" si="99"/>
        <v>ORANGE</v>
      </c>
      <c r="DG19" s="174" t="str">
        <f t="shared" si="14"/>
        <v>NG</v>
      </c>
      <c r="DH19" s="146" t="str">
        <f t="shared" si="66"/>
        <v>ORANGE</v>
      </c>
      <c r="DI19" s="172" t="str">
        <f t="shared" si="118"/>
        <v>NG</v>
      </c>
      <c r="DJ19" s="147" t="s">
        <v>143</v>
      </c>
      <c r="DK19" s="145"/>
      <c r="DL19" s="146" t="str">
        <f t="shared" si="100"/>
        <v>ORANGE</v>
      </c>
      <c r="DM19" s="174" t="str">
        <f t="shared" si="15"/>
        <v>NG</v>
      </c>
      <c r="DN19" s="146" t="str">
        <f t="shared" si="67"/>
        <v>ORANGE</v>
      </c>
      <c r="DO19" s="172" t="str">
        <f t="shared" si="119"/>
        <v>NG</v>
      </c>
      <c r="DP19" s="147" t="s">
        <v>143</v>
      </c>
      <c r="DQ19" s="145"/>
      <c r="DR19" s="146" t="str">
        <f t="shared" si="79"/>
        <v>ORANGE</v>
      </c>
      <c r="DS19" s="174" t="str">
        <f t="shared" si="16"/>
        <v>NG</v>
      </c>
      <c r="DT19" s="146" t="str">
        <f t="shared" si="68"/>
        <v>ORANGE</v>
      </c>
      <c r="DU19" s="172" t="str">
        <f t="shared" si="120"/>
        <v>NG</v>
      </c>
      <c r="DV19" s="147" t="s">
        <v>143</v>
      </c>
      <c r="DW19" s="145"/>
      <c r="DX19" s="146" t="str">
        <f t="shared" si="80"/>
        <v>ORANGE</v>
      </c>
      <c r="DY19" s="174" t="str">
        <f t="shared" si="17"/>
        <v>NG</v>
      </c>
      <c r="DZ19" s="146" t="str">
        <f t="shared" si="69"/>
        <v>ORANGE</v>
      </c>
      <c r="EA19" s="172" t="str">
        <f t="shared" si="121"/>
        <v>NG</v>
      </c>
      <c r="EB19" s="147" t="s">
        <v>143</v>
      </c>
      <c r="EC19" s="145"/>
      <c r="ED19" s="146" t="str">
        <f t="shared" si="81"/>
        <v>ORANGE</v>
      </c>
      <c r="EE19" s="174" t="str">
        <f t="shared" si="18"/>
        <v>NG</v>
      </c>
      <c r="EF19" s="146" t="str">
        <f t="shared" si="70"/>
        <v>ORANGE</v>
      </c>
      <c r="EG19" s="172" t="str">
        <f t="shared" si="122"/>
        <v>NG</v>
      </c>
      <c r="EH19" s="147" t="s">
        <v>143</v>
      </c>
      <c r="EI19" s="145"/>
      <c r="EJ19" s="146" t="str">
        <f t="shared" si="82"/>
        <v>ORANGE</v>
      </c>
      <c r="EK19" s="174" t="str">
        <f t="shared" si="19"/>
        <v>NG</v>
      </c>
      <c r="EL19" s="146" t="str">
        <f t="shared" si="71"/>
        <v>ORANGE</v>
      </c>
      <c r="EM19" s="172" t="str">
        <f t="shared" si="123"/>
        <v>NG</v>
      </c>
      <c r="EN19" s="147" t="s">
        <v>143</v>
      </c>
      <c r="EO19" s="145"/>
      <c r="EP19" s="146" t="str">
        <f t="shared" si="83"/>
        <v>ORANGE</v>
      </c>
      <c r="EQ19" s="174" t="str">
        <f t="shared" si="20"/>
        <v>NG</v>
      </c>
      <c r="ER19" s="146" t="str">
        <f t="shared" si="72"/>
        <v>ORANGE</v>
      </c>
      <c r="ES19" s="172" t="str">
        <f t="shared" si="124"/>
        <v>NG</v>
      </c>
      <c r="ET19" s="147" t="s">
        <v>143</v>
      </c>
      <c r="EU19" s="145"/>
      <c r="EV19" s="146" t="str">
        <f t="shared" si="84"/>
        <v>ORANGE</v>
      </c>
      <c r="EW19" s="174" t="str">
        <f t="shared" si="21"/>
        <v>NG</v>
      </c>
      <c r="EX19" s="146" t="str">
        <f t="shared" si="73"/>
        <v>ORANGE</v>
      </c>
      <c r="EY19" s="172" t="str">
        <f t="shared" si="125"/>
        <v>NG</v>
      </c>
      <c r="EZ19" s="147" t="s">
        <v>143</v>
      </c>
      <c r="FA19" s="145"/>
      <c r="FB19" s="146" t="str">
        <f t="shared" si="85"/>
        <v>ORANGE</v>
      </c>
      <c r="FC19" s="174" t="str">
        <f t="shared" si="22"/>
        <v>NG</v>
      </c>
      <c r="FD19" s="146" t="str">
        <f t="shared" si="74"/>
        <v>ORANGE</v>
      </c>
      <c r="FE19" s="172" t="str">
        <f t="shared" si="126"/>
        <v>NG</v>
      </c>
      <c r="FF19" s="147" t="s">
        <v>143</v>
      </c>
      <c r="FG19" s="145"/>
      <c r="FH19" s="146" t="str">
        <f t="shared" si="101"/>
        <v>ORANGE</v>
      </c>
      <c r="FI19" s="174" t="str">
        <f t="shared" si="23"/>
        <v>NG</v>
      </c>
      <c r="FJ19" s="146" t="str">
        <f t="shared" si="75"/>
        <v>ORANGE</v>
      </c>
      <c r="FK19" s="172" t="str">
        <f t="shared" si="127"/>
        <v>NG</v>
      </c>
      <c r="FL19" s="147" t="s">
        <v>143</v>
      </c>
      <c r="FM19" s="145"/>
      <c r="FN19" s="146" t="str">
        <f t="shared" si="102"/>
        <v>ORANGE</v>
      </c>
      <c r="FO19" s="174" t="str">
        <f t="shared" si="24"/>
        <v>NG</v>
      </c>
      <c r="FP19" s="146" t="str">
        <f t="shared" si="76"/>
        <v>ORANGE</v>
      </c>
      <c r="FQ19" s="172" t="str">
        <f t="shared" si="128"/>
        <v>NG</v>
      </c>
      <c r="FR19" s="147" t="s">
        <v>143</v>
      </c>
      <c r="FS19" s="145"/>
      <c r="FT19" s="146" t="str">
        <f t="shared" si="103"/>
        <v>ORANGE</v>
      </c>
      <c r="FU19" s="174" t="str">
        <f t="shared" si="25"/>
        <v>NG</v>
      </c>
      <c r="FV19" s="146" t="str">
        <f t="shared" si="77"/>
        <v>ORANGE</v>
      </c>
      <c r="FW19" s="172" t="str">
        <f t="shared" si="129"/>
        <v>NG</v>
      </c>
      <c r="FX19" s="147" t="s">
        <v>143</v>
      </c>
      <c r="FY19" s="145"/>
      <c r="FZ19" s="146" t="str">
        <f t="shared" si="104"/>
        <v>ORANGE</v>
      </c>
      <c r="GA19" s="174" t="str">
        <f t="shared" si="26"/>
        <v>NG</v>
      </c>
      <c r="GB19" s="146" t="str">
        <f t="shared" si="78"/>
        <v>ORANGE</v>
      </c>
      <c r="GC19" s="172" t="str">
        <f t="shared" si="130"/>
        <v>NG</v>
      </c>
    </row>
    <row r="20" spans="1:185" s="52" customFormat="1" ht="76.5">
      <c r="B20" s="53">
        <v>12</v>
      </c>
      <c r="C20" s="37"/>
      <c r="D20" s="37"/>
      <c r="E20" s="35"/>
      <c r="F20" s="54" t="s">
        <v>54</v>
      </c>
      <c r="G20" s="54"/>
      <c r="H20" s="55"/>
      <c r="I20" s="56"/>
      <c r="J20" s="56" t="s">
        <v>78</v>
      </c>
      <c r="K20" s="57"/>
      <c r="L20" s="57"/>
      <c r="M20" s="88" t="s">
        <v>90</v>
      </c>
      <c r="N20" s="57"/>
      <c r="O20" s="59"/>
      <c r="P20" s="45">
        <v>9</v>
      </c>
      <c r="Q20" s="60">
        <v>8</v>
      </c>
      <c r="R20" s="41" t="s">
        <v>81</v>
      </c>
      <c r="S20" s="43"/>
      <c r="T20" s="43"/>
      <c r="U20" s="41" t="s">
        <v>77</v>
      </c>
      <c r="V20" s="44"/>
      <c r="W20" s="61">
        <v>3</v>
      </c>
      <c r="X20" s="62" t="s">
        <v>91</v>
      </c>
      <c r="Y20" s="62">
        <v>6</v>
      </c>
      <c r="Z20" s="62">
        <v>8</v>
      </c>
      <c r="AA20" s="57" t="s">
        <v>81</v>
      </c>
      <c r="AB20" s="42" t="s">
        <v>77</v>
      </c>
      <c r="AC20" s="151" t="s">
        <v>484</v>
      </c>
      <c r="AD20" s="147" t="s">
        <v>393</v>
      </c>
      <c r="AE20" s="145"/>
      <c r="AF20" s="146" t="str">
        <f t="shared" si="86"/>
        <v>ORANGE01</v>
      </c>
      <c r="AG20" s="174" t="str">
        <f t="shared" si="1"/>
        <v>NG</v>
      </c>
      <c r="AH20" s="146" t="str">
        <f t="shared" si="53"/>
        <v>ORANGE01</v>
      </c>
      <c r="AI20" s="172" t="str">
        <f t="shared" si="105"/>
        <v>NG</v>
      </c>
      <c r="AJ20" s="147" t="s">
        <v>393</v>
      </c>
      <c r="AK20" s="145"/>
      <c r="AL20" s="146" t="str">
        <f t="shared" si="87"/>
        <v>ORANGE01</v>
      </c>
      <c r="AM20" s="174" t="str">
        <f t="shared" si="2"/>
        <v>NG</v>
      </c>
      <c r="AN20" s="146" t="str">
        <f t="shared" si="54"/>
        <v>ORANGE01</v>
      </c>
      <c r="AO20" s="172" t="str">
        <f t="shared" si="106"/>
        <v>NG</v>
      </c>
      <c r="AP20" s="147" t="s">
        <v>393</v>
      </c>
      <c r="AQ20" s="145"/>
      <c r="AR20" s="146" t="str">
        <f t="shared" si="88"/>
        <v>ORANGE01</v>
      </c>
      <c r="AS20" s="174" t="str">
        <f t="shared" si="3"/>
        <v>NG</v>
      </c>
      <c r="AT20" s="146" t="str">
        <f t="shared" si="55"/>
        <v>ORANGE01</v>
      </c>
      <c r="AU20" s="172" t="str">
        <f t="shared" si="107"/>
        <v>NG</v>
      </c>
      <c r="AV20" s="147" t="s">
        <v>393</v>
      </c>
      <c r="AW20" s="145"/>
      <c r="AX20" s="146" t="str">
        <f t="shared" si="89"/>
        <v>ORANGE01</v>
      </c>
      <c r="AY20" s="174" t="str">
        <f t="shared" si="4"/>
        <v>NG</v>
      </c>
      <c r="AZ20" s="146" t="str">
        <f t="shared" si="56"/>
        <v>ORANGE01</v>
      </c>
      <c r="BA20" s="172" t="str">
        <f t="shared" si="108"/>
        <v>NG</v>
      </c>
      <c r="BB20" s="147" t="s">
        <v>393</v>
      </c>
      <c r="BC20" s="145"/>
      <c r="BD20" s="146" t="str">
        <f t="shared" si="90"/>
        <v>ORANGE01</v>
      </c>
      <c r="BE20" s="174" t="str">
        <f t="shared" si="5"/>
        <v>NG</v>
      </c>
      <c r="BF20" s="146" t="str">
        <f t="shared" si="57"/>
        <v>ORANGE01</v>
      </c>
      <c r="BG20" s="172" t="str">
        <f t="shared" si="109"/>
        <v>NG</v>
      </c>
      <c r="BH20" s="147" t="s">
        <v>393</v>
      </c>
      <c r="BI20" s="145"/>
      <c r="BJ20" s="146" t="str">
        <f t="shared" si="91"/>
        <v>ORANGE01</v>
      </c>
      <c r="BK20" s="174" t="str">
        <f t="shared" si="6"/>
        <v>NG</v>
      </c>
      <c r="BL20" s="146" t="str">
        <f t="shared" si="58"/>
        <v>ORANGE01</v>
      </c>
      <c r="BM20" s="172" t="str">
        <f t="shared" si="110"/>
        <v>NG</v>
      </c>
      <c r="BN20" s="147" t="s">
        <v>393</v>
      </c>
      <c r="BO20" s="145" t="s">
        <v>393</v>
      </c>
      <c r="BP20" s="146" t="str">
        <f t="shared" si="92"/>
        <v>ORANGE01</v>
      </c>
      <c r="BQ20" s="174" t="str">
        <f t="shared" si="7"/>
        <v>OK</v>
      </c>
      <c r="BR20" s="146" t="str">
        <f t="shared" si="59"/>
        <v>ORANGE01</v>
      </c>
      <c r="BS20" s="172" t="str">
        <f t="shared" si="111"/>
        <v>OK</v>
      </c>
      <c r="BT20" s="147" t="s">
        <v>393</v>
      </c>
      <c r="BU20" s="145" t="s">
        <v>393</v>
      </c>
      <c r="BV20" s="146" t="str">
        <f t="shared" si="93"/>
        <v>ORANGE01</v>
      </c>
      <c r="BW20" s="174" t="str">
        <f t="shared" si="8"/>
        <v>OK</v>
      </c>
      <c r="BX20" s="146" t="str">
        <f t="shared" si="60"/>
        <v>ORANGE01</v>
      </c>
      <c r="BY20" s="172" t="str">
        <f t="shared" si="112"/>
        <v>OK</v>
      </c>
      <c r="BZ20" s="147" t="s">
        <v>393</v>
      </c>
      <c r="CA20" s="145" t="s">
        <v>393</v>
      </c>
      <c r="CB20" s="146" t="str">
        <f t="shared" si="94"/>
        <v>ORANGE01</v>
      </c>
      <c r="CC20" s="174" t="str">
        <f t="shared" si="9"/>
        <v>OK</v>
      </c>
      <c r="CD20" s="146" t="str">
        <f t="shared" si="61"/>
        <v>ORANGE01</v>
      </c>
      <c r="CE20" s="172" t="str">
        <f t="shared" si="113"/>
        <v>OK</v>
      </c>
      <c r="CF20" s="147" t="s">
        <v>393</v>
      </c>
      <c r="CG20" s="145" t="s">
        <v>393</v>
      </c>
      <c r="CH20" s="146" t="str">
        <f t="shared" si="95"/>
        <v>ORANGE01</v>
      </c>
      <c r="CI20" s="174" t="str">
        <f t="shared" si="10"/>
        <v>OK</v>
      </c>
      <c r="CJ20" s="146" t="str">
        <f t="shared" si="62"/>
        <v>ORANGE01</v>
      </c>
      <c r="CK20" s="172" t="str">
        <f t="shared" si="114"/>
        <v>OK</v>
      </c>
      <c r="CL20" s="147" t="s">
        <v>393</v>
      </c>
      <c r="CM20" s="145"/>
      <c r="CN20" s="146" t="str">
        <f t="shared" si="96"/>
        <v>ORANGE01</v>
      </c>
      <c r="CO20" s="174" t="str">
        <f t="shared" si="11"/>
        <v>NG</v>
      </c>
      <c r="CP20" s="146" t="str">
        <f t="shared" si="63"/>
        <v>ORANGE01</v>
      </c>
      <c r="CQ20" s="172" t="str">
        <f t="shared" si="115"/>
        <v>NG</v>
      </c>
      <c r="CR20" s="147" t="s">
        <v>393</v>
      </c>
      <c r="CS20" s="145"/>
      <c r="CT20" s="146" t="str">
        <f t="shared" si="97"/>
        <v>ORANGE01</v>
      </c>
      <c r="CU20" s="174" t="str">
        <f t="shared" si="12"/>
        <v>NG</v>
      </c>
      <c r="CV20" s="146" t="str">
        <f t="shared" si="64"/>
        <v>ORANGE01</v>
      </c>
      <c r="CW20" s="172" t="str">
        <f t="shared" si="116"/>
        <v>NG</v>
      </c>
      <c r="CX20" s="147" t="s">
        <v>393</v>
      </c>
      <c r="CY20" s="145"/>
      <c r="CZ20" s="146" t="str">
        <f t="shared" si="98"/>
        <v>ORANGE01</v>
      </c>
      <c r="DA20" s="174" t="str">
        <f t="shared" si="13"/>
        <v>NG</v>
      </c>
      <c r="DB20" s="146" t="str">
        <f t="shared" si="65"/>
        <v>ORANGE01</v>
      </c>
      <c r="DC20" s="172" t="str">
        <f t="shared" si="117"/>
        <v>NG</v>
      </c>
      <c r="DD20" s="147" t="s">
        <v>393</v>
      </c>
      <c r="DE20" s="145"/>
      <c r="DF20" s="146" t="str">
        <f t="shared" si="99"/>
        <v>ORANGE01</v>
      </c>
      <c r="DG20" s="174" t="str">
        <f t="shared" si="14"/>
        <v>NG</v>
      </c>
      <c r="DH20" s="146" t="str">
        <f t="shared" si="66"/>
        <v>ORANGE01</v>
      </c>
      <c r="DI20" s="172" t="str">
        <f t="shared" si="118"/>
        <v>NG</v>
      </c>
      <c r="DJ20" s="147" t="s">
        <v>393</v>
      </c>
      <c r="DK20" s="145"/>
      <c r="DL20" s="146" t="str">
        <f t="shared" si="100"/>
        <v>ORANGE01</v>
      </c>
      <c r="DM20" s="174" t="str">
        <f t="shared" si="15"/>
        <v>NG</v>
      </c>
      <c r="DN20" s="146" t="str">
        <f t="shared" si="67"/>
        <v>ORANGE01</v>
      </c>
      <c r="DO20" s="172" t="str">
        <f t="shared" si="119"/>
        <v>NG</v>
      </c>
      <c r="DP20" s="147" t="s">
        <v>393</v>
      </c>
      <c r="DQ20" s="145"/>
      <c r="DR20" s="146" t="str">
        <f t="shared" si="79"/>
        <v>ORANGE01</v>
      </c>
      <c r="DS20" s="174" t="str">
        <f t="shared" si="16"/>
        <v>NG</v>
      </c>
      <c r="DT20" s="146" t="str">
        <f t="shared" si="68"/>
        <v>ORANGE01</v>
      </c>
      <c r="DU20" s="172" t="str">
        <f t="shared" si="120"/>
        <v>NG</v>
      </c>
      <c r="DV20" s="147" t="s">
        <v>393</v>
      </c>
      <c r="DW20" s="145"/>
      <c r="DX20" s="146" t="str">
        <f t="shared" si="80"/>
        <v>ORANGE01</v>
      </c>
      <c r="DY20" s="174" t="str">
        <f t="shared" si="17"/>
        <v>NG</v>
      </c>
      <c r="DZ20" s="146" t="str">
        <f t="shared" si="69"/>
        <v>ORANGE01</v>
      </c>
      <c r="EA20" s="172" t="str">
        <f t="shared" si="121"/>
        <v>NG</v>
      </c>
      <c r="EB20" s="147" t="s">
        <v>393</v>
      </c>
      <c r="EC20" s="145"/>
      <c r="ED20" s="146" t="str">
        <f t="shared" si="81"/>
        <v>ORANGE01</v>
      </c>
      <c r="EE20" s="174" t="str">
        <f t="shared" si="18"/>
        <v>NG</v>
      </c>
      <c r="EF20" s="146" t="str">
        <f t="shared" si="70"/>
        <v>ORANGE01</v>
      </c>
      <c r="EG20" s="172" t="str">
        <f t="shared" si="122"/>
        <v>NG</v>
      </c>
      <c r="EH20" s="147" t="s">
        <v>393</v>
      </c>
      <c r="EI20" s="145"/>
      <c r="EJ20" s="146" t="str">
        <f t="shared" si="82"/>
        <v>ORANGE01</v>
      </c>
      <c r="EK20" s="174" t="str">
        <f t="shared" si="19"/>
        <v>NG</v>
      </c>
      <c r="EL20" s="146" t="str">
        <f t="shared" si="71"/>
        <v>ORANGE01</v>
      </c>
      <c r="EM20" s="172" t="str">
        <f t="shared" si="123"/>
        <v>NG</v>
      </c>
      <c r="EN20" s="147" t="s">
        <v>393</v>
      </c>
      <c r="EO20" s="145"/>
      <c r="EP20" s="146" t="str">
        <f t="shared" si="83"/>
        <v>ORANGE01</v>
      </c>
      <c r="EQ20" s="174" t="str">
        <f t="shared" si="20"/>
        <v>NG</v>
      </c>
      <c r="ER20" s="146" t="str">
        <f t="shared" si="72"/>
        <v>ORANGE01</v>
      </c>
      <c r="ES20" s="172" t="str">
        <f t="shared" si="124"/>
        <v>NG</v>
      </c>
      <c r="ET20" s="147" t="s">
        <v>393</v>
      </c>
      <c r="EU20" s="145"/>
      <c r="EV20" s="146" t="str">
        <f t="shared" si="84"/>
        <v>ORANGE01</v>
      </c>
      <c r="EW20" s="174" t="str">
        <f t="shared" si="21"/>
        <v>NG</v>
      </c>
      <c r="EX20" s="146" t="str">
        <f t="shared" si="73"/>
        <v>ORANGE01</v>
      </c>
      <c r="EY20" s="172" t="str">
        <f t="shared" si="125"/>
        <v>NG</v>
      </c>
      <c r="EZ20" s="147" t="s">
        <v>393</v>
      </c>
      <c r="FA20" s="145"/>
      <c r="FB20" s="146" t="str">
        <f t="shared" si="85"/>
        <v>ORANGE01</v>
      </c>
      <c r="FC20" s="174" t="str">
        <f t="shared" si="22"/>
        <v>NG</v>
      </c>
      <c r="FD20" s="146" t="str">
        <f t="shared" si="74"/>
        <v>ORANGE01</v>
      </c>
      <c r="FE20" s="172" t="str">
        <f t="shared" si="126"/>
        <v>NG</v>
      </c>
      <c r="FF20" s="147" t="s">
        <v>393</v>
      </c>
      <c r="FG20" s="145"/>
      <c r="FH20" s="146" t="str">
        <f t="shared" si="101"/>
        <v>ORANGE01</v>
      </c>
      <c r="FI20" s="174" t="str">
        <f t="shared" si="23"/>
        <v>NG</v>
      </c>
      <c r="FJ20" s="146" t="str">
        <f t="shared" si="75"/>
        <v>ORANGE01</v>
      </c>
      <c r="FK20" s="172" t="str">
        <f t="shared" si="127"/>
        <v>NG</v>
      </c>
      <c r="FL20" s="147" t="s">
        <v>393</v>
      </c>
      <c r="FM20" s="145"/>
      <c r="FN20" s="146" t="str">
        <f t="shared" si="102"/>
        <v>ORANGE01</v>
      </c>
      <c r="FO20" s="174" t="str">
        <f t="shared" si="24"/>
        <v>NG</v>
      </c>
      <c r="FP20" s="146" t="str">
        <f t="shared" si="76"/>
        <v>ORANGE01</v>
      </c>
      <c r="FQ20" s="172" t="str">
        <f t="shared" si="128"/>
        <v>NG</v>
      </c>
      <c r="FR20" s="147" t="s">
        <v>393</v>
      </c>
      <c r="FS20" s="145"/>
      <c r="FT20" s="146" t="str">
        <f t="shared" si="103"/>
        <v>ORANGE01</v>
      </c>
      <c r="FU20" s="174" t="str">
        <f t="shared" si="25"/>
        <v>NG</v>
      </c>
      <c r="FV20" s="146" t="str">
        <f t="shared" si="77"/>
        <v>ORANGE01</v>
      </c>
      <c r="FW20" s="172" t="str">
        <f t="shared" si="129"/>
        <v>NG</v>
      </c>
      <c r="FX20" s="147" t="s">
        <v>393</v>
      </c>
      <c r="FY20" s="145"/>
      <c r="FZ20" s="146" t="str">
        <f t="shared" si="104"/>
        <v>ORANGE01</v>
      </c>
      <c r="GA20" s="174" t="str">
        <f t="shared" si="26"/>
        <v>NG</v>
      </c>
      <c r="GB20" s="146" t="str">
        <f t="shared" si="78"/>
        <v>ORANGE01</v>
      </c>
      <c r="GC20" s="172" t="str">
        <f t="shared" si="130"/>
        <v>NG</v>
      </c>
    </row>
    <row r="21" spans="1:185" s="52" customFormat="1" ht="216.75">
      <c r="B21" s="48">
        <v>13</v>
      </c>
      <c r="C21" s="37"/>
      <c r="D21" s="37"/>
      <c r="E21" s="49" t="s">
        <v>9</v>
      </c>
      <c r="F21" s="39"/>
      <c r="G21" s="39"/>
      <c r="H21" s="40"/>
      <c r="I21" s="42"/>
      <c r="J21" s="42" t="s">
        <v>82</v>
      </c>
      <c r="K21" s="42"/>
      <c r="L21" s="42"/>
      <c r="M21" s="78" t="s">
        <v>92</v>
      </c>
      <c r="N21" s="63"/>
      <c r="O21" s="152"/>
      <c r="P21" s="45">
        <v>10</v>
      </c>
      <c r="Q21" s="46">
        <v>2</v>
      </c>
      <c r="R21" s="41" t="s">
        <v>81</v>
      </c>
      <c r="S21" s="43"/>
      <c r="T21" s="43"/>
      <c r="U21" s="41" t="s">
        <v>77</v>
      </c>
      <c r="V21" s="64" t="s">
        <v>93</v>
      </c>
      <c r="W21" s="22" t="str">
        <f>IF(C21&lt;&gt;"","0",IF(D21&lt;&gt;"","1",IF(E21&lt;&gt;"","2",IF(F21&lt;&gt;"","3",IF(G21&lt;&gt;"","4",IF(H21&lt;&gt;"","5"))))))</f>
        <v>2</v>
      </c>
      <c r="X21" s="47" t="s">
        <v>94</v>
      </c>
      <c r="Y21" s="47">
        <v>2</v>
      </c>
      <c r="Z21" s="47">
        <v>2</v>
      </c>
      <c r="AA21" s="42" t="s">
        <v>81</v>
      </c>
      <c r="AB21" s="42" t="s">
        <v>80</v>
      </c>
      <c r="AC21" s="64"/>
      <c r="AD21" s="153"/>
      <c r="AE21" s="154"/>
      <c r="AF21" s="175" t="str">
        <f t="shared" si="86"/>
        <v>00</v>
      </c>
      <c r="AG21" s="174" t="str">
        <f t="shared" si="1"/>
        <v>NG</v>
      </c>
      <c r="AH21" s="155" t="s">
        <v>95</v>
      </c>
      <c r="AI21" s="172" t="str">
        <f t="shared" si="105"/>
        <v>NG</v>
      </c>
      <c r="AJ21" s="153"/>
      <c r="AK21" s="154"/>
      <c r="AL21" s="175" t="str">
        <f t="shared" si="87"/>
        <v>00</v>
      </c>
      <c r="AM21" s="174" t="str">
        <f t="shared" si="2"/>
        <v>NG</v>
      </c>
      <c r="AN21" s="155" t="s">
        <v>95</v>
      </c>
      <c r="AO21" s="172" t="str">
        <f t="shared" si="106"/>
        <v>NG</v>
      </c>
      <c r="AP21" s="153"/>
      <c r="AQ21" s="154"/>
      <c r="AR21" s="175" t="str">
        <f t="shared" si="88"/>
        <v>00</v>
      </c>
      <c r="AS21" s="174" t="str">
        <f t="shared" si="3"/>
        <v>NG</v>
      </c>
      <c r="AT21" s="155" t="s">
        <v>95</v>
      </c>
      <c r="AU21" s="172" t="str">
        <f t="shared" si="107"/>
        <v>NG</v>
      </c>
      <c r="AV21" s="153"/>
      <c r="AW21" s="154"/>
      <c r="AX21" s="175" t="str">
        <f t="shared" si="89"/>
        <v>00</v>
      </c>
      <c r="AY21" s="174" t="str">
        <f t="shared" si="4"/>
        <v>NG</v>
      </c>
      <c r="AZ21" s="155" t="s">
        <v>95</v>
      </c>
      <c r="BA21" s="172" t="str">
        <f t="shared" si="108"/>
        <v>NG</v>
      </c>
      <c r="BB21" s="153"/>
      <c r="BC21" s="154"/>
      <c r="BD21" s="175" t="str">
        <f t="shared" si="90"/>
        <v>00</v>
      </c>
      <c r="BE21" s="174" t="str">
        <f t="shared" si="5"/>
        <v>NG</v>
      </c>
      <c r="BF21" s="155" t="s">
        <v>95</v>
      </c>
      <c r="BG21" s="172" t="str">
        <f t="shared" si="109"/>
        <v>NG</v>
      </c>
      <c r="BH21" s="153"/>
      <c r="BI21" s="154"/>
      <c r="BJ21" s="175" t="str">
        <f t="shared" si="91"/>
        <v>00</v>
      </c>
      <c r="BK21" s="174" t="str">
        <f t="shared" si="6"/>
        <v>NG</v>
      </c>
      <c r="BL21" s="155" t="s">
        <v>95</v>
      </c>
      <c r="BM21" s="172" t="str">
        <f t="shared" si="110"/>
        <v>NG</v>
      </c>
      <c r="BN21" s="153"/>
      <c r="BO21" s="154" t="s">
        <v>95</v>
      </c>
      <c r="BP21" s="175" t="str">
        <f t="shared" si="92"/>
        <v>00</v>
      </c>
      <c r="BQ21" s="174" t="str">
        <f t="shared" si="7"/>
        <v>OK</v>
      </c>
      <c r="BR21" s="155" t="s">
        <v>95</v>
      </c>
      <c r="BS21" s="172" t="str">
        <f t="shared" si="111"/>
        <v>OK</v>
      </c>
      <c r="BT21" s="153"/>
      <c r="BU21" s="154" t="s">
        <v>95</v>
      </c>
      <c r="BV21" s="175" t="str">
        <f t="shared" si="93"/>
        <v>00</v>
      </c>
      <c r="BW21" s="174" t="str">
        <f t="shared" si="8"/>
        <v>OK</v>
      </c>
      <c r="BX21" s="155" t="s">
        <v>95</v>
      </c>
      <c r="BY21" s="172" t="str">
        <f t="shared" si="112"/>
        <v>OK</v>
      </c>
      <c r="BZ21" s="153"/>
      <c r="CA21" s="154" t="s">
        <v>95</v>
      </c>
      <c r="CB21" s="175" t="str">
        <f t="shared" si="94"/>
        <v>00</v>
      </c>
      <c r="CC21" s="174" t="str">
        <f t="shared" si="9"/>
        <v>OK</v>
      </c>
      <c r="CD21" s="155" t="s">
        <v>95</v>
      </c>
      <c r="CE21" s="172" t="str">
        <f t="shared" si="113"/>
        <v>OK</v>
      </c>
      <c r="CF21" s="153"/>
      <c r="CG21" s="154" t="s">
        <v>95</v>
      </c>
      <c r="CH21" s="175" t="str">
        <f t="shared" si="95"/>
        <v>00</v>
      </c>
      <c r="CI21" s="174" t="str">
        <f t="shared" si="10"/>
        <v>OK</v>
      </c>
      <c r="CJ21" s="155" t="s">
        <v>95</v>
      </c>
      <c r="CK21" s="172" t="str">
        <f t="shared" si="114"/>
        <v>OK</v>
      </c>
      <c r="CL21" s="153"/>
      <c r="CM21" s="154"/>
      <c r="CN21" s="175" t="str">
        <f t="shared" si="96"/>
        <v>00</v>
      </c>
      <c r="CO21" s="174" t="str">
        <f t="shared" si="11"/>
        <v>NG</v>
      </c>
      <c r="CP21" s="155" t="s">
        <v>95</v>
      </c>
      <c r="CQ21" s="172" t="str">
        <f t="shared" si="115"/>
        <v>NG</v>
      </c>
      <c r="CR21" s="153"/>
      <c r="CS21" s="154"/>
      <c r="CT21" s="175" t="str">
        <f t="shared" si="97"/>
        <v>00</v>
      </c>
      <c r="CU21" s="174" t="str">
        <f t="shared" si="12"/>
        <v>NG</v>
      </c>
      <c r="CV21" s="155" t="s">
        <v>95</v>
      </c>
      <c r="CW21" s="172" t="str">
        <f t="shared" si="116"/>
        <v>NG</v>
      </c>
      <c r="CX21" s="153"/>
      <c r="CY21" s="154"/>
      <c r="CZ21" s="175" t="str">
        <f t="shared" si="98"/>
        <v>00</v>
      </c>
      <c r="DA21" s="174" t="str">
        <f t="shared" si="13"/>
        <v>NG</v>
      </c>
      <c r="DB21" s="155" t="s">
        <v>95</v>
      </c>
      <c r="DC21" s="172" t="str">
        <f t="shared" si="117"/>
        <v>NG</v>
      </c>
      <c r="DD21" s="153"/>
      <c r="DE21" s="154"/>
      <c r="DF21" s="175" t="str">
        <f t="shared" si="99"/>
        <v>00</v>
      </c>
      <c r="DG21" s="174" t="str">
        <f t="shared" si="14"/>
        <v>NG</v>
      </c>
      <c r="DH21" s="155" t="s">
        <v>95</v>
      </c>
      <c r="DI21" s="172" t="str">
        <f t="shared" si="118"/>
        <v>NG</v>
      </c>
      <c r="DJ21" s="153"/>
      <c r="DK21" s="154"/>
      <c r="DL21" s="175" t="str">
        <f t="shared" si="100"/>
        <v>00</v>
      </c>
      <c r="DM21" s="174" t="str">
        <f t="shared" si="15"/>
        <v>NG</v>
      </c>
      <c r="DN21" s="155" t="s">
        <v>95</v>
      </c>
      <c r="DO21" s="172" t="str">
        <f t="shared" si="119"/>
        <v>NG</v>
      </c>
      <c r="DP21" s="153"/>
      <c r="DQ21" s="154"/>
      <c r="DR21" s="175" t="str">
        <f t="shared" si="79"/>
        <v>00</v>
      </c>
      <c r="DS21" s="174" t="str">
        <f t="shared" si="16"/>
        <v>NG</v>
      </c>
      <c r="DT21" s="155" t="s">
        <v>95</v>
      </c>
      <c r="DU21" s="172" t="str">
        <f t="shared" si="120"/>
        <v>NG</v>
      </c>
      <c r="DV21" s="153"/>
      <c r="DW21" s="154"/>
      <c r="DX21" s="175" t="str">
        <f t="shared" si="80"/>
        <v>00</v>
      </c>
      <c r="DY21" s="174" t="str">
        <f t="shared" si="17"/>
        <v>NG</v>
      </c>
      <c r="DZ21" s="155" t="s">
        <v>95</v>
      </c>
      <c r="EA21" s="172" t="str">
        <f t="shared" si="121"/>
        <v>NG</v>
      </c>
      <c r="EB21" s="153"/>
      <c r="EC21" s="154"/>
      <c r="ED21" s="175" t="str">
        <f t="shared" si="81"/>
        <v>00</v>
      </c>
      <c r="EE21" s="174" t="str">
        <f t="shared" si="18"/>
        <v>NG</v>
      </c>
      <c r="EF21" s="155" t="s">
        <v>95</v>
      </c>
      <c r="EG21" s="172" t="str">
        <f t="shared" si="122"/>
        <v>NG</v>
      </c>
      <c r="EH21" s="153"/>
      <c r="EI21" s="154"/>
      <c r="EJ21" s="175" t="str">
        <f t="shared" si="82"/>
        <v>00</v>
      </c>
      <c r="EK21" s="174" t="str">
        <f t="shared" si="19"/>
        <v>NG</v>
      </c>
      <c r="EL21" s="155" t="s">
        <v>95</v>
      </c>
      <c r="EM21" s="172" t="str">
        <f t="shared" si="123"/>
        <v>NG</v>
      </c>
      <c r="EN21" s="153"/>
      <c r="EO21" s="154"/>
      <c r="EP21" s="175" t="str">
        <f t="shared" si="83"/>
        <v>00</v>
      </c>
      <c r="EQ21" s="174" t="str">
        <f t="shared" si="20"/>
        <v>NG</v>
      </c>
      <c r="ER21" s="155" t="s">
        <v>95</v>
      </c>
      <c r="ES21" s="172" t="str">
        <f t="shared" si="124"/>
        <v>NG</v>
      </c>
      <c r="ET21" s="153"/>
      <c r="EU21" s="154"/>
      <c r="EV21" s="175" t="str">
        <f t="shared" si="84"/>
        <v>00</v>
      </c>
      <c r="EW21" s="174" t="str">
        <f t="shared" si="21"/>
        <v>NG</v>
      </c>
      <c r="EX21" s="155" t="s">
        <v>95</v>
      </c>
      <c r="EY21" s="172" t="str">
        <f t="shared" si="125"/>
        <v>NG</v>
      </c>
      <c r="EZ21" s="153"/>
      <c r="FA21" s="154"/>
      <c r="FB21" s="175" t="str">
        <f t="shared" si="85"/>
        <v>00</v>
      </c>
      <c r="FC21" s="174" t="str">
        <f t="shared" si="22"/>
        <v>NG</v>
      </c>
      <c r="FD21" s="155" t="s">
        <v>95</v>
      </c>
      <c r="FE21" s="172" t="str">
        <f t="shared" si="126"/>
        <v>NG</v>
      </c>
      <c r="FF21" s="153"/>
      <c r="FG21" s="154"/>
      <c r="FH21" s="175" t="str">
        <f t="shared" si="101"/>
        <v>00</v>
      </c>
      <c r="FI21" s="174" t="str">
        <f t="shared" si="23"/>
        <v>NG</v>
      </c>
      <c r="FJ21" s="155" t="s">
        <v>95</v>
      </c>
      <c r="FK21" s="172" t="str">
        <f t="shared" si="127"/>
        <v>NG</v>
      </c>
      <c r="FL21" s="153"/>
      <c r="FM21" s="154"/>
      <c r="FN21" s="175" t="str">
        <f t="shared" si="102"/>
        <v>00</v>
      </c>
      <c r="FO21" s="174" t="str">
        <f t="shared" si="24"/>
        <v>NG</v>
      </c>
      <c r="FP21" s="155" t="s">
        <v>95</v>
      </c>
      <c r="FQ21" s="172" t="str">
        <f t="shared" si="128"/>
        <v>NG</v>
      </c>
      <c r="FR21" s="153"/>
      <c r="FS21" s="154"/>
      <c r="FT21" s="175" t="str">
        <f t="shared" si="103"/>
        <v>00</v>
      </c>
      <c r="FU21" s="174" t="str">
        <f t="shared" si="25"/>
        <v>NG</v>
      </c>
      <c r="FV21" s="155" t="s">
        <v>95</v>
      </c>
      <c r="FW21" s="172" t="str">
        <f t="shared" si="129"/>
        <v>NG</v>
      </c>
      <c r="FX21" s="153"/>
      <c r="FY21" s="154"/>
      <c r="FZ21" s="175" t="str">
        <f t="shared" si="104"/>
        <v>00</v>
      </c>
      <c r="GA21" s="174" t="str">
        <f t="shared" si="26"/>
        <v>NG</v>
      </c>
      <c r="GB21" s="155" t="s">
        <v>95</v>
      </c>
      <c r="GC21" s="172" t="str">
        <f t="shared" si="130"/>
        <v>NG</v>
      </c>
    </row>
    <row r="22" spans="1:185" s="52" customFormat="1" ht="76.900000000000006" thickBot="1">
      <c r="B22" s="65">
        <v>14</v>
      </c>
      <c r="C22" s="156"/>
      <c r="D22" s="157"/>
      <c r="E22" s="66" t="s">
        <v>96</v>
      </c>
      <c r="F22" s="66"/>
      <c r="G22" s="66"/>
      <c r="H22" s="67"/>
      <c r="I22" s="68"/>
      <c r="J22" s="68" t="s">
        <v>82</v>
      </c>
      <c r="K22" s="68"/>
      <c r="L22" s="68"/>
      <c r="M22" s="69" t="s">
        <v>55</v>
      </c>
      <c r="N22" s="68"/>
      <c r="O22" s="70"/>
      <c r="P22" s="71">
        <v>11</v>
      </c>
      <c r="Q22" s="72">
        <v>1</v>
      </c>
      <c r="R22" s="73" t="s">
        <v>81</v>
      </c>
      <c r="S22" s="74"/>
      <c r="T22" s="74"/>
      <c r="U22" s="73" t="s">
        <v>77</v>
      </c>
      <c r="V22" s="75" t="s">
        <v>93</v>
      </c>
      <c r="W22" s="76" t="str">
        <f>IF(C22&lt;&gt;"","0",IF(D22&lt;&gt;"","1",IF(E22&lt;&gt;"","2",IF(F22&lt;&gt;"","3",IF(G22&lt;&gt;"","4",IF(H22&lt;&gt;"","5"))))))</f>
        <v>2</v>
      </c>
      <c r="X22" s="77" t="s">
        <v>97</v>
      </c>
      <c r="Y22" s="77">
        <v>1</v>
      </c>
      <c r="Z22" s="77">
        <v>1</v>
      </c>
      <c r="AA22" s="68" t="s">
        <v>81</v>
      </c>
      <c r="AB22" s="68"/>
      <c r="AC22" s="75"/>
      <c r="AD22" s="158"/>
      <c r="AE22" s="285"/>
      <c r="AF22" s="176" t="str">
        <f t="shared" si="86"/>
        <v xml:space="preserve"> </v>
      </c>
      <c r="AG22" s="177" t="str">
        <f t="shared" si="1"/>
        <v>NG</v>
      </c>
      <c r="AH22" s="159"/>
      <c r="AI22" s="270" t="str">
        <f t="shared" ref="AI22:AI36" si="131">IF(OR(AE$8="判定対象外",AH$8="判定対象外",AH22="-"),"-",IF(AE22=AH22,"OK","NG"))</f>
        <v>OK</v>
      </c>
      <c r="AJ22" s="158"/>
      <c r="AK22" s="285"/>
      <c r="AL22" s="176" t="str">
        <f t="shared" si="87"/>
        <v xml:space="preserve"> </v>
      </c>
      <c r="AM22" s="177" t="str">
        <f t="shared" si="2"/>
        <v>NG</v>
      </c>
      <c r="AN22" s="159"/>
      <c r="AO22" s="270" t="str">
        <f t="shared" si="106"/>
        <v>OK</v>
      </c>
      <c r="AP22" s="158"/>
      <c r="AQ22" s="159"/>
      <c r="AR22" s="176" t="str">
        <f t="shared" si="88"/>
        <v xml:space="preserve"> </v>
      </c>
      <c r="AS22" s="177" t="str">
        <f t="shared" si="3"/>
        <v>NG</v>
      </c>
      <c r="AT22" s="159"/>
      <c r="AU22" s="270" t="str">
        <f t="shared" si="107"/>
        <v>OK</v>
      </c>
      <c r="AV22" s="158"/>
      <c r="AW22" s="159"/>
      <c r="AX22" s="176" t="str">
        <f t="shared" si="89"/>
        <v xml:space="preserve"> </v>
      </c>
      <c r="AY22" s="177" t="str">
        <f t="shared" si="4"/>
        <v>NG</v>
      </c>
      <c r="AZ22" s="159"/>
      <c r="BA22" s="270" t="str">
        <f t="shared" si="108"/>
        <v>OK</v>
      </c>
      <c r="BB22" s="158"/>
      <c r="BC22" s="159"/>
      <c r="BD22" s="176" t="str">
        <f t="shared" si="90"/>
        <v xml:space="preserve"> </v>
      </c>
      <c r="BE22" s="177" t="str">
        <f t="shared" si="5"/>
        <v>NG</v>
      </c>
      <c r="BF22" s="159"/>
      <c r="BG22" s="270" t="str">
        <f t="shared" si="109"/>
        <v>OK</v>
      </c>
      <c r="BH22" s="158"/>
      <c r="BI22" s="159"/>
      <c r="BJ22" s="176" t="str">
        <f t="shared" si="91"/>
        <v xml:space="preserve"> </v>
      </c>
      <c r="BK22" s="177" t="str">
        <f t="shared" si="6"/>
        <v>NG</v>
      </c>
      <c r="BL22" s="159"/>
      <c r="BM22" s="270" t="str">
        <f t="shared" ref="BM22:BM36" si="132">IF(OR(BI$8="判定対象外",BL$8="判定対象外",BL22="-"),"-",IF(BI22=BL22,"OK","NG"))</f>
        <v>OK</v>
      </c>
      <c r="BN22" s="158"/>
      <c r="BO22" s="159"/>
      <c r="BP22" s="176" t="str">
        <f t="shared" si="92"/>
        <v xml:space="preserve"> </v>
      </c>
      <c r="BQ22" s="177" t="str">
        <f t="shared" si="7"/>
        <v>NG</v>
      </c>
      <c r="BR22" s="159"/>
      <c r="BS22" s="270" t="str">
        <f t="shared" ref="BS22:BS36" si="133">IF(OR(BO$8="判定対象外",BR$8="判定対象外",BR22="-"),"-",IF(BO22=BR22,"OK","NG"))</f>
        <v>OK</v>
      </c>
      <c r="BT22" s="158"/>
      <c r="BU22" s="159"/>
      <c r="BV22" s="176" t="str">
        <f t="shared" si="93"/>
        <v xml:space="preserve"> </v>
      </c>
      <c r="BW22" s="177" t="str">
        <f t="shared" si="8"/>
        <v>NG</v>
      </c>
      <c r="BX22" s="159"/>
      <c r="BY22" s="270" t="str">
        <f t="shared" ref="BY22:BY36" si="134">IF(OR(BU$8="判定対象外",BX$8="判定対象外",BX22="-"),"-",IF(BU22=BX22,"OK","NG"))</f>
        <v>OK</v>
      </c>
      <c r="BZ22" s="158"/>
      <c r="CA22" s="159"/>
      <c r="CB22" s="176" t="str">
        <f t="shared" si="94"/>
        <v xml:space="preserve"> </v>
      </c>
      <c r="CC22" s="177" t="str">
        <f t="shared" si="9"/>
        <v>NG</v>
      </c>
      <c r="CD22" s="159"/>
      <c r="CE22" s="270" t="str">
        <f t="shared" ref="CE22:CE36" si="135">IF(OR(CA$8="判定対象外",CD$8="判定対象外",CD22="-"),"-",IF(CA22=CD22,"OK","NG"))</f>
        <v>OK</v>
      </c>
      <c r="CF22" s="158"/>
      <c r="CG22" s="159"/>
      <c r="CH22" s="176" t="str">
        <f t="shared" si="95"/>
        <v xml:space="preserve"> </v>
      </c>
      <c r="CI22" s="177" t="str">
        <f t="shared" si="10"/>
        <v>NG</v>
      </c>
      <c r="CJ22" s="159"/>
      <c r="CK22" s="270" t="str">
        <f t="shared" ref="CK22:CK36" si="136">IF(OR(CG$8="判定対象外",CJ$8="判定対象外",CJ22="-"),"-",IF(CG22=CJ22,"OK","NG"))</f>
        <v>OK</v>
      </c>
      <c r="CL22" s="158"/>
      <c r="CM22" s="159"/>
      <c r="CN22" s="176" t="str">
        <f t="shared" si="96"/>
        <v xml:space="preserve"> </v>
      </c>
      <c r="CO22" s="177" t="str">
        <f t="shared" si="11"/>
        <v>NG</v>
      </c>
      <c r="CP22" s="159"/>
      <c r="CQ22" s="270" t="str">
        <f t="shared" ref="CQ22:CQ36" si="137">IF(OR(CM$8="判定対象外",CP$8="判定対象外",CP22="-"),"-",IF(CM22=CP22,"OK","NG"))</f>
        <v>OK</v>
      </c>
      <c r="CR22" s="158"/>
      <c r="CS22" s="159"/>
      <c r="CT22" s="176" t="str">
        <f t="shared" si="97"/>
        <v xml:space="preserve"> </v>
      </c>
      <c r="CU22" s="177" t="str">
        <f t="shared" si="12"/>
        <v>NG</v>
      </c>
      <c r="CV22" s="159"/>
      <c r="CW22" s="270" t="str">
        <f t="shared" ref="CW22:CW36" si="138">IF(OR(CS$8="判定対象外",CV$8="判定対象外",CV22="-"),"-",IF(CS22=CV22,"OK","NG"))</f>
        <v>OK</v>
      </c>
      <c r="CX22" s="158"/>
      <c r="CY22" s="159"/>
      <c r="CZ22" s="176" t="str">
        <f t="shared" si="98"/>
        <v xml:space="preserve"> </v>
      </c>
      <c r="DA22" s="177" t="str">
        <f t="shared" si="13"/>
        <v>NG</v>
      </c>
      <c r="DB22" s="159"/>
      <c r="DC22" s="270" t="str">
        <f t="shared" ref="DC22:DC36" si="139">IF(OR(CY$8="判定対象外",DB$8="判定対象外",DB22="-"),"-",IF(CY22=DB22,"OK","NG"))</f>
        <v>OK</v>
      </c>
      <c r="DD22" s="158"/>
      <c r="DE22" s="159"/>
      <c r="DF22" s="176" t="str">
        <f t="shared" si="99"/>
        <v xml:space="preserve"> </v>
      </c>
      <c r="DG22" s="177" t="str">
        <f t="shared" si="14"/>
        <v>NG</v>
      </c>
      <c r="DH22" s="159"/>
      <c r="DI22" s="270" t="str">
        <f t="shared" ref="DI22:DI36" si="140">IF(OR(DE$8="判定対象外",DH$8="判定対象外",DH22="-"),"-",IF(DE22=DH22,"OK","NG"))</f>
        <v>OK</v>
      </c>
      <c r="DJ22" s="158"/>
      <c r="DK22" s="159"/>
      <c r="DL22" s="176" t="str">
        <f t="shared" si="100"/>
        <v xml:space="preserve"> </v>
      </c>
      <c r="DM22" s="177" t="str">
        <f t="shared" si="15"/>
        <v>NG</v>
      </c>
      <c r="DN22" s="159"/>
      <c r="DO22" s="270" t="str">
        <f t="shared" ref="DO22:DO36" si="141">IF(OR(DK$8="判定対象外",DN$8="判定対象外",DN22="-"),"-",IF(DK22=DN22,"OK","NG"))</f>
        <v>OK</v>
      </c>
      <c r="DP22" s="158"/>
      <c r="DQ22" s="159"/>
      <c r="DR22" s="176" t="str">
        <f t="shared" si="79"/>
        <v xml:space="preserve"> </v>
      </c>
      <c r="DS22" s="177" t="str">
        <f t="shared" si="16"/>
        <v>NG</v>
      </c>
      <c r="DT22" s="159"/>
      <c r="DU22" s="270" t="str">
        <f t="shared" ref="DU22:DU36" si="142">IF(OR(DQ$8="判定対象外",DT$8="判定対象外",DT22="-"),"-",IF(DQ22=DT22,"OK","NG"))</f>
        <v>OK</v>
      </c>
      <c r="DV22" s="158"/>
      <c r="DW22" s="159"/>
      <c r="DX22" s="176" t="str">
        <f t="shared" si="80"/>
        <v xml:space="preserve"> </v>
      </c>
      <c r="DY22" s="177" t="str">
        <f t="shared" si="17"/>
        <v>NG</v>
      </c>
      <c r="DZ22" s="159"/>
      <c r="EA22" s="270" t="str">
        <f t="shared" ref="EA22:EA36" si="143">IF(OR(DW$8="判定対象外",DZ$8="判定対象外",DZ22="-"),"-",IF(DW22=DZ22,"OK","NG"))</f>
        <v>OK</v>
      </c>
      <c r="EB22" s="158"/>
      <c r="EC22" s="159"/>
      <c r="ED22" s="176" t="str">
        <f t="shared" si="81"/>
        <v xml:space="preserve"> </v>
      </c>
      <c r="EE22" s="177" t="str">
        <f t="shared" si="18"/>
        <v>NG</v>
      </c>
      <c r="EF22" s="159"/>
      <c r="EG22" s="270" t="str">
        <f t="shared" ref="EG22:EG36" si="144">IF(OR(EC$8="判定対象外",EF$8="判定対象外",EF22="-"),"-",IF(EC22=EF22,"OK","NG"))</f>
        <v>OK</v>
      </c>
      <c r="EH22" s="158"/>
      <c r="EI22" s="159"/>
      <c r="EJ22" s="176" t="str">
        <f t="shared" si="82"/>
        <v xml:space="preserve"> </v>
      </c>
      <c r="EK22" s="177" t="str">
        <f t="shared" si="19"/>
        <v>NG</v>
      </c>
      <c r="EL22" s="159"/>
      <c r="EM22" s="270" t="str">
        <f t="shared" ref="EM22:EM36" si="145">IF(OR(EI$8="判定対象外",EL$8="判定対象外",EL22="-"),"-",IF(EI22=EL22,"OK","NG"))</f>
        <v>OK</v>
      </c>
      <c r="EN22" s="158"/>
      <c r="EO22" s="159"/>
      <c r="EP22" s="176" t="str">
        <f t="shared" si="83"/>
        <v xml:space="preserve"> </v>
      </c>
      <c r="EQ22" s="177" t="str">
        <f t="shared" si="20"/>
        <v>NG</v>
      </c>
      <c r="ER22" s="159"/>
      <c r="ES22" s="270" t="str">
        <f t="shared" ref="ES22:ES36" si="146">IF(OR(EO$8="判定対象外",ER$8="判定対象外",ER22="-"),"-",IF(EO22=ER22,"OK","NG"))</f>
        <v>OK</v>
      </c>
      <c r="ET22" s="158"/>
      <c r="EU22" s="159"/>
      <c r="EV22" s="176" t="str">
        <f t="shared" si="84"/>
        <v xml:space="preserve"> </v>
      </c>
      <c r="EW22" s="177" t="str">
        <f t="shared" si="21"/>
        <v>NG</v>
      </c>
      <c r="EX22" s="159"/>
      <c r="EY22" s="270" t="str">
        <f t="shared" ref="EY22:EY36" si="147">IF(OR(EU$8="判定対象外",EX$8="判定対象外",EX22="-"),"-",IF(EU22=EX22,"OK","NG"))</f>
        <v>OK</v>
      </c>
      <c r="EZ22" s="158"/>
      <c r="FA22" s="159"/>
      <c r="FB22" s="176" t="str">
        <f t="shared" si="85"/>
        <v xml:space="preserve"> </v>
      </c>
      <c r="FC22" s="177" t="str">
        <f t="shared" si="22"/>
        <v>NG</v>
      </c>
      <c r="FD22" s="159"/>
      <c r="FE22" s="270" t="str">
        <f t="shared" ref="FE22:FE36" si="148">IF(OR(FA$8="判定対象外",FD$8="判定対象外",FD22="-"),"-",IF(FA22=FD22,"OK","NG"))</f>
        <v>OK</v>
      </c>
      <c r="FF22" s="158"/>
      <c r="FG22" s="159"/>
      <c r="FH22" s="176" t="str">
        <f t="shared" si="101"/>
        <v xml:space="preserve"> </v>
      </c>
      <c r="FI22" s="177" t="str">
        <f t="shared" si="23"/>
        <v>NG</v>
      </c>
      <c r="FJ22" s="159"/>
      <c r="FK22" s="270" t="str">
        <f t="shared" ref="FK22:FK36" si="149">IF(OR(FG$8="判定対象外",FJ$8="判定対象外",FJ22="-"),"-",IF(FG22=FJ22,"OK","NG"))</f>
        <v>OK</v>
      </c>
      <c r="FL22" s="158"/>
      <c r="FM22" s="159"/>
      <c r="FN22" s="176" t="str">
        <f t="shared" si="102"/>
        <v xml:space="preserve"> </v>
      </c>
      <c r="FO22" s="177" t="str">
        <f t="shared" si="24"/>
        <v>NG</v>
      </c>
      <c r="FP22" s="159"/>
      <c r="FQ22" s="270" t="str">
        <f t="shared" ref="FQ22:FQ36" si="150">IF(OR(FM$8="判定対象外",FP$8="判定対象外",FP22="-"),"-",IF(FM22=FP22,"OK","NG"))</f>
        <v>OK</v>
      </c>
      <c r="FR22" s="158"/>
      <c r="FS22" s="159"/>
      <c r="FT22" s="176" t="str">
        <f t="shared" si="103"/>
        <v xml:space="preserve"> </v>
      </c>
      <c r="FU22" s="177" t="str">
        <f t="shared" si="25"/>
        <v>NG</v>
      </c>
      <c r="FV22" s="159"/>
      <c r="FW22" s="270" t="str">
        <f t="shared" ref="FW22:FW36" si="151">IF(OR(FS$8="判定対象外",FV$8="判定対象外",FV22="-"),"-",IF(FS22=FV22,"OK","NG"))</f>
        <v>OK</v>
      </c>
      <c r="FX22" s="158"/>
      <c r="FY22" s="159"/>
      <c r="FZ22" s="176" t="str">
        <f t="shared" si="104"/>
        <v xml:space="preserve"> </v>
      </c>
      <c r="GA22" s="177" t="str">
        <f t="shared" si="26"/>
        <v>NG</v>
      </c>
      <c r="GB22" s="159"/>
      <c r="GC22" s="270" t="str">
        <f t="shared" ref="GC22:GC36" si="152">IF(OR(FY$8="判定対象外",GB$8="判定対象外",GB22="-"),"-",IF(FY22=GB22,"OK","NG"))</f>
        <v>OK</v>
      </c>
    </row>
    <row r="23" spans="1:185" s="6" customFormat="1" ht="13.15" thickTop="1">
      <c r="A23" s="9"/>
      <c r="B23" s="48">
        <f t="shared" ref="B23:B86" si="153">ROW()-7</f>
        <v>16</v>
      </c>
      <c r="C23" s="178"/>
      <c r="D23" s="54" t="s">
        <v>144</v>
      </c>
      <c r="E23" s="39"/>
      <c r="F23" s="39"/>
      <c r="G23" s="40"/>
      <c r="H23" s="40"/>
      <c r="I23" s="42"/>
      <c r="J23" s="42" t="s">
        <v>1</v>
      </c>
      <c r="K23" s="42"/>
      <c r="L23" s="17"/>
      <c r="M23" s="43"/>
      <c r="N23" s="23"/>
      <c r="O23" s="137"/>
      <c r="P23" s="20"/>
      <c r="Q23" s="23"/>
      <c r="R23" s="16"/>
      <c r="S23" s="179"/>
      <c r="T23" s="18"/>
      <c r="U23" s="16"/>
      <c r="V23" s="19"/>
      <c r="W23" s="22">
        <v>1</v>
      </c>
      <c r="X23" s="47" t="s">
        <v>145</v>
      </c>
      <c r="Y23" s="23"/>
      <c r="Z23" s="23"/>
      <c r="AA23" s="42"/>
      <c r="AB23" s="42" t="s">
        <v>77</v>
      </c>
      <c r="AC23" s="166"/>
      <c r="AD23" s="180"/>
      <c r="AE23" s="138"/>
      <c r="AF23" s="181" t="str">
        <f t="shared" si="86"/>
        <v/>
      </c>
      <c r="AG23" s="174" t="str">
        <f t="shared" si="1"/>
        <v>OK</v>
      </c>
      <c r="AH23" s="138"/>
      <c r="AI23" s="277" t="str">
        <f t="shared" si="131"/>
        <v>OK</v>
      </c>
      <c r="AJ23" s="180"/>
      <c r="AK23" s="138"/>
      <c r="AL23" s="181" t="str">
        <f t="shared" ref="AL23:AL54" si="154">IF(AN23="-","-",AN23&amp;REPT(IF($R23="N","　",IF($R23="9","0"," ")),$Z23-LENB(AN23)))</f>
        <v/>
      </c>
      <c r="AM23" s="174" t="str">
        <f t="shared" ref="AM23:AM86" si="155">IF(OR(AK$8="判定対象外",AL$8="判定対象外",AL23="-"),"-",IF(AK23=AL23,"OK","NG"))</f>
        <v>OK</v>
      </c>
      <c r="AN23" s="138"/>
      <c r="AO23" s="277" t="str">
        <f t="shared" ref="AO23:AO38" si="156">IF(OR(AK$8="判定対象外",AN$8="判定対象外",AN23="-"),"-",IF(AK23=AN23,"OK","NG"))</f>
        <v>OK</v>
      </c>
      <c r="AP23" s="180"/>
      <c r="AQ23" s="138"/>
      <c r="AR23" s="181" t="str">
        <f t="shared" ref="AR23:AR77" si="157">IF(AT23="-","-",AT23&amp;REPT(IF($R23="N","　",IF($R23="9","0"," ")),$Z23-LENB(AT23)))</f>
        <v/>
      </c>
      <c r="AS23" s="174" t="str">
        <f t="shared" ref="AS23:AS71" si="158">IF(OR(AQ$8="判定対象外",AR$8="判定対象外",AR23="-"),"-",IF(AQ23=AR23,"OK","NG"))</f>
        <v>OK</v>
      </c>
      <c r="AT23" s="138"/>
      <c r="AU23" s="277" t="str">
        <f t="shared" ref="AU23:AU36" si="159">IF(OR(AQ$8="判定対象外",AT$8="判定対象外",AT23="-"),"-",IF(AQ23=AT23,"OK","NG"))</f>
        <v>OK</v>
      </c>
      <c r="AV23" s="180"/>
      <c r="AW23" s="138"/>
      <c r="AX23" s="181" t="str">
        <f t="shared" ref="AX23:AX77" si="160">IF(AZ23="-","-",AZ23&amp;REPT(IF($R23="N","　",IF($R23="9","0"," ")),$Z23-LENB(AZ23)))</f>
        <v/>
      </c>
      <c r="AY23" s="174" t="str">
        <f t="shared" ref="AY23:AY71" si="161">IF(OR(AW$8="判定対象外",AX$8="判定対象外",AX23="-"),"-",IF(AW23=AX23,"OK","NG"))</f>
        <v>OK</v>
      </c>
      <c r="AZ23" s="138"/>
      <c r="BA23" s="277" t="str">
        <f t="shared" ref="BA23:BA36" si="162">IF(OR(AW$8="判定対象外",AZ$8="判定対象外",AZ23="-"),"-",IF(AW23=AZ23,"OK","NG"))</f>
        <v>OK</v>
      </c>
      <c r="BB23" s="180"/>
      <c r="BC23" s="138"/>
      <c r="BD23" s="181" t="str">
        <f t="shared" ref="BD23:BD77" si="163">IF(BF23="-","-",BF23&amp;REPT(IF($R23="N","　",IF($R23="9","0"," ")),$Z23-LENB(BF23)))</f>
        <v/>
      </c>
      <c r="BE23" s="174" t="str">
        <f t="shared" ref="BE23:BE71" si="164">IF(OR(BC$8="判定対象外",BD$8="判定対象外",BD23="-"),"-",IF(BC23=BD23,"OK","NG"))</f>
        <v>OK</v>
      </c>
      <c r="BF23" s="138"/>
      <c r="BG23" s="277" t="str">
        <f t="shared" ref="BG23:BG36" si="165">IF(OR(BC$8="判定対象外",BF$8="判定対象外",BF23="-"),"-",IF(BC23=BF23,"OK","NG"))</f>
        <v>OK</v>
      </c>
      <c r="BH23" s="180"/>
      <c r="BI23" s="138"/>
      <c r="BJ23" s="181" t="str">
        <f t="shared" si="91"/>
        <v/>
      </c>
      <c r="BK23" s="174" t="str">
        <f t="shared" si="6"/>
        <v>OK</v>
      </c>
      <c r="BL23" s="138"/>
      <c r="BM23" s="277" t="str">
        <f t="shared" si="132"/>
        <v>OK</v>
      </c>
      <c r="BN23" s="180"/>
      <c r="BO23" s="138"/>
      <c r="BP23" s="181" t="str">
        <f t="shared" si="92"/>
        <v/>
      </c>
      <c r="BQ23" s="174" t="str">
        <f t="shared" si="7"/>
        <v>OK</v>
      </c>
      <c r="BR23" s="138"/>
      <c r="BS23" s="277" t="str">
        <f t="shared" si="133"/>
        <v>OK</v>
      </c>
      <c r="BT23" s="180"/>
      <c r="BU23" s="138"/>
      <c r="BV23" s="181" t="str">
        <f t="shared" si="93"/>
        <v/>
      </c>
      <c r="BW23" s="174" t="str">
        <f t="shared" si="8"/>
        <v>OK</v>
      </c>
      <c r="BX23" s="138"/>
      <c r="BY23" s="277" t="str">
        <f t="shared" si="134"/>
        <v>OK</v>
      </c>
      <c r="BZ23" s="180"/>
      <c r="CA23" s="138"/>
      <c r="CB23" s="181" t="str">
        <f t="shared" si="94"/>
        <v/>
      </c>
      <c r="CC23" s="174" t="str">
        <f t="shared" si="9"/>
        <v>OK</v>
      </c>
      <c r="CD23" s="138"/>
      <c r="CE23" s="277" t="str">
        <f t="shared" si="135"/>
        <v>OK</v>
      </c>
      <c r="CF23" s="180"/>
      <c r="CG23" s="138"/>
      <c r="CH23" s="181" t="str">
        <f t="shared" si="95"/>
        <v/>
      </c>
      <c r="CI23" s="174" t="str">
        <f t="shared" si="10"/>
        <v>OK</v>
      </c>
      <c r="CJ23" s="138"/>
      <c r="CK23" s="277" t="str">
        <f t="shared" si="136"/>
        <v>OK</v>
      </c>
      <c r="CL23" s="180"/>
      <c r="CM23" s="138"/>
      <c r="CN23" s="181" t="str">
        <f t="shared" si="96"/>
        <v/>
      </c>
      <c r="CO23" s="174" t="str">
        <f t="shared" si="11"/>
        <v>OK</v>
      </c>
      <c r="CP23" s="138"/>
      <c r="CQ23" s="277" t="str">
        <f t="shared" si="137"/>
        <v>OK</v>
      </c>
      <c r="CR23" s="180"/>
      <c r="CS23" s="138"/>
      <c r="CT23" s="181" t="str">
        <f t="shared" si="97"/>
        <v/>
      </c>
      <c r="CU23" s="174" t="str">
        <f t="shared" si="12"/>
        <v>OK</v>
      </c>
      <c r="CV23" s="138"/>
      <c r="CW23" s="277" t="str">
        <f t="shared" si="138"/>
        <v>OK</v>
      </c>
      <c r="CX23" s="180"/>
      <c r="CY23" s="138"/>
      <c r="CZ23" s="181" t="str">
        <f t="shared" si="98"/>
        <v/>
      </c>
      <c r="DA23" s="174" t="str">
        <f t="shared" si="13"/>
        <v>OK</v>
      </c>
      <c r="DB23" s="138"/>
      <c r="DC23" s="277" t="str">
        <f t="shared" si="139"/>
        <v>OK</v>
      </c>
      <c r="DD23" s="180"/>
      <c r="DE23" s="138"/>
      <c r="DF23" s="181" t="str">
        <f t="shared" si="99"/>
        <v/>
      </c>
      <c r="DG23" s="174" t="str">
        <f t="shared" si="14"/>
        <v>OK</v>
      </c>
      <c r="DH23" s="138"/>
      <c r="DI23" s="277" t="str">
        <f t="shared" si="140"/>
        <v>OK</v>
      </c>
      <c r="DJ23" s="180"/>
      <c r="DK23" s="138"/>
      <c r="DL23" s="181" t="str">
        <f t="shared" si="100"/>
        <v/>
      </c>
      <c r="DM23" s="174" t="str">
        <f t="shared" si="15"/>
        <v>OK</v>
      </c>
      <c r="DN23" s="138"/>
      <c r="DO23" s="277" t="str">
        <f t="shared" si="141"/>
        <v>OK</v>
      </c>
      <c r="DP23" s="180"/>
      <c r="DQ23" s="138"/>
      <c r="DR23" s="181" t="str">
        <f t="shared" si="79"/>
        <v/>
      </c>
      <c r="DS23" s="174" t="str">
        <f t="shared" si="16"/>
        <v>OK</v>
      </c>
      <c r="DT23" s="138"/>
      <c r="DU23" s="277" t="str">
        <f t="shared" si="142"/>
        <v>OK</v>
      </c>
      <c r="DV23" s="180"/>
      <c r="DW23" s="138"/>
      <c r="DX23" s="181" t="str">
        <f t="shared" si="80"/>
        <v/>
      </c>
      <c r="DY23" s="174" t="str">
        <f t="shared" si="17"/>
        <v>OK</v>
      </c>
      <c r="DZ23" s="138"/>
      <c r="EA23" s="277" t="str">
        <f t="shared" si="143"/>
        <v>OK</v>
      </c>
      <c r="EB23" s="180"/>
      <c r="EC23" s="138"/>
      <c r="ED23" s="181" t="str">
        <f t="shared" si="81"/>
        <v/>
      </c>
      <c r="EE23" s="174" t="str">
        <f t="shared" si="18"/>
        <v>OK</v>
      </c>
      <c r="EF23" s="138"/>
      <c r="EG23" s="277" t="str">
        <f t="shared" si="144"/>
        <v>OK</v>
      </c>
      <c r="EH23" s="180"/>
      <c r="EI23" s="138"/>
      <c r="EJ23" s="181" t="str">
        <f t="shared" si="82"/>
        <v/>
      </c>
      <c r="EK23" s="174" t="str">
        <f t="shared" si="19"/>
        <v>OK</v>
      </c>
      <c r="EL23" s="138"/>
      <c r="EM23" s="277" t="str">
        <f t="shared" si="145"/>
        <v>OK</v>
      </c>
      <c r="EN23" s="180"/>
      <c r="EO23" s="138"/>
      <c r="EP23" s="181" t="str">
        <f t="shared" si="83"/>
        <v/>
      </c>
      <c r="EQ23" s="174" t="str">
        <f t="shared" si="20"/>
        <v>OK</v>
      </c>
      <c r="ER23" s="138"/>
      <c r="ES23" s="277" t="str">
        <f t="shared" si="146"/>
        <v>OK</v>
      </c>
      <c r="ET23" s="180"/>
      <c r="EU23" s="138"/>
      <c r="EV23" s="181" t="str">
        <f t="shared" si="84"/>
        <v/>
      </c>
      <c r="EW23" s="174" t="str">
        <f t="shared" si="21"/>
        <v>OK</v>
      </c>
      <c r="EX23" s="138"/>
      <c r="EY23" s="277" t="str">
        <f t="shared" si="147"/>
        <v>OK</v>
      </c>
      <c r="EZ23" s="180"/>
      <c r="FA23" s="138"/>
      <c r="FB23" s="181" t="str">
        <f t="shared" si="85"/>
        <v/>
      </c>
      <c r="FC23" s="174" t="str">
        <f t="shared" si="22"/>
        <v>OK</v>
      </c>
      <c r="FD23" s="138"/>
      <c r="FE23" s="277" t="str">
        <f t="shared" si="148"/>
        <v>OK</v>
      </c>
      <c r="FF23" s="180"/>
      <c r="FG23" s="138"/>
      <c r="FH23" s="181" t="str">
        <f t="shared" si="101"/>
        <v/>
      </c>
      <c r="FI23" s="174" t="str">
        <f t="shared" si="23"/>
        <v>OK</v>
      </c>
      <c r="FJ23" s="138"/>
      <c r="FK23" s="277" t="str">
        <f t="shared" si="149"/>
        <v>OK</v>
      </c>
      <c r="FL23" s="180"/>
      <c r="FM23" s="138"/>
      <c r="FN23" s="181" t="str">
        <f t="shared" si="102"/>
        <v/>
      </c>
      <c r="FO23" s="174" t="str">
        <f t="shared" si="24"/>
        <v>OK</v>
      </c>
      <c r="FP23" s="138"/>
      <c r="FQ23" s="277" t="str">
        <f t="shared" si="150"/>
        <v>OK</v>
      </c>
      <c r="FR23" s="180"/>
      <c r="FS23" s="138"/>
      <c r="FT23" s="181" t="str">
        <f t="shared" si="103"/>
        <v/>
      </c>
      <c r="FU23" s="174" t="str">
        <f t="shared" si="25"/>
        <v>OK</v>
      </c>
      <c r="FV23" s="138"/>
      <c r="FW23" s="277" t="str">
        <f t="shared" si="151"/>
        <v>OK</v>
      </c>
      <c r="FX23" s="180"/>
      <c r="FY23" s="138"/>
      <c r="FZ23" s="181" t="str">
        <f t="shared" si="104"/>
        <v/>
      </c>
      <c r="GA23" s="174" t="str">
        <f t="shared" si="26"/>
        <v>OK</v>
      </c>
      <c r="GB23" s="138"/>
      <c r="GC23" s="277" t="str">
        <f t="shared" si="152"/>
        <v>OK</v>
      </c>
    </row>
    <row r="24" spans="1:185" s="6" customFormat="1">
      <c r="A24" s="9"/>
      <c r="B24" s="48">
        <f t="shared" si="153"/>
        <v>17</v>
      </c>
      <c r="C24" s="182"/>
      <c r="D24" s="183"/>
      <c r="E24" s="310" t="s">
        <v>290</v>
      </c>
      <c r="F24" s="311"/>
      <c r="G24" s="311"/>
      <c r="H24" s="312"/>
      <c r="I24" s="42"/>
      <c r="J24" s="42" t="s">
        <v>1</v>
      </c>
      <c r="K24" s="42"/>
      <c r="L24" s="42"/>
      <c r="M24" s="43"/>
      <c r="N24" s="47"/>
      <c r="O24" s="143"/>
      <c r="P24" s="45">
        <v>1</v>
      </c>
      <c r="Q24" s="46">
        <v>11</v>
      </c>
      <c r="R24" s="41" t="str">
        <f>IF(AA24="M","NX",AA24)</f>
        <v>X</v>
      </c>
      <c r="S24" s="185"/>
      <c r="T24" s="43"/>
      <c r="U24" s="41" t="s">
        <v>284</v>
      </c>
      <c r="V24" s="44"/>
      <c r="W24" s="22">
        <v>2</v>
      </c>
      <c r="X24" s="47" t="s">
        <v>146</v>
      </c>
      <c r="Y24" s="47">
        <v>11</v>
      </c>
      <c r="Z24" s="47">
        <v>11</v>
      </c>
      <c r="AA24" s="42" t="s">
        <v>81</v>
      </c>
      <c r="AB24" s="42" t="s">
        <v>73</v>
      </c>
      <c r="AC24" s="166"/>
      <c r="AD24" s="165">
        <v>17110000001</v>
      </c>
      <c r="AE24" s="162"/>
      <c r="AF24" s="146" t="str">
        <f t="shared" si="86"/>
        <v xml:space="preserve">           </v>
      </c>
      <c r="AG24" s="174" t="str">
        <f t="shared" si="1"/>
        <v>NG</v>
      </c>
      <c r="AH24" s="141"/>
      <c r="AI24" s="276" t="str">
        <f t="shared" si="131"/>
        <v>OK</v>
      </c>
      <c r="AJ24" s="165">
        <v>17110000001</v>
      </c>
      <c r="AK24" s="162"/>
      <c r="AL24" s="146" t="str">
        <f t="shared" si="154"/>
        <v xml:space="preserve">           </v>
      </c>
      <c r="AM24" s="174" t="str">
        <f t="shared" si="155"/>
        <v>NG</v>
      </c>
      <c r="AN24" s="141"/>
      <c r="AO24" s="276" t="str">
        <f t="shared" si="156"/>
        <v>OK</v>
      </c>
      <c r="AP24" s="165">
        <v>17110000001</v>
      </c>
      <c r="AQ24" s="141"/>
      <c r="AR24" s="146" t="str">
        <f t="shared" si="157"/>
        <v xml:space="preserve">           </v>
      </c>
      <c r="AS24" s="174" t="str">
        <f t="shared" si="158"/>
        <v>NG</v>
      </c>
      <c r="AT24" s="141"/>
      <c r="AU24" s="276" t="str">
        <f t="shared" si="159"/>
        <v>OK</v>
      </c>
      <c r="AV24" s="165">
        <v>17110000001</v>
      </c>
      <c r="AW24" s="141"/>
      <c r="AX24" s="146" t="str">
        <f t="shared" si="160"/>
        <v xml:space="preserve">           </v>
      </c>
      <c r="AY24" s="174" t="str">
        <f t="shared" si="161"/>
        <v>NG</v>
      </c>
      <c r="AZ24" s="141"/>
      <c r="BA24" s="276" t="str">
        <f t="shared" si="162"/>
        <v>OK</v>
      </c>
      <c r="BB24" s="165">
        <v>17110000001</v>
      </c>
      <c r="BC24" s="141"/>
      <c r="BD24" s="146" t="str">
        <f t="shared" si="163"/>
        <v xml:space="preserve">           </v>
      </c>
      <c r="BE24" s="174" t="str">
        <f t="shared" si="164"/>
        <v>NG</v>
      </c>
      <c r="BF24" s="141"/>
      <c r="BG24" s="276" t="str">
        <f t="shared" si="165"/>
        <v>OK</v>
      </c>
      <c r="BH24" s="165">
        <v>17110000001</v>
      </c>
      <c r="BI24" s="141"/>
      <c r="BJ24" s="146" t="str">
        <f t="shared" si="91"/>
        <v xml:space="preserve">           </v>
      </c>
      <c r="BK24" s="174" t="str">
        <f t="shared" si="6"/>
        <v>NG</v>
      </c>
      <c r="BL24" s="141"/>
      <c r="BM24" s="276" t="str">
        <f t="shared" si="132"/>
        <v>OK</v>
      </c>
      <c r="BN24" s="165">
        <v>17110000001</v>
      </c>
      <c r="BO24" s="141"/>
      <c r="BP24" s="146" t="str">
        <f t="shared" si="92"/>
        <v xml:space="preserve">           </v>
      </c>
      <c r="BQ24" s="174" t="str">
        <f t="shared" si="7"/>
        <v>NG</v>
      </c>
      <c r="BR24" s="141"/>
      <c r="BS24" s="276" t="str">
        <f t="shared" si="133"/>
        <v>OK</v>
      </c>
      <c r="BT24" s="165">
        <v>17110000001</v>
      </c>
      <c r="BU24" s="141"/>
      <c r="BV24" s="146" t="str">
        <f t="shared" si="93"/>
        <v xml:space="preserve">           </v>
      </c>
      <c r="BW24" s="174" t="str">
        <f t="shared" si="8"/>
        <v>NG</v>
      </c>
      <c r="BX24" s="141"/>
      <c r="BY24" s="276" t="str">
        <f t="shared" si="134"/>
        <v>OK</v>
      </c>
      <c r="BZ24" s="165">
        <v>17110000001</v>
      </c>
      <c r="CA24" s="141"/>
      <c r="CB24" s="146" t="str">
        <f t="shared" si="94"/>
        <v xml:space="preserve">           </v>
      </c>
      <c r="CC24" s="174" t="str">
        <f t="shared" si="9"/>
        <v>NG</v>
      </c>
      <c r="CD24" s="141"/>
      <c r="CE24" s="276" t="str">
        <f t="shared" si="135"/>
        <v>OK</v>
      </c>
      <c r="CF24" s="165">
        <v>17110000001</v>
      </c>
      <c r="CG24" s="141"/>
      <c r="CH24" s="146" t="str">
        <f t="shared" si="95"/>
        <v xml:space="preserve">           </v>
      </c>
      <c r="CI24" s="174" t="str">
        <f t="shared" si="10"/>
        <v>NG</v>
      </c>
      <c r="CJ24" s="141"/>
      <c r="CK24" s="276" t="str">
        <f t="shared" si="136"/>
        <v>OK</v>
      </c>
      <c r="CL24" s="165">
        <v>17110000001</v>
      </c>
      <c r="CM24" s="141"/>
      <c r="CN24" s="146" t="str">
        <f t="shared" si="96"/>
        <v xml:space="preserve">           </v>
      </c>
      <c r="CO24" s="174" t="str">
        <f t="shared" si="11"/>
        <v>NG</v>
      </c>
      <c r="CP24" s="141"/>
      <c r="CQ24" s="276" t="str">
        <f t="shared" si="137"/>
        <v>OK</v>
      </c>
      <c r="CR24" s="165">
        <v>17110000001</v>
      </c>
      <c r="CS24" s="141"/>
      <c r="CT24" s="146" t="str">
        <f t="shared" si="97"/>
        <v xml:space="preserve">           </v>
      </c>
      <c r="CU24" s="174" t="str">
        <f t="shared" si="12"/>
        <v>NG</v>
      </c>
      <c r="CV24" s="141"/>
      <c r="CW24" s="276" t="str">
        <f t="shared" si="138"/>
        <v>OK</v>
      </c>
      <c r="CX24" s="165">
        <v>17110000001</v>
      </c>
      <c r="CY24" s="141"/>
      <c r="CZ24" s="146" t="str">
        <f t="shared" si="98"/>
        <v xml:space="preserve">           </v>
      </c>
      <c r="DA24" s="174" t="str">
        <f t="shared" si="13"/>
        <v>NG</v>
      </c>
      <c r="DB24" s="141"/>
      <c r="DC24" s="276" t="str">
        <f t="shared" si="139"/>
        <v>OK</v>
      </c>
      <c r="DD24" s="165">
        <v>17110000001</v>
      </c>
      <c r="DE24" s="141"/>
      <c r="DF24" s="146" t="str">
        <f t="shared" si="99"/>
        <v xml:space="preserve">           </v>
      </c>
      <c r="DG24" s="174" t="str">
        <f t="shared" si="14"/>
        <v>NG</v>
      </c>
      <c r="DH24" s="141"/>
      <c r="DI24" s="276" t="str">
        <f t="shared" si="140"/>
        <v>OK</v>
      </c>
      <c r="DJ24" s="165">
        <v>17110000001</v>
      </c>
      <c r="DK24" s="141"/>
      <c r="DL24" s="146" t="str">
        <f t="shared" si="100"/>
        <v xml:space="preserve">           </v>
      </c>
      <c r="DM24" s="174" t="str">
        <f t="shared" si="15"/>
        <v>NG</v>
      </c>
      <c r="DN24" s="141"/>
      <c r="DO24" s="276" t="str">
        <f t="shared" si="141"/>
        <v>OK</v>
      </c>
      <c r="DP24" s="165">
        <v>17110000001</v>
      </c>
      <c r="DQ24" s="141"/>
      <c r="DR24" s="146" t="str">
        <f t="shared" si="79"/>
        <v xml:space="preserve">           </v>
      </c>
      <c r="DS24" s="174" t="str">
        <f t="shared" si="16"/>
        <v>NG</v>
      </c>
      <c r="DT24" s="141"/>
      <c r="DU24" s="276" t="str">
        <f t="shared" si="142"/>
        <v>OK</v>
      </c>
      <c r="DV24" s="165">
        <v>17110000001</v>
      </c>
      <c r="DW24" s="141"/>
      <c r="DX24" s="146" t="str">
        <f t="shared" si="80"/>
        <v xml:space="preserve">           </v>
      </c>
      <c r="DY24" s="174" t="str">
        <f t="shared" si="17"/>
        <v>NG</v>
      </c>
      <c r="DZ24" s="141"/>
      <c r="EA24" s="276" t="str">
        <f t="shared" si="143"/>
        <v>OK</v>
      </c>
      <c r="EB24" s="165">
        <v>17110000001</v>
      </c>
      <c r="EC24" s="141"/>
      <c r="ED24" s="146" t="str">
        <f t="shared" si="81"/>
        <v xml:space="preserve">           </v>
      </c>
      <c r="EE24" s="174" t="str">
        <f t="shared" si="18"/>
        <v>NG</v>
      </c>
      <c r="EF24" s="141"/>
      <c r="EG24" s="276" t="str">
        <f t="shared" si="144"/>
        <v>OK</v>
      </c>
      <c r="EH24" s="165">
        <v>17110000001</v>
      </c>
      <c r="EI24" s="141"/>
      <c r="EJ24" s="146" t="str">
        <f t="shared" si="82"/>
        <v xml:space="preserve">           </v>
      </c>
      <c r="EK24" s="174" t="str">
        <f t="shared" si="19"/>
        <v>NG</v>
      </c>
      <c r="EL24" s="141"/>
      <c r="EM24" s="276" t="str">
        <f t="shared" si="145"/>
        <v>OK</v>
      </c>
      <c r="EN24" s="165">
        <v>17110000001</v>
      </c>
      <c r="EO24" s="141"/>
      <c r="EP24" s="146" t="str">
        <f t="shared" si="83"/>
        <v xml:space="preserve">           </v>
      </c>
      <c r="EQ24" s="174" t="str">
        <f t="shared" si="20"/>
        <v>NG</v>
      </c>
      <c r="ER24" s="141"/>
      <c r="ES24" s="276" t="str">
        <f t="shared" si="146"/>
        <v>OK</v>
      </c>
      <c r="ET24" s="165">
        <v>17110000001</v>
      </c>
      <c r="EU24" s="141"/>
      <c r="EV24" s="146" t="str">
        <f t="shared" si="84"/>
        <v xml:space="preserve">           </v>
      </c>
      <c r="EW24" s="174" t="str">
        <f t="shared" si="21"/>
        <v>NG</v>
      </c>
      <c r="EX24" s="141"/>
      <c r="EY24" s="276" t="str">
        <f t="shared" si="147"/>
        <v>OK</v>
      </c>
      <c r="EZ24" s="165">
        <v>17110000001</v>
      </c>
      <c r="FA24" s="141"/>
      <c r="FB24" s="146" t="str">
        <f t="shared" si="85"/>
        <v xml:space="preserve">           </v>
      </c>
      <c r="FC24" s="174" t="str">
        <f t="shared" si="22"/>
        <v>NG</v>
      </c>
      <c r="FD24" s="141"/>
      <c r="FE24" s="276" t="str">
        <f t="shared" si="148"/>
        <v>OK</v>
      </c>
      <c r="FF24" s="165">
        <v>17110000001</v>
      </c>
      <c r="FG24" s="141"/>
      <c r="FH24" s="146" t="str">
        <f t="shared" si="101"/>
        <v xml:space="preserve">           </v>
      </c>
      <c r="FI24" s="174" t="str">
        <f t="shared" si="23"/>
        <v>NG</v>
      </c>
      <c r="FJ24" s="141"/>
      <c r="FK24" s="276" t="str">
        <f t="shared" si="149"/>
        <v>OK</v>
      </c>
      <c r="FL24" s="165">
        <v>17110000001</v>
      </c>
      <c r="FM24" s="141"/>
      <c r="FN24" s="146" t="str">
        <f t="shared" si="102"/>
        <v xml:space="preserve">           </v>
      </c>
      <c r="FO24" s="174" t="str">
        <f t="shared" si="24"/>
        <v>NG</v>
      </c>
      <c r="FP24" s="141"/>
      <c r="FQ24" s="276" t="str">
        <f t="shared" si="150"/>
        <v>OK</v>
      </c>
      <c r="FR24" s="165">
        <v>17110000001</v>
      </c>
      <c r="FS24" s="141"/>
      <c r="FT24" s="146" t="str">
        <f t="shared" si="103"/>
        <v xml:space="preserve">           </v>
      </c>
      <c r="FU24" s="174" t="str">
        <f t="shared" si="25"/>
        <v>NG</v>
      </c>
      <c r="FV24" s="141"/>
      <c r="FW24" s="276" t="str">
        <f t="shared" si="151"/>
        <v>OK</v>
      </c>
      <c r="FX24" s="165">
        <v>17110000001</v>
      </c>
      <c r="FY24" s="141"/>
      <c r="FZ24" s="146" t="str">
        <f t="shared" si="104"/>
        <v xml:space="preserve">           </v>
      </c>
      <c r="GA24" s="174" t="str">
        <f t="shared" si="26"/>
        <v>NG</v>
      </c>
      <c r="GB24" s="141"/>
      <c r="GC24" s="276" t="str">
        <f t="shared" si="152"/>
        <v>OK</v>
      </c>
    </row>
    <row r="25" spans="1:185" s="6" customFormat="1">
      <c r="A25" s="9"/>
      <c r="B25" s="48">
        <f t="shared" si="153"/>
        <v>18</v>
      </c>
      <c r="C25" s="182"/>
      <c r="D25" s="183"/>
      <c r="E25" s="313" t="s">
        <v>147</v>
      </c>
      <c r="F25" s="314"/>
      <c r="G25" s="314"/>
      <c r="H25" s="315"/>
      <c r="I25" s="42"/>
      <c r="J25" s="42"/>
      <c r="K25" s="42"/>
      <c r="L25" s="42"/>
      <c r="M25" s="43" t="s">
        <v>148</v>
      </c>
      <c r="N25" s="47"/>
      <c r="O25" s="143"/>
      <c r="P25" s="45">
        <f>P24+1</f>
        <v>2</v>
      </c>
      <c r="Q25" s="46">
        <v>10</v>
      </c>
      <c r="R25" s="41" t="s">
        <v>81</v>
      </c>
      <c r="S25" s="185"/>
      <c r="T25" s="43"/>
      <c r="U25" s="41" t="s">
        <v>77</v>
      </c>
      <c r="V25" s="44"/>
      <c r="W25" s="22">
        <v>2</v>
      </c>
      <c r="X25" s="47" t="s">
        <v>149</v>
      </c>
      <c r="Y25" s="47">
        <v>10</v>
      </c>
      <c r="Z25" s="47">
        <v>10</v>
      </c>
      <c r="AA25" s="42">
        <v>9</v>
      </c>
      <c r="AB25" s="42" t="s">
        <v>73</v>
      </c>
      <c r="AC25" s="166"/>
      <c r="AD25" s="186" t="s">
        <v>150</v>
      </c>
      <c r="AE25" s="162"/>
      <c r="AF25" s="146" t="str">
        <f t="shared" si="86"/>
        <v xml:space="preserve">          </v>
      </c>
      <c r="AG25" s="174" t="str">
        <f t="shared" si="1"/>
        <v>NG</v>
      </c>
      <c r="AH25" s="141" t="str">
        <f t="shared" ref="AH25:AH32" si="166">IF(AD20="ORANGE",AD25,"")</f>
        <v/>
      </c>
      <c r="AI25" s="276" t="str">
        <f t="shared" si="131"/>
        <v>OK</v>
      </c>
      <c r="AJ25" s="186" t="s">
        <v>150</v>
      </c>
      <c r="AK25" s="162"/>
      <c r="AL25" s="146" t="str">
        <f t="shared" si="154"/>
        <v xml:space="preserve">          </v>
      </c>
      <c r="AM25" s="174" t="str">
        <f t="shared" si="155"/>
        <v>NG</v>
      </c>
      <c r="AN25" s="141" t="str">
        <f t="shared" ref="AN25:AN32" si="167">IF(AJ20="ORANGE",AJ25,"")</f>
        <v/>
      </c>
      <c r="AO25" s="276" t="str">
        <f t="shared" si="156"/>
        <v>OK</v>
      </c>
      <c r="AP25" s="186" t="s">
        <v>150</v>
      </c>
      <c r="AQ25" s="141"/>
      <c r="AR25" s="146" t="str">
        <f t="shared" si="157"/>
        <v xml:space="preserve">          </v>
      </c>
      <c r="AS25" s="174" t="str">
        <f t="shared" si="158"/>
        <v>NG</v>
      </c>
      <c r="AT25" s="141" t="str">
        <f t="shared" ref="AT25:AT32" si="168">IF(AP20="ORANGE",AP25,"")</f>
        <v/>
      </c>
      <c r="AU25" s="276" t="str">
        <f t="shared" si="159"/>
        <v>OK</v>
      </c>
      <c r="AV25" s="186" t="s">
        <v>150</v>
      </c>
      <c r="AW25" s="141"/>
      <c r="AX25" s="146" t="str">
        <f t="shared" si="160"/>
        <v xml:space="preserve">          </v>
      </c>
      <c r="AY25" s="174" t="str">
        <f t="shared" si="161"/>
        <v>NG</v>
      </c>
      <c r="AZ25" s="141" t="str">
        <f t="shared" ref="AZ25:AZ32" si="169">IF(AV20="ORANGE",AV25,"")</f>
        <v/>
      </c>
      <c r="BA25" s="276" t="str">
        <f t="shared" si="162"/>
        <v>OK</v>
      </c>
      <c r="BB25" s="186" t="s">
        <v>150</v>
      </c>
      <c r="BC25" s="141"/>
      <c r="BD25" s="146" t="str">
        <f t="shared" si="163"/>
        <v xml:space="preserve">          </v>
      </c>
      <c r="BE25" s="174" t="str">
        <f t="shared" si="164"/>
        <v>NG</v>
      </c>
      <c r="BF25" s="141" t="str">
        <f t="shared" ref="BF25:BF32" si="170">IF(BB20="ORANGE",BB25,"")</f>
        <v/>
      </c>
      <c r="BG25" s="276" t="str">
        <f t="shared" si="165"/>
        <v>OK</v>
      </c>
      <c r="BH25" s="186" t="s">
        <v>150</v>
      </c>
      <c r="BI25" s="141"/>
      <c r="BJ25" s="146" t="str">
        <f t="shared" si="91"/>
        <v xml:space="preserve">          </v>
      </c>
      <c r="BK25" s="174" t="str">
        <f t="shared" si="6"/>
        <v>NG</v>
      </c>
      <c r="BL25" s="141" t="str">
        <f t="shared" ref="BL25:BL32" si="171">IF(BH20="ORANGE",BH25,"")</f>
        <v/>
      </c>
      <c r="BM25" s="276" t="str">
        <f t="shared" si="132"/>
        <v>OK</v>
      </c>
      <c r="BN25" s="186" t="s">
        <v>150</v>
      </c>
      <c r="BO25" s="141"/>
      <c r="BP25" s="146" t="str">
        <f t="shared" si="92"/>
        <v xml:space="preserve">          </v>
      </c>
      <c r="BQ25" s="174" t="str">
        <f t="shared" si="7"/>
        <v>NG</v>
      </c>
      <c r="BR25" s="141" t="str">
        <f t="shared" ref="BR25:BR32" si="172">IF(BN20="ORANGE",BN25,"")</f>
        <v/>
      </c>
      <c r="BS25" s="276" t="str">
        <f t="shared" si="133"/>
        <v>OK</v>
      </c>
      <c r="BT25" s="186" t="s">
        <v>150</v>
      </c>
      <c r="BU25" s="141"/>
      <c r="BV25" s="146" t="str">
        <f t="shared" si="93"/>
        <v xml:space="preserve">          </v>
      </c>
      <c r="BW25" s="174" t="str">
        <f t="shared" si="8"/>
        <v>NG</v>
      </c>
      <c r="BX25" s="141" t="str">
        <f t="shared" ref="BX25:BX32" si="173">IF(BT20="ORANGE",BT25,"")</f>
        <v/>
      </c>
      <c r="BY25" s="276" t="str">
        <f t="shared" si="134"/>
        <v>OK</v>
      </c>
      <c r="BZ25" s="186" t="s">
        <v>150</v>
      </c>
      <c r="CA25" s="141"/>
      <c r="CB25" s="146" t="str">
        <f t="shared" si="94"/>
        <v xml:space="preserve">          </v>
      </c>
      <c r="CC25" s="174" t="str">
        <f t="shared" si="9"/>
        <v>NG</v>
      </c>
      <c r="CD25" s="141" t="str">
        <f t="shared" ref="CD25:CD32" si="174">IF(BZ20="ORANGE",BZ25,"")</f>
        <v/>
      </c>
      <c r="CE25" s="276" t="str">
        <f t="shared" si="135"/>
        <v>OK</v>
      </c>
      <c r="CF25" s="186" t="s">
        <v>150</v>
      </c>
      <c r="CG25" s="141"/>
      <c r="CH25" s="146" t="str">
        <f t="shared" si="95"/>
        <v xml:space="preserve">          </v>
      </c>
      <c r="CI25" s="174" t="str">
        <f t="shared" si="10"/>
        <v>NG</v>
      </c>
      <c r="CJ25" s="141" t="str">
        <f t="shared" ref="CJ25:CJ32" si="175">IF(CF20="ORANGE",CF25,"")</f>
        <v/>
      </c>
      <c r="CK25" s="276" t="str">
        <f t="shared" si="136"/>
        <v>OK</v>
      </c>
      <c r="CL25" s="186" t="s">
        <v>150</v>
      </c>
      <c r="CM25" s="141"/>
      <c r="CN25" s="146" t="str">
        <f t="shared" si="96"/>
        <v xml:space="preserve">          </v>
      </c>
      <c r="CO25" s="174" t="str">
        <f t="shared" si="11"/>
        <v>NG</v>
      </c>
      <c r="CP25" s="141" t="str">
        <f t="shared" ref="CP25:CP32" si="176">IF(CL20="ORANGE",CL25,"")</f>
        <v/>
      </c>
      <c r="CQ25" s="276" t="str">
        <f t="shared" si="137"/>
        <v>OK</v>
      </c>
      <c r="CR25" s="186" t="s">
        <v>150</v>
      </c>
      <c r="CS25" s="141"/>
      <c r="CT25" s="146" t="str">
        <f t="shared" si="97"/>
        <v xml:space="preserve">          </v>
      </c>
      <c r="CU25" s="174" t="str">
        <f t="shared" si="12"/>
        <v>NG</v>
      </c>
      <c r="CV25" s="141" t="str">
        <f t="shared" ref="CV25:CV32" si="177">IF(CR20="ORANGE",CR25,"")</f>
        <v/>
      </c>
      <c r="CW25" s="276" t="str">
        <f t="shared" si="138"/>
        <v>OK</v>
      </c>
      <c r="CX25" s="186" t="s">
        <v>150</v>
      </c>
      <c r="CY25" s="141"/>
      <c r="CZ25" s="146" t="str">
        <f t="shared" si="98"/>
        <v xml:space="preserve">          </v>
      </c>
      <c r="DA25" s="174" t="str">
        <f t="shared" si="13"/>
        <v>NG</v>
      </c>
      <c r="DB25" s="141" t="str">
        <f t="shared" ref="DB25:DB32" si="178">IF(CX20="ORANGE",CX25,"")</f>
        <v/>
      </c>
      <c r="DC25" s="276" t="str">
        <f t="shared" si="139"/>
        <v>OK</v>
      </c>
      <c r="DD25" s="186" t="s">
        <v>150</v>
      </c>
      <c r="DE25" s="141"/>
      <c r="DF25" s="146" t="str">
        <f t="shared" si="99"/>
        <v xml:space="preserve">          </v>
      </c>
      <c r="DG25" s="174" t="str">
        <f t="shared" si="14"/>
        <v>NG</v>
      </c>
      <c r="DH25" s="141" t="str">
        <f t="shared" ref="DH25:DH32" si="179">IF(DD20="ORANGE",DD25,"")</f>
        <v/>
      </c>
      <c r="DI25" s="276" t="str">
        <f t="shared" si="140"/>
        <v>OK</v>
      </c>
      <c r="DJ25" s="186" t="s">
        <v>150</v>
      </c>
      <c r="DK25" s="141"/>
      <c r="DL25" s="146" t="str">
        <f t="shared" si="100"/>
        <v xml:space="preserve">          </v>
      </c>
      <c r="DM25" s="174" t="str">
        <f t="shared" si="15"/>
        <v>NG</v>
      </c>
      <c r="DN25" s="141" t="str">
        <f t="shared" ref="DN25:DN32" si="180">IF(DJ20="ORANGE",DJ25,"")</f>
        <v/>
      </c>
      <c r="DO25" s="276" t="str">
        <f t="shared" si="141"/>
        <v>OK</v>
      </c>
      <c r="DP25" s="186" t="s">
        <v>150</v>
      </c>
      <c r="DQ25" s="141"/>
      <c r="DR25" s="146" t="str">
        <f t="shared" si="79"/>
        <v xml:space="preserve">          </v>
      </c>
      <c r="DS25" s="174" t="str">
        <f t="shared" si="16"/>
        <v>NG</v>
      </c>
      <c r="DT25" s="141" t="str">
        <f t="shared" ref="DT25:DT32" si="181">IF(DP20="ORANGE",DP25,"")</f>
        <v/>
      </c>
      <c r="DU25" s="276" t="str">
        <f t="shared" si="142"/>
        <v>OK</v>
      </c>
      <c r="DV25" s="186" t="s">
        <v>150</v>
      </c>
      <c r="DW25" s="141"/>
      <c r="DX25" s="146" t="str">
        <f t="shared" si="80"/>
        <v xml:space="preserve">          </v>
      </c>
      <c r="DY25" s="174" t="str">
        <f t="shared" si="17"/>
        <v>NG</v>
      </c>
      <c r="DZ25" s="141" t="str">
        <f t="shared" ref="DZ25:DZ32" si="182">IF(DV20="ORANGE",DV25,"")</f>
        <v/>
      </c>
      <c r="EA25" s="276" t="str">
        <f t="shared" si="143"/>
        <v>OK</v>
      </c>
      <c r="EB25" s="186" t="s">
        <v>150</v>
      </c>
      <c r="EC25" s="141"/>
      <c r="ED25" s="146" t="str">
        <f t="shared" si="81"/>
        <v xml:space="preserve">          </v>
      </c>
      <c r="EE25" s="174" t="str">
        <f t="shared" si="18"/>
        <v>NG</v>
      </c>
      <c r="EF25" s="141" t="str">
        <f t="shared" ref="EF25:EF32" si="183">IF(EB20="ORANGE",EB25,"")</f>
        <v/>
      </c>
      <c r="EG25" s="276" t="str">
        <f t="shared" si="144"/>
        <v>OK</v>
      </c>
      <c r="EH25" s="186" t="s">
        <v>150</v>
      </c>
      <c r="EI25" s="141"/>
      <c r="EJ25" s="146" t="str">
        <f t="shared" si="82"/>
        <v xml:space="preserve">          </v>
      </c>
      <c r="EK25" s="174" t="str">
        <f t="shared" si="19"/>
        <v>NG</v>
      </c>
      <c r="EL25" s="141" t="str">
        <f t="shared" ref="EL25:EL32" si="184">IF(EH20="ORANGE",EH25,"")</f>
        <v/>
      </c>
      <c r="EM25" s="276" t="str">
        <f t="shared" si="145"/>
        <v>OK</v>
      </c>
      <c r="EN25" s="186" t="s">
        <v>150</v>
      </c>
      <c r="EO25" s="141"/>
      <c r="EP25" s="146" t="str">
        <f t="shared" si="83"/>
        <v xml:space="preserve">          </v>
      </c>
      <c r="EQ25" s="174" t="str">
        <f t="shared" si="20"/>
        <v>NG</v>
      </c>
      <c r="ER25" s="141" t="str">
        <f t="shared" ref="ER25:ER32" si="185">IF(EN20="ORANGE",EN25,"")</f>
        <v/>
      </c>
      <c r="ES25" s="276" t="str">
        <f t="shared" si="146"/>
        <v>OK</v>
      </c>
      <c r="ET25" s="186" t="s">
        <v>150</v>
      </c>
      <c r="EU25" s="141"/>
      <c r="EV25" s="146" t="str">
        <f t="shared" si="84"/>
        <v xml:space="preserve">          </v>
      </c>
      <c r="EW25" s="174" t="str">
        <f t="shared" si="21"/>
        <v>NG</v>
      </c>
      <c r="EX25" s="141" t="str">
        <f t="shared" ref="EX25:EX32" si="186">IF(ET20="ORANGE",ET25,"")</f>
        <v/>
      </c>
      <c r="EY25" s="276" t="str">
        <f t="shared" si="147"/>
        <v>OK</v>
      </c>
      <c r="EZ25" s="186" t="s">
        <v>150</v>
      </c>
      <c r="FA25" s="141"/>
      <c r="FB25" s="146" t="str">
        <f t="shared" si="85"/>
        <v xml:space="preserve">          </v>
      </c>
      <c r="FC25" s="174" t="str">
        <f t="shared" si="22"/>
        <v>NG</v>
      </c>
      <c r="FD25" s="141" t="str">
        <f t="shared" ref="FD25:FD32" si="187">IF(EZ20="ORANGE",EZ25,"")</f>
        <v/>
      </c>
      <c r="FE25" s="276" t="str">
        <f t="shared" si="148"/>
        <v>OK</v>
      </c>
      <c r="FF25" s="186" t="s">
        <v>150</v>
      </c>
      <c r="FG25" s="141"/>
      <c r="FH25" s="146" t="str">
        <f t="shared" si="101"/>
        <v xml:space="preserve">          </v>
      </c>
      <c r="FI25" s="174" t="str">
        <f t="shared" si="23"/>
        <v>NG</v>
      </c>
      <c r="FJ25" s="141" t="str">
        <f t="shared" ref="FJ25:FJ32" si="188">IF(FF20="ORANGE",FF25,"")</f>
        <v/>
      </c>
      <c r="FK25" s="276" t="str">
        <f t="shared" si="149"/>
        <v>OK</v>
      </c>
      <c r="FL25" s="186" t="s">
        <v>150</v>
      </c>
      <c r="FM25" s="141"/>
      <c r="FN25" s="146" t="str">
        <f t="shared" si="102"/>
        <v xml:space="preserve">          </v>
      </c>
      <c r="FO25" s="174" t="str">
        <f t="shared" si="24"/>
        <v>NG</v>
      </c>
      <c r="FP25" s="141" t="str">
        <f t="shared" ref="FP25:FP32" si="189">IF(FL20="ORANGE",FL25,"")</f>
        <v/>
      </c>
      <c r="FQ25" s="276" t="str">
        <f t="shared" si="150"/>
        <v>OK</v>
      </c>
      <c r="FR25" s="186" t="s">
        <v>150</v>
      </c>
      <c r="FS25" s="141"/>
      <c r="FT25" s="146" t="str">
        <f t="shared" si="103"/>
        <v xml:space="preserve">          </v>
      </c>
      <c r="FU25" s="174" t="str">
        <f t="shared" si="25"/>
        <v>NG</v>
      </c>
      <c r="FV25" s="141" t="str">
        <f t="shared" ref="FV25:FV32" si="190">IF(FR20="ORANGE",FR25,"")</f>
        <v/>
      </c>
      <c r="FW25" s="276" t="str">
        <f t="shared" si="151"/>
        <v>OK</v>
      </c>
      <c r="FX25" s="186" t="s">
        <v>150</v>
      </c>
      <c r="FY25" s="141"/>
      <c r="FZ25" s="146" t="str">
        <f t="shared" si="104"/>
        <v xml:space="preserve">          </v>
      </c>
      <c r="GA25" s="174" t="str">
        <f t="shared" si="26"/>
        <v>NG</v>
      </c>
      <c r="GB25" s="141" t="str">
        <f t="shared" ref="GB25:GB32" si="191">IF(FX20="ORANGE",FX25,"")</f>
        <v/>
      </c>
      <c r="GC25" s="276" t="str">
        <f t="shared" si="152"/>
        <v>OK</v>
      </c>
    </row>
    <row r="26" spans="1:185" s="6" customFormat="1">
      <c r="A26" s="9"/>
      <c r="B26" s="48">
        <f t="shared" si="153"/>
        <v>19</v>
      </c>
      <c r="C26" s="182"/>
      <c r="D26" s="183"/>
      <c r="E26" s="310" t="s">
        <v>151</v>
      </c>
      <c r="F26" s="311"/>
      <c r="G26" s="311"/>
      <c r="H26" s="312"/>
      <c r="I26" s="42"/>
      <c r="J26" s="42" t="s">
        <v>1</v>
      </c>
      <c r="K26" s="42"/>
      <c r="L26" s="42"/>
      <c r="M26" s="43" t="s">
        <v>152</v>
      </c>
      <c r="N26" s="47"/>
      <c r="O26" s="143"/>
      <c r="P26" s="45">
        <f t="shared" ref="P26:P59" si="192">P25+1</f>
        <v>3</v>
      </c>
      <c r="Q26" s="46">
        <v>7</v>
      </c>
      <c r="R26" s="41" t="s">
        <v>81</v>
      </c>
      <c r="S26" s="185"/>
      <c r="T26" s="43"/>
      <c r="U26" s="41" t="s">
        <v>77</v>
      </c>
      <c r="V26" s="44"/>
      <c r="W26" s="22">
        <v>2</v>
      </c>
      <c r="X26" s="47" t="s">
        <v>153</v>
      </c>
      <c r="Y26" s="47">
        <v>7</v>
      </c>
      <c r="Z26" s="47">
        <v>7</v>
      </c>
      <c r="AA26" s="42">
        <v>9</v>
      </c>
      <c r="AB26" s="42" t="s">
        <v>73</v>
      </c>
      <c r="AC26" s="166"/>
      <c r="AD26" s="160">
        <v>1040032</v>
      </c>
      <c r="AE26" s="162"/>
      <c r="AF26" s="146" t="str">
        <f t="shared" si="86"/>
        <v xml:space="preserve">       </v>
      </c>
      <c r="AG26" s="174" t="str">
        <f t="shared" si="1"/>
        <v>NG</v>
      </c>
      <c r="AH26" s="141" t="str">
        <f t="shared" si="166"/>
        <v/>
      </c>
      <c r="AI26" s="276" t="str">
        <f t="shared" si="131"/>
        <v>OK</v>
      </c>
      <c r="AJ26" s="160">
        <v>1040032</v>
      </c>
      <c r="AK26" s="162"/>
      <c r="AL26" s="146" t="str">
        <f t="shared" si="154"/>
        <v xml:space="preserve">       </v>
      </c>
      <c r="AM26" s="174" t="str">
        <f t="shared" si="155"/>
        <v>NG</v>
      </c>
      <c r="AN26" s="141" t="str">
        <f t="shared" si="167"/>
        <v/>
      </c>
      <c r="AO26" s="276" t="str">
        <f t="shared" si="156"/>
        <v>OK</v>
      </c>
      <c r="AP26" s="160">
        <v>1040032</v>
      </c>
      <c r="AQ26" s="141"/>
      <c r="AR26" s="146" t="str">
        <f t="shared" si="157"/>
        <v xml:space="preserve">       </v>
      </c>
      <c r="AS26" s="174" t="str">
        <f t="shared" si="158"/>
        <v>NG</v>
      </c>
      <c r="AT26" s="141" t="str">
        <f t="shared" si="168"/>
        <v/>
      </c>
      <c r="AU26" s="276" t="str">
        <f t="shared" si="159"/>
        <v>OK</v>
      </c>
      <c r="AV26" s="160">
        <v>1040032</v>
      </c>
      <c r="AW26" s="141"/>
      <c r="AX26" s="146" t="str">
        <f t="shared" si="160"/>
        <v xml:space="preserve">       </v>
      </c>
      <c r="AY26" s="174" t="str">
        <f t="shared" si="161"/>
        <v>NG</v>
      </c>
      <c r="AZ26" s="141" t="str">
        <f t="shared" si="169"/>
        <v/>
      </c>
      <c r="BA26" s="276" t="str">
        <f t="shared" si="162"/>
        <v>OK</v>
      </c>
      <c r="BB26" s="160">
        <v>1040032</v>
      </c>
      <c r="BC26" s="141"/>
      <c r="BD26" s="146" t="str">
        <f t="shared" si="163"/>
        <v xml:space="preserve">       </v>
      </c>
      <c r="BE26" s="174" t="str">
        <f t="shared" si="164"/>
        <v>NG</v>
      </c>
      <c r="BF26" s="141" t="str">
        <f t="shared" si="170"/>
        <v/>
      </c>
      <c r="BG26" s="276" t="str">
        <f t="shared" si="165"/>
        <v>OK</v>
      </c>
      <c r="BH26" s="160">
        <v>1040032</v>
      </c>
      <c r="BI26" s="141"/>
      <c r="BJ26" s="146" t="str">
        <f t="shared" si="91"/>
        <v xml:space="preserve">       </v>
      </c>
      <c r="BK26" s="174" t="str">
        <f t="shared" si="6"/>
        <v>NG</v>
      </c>
      <c r="BL26" s="141" t="str">
        <f t="shared" si="171"/>
        <v/>
      </c>
      <c r="BM26" s="276" t="str">
        <f t="shared" si="132"/>
        <v>OK</v>
      </c>
      <c r="BN26" s="160">
        <v>1040032</v>
      </c>
      <c r="BO26" s="141"/>
      <c r="BP26" s="146" t="str">
        <f t="shared" si="92"/>
        <v xml:space="preserve">       </v>
      </c>
      <c r="BQ26" s="174" t="str">
        <f t="shared" si="7"/>
        <v>NG</v>
      </c>
      <c r="BR26" s="141" t="str">
        <f t="shared" si="172"/>
        <v/>
      </c>
      <c r="BS26" s="276" t="str">
        <f t="shared" si="133"/>
        <v>OK</v>
      </c>
      <c r="BT26" s="160">
        <v>1040032</v>
      </c>
      <c r="BU26" s="141"/>
      <c r="BV26" s="146" t="str">
        <f t="shared" si="93"/>
        <v xml:space="preserve">       </v>
      </c>
      <c r="BW26" s="174" t="str">
        <f t="shared" si="8"/>
        <v>NG</v>
      </c>
      <c r="BX26" s="141" t="str">
        <f t="shared" si="173"/>
        <v/>
      </c>
      <c r="BY26" s="276" t="str">
        <f t="shared" si="134"/>
        <v>OK</v>
      </c>
      <c r="BZ26" s="160">
        <v>1040032</v>
      </c>
      <c r="CA26" s="141"/>
      <c r="CB26" s="146" t="str">
        <f t="shared" si="94"/>
        <v xml:space="preserve">       </v>
      </c>
      <c r="CC26" s="174" t="str">
        <f t="shared" si="9"/>
        <v>NG</v>
      </c>
      <c r="CD26" s="141" t="str">
        <f t="shared" si="174"/>
        <v/>
      </c>
      <c r="CE26" s="276" t="str">
        <f t="shared" si="135"/>
        <v>OK</v>
      </c>
      <c r="CF26" s="160">
        <v>1040032</v>
      </c>
      <c r="CG26" s="141"/>
      <c r="CH26" s="146" t="str">
        <f t="shared" si="95"/>
        <v xml:space="preserve">       </v>
      </c>
      <c r="CI26" s="174" t="str">
        <f t="shared" si="10"/>
        <v>NG</v>
      </c>
      <c r="CJ26" s="141" t="str">
        <f t="shared" si="175"/>
        <v/>
      </c>
      <c r="CK26" s="276" t="str">
        <f t="shared" si="136"/>
        <v>OK</v>
      </c>
      <c r="CL26" s="160">
        <v>1040032</v>
      </c>
      <c r="CM26" s="141"/>
      <c r="CN26" s="146" t="str">
        <f t="shared" si="96"/>
        <v xml:space="preserve">       </v>
      </c>
      <c r="CO26" s="174" t="str">
        <f t="shared" si="11"/>
        <v>NG</v>
      </c>
      <c r="CP26" s="141" t="str">
        <f t="shared" si="176"/>
        <v/>
      </c>
      <c r="CQ26" s="276" t="str">
        <f t="shared" si="137"/>
        <v>OK</v>
      </c>
      <c r="CR26" s="160">
        <v>1040032</v>
      </c>
      <c r="CS26" s="141"/>
      <c r="CT26" s="146" t="str">
        <f t="shared" si="97"/>
        <v xml:space="preserve">       </v>
      </c>
      <c r="CU26" s="174" t="str">
        <f t="shared" si="12"/>
        <v>NG</v>
      </c>
      <c r="CV26" s="141" t="str">
        <f t="shared" si="177"/>
        <v/>
      </c>
      <c r="CW26" s="276" t="str">
        <f t="shared" si="138"/>
        <v>OK</v>
      </c>
      <c r="CX26" s="160">
        <v>1040032</v>
      </c>
      <c r="CY26" s="141"/>
      <c r="CZ26" s="146" t="str">
        <f t="shared" si="98"/>
        <v xml:space="preserve">       </v>
      </c>
      <c r="DA26" s="174" t="str">
        <f t="shared" si="13"/>
        <v>NG</v>
      </c>
      <c r="DB26" s="141" t="str">
        <f t="shared" si="178"/>
        <v/>
      </c>
      <c r="DC26" s="276" t="str">
        <f t="shared" si="139"/>
        <v>OK</v>
      </c>
      <c r="DD26" s="160">
        <v>1040032</v>
      </c>
      <c r="DE26" s="141"/>
      <c r="DF26" s="146" t="str">
        <f t="shared" si="99"/>
        <v xml:space="preserve">       </v>
      </c>
      <c r="DG26" s="174" t="str">
        <f t="shared" si="14"/>
        <v>NG</v>
      </c>
      <c r="DH26" s="141" t="str">
        <f t="shared" si="179"/>
        <v/>
      </c>
      <c r="DI26" s="276" t="str">
        <f t="shared" si="140"/>
        <v>OK</v>
      </c>
      <c r="DJ26" s="160">
        <v>1040032</v>
      </c>
      <c r="DK26" s="141"/>
      <c r="DL26" s="146" t="str">
        <f t="shared" si="100"/>
        <v xml:space="preserve">       </v>
      </c>
      <c r="DM26" s="174" t="str">
        <f t="shared" si="15"/>
        <v>NG</v>
      </c>
      <c r="DN26" s="141" t="str">
        <f t="shared" si="180"/>
        <v/>
      </c>
      <c r="DO26" s="276" t="str">
        <f t="shared" si="141"/>
        <v>OK</v>
      </c>
      <c r="DP26" s="160">
        <v>1040032</v>
      </c>
      <c r="DQ26" s="141"/>
      <c r="DR26" s="146" t="str">
        <f t="shared" si="79"/>
        <v xml:space="preserve">       </v>
      </c>
      <c r="DS26" s="174" t="str">
        <f t="shared" si="16"/>
        <v>NG</v>
      </c>
      <c r="DT26" s="141" t="str">
        <f t="shared" si="181"/>
        <v/>
      </c>
      <c r="DU26" s="276" t="str">
        <f t="shared" si="142"/>
        <v>OK</v>
      </c>
      <c r="DV26" s="160">
        <v>1040032</v>
      </c>
      <c r="DW26" s="141"/>
      <c r="DX26" s="146" t="str">
        <f t="shared" si="80"/>
        <v xml:space="preserve">       </v>
      </c>
      <c r="DY26" s="174" t="str">
        <f t="shared" si="17"/>
        <v>NG</v>
      </c>
      <c r="DZ26" s="141" t="str">
        <f t="shared" si="182"/>
        <v/>
      </c>
      <c r="EA26" s="276" t="str">
        <f t="shared" si="143"/>
        <v>OK</v>
      </c>
      <c r="EB26" s="160">
        <v>1040032</v>
      </c>
      <c r="EC26" s="141"/>
      <c r="ED26" s="146" t="str">
        <f t="shared" si="81"/>
        <v xml:space="preserve">       </v>
      </c>
      <c r="EE26" s="174" t="str">
        <f t="shared" si="18"/>
        <v>NG</v>
      </c>
      <c r="EF26" s="141" t="str">
        <f t="shared" si="183"/>
        <v/>
      </c>
      <c r="EG26" s="276" t="str">
        <f t="shared" si="144"/>
        <v>OK</v>
      </c>
      <c r="EH26" s="160">
        <v>1040032</v>
      </c>
      <c r="EI26" s="141"/>
      <c r="EJ26" s="146" t="str">
        <f t="shared" si="82"/>
        <v xml:space="preserve">       </v>
      </c>
      <c r="EK26" s="174" t="str">
        <f t="shared" si="19"/>
        <v>NG</v>
      </c>
      <c r="EL26" s="141" t="str">
        <f t="shared" si="184"/>
        <v/>
      </c>
      <c r="EM26" s="276" t="str">
        <f t="shared" si="145"/>
        <v>OK</v>
      </c>
      <c r="EN26" s="160">
        <v>1040032</v>
      </c>
      <c r="EO26" s="141"/>
      <c r="EP26" s="146" t="str">
        <f t="shared" si="83"/>
        <v xml:space="preserve">       </v>
      </c>
      <c r="EQ26" s="174" t="str">
        <f t="shared" si="20"/>
        <v>NG</v>
      </c>
      <c r="ER26" s="141" t="str">
        <f t="shared" si="185"/>
        <v/>
      </c>
      <c r="ES26" s="276" t="str">
        <f t="shared" si="146"/>
        <v>OK</v>
      </c>
      <c r="ET26" s="160">
        <v>1040032</v>
      </c>
      <c r="EU26" s="141"/>
      <c r="EV26" s="146" t="str">
        <f t="shared" si="84"/>
        <v xml:space="preserve">       </v>
      </c>
      <c r="EW26" s="174" t="str">
        <f t="shared" si="21"/>
        <v>NG</v>
      </c>
      <c r="EX26" s="141" t="str">
        <f t="shared" si="186"/>
        <v/>
      </c>
      <c r="EY26" s="276" t="str">
        <f t="shared" si="147"/>
        <v>OK</v>
      </c>
      <c r="EZ26" s="160">
        <v>1040032</v>
      </c>
      <c r="FA26" s="141"/>
      <c r="FB26" s="146" t="str">
        <f t="shared" si="85"/>
        <v xml:space="preserve">       </v>
      </c>
      <c r="FC26" s="174" t="str">
        <f t="shared" si="22"/>
        <v>NG</v>
      </c>
      <c r="FD26" s="141" t="str">
        <f t="shared" si="187"/>
        <v/>
      </c>
      <c r="FE26" s="276" t="str">
        <f t="shared" si="148"/>
        <v>OK</v>
      </c>
      <c r="FF26" s="160">
        <v>1040032</v>
      </c>
      <c r="FG26" s="141"/>
      <c r="FH26" s="146" t="str">
        <f t="shared" si="101"/>
        <v xml:space="preserve">       </v>
      </c>
      <c r="FI26" s="174" t="str">
        <f t="shared" si="23"/>
        <v>NG</v>
      </c>
      <c r="FJ26" s="141" t="str">
        <f t="shared" si="188"/>
        <v/>
      </c>
      <c r="FK26" s="276" t="str">
        <f t="shared" si="149"/>
        <v>OK</v>
      </c>
      <c r="FL26" s="160">
        <v>1040032</v>
      </c>
      <c r="FM26" s="141"/>
      <c r="FN26" s="146" t="str">
        <f t="shared" si="102"/>
        <v xml:space="preserve">       </v>
      </c>
      <c r="FO26" s="174" t="str">
        <f t="shared" si="24"/>
        <v>NG</v>
      </c>
      <c r="FP26" s="141" t="str">
        <f t="shared" si="189"/>
        <v/>
      </c>
      <c r="FQ26" s="276" t="str">
        <f t="shared" si="150"/>
        <v>OK</v>
      </c>
      <c r="FR26" s="160">
        <v>1040032</v>
      </c>
      <c r="FS26" s="141"/>
      <c r="FT26" s="146" t="str">
        <f t="shared" si="103"/>
        <v xml:space="preserve">       </v>
      </c>
      <c r="FU26" s="174" t="str">
        <f t="shared" si="25"/>
        <v>NG</v>
      </c>
      <c r="FV26" s="141" t="str">
        <f t="shared" si="190"/>
        <v/>
      </c>
      <c r="FW26" s="276" t="str">
        <f t="shared" si="151"/>
        <v>OK</v>
      </c>
      <c r="FX26" s="160">
        <v>1040032</v>
      </c>
      <c r="FY26" s="141"/>
      <c r="FZ26" s="146" t="str">
        <f t="shared" si="104"/>
        <v xml:space="preserve">       </v>
      </c>
      <c r="GA26" s="174" t="str">
        <f t="shared" si="26"/>
        <v>NG</v>
      </c>
      <c r="GB26" s="141" t="str">
        <f t="shared" si="191"/>
        <v/>
      </c>
      <c r="GC26" s="276" t="str">
        <f t="shared" si="152"/>
        <v>OK</v>
      </c>
    </row>
    <row r="27" spans="1:185" s="6" customFormat="1" ht="38.25">
      <c r="A27" s="9"/>
      <c r="B27" s="48">
        <f t="shared" si="153"/>
        <v>20</v>
      </c>
      <c r="C27" s="182"/>
      <c r="D27" s="183"/>
      <c r="E27" s="310" t="s">
        <v>154</v>
      </c>
      <c r="F27" s="311"/>
      <c r="G27" s="311"/>
      <c r="H27" s="312"/>
      <c r="I27" s="42"/>
      <c r="J27" s="42" t="s">
        <v>1</v>
      </c>
      <c r="K27" s="42"/>
      <c r="L27" s="42"/>
      <c r="M27" s="50" t="s">
        <v>155</v>
      </c>
      <c r="N27" s="47" t="s">
        <v>156</v>
      </c>
      <c r="O27" s="143"/>
      <c r="P27" s="45">
        <f t="shared" si="192"/>
        <v>4</v>
      </c>
      <c r="Q27" s="46">
        <v>1</v>
      </c>
      <c r="R27" s="41" t="s">
        <v>81</v>
      </c>
      <c r="S27" s="185"/>
      <c r="T27" s="43"/>
      <c r="U27" s="41" t="s">
        <v>77</v>
      </c>
      <c r="V27" s="44"/>
      <c r="W27" s="22">
        <v>2</v>
      </c>
      <c r="X27" s="47" t="s">
        <v>157</v>
      </c>
      <c r="Y27" s="47">
        <v>1</v>
      </c>
      <c r="Z27" s="47">
        <v>1</v>
      </c>
      <c r="AA27" s="42">
        <v>9</v>
      </c>
      <c r="AB27" s="42" t="s">
        <v>73</v>
      </c>
      <c r="AC27" s="166"/>
      <c r="AD27" s="165">
        <v>0</v>
      </c>
      <c r="AE27" s="162"/>
      <c r="AF27" s="146" t="str">
        <f t="shared" si="86"/>
        <v xml:space="preserve"> </v>
      </c>
      <c r="AG27" s="174" t="str">
        <f t="shared" si="1"/>
        <v>NG</v>
      </c>
      <c r="AH27" s="141" t="str">
        <f t="shared" si="166"/>
        <v/>
      </c>
      <c r="AI27" s="276" t="str">
        <f t="shared" si="131"/>
        <v>OK</v>
      </c>
      <c r="AJ27" s="165">
        <v>0</v>
      </c>
      <c r="AK27" s="162"/>
      <c r="AL27" s="146" t="str">
        <f t="shared" si="154"/>
        <v xml:space="preserve"> </v>
      </c>
      <c r="AM27" s="174" t="str">
        <f t="shared" si="155"/>
        <v>NG</v>
      </c>
      <c r="AN27" s="141" t="str">
        <f t="shared" si="167"/>
        <v/>
      </c>
      <c r="AO27" s="276" t="str">
        <f t="shared" si="156"/>
        <v>OK</v>
      </c>
      <c r="AP27" s="165">
        <v>0</v>
      </c>
      <c r="AQ27" s="141"/>
      <c r="AR27" s="146" t="str">
        <f t="shared" si="157"/>
        <v xml:space="preserve"> </v>
      </c>
      <c r="AS27" s="174" t="str">
        <f t="shared" si="158"/>
        <v>NG</v>
      </c>
      <c r="AT27" s="141" t="str">
        <f t="shared" si="168"/>
        <v/>
      </c>
      <c r="AU27" s="276" t="str">
        <f t="shared" si="159"/>
        <v>OK</v>
      </c>
      <c r="AV27" s="165">
        <v>0</v>
      </c>
      <c r="AW27" s="141"/>
      <c r="AX27" s="146" t="str">
        <f t="shared" si="160"/>
        <v xml:space="preserve"> </v>
      </c>
      <c r="AY27" s="174" t="str">
        <f t="shared" si="161"/>
        <v>NG</v>
      </c>
      <c r="AZ27" s="141" t="str">
        <f t="shared" si="169"/>
        <v/>
      </c>
      <c r="BA27" s="276" t="str">
        <f t="shared" si="162"/>
        <v>OK</v>
      </c>
      <c r="BB27" s="165">
        <v>0</v>
      </c>
      <c r="BC27" s="141"/>
      <c r="BD27" s="146" t="str">
        <f t="shared" si="163"/>
        <v xml:space="preserve"> </v>
      </c>
      <c r="BE27" s="174" t="str">
        <f t="shared" si="164"/>
        <v>NG</v>
      </c>
      <c r="BF27" s="141" t="str">
        <f t="shared" si="170"/>
        <v/>
      </c>
      <c r="BG27" s="276" t="str">
        <f t="shared" si="165"/>
        <v>OK</v>
      </c>
      <c r="BH27" s="165">
        <v>1</v>
      </c>
      <c r="BI27" s="141"/>
      <c r="BJ27" s="146" t="str">
        <f t="shared" si="91"/>
        <v xml:space="preserve"> </v>
      </c>
      <c r="BK27" s="174" t="str">
        <f t="shared" si="6"/>
        <v>NG</v>
      </c>
      <c r="BL27" s="141" t="str">
        <f t="shared" si="171"/>
        <v/>
      </c>
      <c r="BM27" s="276" t="str">
        <f t="shared" si="132"/>
        <v>OK</v>
      </c>
      <c r="BN27" s="165">
        <v>1</v>
      </c>
      <c r="BO27" s="141"/>
      <c r="BP27" s="146" t="str">
        <f t="shared" si="92"/>
        <v xml:space="preserve"> </v>
      </c>
      <c r="BQ27" s="174" t="str">
        <f t="shared" si="7"/>
        <v>NG</v>
      </c>
      <c r="BR27" s="141" t="str">
        <f t="shared" si="172"/>
        <v/>
      </c>
      <c r="BS27" s="276" t="str">
        <f t="shared" si="133"/>
        <v>OK</v>
      </c>
      <c r="BT27" s="165">
        <v>0</v>
      </c>
      <c r="BU27" s="141"/>
      <c r="BV27" s="146" t="str">
        <f t="shared" si="93"/>
        <v xml:space="preserve"> </v>
      </c>
      <c r="BW27" s="174" t="str">
        <f t="shared" si="8"/>
        <v>NG</v>
      </c>
      <c r="BX27" s="141" t="str">
        <f t="shared" si="173"/>
        <v/>
      </c>
      <c r="BY27" s="276" t="str">
        <f t="shared" si="134"/>
        <v>OK</v>
      </c>
      <c r="BZ27" s="165">
        <v>0</v>
      </c>
      <c r="CA27" s="141"/>
      <c r="CB27" s="146" t="str">
        <f t="shared" si="94"/>
        <v xml:space="preserve"> </v>
      </c>
      <c r="CC27" s="174" t="str">
        <f t="shared" si="9"/>
        <v>NG</v>
      </c>
      <c r="CD27" s="141" t="str">
        <f t="shared" si="174"/>
        <v/>
      </c>
      <c r="CE27" s="276" t="str">
        <f t="shared" si="135"/>
        <v>OK</v>
      </c>
      <c r="CF27" s="165">
        <v>0</v>
      </c>
      <c r="CG27" s="141"/>
      <c r="CH27" s="146" t="str">
        <f t="shared" si="95"/>
        <v xml:space="preserve"> </v>
      </c>
      <c r="CI27" s="174" t="str">
        <f t="shared" si="10"/>
        <v>NG</v>
      </c>
      <c r="CJ27" s="141" t="str">
        <f t="shared" si="175"/>
        <v/>
      </c>
      <c r="CK27" s="276" t="str">
        <f t="shared" si="136"/>
        <v>OK</v>
      </c>
      <c r="CL27" s="165">
        <v>0</v>
      </c>
      <c r="CM27" s="141"/>
      <c r="CN27" s="146" t="str">
        <f t="shared" si="96"/>
        <v xml:space="preserve"> </v>
      </c>
      <c r="CO27" s="174" t="str">
        <f t="shared" si="11"/>
        <v>NG</v>
      </c>
      <c r="CP27" s="141" t="str">
        <f t="shared" si="176"/>
        <v/>
      </c>
      <c r="CQ27" s="276" t="str">
        <f t="shared" si="137"/>
        <v>OK</v>
      </c>
      <c r="CR27" s="165">
        <v>0</v>
      </c>
      <c r="CS27" s="141"/>
      <c r="CT27" s="146" t="str">
        <f t="shared" si="97"/>
        <v xml:space="preserve"> </v>
      </c>
      <c r="CU27" s="174" t="str">
        <f t="shared" si="12"/>
        <v>NG</v>
      </c>
      <c r="CV27" s="141" t="str">
        <f t="shared" si="177"/>
        <v/>
      </c>
      <c r="CW27" s="276" t="str">
        <f t="shared" si="138"/>
        <v>OK</v>
      </c>
      <c r="CX27" s="165">
        <v>0</v>
      </c>
      <c r="CY27" s="141"/>
      <c r="CZ27" s="146" t="str">
        <f t="shared" si="98"/>
        <v xml:space="preserve"> </v>
      </c>
      <c r="DA27" s="174" t="str">
        <f t="shared" si="13"/>
        <v>NG</v>
      </c>
      <c r="DB27" s="141" t="str">
        <f t="shared" si="178"/>
        <v/>
      </c>
      <c r="DC27" s="276" t="str">
        <f t="shared" si="139"/>
        <v>OK</v>
      </c>
      <c r="DD27" s="165">
        <v>0</v>
      </c>
      <c r="DE27" s="141"/>
      <c r="DF27" s="146" t="str">
        <f t="shared" si="99"/>
        <v xml:space="preserve"> </v>
      </c>
      <c r="DG27" s="174" t="str">
        <f t="shared" si="14"/>
        <v>NG</v>
      </c>
      <c r="DH27" s="141" t="str">
        <f t="shared" si="179"/>
        <v/>
      </c>
      <c r="DI27" s="276" t="str">
        <f t="shared" si="140"/>
        <v>OK</v>
      </c>
      <c r="DJ27" s="165">
        <v>0</v>
      </c>
      <c r="DK27" s="141"/>
      <c r="DL27" s="146" t="str">
        <f t="shared" si="100"/>
        <v xml:space="preserve"> </v>
      </c>
      <c r="DM27" s="174" t="str">
        <f t="shared" si="15"/>
        <v>NG</v>
      </c>
      <c r="DN27" s="141" t="str">
        <f t="shared" si="180"/>
        <v/>
      </c>
      <c r="DO27" s="276" t="str">
        <f t="shared" si="141"/>
        <v>OK</v>
      </c>
      <c r="DP27" s="165">
        <v>0</v>
      </c>
      <c r="DQ27" s="141"/>
      <c r="DR27" s="146" t="str">
        <f t="shared" si="79"/>
        <v xml:space="preserve"> </v>
      </c>
      <c r="DS27" s="174" t="str">
        <f t="shared" si="16"/>
        <v>NG</v>
      </c>
      <c r="DT27" s="141" t="str">
        <f t="shared" si="181"/>
        <v/>
      </c>
      <c r="DU27" s="276" t="str">
        <f t="shared" si="142"/>
        <v>OK</v>
      </c>
      <c r="DV27" s="165">
        <v>0</v>
      </c>
      <c r="DW27" s="141"/>
      <c r="DX27" s="146" t="str">
        <f t="shared" si="80"/>
        <v xml:space="preserve"> </v>
      </c>
      <c r="DY27" s="174" t="str">
        <f t="shared" si="17"/>
        <v>NG</v>
      </c>
      <c r="DZ27" s="141" t="str">
        <f t="shared" si="182"/>
        <v/>
      </c>
      <c r="EA27" s="276" t="str">
        <f t="shared" si="143"/>
        <v>OK</v>
      </c>
      <c r="EB27" s="165">
        <v>0</v>
      </c>
      <c r="EC27" s="141"/>
      <c r="ED27" s="146" t="str">
        <f t="shared" si="81"/>
        <v xml:space="preserve"> </v>
      </c>
      <c r="EE27" s="174" t="str">
        <f t="shared" si="18"/>
        <v>NG</v>
      </c>
      <c r="EF27" s="141" t="str">
        <f t="shared" si="183"/>
        <v/>
      </c>
      <c r="EG27" s="276" t="str">
        <f t="shared" si="144"/>
        <v>OK</v>
      </c>
      <c r="EH27" s="165">
        <v>0</v>
      </c>
      <c r="EI27" s="141"/>
      <c r="EJ27" s="146" t="str">
        <f t="shared" si="82"/>
        <v xml:space="preserve"> </v>
      </c>
      <c r="EK27" s="174" t="str">
        <f t="shared" si="19"/>
        <v>NG</v>
      </c>
      <c r="EL27" s="141" t="str">
        <f t="shared" si="184"/>
        <v/>
      </c>
      <c r="EM27" s="276" t="str">
        <f t="shared" si="145"/>
        <v>OK</v>
      </c>
      <c r="EN27" s="165">
        <v>0</v>
      </c>
      <c r="EO27" s="141"/>
      <c r="EP27" s="146" t="str">
        <f t="shared" si="83"/>
        <v xml:space="preserve"> </v>
      </c>
      <c r="EQ27" s="174" t="str">
        <f t="shared" si="20"/>
        <v>NG</v>
      </c>
      <c r="ER27" s="141" t="str">
        <f t="shared" si="185"/>
        <v/>
      </c>
      <c r="ES27" s="276" t="str">
        <f t="shared" si="146"/>
        <v>OK</v>
      </c>
      <c r="ET27" s="165">
        <v>0</v>
      </c>
      <c r="EU27" s="141"/>
      <c r="EV27" s="146" t="str">
        <f t="shared" si="84"/>
        <v xml:space="preserve"> </v>
      </c>
      <c r="EW27" s="174" t="str">
        <f t="shared" si="21"/>
        <v>NG</v>
      </c>
      <c r="EX27" s="141" t="str">
        <f t="shared" si="186"/>
        <v/>
      </c>
      <c r="EY27" s="276" t="str">
        <f t="shared" si="147"/>
        <v>OK</v>
      </c>
      <c r="EZ27" s="165">
        <v>0</v>
      </c>
      <c r="FA27" s="141"/>
      <c r="FB27" s="146" t="str">
        <f t="shared" si="85"/>
        <v xml:space="preserve"> </v>
      </c>
      <c r="FC27" s="174" t="str">
        <f t="shared" si="22"/>
        <v>NG</v>
      </c>
      <c r="FD27" s="141" t="str">
        <f t="shared" si="187"/>
        <v/>
      </c>
      <c r="FE27" s="276" t="str">
        <f t="shared" si="148"/>
        <v>OK</v>
      </c>
      <c r="FF27" s="165">
        <v>0</v>
      </c>
      <c r="FG27" s="141"/>
      <c r="FH27" s="146" t="str">
        <f t="shared" si="101"/>
        <v xml:space="preserve"> </v>
      </c>
      <c r="FI27" s="174" t="str">
        <f t="shared" si="23"/>
        <v>NG</v>
      </c>
      <c r="FJ27" s="141" t="str">
        <f t="shared" si="188"/>
        <v/>
      </c>
      <c r="FK27" s="276" t="str">
        <f t="shared" si="149"/>
        <v>OK</v>
      </c>
      <c r="FL27" s="165">
        <v>1</v>
      </c>
      <c r="FM27" s="141"/>
      <c r="FN27" s="146" t="str">
        <f t="shared" si="102"/>
        <v xml:space="preserve"> </v>
      </c>
      <c r="FO27" s="174" t="str">
        <f t="shared" si="24"/>
        <v>NG</v>
      </c>
      <c r="FP27" s="141" t="str">
        <f t="shared" si="189"/>
        <v/>
      </c>
      <c r="FQ27" s="276" t="str">
        <f t="shared" si="150"/>
        <v>OK</v>
      </c>
      <c r="FR27" s="165">
        <v>0</v>
      </c>
      <c r="FS27" s="141"/>
      <c r="FT27" s="146" t="str">
        <f t="shared" si="103"/>
        <v xml:space="preserve"> </v>
      </c>
      <c r="FU27" s="174" t="str">
        <f t="shared" si="25"/>
        <v>NG</v>
      </c>
      <c r="FV27" s="141" t="str">
        <f t="shared" si="190"/>
        <v/>
      </c>
      <c r="FW27" s="276" t="str">
        <f t="shared" si="151"/>
        <v>OK</v>
      </c>
      <c r="FX27" s="165">
        <v>1</v>
      </c>
      <c r="FY27" s="141"/>
      <c r="FZ27" s="146" t="str">
        <f t="shared" si="104"/>
        <v xml:space="preserve"> </v>
      </c>
      <c r="GA27" s="174" t="str">
        <f t="shared" si="26"/>
        <v>NG</v>
      </c>
      <c r="GB27" s="141" t="str">
        <f t="shared" si="191"/>
        <v/>
      </c>
      <c r="GC27" s="276" t="str">
        <f t="shared" si="152"/>
        <v>OK</v>
      </c>
    </row>
    <row r="28" spans="1:185" s="6" customFormat="1" ht="38.25">
      <c r="A28" s="9"/>
      <c r="B28" s="48">
        <f t="shared" si="153"/>
        <v>21</v>
      </c>
      <c r="C28" s="182"/>
      <c r="D28" s="183"/>
      <c r="E28" s="313" t="s">
        <v>158</v>
      </c>
      <c r="F28" s="314"/>
      <c r="G28" s="314"/>
      <c r="H28" s="315"/>
      <c r="I28" s="42"/>
      <c r="J28" s="42" t="s">
        <v>1</v>
      </c>
      <c r="K28" s="42"/>
      <c r="L28" s="42"/>
      <c r="M28" s="50" t="s">
        <v>159</v>
      </c>
      <c r="N28" s="47" t="s">
        <v>156</v>
      </c>
      <c r="O28" s="143"/>
      <c r="P28" s="45">
        <f t="shared" si="192"/>
        <v>5</v>
      </c>
      <c r="Q28" s="46">
        <v>1</v>
      </c>
      <c r="R28" s="41" t="s">
        <v>81</v>
      </c>
      <c r="S28" s="185"/>
      <c r="T28" s="43"/>
      <c r="U28" s="41" t="s">
        <v>77</v>
      </c>
      <c r="V28" s="44"/>
      <c r="W28" s="22">
        <v>2</v>
      </c>
      <c r="X28" s="47" t="s">
        <v>160</v>
      </c>
      <c r="Y28" s="47">
        <v>1</v>
      </c>
      <c r="Z28" s="47">
        <v>1</v>
      </c>
      <c r="AA28" s="42">
        <v>9</v>
      </c>
      <c r="AB28" s="42" t="s">
        <v>73</v>
      </c>
      <c r="AC28" s="166"/>
      <c r="AD28" s="160">
        <v>0</v>
      </c>
      <c r="AE28" s="162"/>
      <c r="AF28" s="146" t="str">
        <f t="shared" si="86"/>
        <v xml:space="preserve"> </v>
      </c>
      <c r="AG28" s="174" t="str">
        <f t="shared" si="1"/>
        <v>NG</v>
      </c>
      <c r="AH28" s="141" t="str">
        <f t="shared" si="166"/>
        <v/>
      </c>
      <c r="AI28" s="276" t="str">
        <f t="shared" si="131"/>
        <v>OK</v>
      </c>
      <c r="AJ28" s="160">
        <v>0</v>
      </c>
      <c r="AK28" s="162"/>
      <c r="AL28" s="146" t="str">
        <f t="shared" si="154"/>
        <v xml:space="preserve"> </v>
      </c>
      <c r="AM28" s="174" t="str">
        <f t="shared" si="155"/>
        <v>NG</v>
      </c>
      <c r="AN28" s="141" t="str">
        <f t="shared" si="167"/>
        <v/>
      </c>
      <c r="AO28" s="276" t="str">
        <f t="shared" si="156"/>
        <v>OK</v>
      </c>
      <c r="AP28" s="160">
        <v>0</v>
      </c>
      <c r="AQ28" s="141"/>
      <c r="AR28" s="146" t="str">
        <f t="shared" si="157"/>
        <v xml:space="preserve"> </v>
      </c>
      <c r="AS28" s="174" t="str">
        <f t="shared" si="158"/>
        <v>NG</v>
      </c>
      <c r="AT28" s="141" t="str">
        <f t="shared" si="168"/>
        <v/>
      </c>
      <c r="AU28" s="276" t="str">
        <f t="shared" si="159"/>
        <v>OK</v>
      </c>
      <c r="AV28" s="160">
        <v>0</v>
      </c>
      <c r="AW28" s="141"/>
      <c r="AX28" s="146" t="str">
        <f t="shared" si="160"/>
        <v xml:space="preserve"> </v>
      </c>
      <c r="AY28" s="174" t="str">
        <f t="shared" si="161"/>
        <v>NG</v>
      </c>
      <c r="AZ28" s="141" t="str">
        <f t="shared" si="169"/>
        <v/>
      </c>
      <c r="BA28" s="276" t="str">
        <f t="shared" si="162"/>
        <v>OK</v>
      </c>
      <c r="BB28" s="160">
        <v>0</v>
      </c>
      <c r="BC28" s="141"/>
      <c r="BD28" s="146" t="str">
        <f t="shared" si="163"/>
        <v xml:space="preserve"> </v>
      </c>
      <c r="BE28" s="174" t="str">
        <f t="shared" si="164"/>
        <v>NG</v>
      </c>
      <c r="BF28" s="141" t="str">
        <f t="shared" si="170"/>
        <v/>
      </c>
      <c r="BG28" s="276" t="str">
        <f t="shared" si="165"/>
        <v>OK</v>
      </c>
      <c r="BH28" s="160">
        <v>0</v>
      </c>
      <c r="BI28" s="141"/>
      <c r="BJ28" s="146" t="str">
        <f t="shared" si="91"/>
        <v xml:space="preserve"> </v>
      </c>
      <c r="BK28" s="174" t="str">
        <f t="shared" si="6"/>
        <v>NG</v>
      </c>
      <c r="BL28" s="141" t="str">
        <f t="shared" si="171"/>
        <v/>
      </c>
      <c r="BM28" s="276" t="str">
        <f t="shared" si="132"/>
        <v>OK</v>
      </c>
      <c r="BN28" s="160">
        <v>0</v>
      </c>
      <c r="BO28" s="141"/>
      <c r="BP28" s="146" t="str">
        <f t="shared" si="92"/>
        <v xml:space="preserve"> </v>
      </c>
      <c r="BQ28" s="174" t="str">
        <f t="shared" si="7"/>
        <v>NG</v>
      </c>
      <c r="BR28" s="141" t="str">
        <f t="shared" si="172"/>
        <v/>
      </c>
      <c r="BS28" s="276" t="str">
        <f t="shared" si="133"/>
        <v>OK</v>
      </c>
      <c r="BT28" s="160">
        <v>0</v>
      </c>
      <c r="BU28" s="141"/>
      <c r="BV28" s="146" t="str">
        <f t="shared" si="93"/>
        <v xml:space="preserve"> </v>
      </c>
      <c r="BW28" s="174" t="str">
        <f t="shared" si="8"/>
        <v>NG</v>
      </c>
      <c r="BX28" s="141" t="str">
        <f t="shared" si="173"/>
        <v/>
      </c>
      <c r="BY28" s="276" t="str">
        <f t="shared" si="134"/>
        <v>OK</v>
      </c>
      <c r="BZ28" s="160">
        <v>0</v>
      </c>
      <c r="CA28" s="141"/>
      <c r="CB28" s="146" t="str">
        <f t="shared" si="94"/>
        <v xml:space="preserve"> </v>
      </c>
      <c r="CC28" s="174" t="str">
        <f t="shared" si="9"/>
        <v>NG</v>
      </c>
      <c r="CD28" s="141" t="str">
        <f t="shared" si="174"/>
        <v/>
      </c>
      <c r="CE28" s="276" t="str">
        <f t="shared" si="135"/>
        <v>OK</v>
      </c>
      <c r="CF28" s="160">
        <v>0</v>
      </c>
      <c r="CG28" s="141"/>
      <c r="CH28" s="146" t="str">
        <f t="shared" si="95"/>
        <v xml:space="preserve"> </v>
      </c>
      <c r="CI28" s="174" t="str">
        <f t="shared" si="10"/>
        <v>NG</v>
      </c>
      <c r="CJ28" s="141" t="str">
        <f t="shared" si="175"/>
        <v/>
      </c>
      <c r="CK28" s="276" t="str">
        <f t="shared" si="136"/>
        <v>OK</v>
      </c>
      <c r="CL28" s="160">
        <v>0</v>
      </c>
      <c r="CM28" s="141"/>
      <c r="CN28" s="146" t="str">
        <f t="shared" si="96"/>
        <v xml:space="preserve"> </v>
      </c>
      <c r="CO28" s="174" t="str">
        <f t="shared" si="11"/>
        <v>NG</v>
      </c>
      <c r="CP28" s="141" t="str">
        <f t="shared" si="176"/>
        <v/>
      </c>
      <c r="CQ28" s="276" t="str">
        <f t="shared" si="137"/>
        <v>OK</v>
      </c>
      <c r="CR28" s="160">
        <v>0</v>
      </c>
      <c r="CS28" s="141"/>
      <c r="CT28" s="146" t="str">
        <f t="shared" si="97"/>
        <v xml:space="preserve"> </v>
      </c>
      <c r="CU28" s="174" t="str">
        <f t="shared" si="12"/>
        <v>NG</v>
      </c>
      <c r="CV28" s="141" t="str">
        <f t="shared" si="177"/>
        <v/>
      </c>
      <c r="CW28" s="276" t="str">
        <f t="shared" si="138"/>
        <v>OK</v>
      </c>
      <c r="CX28" s="160">
        <v>0</v>
      </c>
      <c r="CY28" s="141"/>
      <c r="CZ28" s="146" t="str">
        <f t="shared" si="98"/>
        <v xml:space="preserve"> </v>
      </c>
      <c r="DA28" s="174" t="str">
        <f t="shared" si="13"/>
        <v>NG</v>
      </c>
      <c r="DB28" s="141" t="str">
        <f t="shared" si="178"/>
        <v/>
      </c>
      <c r="DC28" s="276" t="str">
        <f t="shared" si="139"/>
        <v>OK</v>
      </c>
      <c r="DD28" s="160">
        <v>0</v>
      </c>
      <c r="DE28" s="141"/>
      <c r="DF28" s="146" t="str">
        <f t="shared" si="99"/>
        <v xml:space="preserve"> </v>
      </c>
      <c r="DG28" s="174" t="str">
        <f t="shared" si="14"/>
        <v>NG</v>
      </c>
      <c r="DH28" s="141" t="str">
        <f t="shared" si="179"/>
        <v/>
      </c>
      <c r="DI28" s="276" t="str">
        <f t="shared" si="140"/>
        <v>OK</v>
      </c>
      <c r="DJ28" s="160">
        <v>0</v>
      </c>
      <c r="DK28" s="141"/>
      <c r="DL28" s="146" t="str">
        <f t="shared" si="100"/>
        <v xml:space="preserve"> </v>
      </c>
      <c r="DM28" s="174" t="str">
        <f t="shared" si="15"/>
        <v>NG</v>
      </c>
      <c r="DN28" s="141" t="str">
        <f t="shared" si="180"/>
        <v/>
      </c>
      <c r="DO28" s="276" t="str">
        <f t="shared" si="141"/>
        <v>OK</v>
      </c>
      <c r="DP28" s="160">
        <v>0</v>
      </c>
      <c r="DQ28" s="141"/>
      <c r="DR28" s="146" t="str">
        <f t="shared" si="79"/>
        <v xml:space="preserve"> </v>
      </c>
      <c r="DS28" s="174" t="str">
        <f t="shared" si="16"/>
        <v>NG</v>
      </c>
      <c r="DT28" s="141" t="str">
        <f t="shared" si="181"/>
        <v/>
      </c>
      <c r="DU28" s="276" t="str">
        <f t="shared" si="142"/>
        <v>OK</v>
      </c>
      <c r="DV28" s="160">
        <v>0</v>
      </c>
      <c r="DW28" s="141"/>
      <c r="DX28" s="146" t="str">
        <f t="shared" si="80"/>
        <v xml:space="preserve"> </v>
      </c>
      <c r="DY28" s="174" t="str">
        <f t="shared" si="17"/>
        <v>NG</v>
      </c>
      <c r="DZ28" s="141" t="str">
        <f t="shared" si="182"/>
        <v/>
      </c>
      <c r="EA28" s="276" t="str">
        <f t="shared" si="143"/>
        <v>OK</v>
      </c>
      <c r="EB28" s="160">
        <v>0</v>
      </c>
      <c r="EC28" s="141"/>
      <c r="ED28" s="146" t="str">
        <f t="shared" si="81"/>
        <v xml:space="preserve"> </v>
      </c>
      <c r="EE28" s="174" t="str">
        <f t="shared" si="18"/>
        <v>NG</v>
      </c>
      <c r="EF28" s="141" t="str">
        <f t="shared" si="183"/>
        <v/>
      </c>
      <c r="EG28" s="276" t="str">
        <f t="shared" si="144"/>
        <v>OK</v>
      </c>
      <c r="EH28" s="160">
        <v>0</v>
      </c>
      <c r="EI28" s="141"/>
      <c r="EJ28" s="146" t="str">
        <f t="shared" si="82"/>
        <v xml:space="preserve"> </v>
      </c>
      <c r="EK28" s="174" t="str">
        <f t="shared" si="19"/>
        <v>NG</v>
      </c>
      <c r="EL28" s="141" t="str">
        <f t="shared" si="184"/>
        <v/>
      </c>
      <c r="EM28" s="276" t="str">
        <f t="shared" si="145"/>
        <v>OK</v>
      </c>
      <c r="EN28" s="160">
        <v>0</v>
      </c>
      <c r="EO28" s="141"/>
      <c r="EP28" s="146" t="str">
        <f t="shared" si="83"/>
        <v xml:space="preserve"> </v>
      </c>
      <c r="EQ28" s="174" t="str">
        <f t="shared" si="20"/>
        <v>NG</v>
      </c>
      <c r="ER28" s="141" t="str">
        <f t="shared" si="185"/>
        <v/>
      </c>
      <c r="ES28" s="276" t="str">
        <f t="shared" si="146"/>
        <v>OK</v>
      </c>
      <c r="ET28" s="160">
        <v>0</v>
      </c>
      <c r="EU28" s="141"/>
      <c r="EV28" s="146" t="str">
        <f t="shared" si="84"/>
        <v xml:space="preserve"> </v>
      </c>
      <c r="EW28" s="174" t="str">
        <f t="shared" si="21"/>
        <v>NG</v>
      </c>
      <c r="EX28" s="141" t="str">
        <f t="shared" si="186"/>
        <v/>
      </c>
      <c r="EY28" s="276" t="str">
        <f t="shared" si="147"/>
        <v>OK</v>
      </c>
      <c r="EZ28" s="160">
        <v>0</v>
      </c>
      <c r="FA28" s="141"/>
      <c r="FB28" s="146" t="str">
        <f t="shared" si="85"/>
        <v xml:space="preserve"> </v>
      </c>
      <c r="FC28" s="174" t="str">
        <f t="shared" si="22"/>
        <v>NG</v>
      </c>
      <c r="FD28" s="141" t="str">
        <f t="shared" si="187"/>
        <v/>
      </c>
      <c r="FE28" s="276" t="str">
        <f t="shared" si="148"/>
        <v>OK</v>
      </c>
      <c r="FF28" s="160">
        <v>0</v>
      </c>
      <c r="FG28" s="141"/>
      <c r="FH28" s="146" t="str">
        <f t="shared" si="101"/>
        <v xml:space="preserve"> </v>
      </c>
      <c r="FI28" s="174" t="str">
        <f t="shared" si="23"/>
        <v>NG</v>
      </c>
      <c r="FJ28" s="141" t="str">
        <f t="shared" si="188"/>
        <v/>
      </c>
      <c r="FK28" s="276" t="str">
        <f t="shared" si="149"/>
        <v>OK</v>
      </c>
      <c r="FL28" s="160">
        <v>0</v>
      </c>
      <c r="FM28" s="141"/>
      <c r="FN28" s="146" t="str">
        <f t="shared" si="102"/>
        <v xml:space="preserve"> </v>
      </c>
      <c r="FO28" s="174" t="str">
        <f t="shared" si="24"/>
        <v>NG</v>
      </c>
      <c r="FP28" s="141" t="str">
        <f t="shared" si="189"/>
        <v/>
      </c>
      <c r="FQ28" s="276" t="str">
        <f t="shared" si="150"/>
        <v>OK</v>
      </c>
      <c r="FR28" s="160">
        <v>0</v>
      </c>
      <c r="FS28" s="141"/>
      <c r="FT28" s="146" t="str">
        <f t="shared" si="103"/>
        <v xml:space="preserve"> </v>
      </c>
      <c r="FU28" s="174" t="str">
        <f t="shared" si="25"/>
        <v>NG</v>
      </c>
      <c r="FV28" s="141" t="str">
        <f t="shared" si="190"/>
        <v/>
      </c>
      <c r="FW28" s="276" t="str">
        <f t="shared" si="151"/>
        <v>OK</v>
      </c>
      <c r="FX28" s="160">
        <v>0</v>
      </c>
      <c r="FY28" s="141"/>
      <c r="FZ28" s="146" t="str">
        <f t="shared" si="104"/>
        <v xml:space="preserve"> </v>
      </c>
      <c r="GA28" s="174" t="str">
        <f t="shared" si="26"/>
        <v>NG</v>
      </c>
      <c r="GB28" s="141" t="str">
        <f t="shared" si="191"/>
        <v/>
      </c>
      <c r="GC28" s="276" t="str">
        <f t="shared" si="152"/>
        <v>OK</v>
      </c>
    </row>
    <row r="29" spans="1:185" s="52" customFormat="1" ht="348.75" customHeight="1">
      <c r="B29" s="48">
        <f t="shared" si="153"/>
        <v>22</v>
      </c>
      <c r="C29" s="187"/>
      <c r="D29" s="37"/>
      <c r="E29" s="188" t="s">
        <v>161</v>
      </c>
      <c r="F29" s="39"/>
      <c r="G29" s="39"/>
      <c r="H29" s="40"/>
      <c r="I29" s="42"/>
      <c r="J29" s="42"/>
      <c r="K29" s="42"/>
      <c r="L29" s="42"/>
      <c r="M29" s="189" t="s">
        <v>303</v>
      </c>
      <c r="N29" s="161" t="s">
        <v>285</v>
      </c>
      <c r="O29" s="143"/>
      <c r="P29" s="45">
        <f t="shared" si="192"/>
        <v>6</v>
      </c>
      <c r="Q29" s="46">
        <v>2</v>
      </c>
      <c r="R29" s="41" t="str">
        <f>IF(AA29="M","NX",AA29)</f>
        <v>X</v>
      </c>
      <c r="S29" s="185"/>
      <c r="T29" s="43"/>
      <c r="U29" s="41" t="s">
        <v>77</v>
      </c>
      <c r="V29" s="44"/>
      <c r="W29" s="22">
        <v>2</v>
      </c>
      <c r="X29" s="47" t="s">
        <v>162</v>
      </c>
      <c r="Y29" s="47">
        <v>2</v>
      </c>
      <c r="Z29" s="47">
        <v>2</v>
      </c>
      <c r="AA29" s="42" t="s">
        <v>163</v>
      </c>
      <c r="AB29" s="42" t="s">
        <v>79</v>
      </c>
      <c r="AC29" s="166"/>
      <c r="AD29" s="190" t="s">
        <v>302</v>
      </c>
      <c r="AE29" s="145"/>
      <c r="AF29" s="146" t="str">
        <f t="shared" si="86"/>
        <v xml:space="preserve">  </v>
      </c>
      <c r="AG29" s="174" t="str">
        <f t="shared" si="1"/>
        <v>NG</v>
      </c>
      <c r="AH29" s="141" t="str">
        <f t="shared" si="166"/>
        <v/>
      </c>
      <c r="AI29" s="276" t="str">
        <f t="shared" si="131"/>
        <v>OK</v>
      </c>
      <c r="AJ29" s="190" t="s">
        <v>302</v>
      </c>
      <c r="AK29" s="145"/>
      <c r="AL29" s="146" t="str">
        <f t="shared" si="154"/>
        <v xml:space="preserve">  </v>
      </c>
      <c r="AM29" s="174" t="str">
        <f t="shared" si="155"/>
        <v>NG</v>
      </c>
      <c r="AN29" s="141" t="str">
        <f t="shared" si="167"/>
        <v/>
      </c>
      <c r="AO29" s="276" t="str">
        <f t="shared" si="156"/>
        <v>OK</v>
      </c>
      <c r="AP29" s="190" t="s">
        <v>401</v>
      </c>
      <c r="AQ29" s="142"/>
      <c r="AR29" s="146" t="str">
        <f t="shared" si="157"/>
        <v xml:space="preserve">  </v>
      </c>
      <c r="AS29" s="174" t="str">
        <f t="shared" si="158"/>
        <v>NG</v>
      </c>
      <c r="AT29" s="141" t="str">
        <f t="shared" si="168"/>
        <v/>
      </c>
      <c r="AU29" s="276" t="str">
        <f t="shared" si="159"/>
        <v>OK</v>
      </c>
      <c r="AV29" s="190" t="s">
        <v>397</v>
      </c>
      <c r="AW29" s="142"/>
      <c r="AX29" s="146" t="str">
        <f t="shared" si="160"/>
        <v xml:space="preserve">  </v>
      </c>
      <c r="AY29" s="174" t="str">
        <f t="shared" si="161"/>
        <v>NG</v>
      </c>
      <c r="AZ29" s="141" t="str">
        <f t="shared" si="169"/>
        <v/>
      </c>
      <c r="BA29" s="276" t="str">
        <f t="shared" si="162"/>
        <v>OK</v>
      </c>
      <c r="BB29" s="190" t="s">
        <v>397</v>
      </c>
      <c r="BC29" s="142"/>
      <c r="BD29" s="146" t="str">
        <f t="shared" si="163"/>
        <v xml:space="preserve">  </v>
      </c>
      <c r="BE29" s="174" t="str">
        <f t="shared" si="164"/>
        <v>NG</v>
      </c>
      <c r="BF29" s="141" t="str">
        <f t="shared" si="170"/>
        <v/>
      </c>
      <c r="BG29" s="276" t="str">
        <f t="shared" si="165"/>
        <v>OK</v>
      </c>
      <c r="BH29" s="190" t="s">
        <v>461</v>
      </c>
      <c r="BI29" s="142"/>
      <c r="BJ29" s="146" t="str">
        <f t="shared" si="91"/>
        <v xml:space="preserve">  </v>
      </c>
      <c r="BK29" s="174" t="str">
        <f t="shared" si="6"/>
        <v>NG</v>
      </c>
      <c r="BL29" s="141" t="str">
        <f t="shared" si="171"/>
        <v/>
      </c>
      <c r="BM29" s="276" t="str">
        <f t="shared" si="132"/>
        <v>OK</v>
      </c>
      <c r="BN29" s="190" t="s">
        <v>462</v>
      </c>
      <c r="BO29" s="142"/>
      <c r="BP29" s="146" t="str">
        <f t="shared" si="92"/>
        <v xml:space="preserve">  </v>
      </c>
      <c r="BQ29" s="174" t="str">
        <f t="shared" si="7"/>
        <v>NG</v>
      </c>
      <c r="BR29" s="141" t="str">
        <f t="shared" si="172"/>
        <v/>
      </c>
      <c r="BS29" s="276" t="str">
        <f t="shared" si="133"/>
        <v>OK</v>
      </c>
      <c r="BT29" s="190" t="s">
        <v>403</v>
      </c>
      <c r="BU29" s="142"/>
      <c r="BV29" s="146" t="str">
        <f t="shared" si="93"/>
        <v xml:space="preserve">  </v>
      </c>
      <c r="BW29" s="174" t="str">
        <f t="shared" si="8"/>
        <v>NG</v>
      </c>
      <c r="BX29" s="141" t="str">
        <f t="shared" si="173"/>
        <v/>
      </c>
      <c r="BY29" s="276" t="str">
        <f t="shared" si="134"/>
        <v>OK</v>
      </c>
      <c r="BZ29" s="190" t="s">
        <v>402</v>
      </c>
      <c r="CA29" s="142"/>
      <c r="CB29" s="146" t="str">
        <f t="shared" si="94"/>
        <v xml:space="preserve">  </v>
      </c>
      <c r="CC29" s="174" t="str">
        <f t="shared" si="9"/>
        <v>NG</v>
      </c>
      <c r="CD29" s="141" t="str">
        <f t="shared" si="174"/>
        <v/>
      </c>
      <c r="CE29" s="276" t="str">
        <f t="shared" si="135"/>
        <v>OK</v>
      </c>
      <c r="CF29" s="190" t="s">
        <v>402</v>
      </c>
      <c r="CG29" s="142"/>
      <c r="CH29" s="146" t="str">
        <f t="shared" si="95"/>
        <v xml:space="preserve">  </v>
      </c>
      <c r="CI29" s="174" t="str">
        <f t="shared" si="10"/>
        <v>NG</v>
      </c>
      <c r="CJ29" s="141" t="str">
        <f t="shared" si="175"/>
        <v/>
      </c>
      <c r="CK29" s="276" t="str">
        <f t="shared" si="136"/>
        <v>OK</v>
      </c>
      <c r="CL29" s="190" t="s">
        <v>414</v>
      </c>
      <c r="CM29" s="142"/>
      <c r="CN29" s="146" t="str">
        <f t="shared" si="96"/>
        <v xml:space="preserve">  </v>
      </c>
      <c r="CO29" s="174" t="str">
        <f t="shared" si="11"/>
        <v>NG</v>
      </c>
      <c r="CP29" s="141" t="str">
        <f t="shared" si="176"/>
        <v/>
      </c>
      <c r="CQ29" s="276" t="str">
        <f t="shared" si="137"/>
        <v>OK</v>
      </c>
      <c r="CR29" s="190" t="s">
        <v>416</v>
      </c>
      <c r="CS29" s="142"/>
      <c r="CT29" s="146" t="str">
        <f t="shared" si="97"/>
        <v xml:space="preserve">  </v>
      </c>
      <c r="CU29" s="174" t="str">
        <f t="shared" si="12"/>
        <v>NG</v>
      </c>
      <c r="CV29" s="141" t="str">
        <f t="shared" si="177"/>
        <v/>
      </c>
      <c r="CW29" s="276" t="str">
        <f t="shared" si="138"/>
        <v>OK</v>
      </c>
      <c r="CX29" s="190" t="s">
        <v>419</v>
      </c>
      <c r="CY29" s="142"/>
      <c r="CZ29" s="146" t="str">
        <f t="shared" si="98"/>
        <v xml:space="preserve">  </v>
      </c>
      <c r="DA29" s="174" t="str">
        <f t="shared" si="13"/>
        <v>NG</v>
      </c>
      <c r="DB29" s="141" t="str">
        <f t="shared" si="178"/>
        <v/>
      </c>
      <c r="DC29" s="276" t="str">
        <f t="shared" si="139"/>
        <v>OK</v>
      </c>
      <c r="DD29" s="190" t="s">
        <v>422</v>
      </c>
      <c r="DE29" s="142"/>
      <c r="DF29" s="146" t="str">
        <f t="shared" si="99"/>
        <v xml:space="preserve">  </v>
      </c>
      <c r="DG29" s="174" t="str">
        <f t="shared" si="14"/>
        <v>NG</v>
      </c>
      <c r="DH29" s="141" t="str">
        <f t="shared" si="179"/>
        <v/>
      </c>
      <c r="DI29" s="276" t="str">
        <f t="shared" si="140"/>
        <v>OK</v>
      </c>
      <c r="DJ29" s="190" t="s">
        <v>455</v>
      </c>
      <c r="DK29" s="142"/>
      <c r="DL29" s="146" t="str">
        <f t="shared" si="100"/>
        <v xml:space="preserve">  </v>
      </c>
      <c r="DM29" s="174" t="str">
        <f t="shared" si="15"/>
        <v>NG</v>
      </c>
      <c r="DN29" s="141" t="str">
        <f t="shared" si="180"/>
        <v/>
      </c>
      <c r="DO29" s="276" t="str">
        <f t="shared" si="141"/>
        <v>OK</v>
      </c>
      <c r="DP29" s="190" t="s">
        <v>456</v>
      </c>
      <c r="DQ29" s="142"/>
      <c r="DR29" s="146" t="str">
        <f t="shared" si="79"/>
        <v xml:space="preserve">  </v>
      </c>
      <c r="DS29" s="174" t="str">
        <f t="shared" si="16"/>
        <v>NG</v>
      </c>
      <c r="DT29" s="141" t="str">
        <f t="shared" si="181"/>
        <v/>
      </c>
      <c r="DU29" s="276" t="str">
        <f t="shared" si="142"/>
        <v>OK</v>
      </c>
      <c r="DV29" s="190" t="s">
        <v>407</v>
      </c>
      <c r="DW29" s="142"/>
      <c r="DX29" s="146" t="str">
        <f t="shared" si="80"/>
        <v xml:space="preserve">  </v>
      </c>
      <c r="DY29" s="174" t="str">
        <f t="shared" si="17"/>
        <v>NG</v>
      </c>
      <c r="DZ29" s="141" t="str">
        <f t="shared" si="182"/>
        <v/>
      </c>
      <c r="EA29" s="276" t="str">
        <f t="shared" si="143"/>
        <v>OK</v>
      </c>
      <c r="EB29" s="190" t="s">
        <v>434</v>
      </c>
      <c r="EC29" s="142"/>
      <c r="ED29" s="146" t="str">
        <f t="shared" si="81"/>
        <v xml:space="preserve">  </v>
      </c>
      <c r="EE29" s="174" t="str">
        <f t="shared" si="18"/>
        <v>NG</v>
      </c>
      <c r="EF29" s="141" t="str">
        <f t="shared" si="183"/>
        <v/>
      </c>
      <c r="EG29" s="276" t="str">
        <f t="shared" si="144"/>
        <v>OK</v>
      </c>
      <c r="EH29" s="190" t="s">
        <v>437</v>
      </c>
      <c r="EI29" s="142"/>
      <c r="EJ29" s="146" t="str">
        <f t="shared" si="82"/>
        <v xml:space="preserve">  </v>
      </c>
      <c r="EK29" s="174" t="str">
        <f t="shared" si="19"/>
        <v>NG</v>
      </c>
      <c r="EL29" s="141" t="str">
        <f t="shared" si="184"/>
        <v/>
      </c>
      <c r="EM29" s="276" t="str">
        <f t="shared" si="145"/>
        <v>OK</v>
      </c>
      <c r="EN29" s="190" t="s">
        <v>451</v>
      </c>
      <c r="EO29" s="142"/>
      <c r="EP29" s="146" t="str">
        <f t="shared" si="83"/>
        <v xml:space="preserve">  </v>
      </c>
      <c r="EQ29" s="174" t="str">
        <f t="shared" si="20"/>
        <v>NG</v>
      </c>
      <c r="ER29" s="141" t="str">
        <f t="shared" si="185"/>
        <v/>
      </c>
      <c r="ES29" s="276" t="str">
        <f t="shared" si="146"/>
        <v>OK</v>
      </c>
      <c r="ET29" s="190" t="s">
        <v>442</v>
      </c>
      <c r="EU29" s="142"/>
      <c r="EV29" s="146" t="str">
        <f t="shared" si="84"/>
        <v xml:space="preserve">  </v>
      </c>
      <c r="EW29" s="174" t="str">
        <f t="shared" si="21"/>
        <v>NG</v>
      </c>
      <c r="EX29" s="141" t="str">
        <f t="shared" si="186"/>
        <v/>
      </c>
      <c r="EY29" s="276" t="str">
        <f t="shared" si="147"/>
        <v>OK</v>
      </c>
      <c r="EZ29" s="190" t="s">
        <v>299</v>
      </c>
      <c r="FA29" s="142"/>
      <c r="FB29" s="146" t="str">
        <f t="shared" si="85"/>
        <v xml:space="preserve">  </v>
      </c>
      <c r="FC29" s="174" t="str">
        <f t="shared" si="22"/>
        <v>NG</v>
      </c>
      <c r="FD29" s="141" t="str">
        <f t="shared" si="187"/>
        <v/>
      </c>
      <c r="FE29" s="276" t="str">
        <f t="shared" si="148"/>
        <v>OK</v>
      </c>
      <c r="FF29" s="190" t="s">
        <v>427</v>
      </c>
      <c r="FG29" s="142"/>
      <c r="FH29" s="146" t="str">
        <f t="shared" si="101"/>
        <v xml:space="preserve">  </v>
      </c>
      <c r="FI29" s="174" t="str">
        <f t="shared" si="23"/>
        <v>NG</v>
      </c>
      <c r="FJ29" s="141" t="str">
        <f t="shared" si="188"/>
        <v/>
      </c>
      <c r="FK29" s="276" t="str">
        <f t="shared" si="149"/>
        <v>OK</v>
      </c>
      <c r="FL29" s="190" t="s">
        <v>427</v>
      </c>
      <c r="FM29" s="142"/>
      <c r="FN29" s="146" t="str">
        <f t="shared" si="102"/>
        <v xml:space="preserve">  </v>
      </c>
      <c r="FO29" s="174" t="str">
        <f t="shared" si="24"/>
        <v>NG</v>
      </c>
      <c r="FP29" s="141" t="str">
        <f t="shared" si="189"/>
        <v/>
      </c>
      <c r="FQ29" s="276" t="str">
        <f t="shared" si="150"/>
        <v>OK</v>
      </c>
      <c r="FR29" s="190" t="s">
        <v>410</v>
      </c>
      <c r="FS29" s="142"/>
      <c r="FT29" s="146" t="str">
        <f t="shared" si="103"/>
        <v xml:space="preserve">  </v>
      </c>
      <c r="FU29" s="174" t="str">
        <f t="shared" si="25"/>
        <v>NG</v>
      </c>
      <c r="FV29" s="141" t="str">
        <f t="shared" si="190"/>
        <v/>
      </c>
      <c r="FW29" s="276" t="str">
        <f t="shared" si="151"/>
        <v>OK</v>
      </c>
      <c r="FX29" s="190" t="s">
        <v>410</v>
      </c>
      <c r="FY29" s="142"/>
      <c r="FZ29" s="146" t="str">
        <f t="shared" si="104"/>
        <v xml:space="preserve">  </v>
      </c>
      <c r="GA29" s="174" t="str">
        <f t="shared" si="26"/>
        <v>NG</v>
      </c>
      <c r="GB29" s="141" t="str">
        <f t="shared" si="191"/>
        <v/>
      </c>
      <c r="GC29" s="276" t="str">
        <f t="shared" si="152"/>
        <v>OK</v>
      </c>
    </row>
    <row r="30" spans="1:185" s="6" customFormat="1" ht="140.25" customHeight="1">
      <c r="A30" s="9"/>
      <c r="B30" s="53">
        <f t="shared" si="153"/>
        <v>23</v>
      </c>
      <c r="C30" s="25"/>
      <c r="D30" s="37"/>
      <c r="E30" s="316" t="s">
        <v>164</v>
      </c>
      <c r="F30" s="317"/>
      <c r="G30" s="317"/>
      <c r="H30" s="318"/>
      <c r="I30" s="57"/>
      <c r="J30" s="57" t="s">
        <v>82</v>
      </c>
      <c r="K30" s="57"/>
      <c r="L30" s="57"/>
      <c r="M30" s="193" t="s">
        <v>304</v>
      </c>
      <c r="N30" s="62"/>
      <c r="O30" s="150"/>
      <c r="P30" s="45">
        <f t="shared" si="192"/>
        <v>7</v>
      </c>
      <c r="Q30" s="60">
        <v>8</v>
      </c>
      <c r="R30" s="41" t="str">
        <f t="shared" ref="R30:R59" si="193">IF(AA30="M","NX",AA30)</f>
        <v>X</v>
      </c>
      <c r="S30" s="185"/>
      <c r="T30" s="43"/>
      <c r="U30" s="41" t="s">
        <v>77</v>
      </c>
      <c r="V30" s="44"/>
      <c r="W30" s="22">
        <v>2</v>
      </c>
      <c r="X30" s="194" t="s">
        <v>165</v>
      </c>
      <c r="Y30" s="62">
        <v>8</v>
      </c>
      <c r="Z30" s="62">
        <v>8</v>
      </c>
      <c r="AA30" s="57" t="s">
        <v>81</v>
      </c>
      <c r="AB30" s="57" t="s">
        <v>79</v>
      </c>
      <c r="AC30" s="195"/>
      <c r="AD30" s="160"/>
      <c r="AE30" s="204"/>
      <c r="AF30" s="146" t="str">
        <f t="shared" si="86"/>
        <v xml:space="preserve">        </v>
      </c>
      <c r="AG30" s="174" t="str">
        <f t="shared" si="1"/>
        <v>NG</v>
      </c>
      <c r="AH30" s="203" t="str">
        <f t="shared" si="166"/>
        <v/>
      </c>
      <c r="AI30" s="276" t="str">
        <f t="shared" si="131"/>
        <v>OK</v>
      </c>
      <c r="AJ30" s="160"/>
      <c r="AK30" s="204"/>
      <c r="AL30" s="146" t="str">
        <f t="shared" si="154"/>
        <v xml:space="preserve">        </v>
      </c>
      <c r="AM30" s="174" t="str">
        <f t="shared" si="155"/>
        <v>NG</v>
      </c>
      <c r="AN30" s="203" t="str">
        <f t="shared" si="167"/>
        <v/>
      </c>
      <c r="AO30" s="276" t="str">
        <f t="shared" si="156"/>
        <v>OK</v>
      </c>
      <c r="AP30" s="160"/>
      <c r="AQ30" s="203"/>
      <c r="AR30" s="146" t="str">
        <f t="shared" si="157"/>
        <v xml:space="preserve">        </v>
      </c>
      <c r="AS30" s="174" t="str">
        <f t="shared" si="158"/>
        <v>NG</v>
      </c>
      <c r="AT30" s="203" t="str">
        <f t="shared" si="168"/>
        <v/>
      </c>
      <c r="AU30" s="276" t="str">
        <f t="shared" si="159"/>
        <v>OK</v>
      </c>
      <c r="AV30" s="160"/>
      <c r="AW30" s="203"/>
      <c r="AX30" s="146" t="str">
        <f t="shared" si="160"/>
        <v xml:space="preserve">        </v>
      </c>
      <c r="AY30" s="174" t="str">
        <f t="shared" si="161"/>
        <v>NG</v>
      </c>
      <c r="AZ30" s="203" t="str">
        <f t="shared" si="169"/>
        <v/>
      </c>
      <c r="BA30" s="276" t="str">
        <f t="shared" si="162"/>
        <v>OK</v>
      </c>
      <c r="BB30" s="160"/>
      <c r="BC30" s="203"/>
      <c r="BD30" s="146" t="str">
        <f t="shared" si="163"/>
        <v xml:space="preserve">        </v>
      </c>
      <c r="BE30" s="174" t="str">
        <f t="shared" si="164"/>
        <v>NG</v>
      </c>
      <c r="BF30" s="203" t="str">
        <f t="shared" si="170"/>
        <v/>
      </c>
      <c r="BG30" s="276" t="str">
        <f t="shared" si="165"/>
        <v>OK</v>
      </c>
      <c r="BH30" s="165"/>
      <c r="BI30" s="141"/>
      <c r="BJ30" s="146" t="str">
        <f t="shared" si="91"/>
        <v xml:space="preserve">        </v>
      </c>
      <c r="BK30" s="174" t="str">
        <f t="shared" si="6"/>
        <v>NG</v>
      </c>
      <c r="BL30" s="141" t="str">
        <f t="shared" si="171"/>
        <v/>
      </c>
      <c r="BM30" s="276" t="str">
        <f t="shared" si="132"/>
        <v>OK</v>
      </c>
      <c r="BN30" s="165"/>
      <c r="BO30" s="141"/>
      <c r="BP30" s="146" t="str">
        <f t="shared" si="92"/>
        <v xml:space="preserve">        </v>
      </c>
      <c r="BQ30" s="174" t="str">
        <f t="shared" si="7"/>
        <v>NG</v>
      </c>
      <c r="BR30" s="141" t="str">
        <f t="shared" si="172"/>
        <v/>
      </c>
      <c r="BS30" s="276" t="str">
        <f t="shared" si="133"/>
        <v>OK</v>
      </c>
      <c r="BT30" s="160"/>
      <c r="BU30" s="203"/>
      <c r="BV30" s="146" t="str">
        <f t="shared" si="93"/>
        <v xml:space="preserve">        </v>
      </c>
      <c r="BW30" s="174" t="str">
        <f t="shared" si="8"/>
        <v>NG</v>
      </c>
      <c r="BX30" s="203" t="str">
        <f t="shared" si="173"/>
        <v/>
      </c>
      <c r="BY30" s="276" t="str">
        <f t="shared" si="134"/>
        <v>OK</v>
      </c>
      <c r="BZ30" s="160"/>
      <c r="CA30" s="203"/>
      <c r="CB30" s="146" t="str">
        <f t="shared" si="94"/>
        <v xml:space="preserve">        </v>
      </c>
      <c r="CC30" s="174" t="str">
        <f t="shared" si="9"/>
        <v>NG</v>
      </c>
      <c r="CD30" s="203" t="str">
        <f t="shared" si="174"/>
        <v/>
      </c>
      <c r="CE30" s="276" t="str">
        <f t="shared" si="135"/>
        <v>OK</v>
      </c>
      <c r="CF30" s="160"/>
      <c r="CG30" s="203"/>
      <c r="CH30" s="146" t="str">
        <f t="shared" si="95"/>
        <v xml:space="preserve">        </v>
      </c>
      <c r="CI30" s="174" t="str">
        <f t="shared" si="10"/>
        <v>NG</v>
      </c>
      <c r="CJ30" s="203" t="str">
        <f t="shared" si="175"/>
        <v/>
      </c>
      <c r="CK30" s="276" t="str">
        <f t="shared" si="136"/>
        <v>OK</v>
      </c>
      <c r="CL30" s="160"/>
      <c r="CM30" s="203"/>
      <c r="CN30" s="146" t="str">
        <f t="shared" si="96"/>
        <v xml:space="preserve">        </v>
      </c>
      <c r="CO30" s="174" t="str">
        <f t="shared" si="11"/>
        <v>NG</v>
      </c>
      <c r="CP30" s="203" t="str">
        <f t="shared" si="176"/>
        <v/>
      </c>
      <c r="CQ30" s="276" t="str">
        <f t="shared" si="137"/>
        <v>OK</v>
      </c>
      <c r="CR30" s="160"/>
      <c r="CS30" s="203"/>
      <c r="CT30" s="146" t="str">
        <f t="shared" si="97"/>
        <v xml:space="preserve">        </v>
      </c>
      <c r="CU30" s="174" t="str">
        <f t="shared" si="12"/>
        <v>NG</v>
      </c>
      <c r="CV30" s="203" t="str">
        <f t="shared" si="177"/>
        <v/>
      </c>
      <c r="CW30" s="276" t="str">
        <f t="shared" si="138"/>
        <v>OK</v>
      </c>
      <c r="CX30" s="160"/>
      <c r="CY30" s="203"/>
      <c r="CZ30" s="146" t="str">
        <f t="shared" si="98"/>
        <v xml:space="preserve">        </v>
      </c>
      <c r="DA30" s="174" t="str">
        <f t="shared" si="13"/>
        <v>NG</v>
      </c>
      <c r="DB30" s="203" t="str">
        <f t="shared" si="178"/>
        <v/>
      </c>
      <c r="DC30" s="276" t="str">
        <f t="shared" si="139"/>
        <v>OK</v>
      </c>
      <c r="DD30" s="160"/>
      <c r="DE30" s="203"/>
      <c r="DF30" s="146" t="str">
        <f t="shared" si="99"/>
        <v xml:space="preserve">        </v>
      </c>
      <c r="DG30" s="174" t="str">
        <f t="shared" si="14"/>
        <v>NG</v>
      </c>
      <c r="DH30" s="203" t="str">
        <f t="shared" si="179"/>
        <v/>
      </c>
      <c r="DI30" s="276" t="str">
        <f t="shared" si="140"/>
        <v>OK</v>
      </c>
      <c r="DJ30" s="165" t="s">
        <v>486</v>
      </c>
      <c r="DK30" s="203"/>
      <c r="DL30" s="146" t="str">
        <f t="shared" si="100"/>
        <v xml:space="preserve">        </v>
      </c>
      <c r="DM30" s="174" t="str">
        <f t="shared" si="15"/>
        <v>NG</v>
      </c>
      <c r="DN30" s="203" t="str">
        <f t="shared" si="180"/>
        <v/>
      </c>
      <c r="DO30" s="276" t="str">
        <f t="shared" si="141"/>
        <v>OK</v>
      </c>
      <c r="DP30" s="165" t="s">
        <v>486</v>
      </c>
      <c r="DQ30" s="203"/>
      <c r="DR30" s="146" t="str">
        <f t="shared" si="79"/>
        <v xml:space="preserve">        </v>
      </c>
      <c r="DS30" s="174" t="str">
        <f t="shared" si="16"/>
        <v>NG</v>
      </c>
      <c r="DT30" s="203" t="str">
        <f t="shared" si="181"/>
        <v/>
      </c>
      <c r="DU30" s="276" t="str">
        <f t="shared" si="142"/>
        <v>OK</v>
      </c>
      <c r="DV30" s="165" t="s">
        <v>486</v>
      </c>
      <c r="DW30" s="203"/>
      <c r="DX30" s="146" t="str">
        <f t="shared" si="80"/>
        <v xml:space="preserve">        </v>
      </c>
      <c r="DY30" s="174" t="str">
        <f t="shared" si="17"/>
        <v>NG</v>
      </c>
      <c r="DZ30" s="203" t="str">
        <f t="shared" si="182"/>
        <v/>
      </c>
      <c r="EA30" s="276" t="str">
        <f t="shared" si="143"/>
        <v>OK</v>
      </c>
      <c r="EB30" s="165" t="s">
        <v>486</v>
      </c>
      <c r="EC30" s="203"/>
      <c r="ED30" s="146" t="str">
        <f t="shared" si="81"/>
        <v xml:space="preserve">        </v>
      </c>
      <c r="EE30" s="174" t="str">
        <f t="shared" si="18"/>
        <v>NG</v>
      </c>
      <c r="EF30" s="203" t="str">
        <f t="shared" si="183"/>
        <v/>
      </c>
      <c r="EG30" s="276" t="str">
        <f t="shared" si="144"/>
        <v>OK</v>
      </c>
      <c r="EH30" s="165" t="s">
        <v>486</v>
      </c>
      <c r="EI30" s="203"/>
      <c r="EJ30" s="146" t="str">
        <f t="shared" si="82"/>
        <v xml:space="preserve">        </v>
      </c>
      <c r="EK30" s="174" t="str">
        <f t="shared" si="19"/>
        <v>NG</v>
      </c>
      <c r="EL30" s="203" t="str">
        <f t="shared" si="184"/>
        <v/>
      </c>
      <c r="EM30" s="276" t="str">
        <f t="shared" si="145"/>
        <v>OK</v>
      </c>
      <c r="EN30" s="165" t="s">
        <v>486</v>
      </c>
      <c r="EO30" s="203"/>
      <c r="EP30" s="146" t="str">
        <f t="shared" si="83"/>
        <v xml:space="preserve">        </v>
      </c>
      <c r="EQ30" s="174" t="str">
        <f t="shared" si="20"/>
        <v>NG</v>
      </c>
      <c r="ER30" s="203" t="str">
        <f t="shared" si="185"/>
        <v/>
      </c>
      <c r="ES30" s="276" t="str">
        <f t="shared" si="146"/>
        <v>OK</v>
      </c>
      <c r="ET30" s="165" t="s">
        <v>486</v>
      </c>
      <c r="EU30" s="203"/>
      <c r="EV30" s="146" t="str">
        <f t="shared" si="84"/>
        <v xml:space="preserve">        </v>
      </c>
      <c r="EW30" s="174" t="str">
        <f t="shared" si="21"/>
        <v>NG</v>
      </c>
      <c r="EX30" s="203" t="str">
        <f t="shared" si="186"/>
        <v/>
      </c>
      <c r="EY30" s="276" t="str">
        <f t="shared" si="147"/>
        <v>OK</v>
      </c>
      <c r="EZ30" s="165" t="s">
        <v>486</v>
      </c>
      <c r="FA30" s="203"/>
      <c r="FB30" s="146" t="str">
        <f t="shared" si="85"/>
        <v xml:space="preserve">        </v>
      </c>
      <c r="FC30" s="174" t="str">
        <f t="shared" si="22"/>
        <v>NG</v>
      </c>
      <c r="FD30" s="203" t="str">
        <f t="shared" si="187"/>
        <v/>
      </c>
      <c r="FE30" s="276" t="str">
        <f t="shared" si="148"/>
        <v>OK</v>
      </c>
      <c r="FF30" s="160"/>
      <c r="FG30" s="203"/>
      <c r="FH30" s="146" t="str">
        <f t="shared" si="101"/>
        <v xml:space="preserve">        </v>
      </c>
      <c r="FI30" s="174" t="str">
        <f t="shared" si="23"/>
        <v>NG</v>
      </c>
      <c r="FJ30" s="203" t="str">
        <f t="shared" si="188"/>
        <v/>
      </c>
      <c r="FK30" s="276" t="str">
        <f t="shared" si="149"/>
        <v>OK</v>
      </c>
      <c r="FL30" s="165" t="s">
        <v>486</v>
      </c>
      <c r="FM30" s="203"/>
      <c r="FN30" s="146" t="str">
        <f t="shared" si="102"/>
        <v xml:space="preserve">        </v>
      </c>
      <c r="FO30" s="174" t="str">
        <f t="shared" si="24"/>
        <v>NG</v>
      </c>
      <c r="FP30" s="203" t="str">
        <f t="shared" si="189"/>
        <v/>
      </c>
      <c r="FQ30" s="276" t="str">
        <f t="shared" si="150"/>
        <v>OK</v>
      </c>
      <c r="FR30" s="160"/>
      <c r="FS30" s="203"/>
      <c r="FT30" s="146" t="str">
        <f t="shared" si="103"/>
        <v xml:space="preserve">        </v>
      </c>
      <c r="FU30" s="174" t="str">
        <f t="shared" si="25"/>
        <v>NG</v>
      </c>
      <c r="FV30" s="203" t="str">
        <f t="shared" si="190"/>
        <v/>
      </c>
      <c r="FW30" s="276" t="str">
        <f t="shared" si="151"/>
        <v>OK</v>
      </c>
      <c r="FX30" s="165" t="s">
        <v>486</v>
      </c>
      <c r="FY30" s="203"/>
      <c r="FZ30" s="146" t="str">
        <f t="shared" si="104"/>
        <v xml:space="preserve">        </v>
      </c>
      <c r="GA30" s="174" t="str">
        <f t="shared" si="26"/>
        <v>NG</v>
      </c>
      <c r="GB30" s="203" t="str">
        <f t="shared" si="191"/>
        <v/>
      </c>
      <c r="GC30" s="276" t="str">
        <f t="shared" si="152"/>
        <v>OK</v>
      </c>
    </row>
    <row r="31" spans="1:185" s="6" customFormat="1" ht="33.75" customHeight="1">
      <c r="A31" s="9"/>
      <c r="B31" s="53">
        <f t="shared" si="153"/>
        <v>24</v>
      </c>
      <c r="C31" s="25"/>
      <c r="D31" s="37"/>
      <c r="E31" s="196" t="s">
        <v>166</v>
      </c>
      <c r="F31" s="191"/>
      <c r="G31" s="191"/>
      <c r="H31" s="192"/>
      <c r="I31" s="57"/>
      <c r="J31" s="57"/>
      <c r="K31" s="57"/>
      <c r="L31" s="57"/>
      <c r="M31" s="197" t="s">
        <v>167</v>
      </c>
      <c r="N31" s="62"/>
      <c r="O31" s="150"/>
      <c r="P31" s="45">
        <f t="shared" si="192"/>
        <v>8</v>
      </c>
      <c r="Q31" s="60">
        <v>36</v>
      </c>
      <c r="R31" s="41" t="s">
        <v>168</v>
      </c>
      <c r="S31" s="185"/>
      <c r="T31" s="43"/>
      <c r="U31" s="41" t="s">
        <v>169</v>
      </c>
      <c r="V31" s="44"/>
      <c r="W31" s="22">
        <v>2</v>
      </c>
      <c r="X31" s="198" t="s">
        <v>170</v>
      </c>
      <c r="Y31" s="62">
        <v>1</v>
      </c>
      <c r="Z31" s="62">
        <v>18</v>
      </c>
      <c r="AA31" s="57" t="s">
        <v>168</v>
      </c>
      <c r="AB31" s="57" t="s">
        <v>171</v>
      </c>
      <c r="AC31" s="195"/>
      <c r="AD31" s="160"/>
      <c r="AE31" s="162"/>
      <c r="AF31" s="146" t="str">
        <f t="shared" si="86"/>
        <v>　　　　　　　　　　　　　　　　　　</v>
      </c>
      <c r="AG31" s="174" t="str">
        <f t="shared" si="1"/>
        <v>NG</v>
      </c>
      <c r="AH31" s="141" t="str">
        <f t="shared" si="166"/>
        <v/>
      </c>
      <c r="AI31" s="276" t="str">
        <f t="shared" si="131"/>
        <v>OK</v>
      </c>
      <c r="AJ31" s="160"/>
      <c r="AK31" s="162"/>
      <c r="AL31" s="146" t="str">
        <f t="shared" si="154"/>
        <v>　　　　　　　　　　　　　　　　　　</v>
      </c>
      <c r="AM31" s="174" t="str">
        <f t="shared" si="155"/>
        <v>NG</v>
      </c>
      <c r="AN31" s="141" t="str">
        <f t="shared" si="167"/>
        <v/>
      </c>
      <c r="AO31" s="276" t="str">
        <f t="shared" si="156"/>
        <v>OK</v>
      </c>
      <c r="AP31" s="160"/>
      <c r="AQ31" s="141"/>
      <c r="AR31" s="146" t="str">
        <f t="shared" si="157"/>
        <v>　　　　　　　　　　　　　　　　　　</v>
      </c>
      <c r="AS31" s="174" t="str">
        <f t="shared" si="158"/>
        <v>NG</v>
      </c>
      <c r="AT31" s="141" t="str">
        <f t="shared" si="168"/>
        <v/>
      </c>
      <c r="AU31" s="276" t="str">
        <f t="shared" si="159"/>
        <v>OK</v>
      </c>
      <c r="AV31" s="160"/>
      <c r="AW31" s="141"/>
      <c r="AX31" s="146" t="str">
        <f t="shared" si="160"/>
        <v>　　　　　　　　　　　　　　　　　　</v>
      </c>
      <c r="AY31" s="174" t="str">
        <f t="shared" si="161"/>
        <v>NG</v>
      </c>
      <c r="AZ31" s="141" t="str">
        <f t="shared" si="169"/>
        <v/>
      </c>
      <c r="BA31" s="276" t="str">
        <f t="shared" si="162"/>
        <v>OK</v>
      </c>
      <c r="BB31" s="160">
        <v>1</v>
      </c>
      <c r="BC31" s="141"/>
      <c r="BD31" s="146" t="str">
        <f t="shared" si="163"/>
        <v>　　　　　　　　　　　　　　　　　　</v>
      </c>
      <c r="BE31" s="174" t="str">
        <f t="shared" si="164"/>
        <v>NG</v>
      </c>
      <c r="BF31" s="141" t="str">
        <f t="shared" si="170"/>
        <v/>
      </c>
      <c r="BG31" s="276" t="str">
        <f t="shared" si="165"/>
        <v>OK</v>
      </c>
      <c r="BH31" s="160"/>
      <c r="BI31" s="141"/>
      <c r="BJ31" s="146" t="str">
        <f t="shared" si="91"/>
        <v>　　　　　　　　　　　　　　　　　　</v>
      </c>
      <c r="BK31" s="174" t="str">
        <f t="shared" si="6"/>
        <v>NG</v>
      </c>
      <c r="BL31" s="141" t="str">
        <f t="shared" si="171"/>
        <v/>
      </c>
      <c r="BM31" s="276" t="str">
        <f t="shared" si="132"/>
        <v>OK</v>
      </c>
      <c r="BN31" s="160"/>
      <c r="BO31" s="141"/>
      <c r="BP31" s="146" t="str">
        <f t="shared" si="92"/>
        <v>　　　　　　　　　　　　　　　　　　</v>
      </c>
      <c r="BQ31" s="174" t="str">
        <f t="shared" si="7"/>
        <v>NG</v>
      </c>
      <c r="BR31" s="141" t="str">
        <f t="shared" si="172"/>
        <v/>
      </c>
      <c r="BS31" s="276" t="str">
        <f t="shared" si="133"/>
        <v>OK</v>
      </c>
      <c r="BT31" s="160"/>
      <c r="BU31" s="141"/>
      <c r="BV31" s="146" t="str">
        <f t="shared" si="93"/>
        <v>　　　　　　　　　　　　　　　　　　</v>
      </c>
      <c r="BW31" s="174" t="str">
        <f t="shared" si="8"/>
        <v>NG</v>
      </c>
      <c r="BX31" s="141" t="str">
        <f t="shared" si="173"/>
        <v/>
      </c>
      <c r="BY31" s="276" t="str">
        <f t="shared" si="134"/>
        <v>OK</v>
      </c>
      <c r="BZ31" s="160"/>
      <c r="CA31" s="141"/>
      <c r="CB31" s="146" t="str">
        <f t="shared" si="94"/>
        <v>　　　　　　　　　　　　　　　　　　</v>
      </c>
      <c r="CC31" s="174" t="str">
        <f t="shared" si="9"/>
        <v>NG</v>
      </c>
      <c r="CD31" s="141" t="str">
        <f t="shared" si="174"/>
        <v/>
      </c>
      <c r="CE31" s="276" t="str">
        <f t="shared" si="135"/>
        <v>OK</v>
      </c>
      <c r="CF31" s="160"/>
      <c r="CG31" s="141"/>
      <c r="CH31" s="146" t="str">
        <f t="shared" si="95"/>
        <v>　　　　　　　　　　　　　　　　　　</v>
      </c>
      <c r="CI31" s="174" t="str">
        <f t="shared" si="10"/>
        <v>NG</v>
      </c>
      <c r="CJ31" s="141" t="str">
        <f t="shared" si="175"/>
        <v/>
      </c>
      <c r="CK31" s="276" t="str">
        <f t="shared" si="136"/>
        <v>OK</v>
      </c>
      <c r="CL31" s="160"/>
      <c r="CM31" s="141"/>
      <c r="CN31" s="146" t="str">
        <f t="shared" si="96"/>
        <v>　　　　　　　　　　　　　　　　　　</v>
      </c>
      <c r="CO31" s="174" t="str">
        <f t="shared" si="11"/>
        <v>NG</v>
      </c>
      <c r="CP31" s="141" t="str">
        <f t="shared" si="176"/>
        <v/>
      </c>
      <c r="CQ31" s="276" t="str">
        <f t="shared" si="137"/>
        <v>OK</v>
      </c>
      <c r="CR31" s="160"/>
      <c r="CS31" s="141"/>
      <c r="CT31" s="146" t="str">
        <f t="shared" si="97"/>
        <v>　　　　　　　　　　　　　　　　　　</v>
      </c>
      <c r="CU31" s="174" t="str">
        <f t="shared" si="12"/>
        <v>NG</v>
      </c>
      <c r="CV31" s="141" t="str">
        <f t="shared" si="177"/>
        <v/>
      </c>
      <c r="CW31" s="276" t="str">
        <f t="shared" si="138"/>
        <v>OK</v>
      </c>
      <c r="CX31" s="160"/>
      <c r="CY31" s="141"/>
      <c r="CZ31" s="146" t="str">
        <f t="shared" si="98"/>
        <v>　　　　　　　　　　　　　　　　　　</v>
      </c>
      <c r="DA31" s="174" t="str">
        <f t="shared" si="13"/>
        <v>NG</v>
      </c>
      <c r="DB31" s="141" t="str">
        <f t="shared" si="178"/>
        <v/>
      </c>
      <c r="DC31" s="276" t="str">
        <f t="shared" si="139"/>
        <v>OK</v>
      </c>
      <c r="DD31" s="160"/>
      <c r="DE31" s="141"/>
      <c r="DF31" s="146" t="str">
        <f t="shared" si="99"/>
        <v>　　　　　　　　　　　　　　　　　　</v>
      </c>
      <c r="DG31" s="174" t="str">
        <f t="shared" si="14"/>
        <v>NG</v>
      </c>
      <c r="DH31" s="141" t="str">
        <f t="shared" si="179"/>
        <v/>
      </c>
      <c r="DI31" s="276" t="str">
        <f t="shared" si="140"/>
        <v>OK</v>
      </c>
      <c r="DJ31" s="160"/>
      <c r="DK31" s="141"/>
      <c r="DL31" s="146" t="str">
        <f t="shared" si="100"/>
        <v>　　　　　　　　　　　　　　　　　　</v>
      </c>
      <c r="DM31" s="174" t="str">
        <f t="shared" si="15"/>
        <v>NG</v>
      </c>
      <c r="DN31" s="141" t="str">
        <f t="shared" si="180"/>
        <v/>
      </c>
      <c r="DO31" s="276" t="str">
        <f t="shared" si="141"/>
        <v>OK</v>
      </c>
      <c r="DP31" s="160"/>
      <c r="DQ31" s="141"/>
      <c r="DR31" s="146" t="str">
        <f t="shared" si="79"/>
        <v>　　　　　　　　　　　　　　　　　　</v>
      </c>
      <c r="DS31" s="174" t="str">
        <f t="shared" si="16"/>
        <v>NG</v>
      </c>
      <c r="DT31" s="141" t="str">
        <f t="shared" si="181"/>
        <v/>
      </c>
      <c r="DU31" s="276" t="str">
        <f t="shared" si="142"/>
        <v>OK</v>
      </c>
      <c r="DV31" s="160"/>
      <c r="DW31" s="141"/>
      <c r="DX31" s="146" t="str">
        <f t="shared" si="80"/>
        <v>　　　　　　　　　　　　　　　　　　</v>
      </c>
      <c r="DY31" s="174" t="str">
        <f t="shared" si="17"/>
        <v>NG</v>
      </c>
      <c r="DZ31" s="141" t="str">
        <f t="shared" si="182"/>
        <v/>
      </c>
      <c r="EA31" s="276" t="str">
        <f t="shared" si="143"/>
        <v>OK</v>
      </c>
      <c r="EB31" s="160"/>
      <c r="EC31" s="141"/>
      <c r="ED31" s="146" t="str">
        <f t="shared" si="81"/>
        <v>　　　　　　　　　　　　　　　　　　</v>
      </c>
      <c r="EE31" s="174" t="str">
        <f t="shared" si="18"/>
        <v>NG</v>
      </c>
      <c r="EF31" s="141" t="str">
        <f t="shared" si="183"/>
        <v/>
      </c>
      <c r="EG31" s="276" t="str">
        <f t="shared" si="144"/>
        <v>OK</v>
      </c>
      <c r="EH31" s="160"/>
      <c r="EI31" s="141"/>
      <c r="EJ31" s="146" t="str">
        <f t="shared" si="82"/>
        <v>　　　　　　　　　　　　　　　　　　</v>
      </c>
      <c r="EK31" s="174" t="str">
        <f t="shared" si="19"/>
        <v>NG</v>
      </c>
      <c r="EL31" s="141" t="str">
        <f t="shared" si="184"/>
        <v/>
      </c>
      <c r="EM31" s="276" t="str">
        <f t="shared" si="145"/>
        <v>OK</v>
      </c>
      <c r="EN31" s="160"/>
      <c r="EO31" s="141"/>
      <c r="EP31" s="146" t="str">
        <f t="shared" si="83"/>
        <v>　　　　　　　　　　　　　　　　　　</v>
      </c>
      <c r="EQ31" s="174" t="str">
        <f t="shared" si="20"/>
        <v>NG</v>
      </c>
      <c r="ER31" s="141" t="str">
        <f t="shared" si="185"/>
        <v/>
      </c>
      <c r="ES31" s="276" t="str">
        <f t="shared" si="146"/>
        <v>OK</v>
      </c>
      <c r="ET31" s="160"/>
      <c r="EU31" s="141"/>
      <c r="EV31" s="146" t="str">
        <f t="shared" si="84"/>
        <v>　　　　　　　　　　　　　　　　　　</v>
      </c>
      <c r="EW31" s="174" t="str">
        <f t="shared" si="21"/>
        <v>NG</v>
      </c>
      <c r="EX31" s="141" t="str">
        <f t="shared" si="186"/>
        <v/>
      </c>
      <c r="EY31" s="276" t="str">
        <f t="shared" si="147"/>
        <v>OK</v>
      </c>
      <c r="EZ31" s="160"/>
      <c r="FA31" s="141"/>
      <c r="FB31" s="146" t="str">
        <f t="shared" si="85"/>
        <v>　　　　　　　　　　　　　　　　　　</v>
      </c>
      <c r="FC31" s="174" t="str">
        <f t="shared" si="22"/>
        <v>NG</v>
      </c>
      <c r="FD31" s="141" t="str">
        <f t="shared" si="187"/>
        <v/>
      </c>
      <c r="FE31" s="276" t="str">
        <f t="shared" si="148"/>
        <v>OK</v>
      </c>
      <c r="FF31" s="160"/>
      <c r="FG31" s="141"/>
      <c r="FH31" s="146" t="str">
        <f t="shared" si="101"/>
        <v>　　　　　　　　　　　　　　　　　　</v>
      </c>
      <c r="FI31" s="174" t="str">
        <f t="shared" si="23"/>
        <v>NG</v>
      </c>
      <c r="FJ31" s="141" t="str">
        <f t="shared" si="188"/>
        <v/>
      </c>
      <c r="FK31" s="276" t="str">
        <f t="shared" si="149"/>
        <v>OK</v>
      </c>
      <c r="FL31" s="160"/>
      <c r="FM31" s="141"/>
      <c r="FN31" s="146" t="str">
        <f t="shared" si="102"/>
        <v>　　　　　　　　　　　　　　　　　　</v>
      </c>
      <c r="FO31" s="174" t="str">
        <f t="shared" si="24"/>
        <v>NG</v>
      </c>
      <c r="FP31" s="141" t="str">
        <f t="shared" si="189"/>
        <v/>
      </c>
      <c r="FQ31" s="276" t="str">
        <f t="shared" si="150"/>
        <v>OK</v>
      </c>
      <c r="FR31" s="160"/>
      <c r="FS31" s="141"/>
      <c r="FT31" s="146" t="str">
        <f t="shared" si="103"/>
        <v>　　　　　　　　　　　　　　　　　　</v>
      </c>
      <c r="FU31" s="174" t="str">
        <f t="shared" si="25"/>
        <v>NG</v>
      </c>
      <c r="FV31" s="141" t="str">
        <f t="shared" si="190"/>
        <v/>
      </c>
      <c r="FW31" s="276" t="str">
        <f t="shared" si="151"/>
        <v>OK</v>
      </c>
      <c r="FX31" s="160"/>
      <c r="FY31" s="141"/>
      <c r="FZ31" s="146" t="str">
        <f t="shared" si="104"/>
        <v>　　　　　　　　　　　　　　　　　　</v>
      </c>
      <c r="GA31" s="174" t="str">
        <f t="shared" si="26"/>
        <v>NG</v>
      </c>
      <c r="GB31" s="141" t="str">
        <f t="shared" si="191"/>
        <v/>
      </c>
      <c r="GC31" s="276" t="str">
        <f t="shared" si="152"/>
        <v>OK</v>
      </c>
    </row>
    <row r="32" spans="1:185" s="6" customFormat="1" ht="33.75" customHeight="1">
      <c r="A32" s="9"/>
      <c r="B32" s="53">
        <f t="shared" si="153"/>
        <v>25</v>
      </c>
      <c r="C32" s="25"/>
      <c r="D32" s="37"/>
      <c r="E32" s="196" t="s">
        <v>172</v>
      </c>
      <c r="F32" s="191"/>
      <c r="G32" s="191"/>
      <c r="H32" s="192"/>
      <c r="I32" s="57"/>
      <c r="J32" s="57"/>
      <c r="K32" s="57"/>
      <c r="L32" s="57"/>
      <c r="M32" s="197" t="s">
        <v>173</v>
      </c>
      <c r="N32" s="62"/>
      <c r="O32" s="150"/>
      <c r="P32" s="45">
        <f t="shared" si="192"/>
        <v>9</v>
      </c>
      <c r="Q32" s="60">
        <v>36</v>
      </c>
      <c r="R32" s="41" t="s">
        <v>174</v>
      </c>
      <c r="S32" s="185"/>
      <c r="T32" s="43"/>
      <c r="U32" s="41" t="s">
        <v>175</v>
      </c>
      <c r="V32" s="44"/>
      <c r="W32" s="22">
        <v>2</v>
      </c>
      <c r="X32" s="198" t="s">
        <v>176</v>
      </c>
      <c r="Y32" s="62">
        <v>1</v>
      </c>
      <c r="Z32" s="62">
        <v>18</v>
      </c>
      <c r="AA32" s="57" t="s">
        <v>174</v>
      </c>
      <c r="AB32" s="57" t="s">
        <v>177</v>
      </c>
      <c r="AC32" s="195"/>
      <c r="AD32" s="160"/>
      <c r="AE32" s="162"/>
      <c r="AF32" s="146" t="str">
        <f t="shared" si="86"/>
        <v>　　　　　　　　　　　　　　　　　　</v>
      </c>
      <c r="AG32" s="174" t="str">
        <f t="shared" si="1"/>
        <v>NG</v>
      </c>
      <c r="AH32" s="141" t="str">
        <f t="shared" si="166"/>
        <v/>
      </c>
      <c r="AI32" s="276" t="str">
        <f t="shared" si="131"/>
        <v>OK</v>
      </c>
      <c r="AJ32" s="160"/>
      <c r="AK32" s="162"/>
      <c r="AL32" s="146" t="str">
        <f t="shared" si="154"/>
        <v>　　　　　　　　　　　　　　　　　　</v>
      </c>
      <c r="AM32" s="174" t="str">
        <f t="shared" si="155"/>
        <v>NG</v>
      </c>
      <c r="AN32" s="141" t="str">
        <f t="shared" si="167"/>
        <v/>
      </c>
      <c r="AO32" s="276" t="str">
        <f t="shared" si="156"/>
        <v>OK</v>
      </c>
      <c r="AP32" s="160"/>
      <c r="AQ32" s="141"/>
      <c r="AR32" s="146" t="str">
        <f t="shared" si="157"/>
        <v>　　　　　　　　　　　　　　　　　　</v>
      </c>
      <c r="AS32" s="174" t="str">
        <f t="shared" si="158"/>
        <v>NG</v>
      </c>
      <c r="AT32" s="141" t="str">
        <f t="shared" si="168"/>
        <v/>
      </c>
      <c r="AU32" s="276" t="str">
        <f t="shared" si="159"/>
        <v>OK</v>
      </c>
      <c r="AV32" s="160"/>
      <c r="AW32" s="141"/>
      <c r="AX32" s="146" t="str">
        <f t="shared" si="160"/>
        <v>　　　　　　　　　　　　　　　　　　</v>
      </c>
      <c r="AY32" s="174" t="str">
        <f t="shared" si="161"/>
        <v>NG</v>
      </c>
      <c r="AZ32" s="141" t="str">
        <f t="shared" si="169"/>
        <v/>
      </c>
      <c r="BA32" s="276" t="str">
        <f t="shared" si="162"/>
        <v>OK</v>
      </c>
      <c r="BB32" s="160"/>
      <c r="BC32" s="141"/>
      <c r="BD32" s="146" t="str">
        <f t="shared" si="163"/>
        <v>　　　　　　　　　　　　　　　　　　</v>
      </c>
      <c r="BE32" s="174" t="str">
        <f t="shared" si="164"/>
        <v>NG</v>
      </c>
      <c r="BF32" s="141" t="str">
        <f t="shared" si="170"/>
        <v/>
      </c>
      <c r="BG32" s="276" t="str">
        <f t="shared" si="165"/>
        <v>OK</v>
      </c>
      <c r="BH32" s="160"/>
      <c r="BI32" s="141"/>
      <c r="BJ32" s="146" t="str">
        <f t="shared" si="91"/>
        <v>　　　　　　　　　　　　　　　　　　</v>
      </c>
      <c r="BK32" s="174" t="str">
        <f t="shared" si="6"/>
        <v>NG</v>
      </c>
      <c r="BL32" s="141" t="str">
        <f t="shared" si="171"/>
        <v/>
      </c>
      <c r="BM32" s="276" t="str">
        <f t="shared" si="132"/>
        <v>OK</v>
      </c>
      <c r="BN32" s="160"/>
      <c r="BO32" s="141"/>
      <c r="BP32" s="146" t="str">
        <f t="shared" si="92"/>
        <v>　　　　　　　　　　　　　　　　　　</v>
      </c>
      <c r="BQ32" s="174" t="str">
        <f t="shared" si="7"/>
        <v>NG</v>
      </c>
      <c r="BR32" s="141" t="str">
        <f t="shared" si="172"/>
        <v/>
      </c>
      <c r="BS32" s="276" t="str">
        <f t="shared" si="133"/>
        <v>OK</v>
      </c>
      <c r="BT32" s="160"/>
      <c r="BU32" s="141"/>
      <c r="BV32" s="146" t="str">
        <f t="shared" si="93"/>
        <v>　　　　　　　　　　　　　　　　　　</v>
      </c>
      <c r="BW32" s="174" t="str">
        <f t="shared" si="8"/>
        <v>NG</v>
      </c>
      <c r="BX32" s="141" t="str">
        <f t="shared" si="173"/>
        <v/>
      </c>
      <c r="BY32" s="276" t="str">
        <f t="shared" si="134"/>
        <v>OK</v>
      </c>
      <c r="BZ32" s="160"/>
      <c r="CA32" s="141"/>
      <c r="CB32" s="146" t="str">
        <f t="shared" si="94"/>
        <v>　　　　　　　　　　　　　　　　　　</v>
      </c>
      <c r="CC32" s="174" t="str">
        <f t="shared" si="9"/>
        <v>NG</v>
      </c>
      <c r="CD32" s="141" t="str">
        <f t="shared" si="174"/>
        <v/>
      </c>
      <c r="CE32" s="276" t="str">
        <f t="shared" si="135"/>
        <v>OK</v>
      </c>
      <c r="CF32" s="160"/>
      <c r="CG32" s="141"/>
      <c r="CH32" s="146" t="str">
        <f t="shared" si="95"/>
        <v>　　　　　　　　　　　　　　　　　　</v>
      </c>
      <c r="CI32" s="174" t="str">
        <f t="shared" si="10"/>
        <v>NG</v>
      </c>
      <c r="CJ32" s="141" t="str">
        <f t="shared" si="175"/>
        <v/>
      </c>
      <c r="CK32" s="276" t="str">
        <f t="shared" si="136"/>
        <v>OK</v>
      </c>
      <c r="CL32" s="160"/>
      <c r="CM32" s="141"/>
      <c r="CN32" s="146" t="str">
        <f t="shared" si="96"/>
        <v>　　　　　　　　　　　　　　　　　　</v>
      </c>
      <c r="CO32" s="174" t="str">
        <f t="shared" si="11"/>
        <v>NG</v>
      </c>
      <c r="CP32" s="141" t="str">
        <f t="shared" si="176"/>
        <v/>
      </c>
      <c r="CQ32" s="276" t="str">
        <f t="shared" si="137"/>
        <v>OK</v>
      </c>
      <c r="CR32" s="160"/>
      <c r="CS32" s="141"/>
      <c r="CT32" s="146" t="str">
        <f t="shared" si="97"/>
        <v>　　　　　　　　　　　　　　　　　　</v>
      </c>
      <c r="CU32" s="174" t="str">
        <f t="shared" si="12"/>
        <v>NG</v>
      </c>
      <c r="CV32" s="141" t="str">
        <f t="shared" si="177"/>
        <v/>
      </c>
      <c r="CW32" s="276" t="str">
        <f t="shared" si="138"/>
        <v>OK</v>
      </c>
      <c r="CX32" s="160"/>
      <c r="CY32" s="141"/>
      <c r="CZ32" s="146" t="str">
        <f t="shared" si="98"/>
        <v>　　　　　　　　　　　　　　　　　　</v>
      </c>
      <c r="DA32" s="174" t="str">
        <f t="shared" si="13"/>
        <v>NG</v>
      </c>
      <c r="DB32" s="141" t="str">
        <f t="shared" si="178"/>
        <v/>
      </c>
      <c r="DC32" s="276" t="str">
        <f t="shared" si="139"/>
        <v>OK</v>
      </c>
      <c r="DD32" s="160"/>
      <c r="DE32" s="141"/>
      <c r="DF32" s="146" t="str">
        <f t="shared" si="99"/>
        <v>　　　　　　　　　　　　　　　　　　</v>
      </c>
      <c r="DG32" s="174" t="str">
        <f t="shared" si="14"/>
        <v>NG</v>
      </c>
      <c r="DH32" s="141" t="str">
        <f t="shared" si="179"/>
        <v/>
      </c>
      <c r="DI32" s="276" t="str">
        <f t="shared" si="140"/>
        <v>OK</v>
      </c>
      <c r="DJ32" s="160"/>
      <c r="DK32" s="141"/>
      <c r="DL32" s="146" t="str">
        <f t="shared" si="100"/>
        <v>　　　　　　　　　　　　　　　　　　</v>
      </c>
      <c r="DM32" s="174" t="str">
        <f t="shared" si="15"/>
        <v>NG</v>
      </c>
      <c r="DN32" s="141" t="str">
        <f t="shared" si="180"/>
        <v/>
      </c>
      <c r="DO32" s="276" t="str">
        <f t="shared" si="141"/>
        <v>OK</v>
      </c>
      <c r="DP32" s="160"/>
      <c r="DQ32" s="141"/>
      <c r="DR32" s="146" t="str">
        <f t="shared" si="79"/>
        <v>　　　　　　　　　　　　　　　　　　</v>
      </c>
      <c r="DS32" s="174" t="str">
        <f t="shared" si="16"/>
        <v>NG</v>
      </c>
      <c r="DT32" s="141" t="str">
        <f t="shared" si="181"/>
        <v/>
      </c>
      <c r="DU32" s="276" t="str">
        <f t="shared" si="142"/>
        <v>OK</v>
      </c>
      <c r="DV32" s="160"/>
      <c r="DW32" s="141"/>
      <c r="DX32" s="146" t="str">
        <f t="shared" si="80"/>
        <v>　　　　　　　　　　　　　　　　　　</v>
      </c>
      <c r="DY32" s="174" t="str">
        <f t="shared" si="17"/>
        <v>NG</v>
      </c>
      <c r="DZ32" s="141" t="str">
        <f t="shared" si="182"/>
        <v/>
      </c>
      <c r="EA32" s="276" t="str">
        <f t="shared" si="143"/>
        <v>OK</v>
      </c>
      <c r="EB32" s="160"/>
      <c r="EC32" s="141"/>
      <c r="ED32" s="146" t="str">
        <f t="shared" si="81"/>
        <v>　　　　　　　　　　　　　　　　　　</v>
      </c>
      <c r="EE32" s="174" t="str">
        <f t="shared" si="18"/>
        <v>NG</v>
      </c>
      <c r="EF32" s="141" t="str">
        <f t="shared" si="183"/>
        <v/>
      </c>
      <c r="EG32" s="276" t="str">
        <f t="shared" si="144"/>
        <v>OK</v>
      </c>
      <c r="EH32" s="160"/>
      <c r="EI32" s="141"/>
      <c r="EJ32" s="146" t="str">
        <f t="shared" si="82"/>
        <v>　　　　　　　　　　　　　　　　　　</v>
      </c>
      <c r="EK32" s="174" t="str">
        <f t="shared" si="19"/>
        <v>NG</v>
      </c>
      <c r="EL32" s="141" t="str">
        <f t="shared" si="184"/>
        <v/>
      </c>
      <c r="EM32" s="276" t="str">
        <f t="shared" si="145"/>
        <v>OK</v>
      </c>
      <c r="EN32" s="160"/>
      <c r="EO32" s="141"/>
      <c r="EP32" s="146" t="str">
        <f t="shared" si="83"/>
        <v>　　　　　　　　　　　　　　　　　　</v>
      </c>
      <c r="EQ32" s="174" t="str">
        <f t="shared" si="20"/>
        <v>NG</v>
      </c>
      <c r="ER32" s="141" t="str">
        <f t="shared" si="185"/>
        <v/>
      </c>
      <c r="ES32" s="276" t="str">
        <f t="shared" si="146"/>
        <v>OK</v>
      </c>
      <c r="ET32" s="160"/>
      <c r="EU32" s="141"/>
      <c r="EV32" s="146" t="str">
        <f t="shared" si="84"/>
        <v>　　　　　　　　　　　　　　　　　　</v>
      </c>
      <c r="EW32" s="174" t="str">
        <f t="shared" si="21"/>
        <v>NG</v>
      </c>
      <c r="EX32" s="141" t="str">
        <f t="shared" si="186"/>
        <v/>
      </c>
      <c r="EY32" s="276" t="str">
        <f t="shared" si="147"/>
        <v>OK</v>
      </c>
      <c r="EZ32" s="160"/>
      <c r="FA32" s="141"/>
      <c r="FB32" s="146" t="str">
        <f t="shared" si="85"/>
        <v>　　　　　　　　　　　　　　　　　　</v>
      </c>
      <c r="FC32" s="174" t="str">
        <f t="shared" si="22"/>
        <v>NG</v>
      </c>
      <c r="FD32" s="141" t="str">
        <f t="shared" si="187"/>
        <v/>
      </c>
      <c r="FE32" s="276" t="str">
        <f t="shared" si="148"/>
        <v>OK</v>
      </c>
      <c r="FF32" s="160"/>
      <c r="FG32" s="141"/>
      <c r="FH32" s="146" t="str">
        <f t="shared" si="101"/>
        <v>　　　　　　　　　　　　　　　　　　</v>
      </c>
      <c r="FI32" s="174" t="str">
        <f t="shared" si="23"/>
        <v>NG</v>
      </c>
      <c r="FJ32" s="141" t="str">
        <f t="shared" si="188"/>
        <v/>
      </c>
      <c r="FK32" s="276" t="str">
        <f t="shared" si="149"/>
        <v>OK</v>
      </c>
      <c r="FL32" s="160"/>
      <c r="FM32" s="141"/>
      <c r="FN32" s="146" t="str">
        <f t="shared" si="102"/>
        <v>　　　　　　　　　　　　　　　　　　</v>
      </c>
      <c r="FO32" s="174" t="str">
        <f t="shared" si="24"/>
        <v>NG</v>
      </c>
      <c r="FP32" s="141" t="str">
        <f t="shared" si="189"/>
        <v/>
      </c>
      <c r="FQ32" s="276" t="str">
        <f t="shared" si="150"/>
        <v>OK</v>
      </c>
      <c r="FR32" s="160"/>
      <c r="FS32" s="141"/>
      <c r="FT32" s="146" t="str">
        <f t="shared" si="103"/>
        <v>　　　　　　　　　　　　　　　　　　</v>
      </c>
      <c r="FU32" s="174" t="str">
        <f t="shared" si="25"/>
        <v>NG</v>
      </c>
      <c r="FV32" s="141" t="str">
        <f t="shared" si="190"/>
        <v/>
      </c>
      <c r="FW32" s="276" t="str">
        <f t="shared" si="151"/>
        <v>OK</v>
      </c>
      <c r="FX32" s="160"/>
      <c r="FY32" s="141"/>
      <c r="FZ32" s="146" t="str">
        <f t="shared" si="104"/>
        <v>　　　　　　　　　　　　　　　　　　</v>
      </c>
      <c r="GA32" s="174" t="str">
        <f t="shared" si="26"/>
        <v>NG</v>
      </c>
      <c r="GB32" s="141" t="str">
        <f t="shared" si="191"/>
        <v/>
      </c>
      <c r="GC32" s="276" t="str">
        <f t="shared" si="152"/>
        <v>OK</v>
      </c>
    </row>
    <row r="33" spans="2:185" s="52" customFormat="1" ht="153.75" customHeight="1">
      <c r="B33" s="48">
        <f t="shared" si="153"/>
        <v>26</v>
      </c>
      <c r="C33" s="37"/>
      <c r="D33" s="37"/>
      <c r="E33" s="199" t="s">
        <v>305</v>
      </c>
      <c r="F33" s="39"/>
      <c r="G33" s="39"/>
      <c r="H33" s="40"/>
      <c r="I33" s="57"/>
      <c r="J33" s="57" t="s">
        <v>306</v>
      </c>
      <c r="K33" s="57"/>
      <c r="L33" s="42"/>
      <c r="M33" s="58" t="s">
        <v>307</v>
      </c>
      <c r="N33" s="47"/>
      <c r="O33" s="143"/>
      <c r="P33" s="45">
        <f t="shared" si="192"/>
        <v>10</v>
      </c>
      <c r="Q33" s="200">
        <v>4</v>
      </c>
      <c r="R33" s="41" t="str">
        <f t="shared" si="193"/>
        <v>X</v>
      </c>
      <c r="S33" s="185"/>
      <c r="T33" s="43"/>
      <c r="U33" s="41" t="s">
        <v>178</v>
      </c>
      <c r="V33" s="44"/>
      <c r="W33" s="22" t="str">
        <f t="shared" ref="W33:W38" si="194">IF(C33&lt;&gt;"","0",IF(D33&lt;&gt;"","1",IF(E33&lt;&gt;"","2",IF(F33&lt;&gt;"","3",IF(G33&lt;&gt;"","4",IF(H33&lt;&gt;"","5"))))))</f>
        <v>2</v>
      </c>
      <c r="X33" s="62" t="s">
        <v>179</v>
      </c>
      <c r="Y33" s="201">
        <v>4</v>
      </c>
      <c r="Z33" s="201">
        <v>4</v>
      </c>
      <c r="AA33" s="202" t="s">
        <v>163</v>
      </c>
      <c r="AB33" s="202" t="s">
        <v>57</v>
      </c>
      <c r="AC33" s="166"/>
      <c r="AD33" s="160"/>
      <c r="AE33" s="162"/>
      <c r="AF33" s="167" t="str">
        <f t="shared" si="86"/>
        <v>0000</v>
      </c>
      <c r="AG33" s="174" t="str">
        <f t="shared" si="1"/>
        <v>NG</v>
      </c>
      <c r="AH33" s="162" t="s">
        <v>124</v>
      </c>
      <c r="AI33" s="276" t="str">
        <f t="shared" si="131"/>
        <v>NG</v>
      </c>
      <c r="AJ33" s="160"/>
      <c r="AK33" s="162"/>
      <c r="AL33" s="167" t="str">
        <f t="shared" si="154"/>
        <v>0000</v>
      </c>
      <c r="AM33" s="174" t="str">
        <f t="shared" si="155"/>
        <v>NG</v>
      </c>
      <c r="AN33" s="162" t="s">
        <v>124</v>
      </c>
      <c r="AO33" s="276" t="str">
        <f t="shared" si="156"/>
        <v>NG</v>
      </c>
      <c r="AP33" s="160"/>
      <c r="AQ33" s="162"/>
      <c r="AR33" s="167" t="str">
        <f t="shared" si="157"/>
        <v>0000</v>
      </c>
      <c r="AS33" s="174" t="str">
        <f t="shared" si="158"/>
        <v>NG</v>
      </c>
      <c r="AT33" s="162" t="s">
        <v>124</v>
      </c>
      <c r="AU33" s="276" t="str">
        <f t="shared" si="159"/>
        <v>NG</v>
      </c>
      <c r="AV33" s="160"/>
      <c r="AW33" s="162"/>
      <c r="AX33" s="167" t="str">
        <f t="shared" si="160"/>
        <v>0000</v>
      </c>
      <c r="AY33" s="174" t="str">
        <f t="shared" si="161"/>
        <v>NG</v>
      </c>
      <c r="AZ33" s="162" t="s">
        <v>124</v>
      </c>
      <c r="BA33" s="276" t="str">
        <f t="shared" si="162"/>
        <v>NG</v>
      </c>
      <c r="BB33" s="160"/>
      <c r="BC33" s="162"/>
      <c r="BD33" s="167" t="str">
        <f t="shared" si="163"/>
        <v>0000</v>
      </c>
      <c r="BE33" s="174" t="str">
        <f t="shared" si="164"/>
        <v>NG</v>
      </c>
      <c r="BF33" s="162" t="s">
        <v>124</v>
      </c>
      <c r="BG33" s="276" t="str">
        <f t="shared" si="165"/>
        <v>NG</v>
      </c>
      <c r="BH33" s="160"/>
      <c r="BI33" s="162"/>
      <c r="BJ33" s="167" t="str">
        <f t="shared" si="91"/>
        <v>0000</v>
      </c>
      <c r="BK33" s="174" t="str">
        <f t="shared" si="6"/>
        <v>NG</v>
      </c>
      <c r="BL33" s="162" t="s">
        <v>124</v>
      </c>
      <c r="BM33" s="276" t="str">
        <f t="shared" si="132"/>
        <v>NG</v>
      </c>
      <c r="BN33" s="160"/>
      <c r="BO33" s="162"/>
      <c r="BP33" s="167" t="str">
        <f t="shared" si="92"/>
        <v>0000</v>
      </c>
      <c r="BQ33" s="174" t="str">
        <f t="shared" si="7"/>
        <v>NG</v>
      </c>
      <c r="BR33" s="162" t="s">
        <v>124</v>
      </c>
      <c r="BS33" s="276" t="str">
        <f t="shared" si="133"/>
        <v>NG</v>
      </c>
      <c r="BT33" s="160"/>
      <c r="BU33" s="162" t="s">
        <v>124</v>
      </c>
      <c r="BV33" s="167" t="str">
        <f t="shared" si="93"/>
        <v>0000</v>
      </c>
      <c r="BW33" s="174" t="str">
        <f t="shared" si="8"/>
        <v>OK</v>
      </c>
      <c r="BX33" s="162" t="s">
        <v>124</v>
      </c>
      <c r="BY33" s="276" t="str">
        <f t="shared" si="134"/>
        <v>OK</v>
      </c>
      <c r="BZ33" s="160"/>
      <c r="CA33" s="162"/>
      <c r="CB33" s="167" t="str">
        <f t="shared" si="94"/>
        <v>0000</v>
      </c>
      <c r="CC33" s="174" t="str">
        <f t="shared" si="9"/>
        <v>NG</v>
      </c>
      <c r="CD33" s="162" t="s">
        <v>124</v>
      </c>
      <c r="CE33" s="276" t="str">
        <f t="shared" si="135"/>
        <v>NG</v>
      </c>
      <c r="CF33" s="160"/>
      <c r="CG33" s="162"/>
      <c r="CH33" s="167" t="str">
        <f t="shared" si="95"/>
        <v>0000</v>
      </c>
      <c r="CI33" s="174" t="str">
        <f t="shared" si="10"/>
        <v>NG</v>
      </c>
      <c r="CJ33" s="162" t="s">
        <v>124</v>
      </c>
      <c r="CK33" s="276" t="str">
        <f t="shared" si="136"/>
        <v>NG</v>
      </c>
      <c r="CL33" s="160"/>
      <c r="CM33" s="162"/>
      <c r="CN33" s="167" t="str">
        <f t="shared" si="96"/>
        <v>0000</v>
      </c>
      <c r="CO33" s="174" t="str">
        <f t="shared" si="11"/>
        <v>NG</v>
      </c>
      <c r="CP33" s="162" t="s">
        <v>124</v>
      </c>
      <c r="CQ33" s="276" t="str">
        <f t="shared" si="137"/>
        <v>NG</v>
      </c>
      <c r="CR33" s="160"/>
      <c r="CS33" s="162"/>
      <c r="CT33" s="167" t="str">
        <f t="shared" si="97"/>
        <v>0000</v>
      </c>
      <c r="CU33" s="174" t="str">
        <f t="shared" si="12"/>
        <v>NG</v>
      </c>
      <c r="CV33" s="162" t="s">
        <v>124</v>
      </c>
      <c r="CW33" s="276" t="str">
        <f t="shared" si="138"/>
        <v>NG</v>
      </c>
      <c r="CX33" s="160"/>
      <c r="CY33" s="162"/>
      <c r="CZ33" s="167" t="str">
        <f t="shared" si="98"/>
        <v>0000</v>
      </c>
      <c r="DA33" s="174" t="str">
        <f t="shared" si="13"/>
        <v>NG</v>
      </c>
      <c r="DB33" s="162" t="s">
        <v>124</v>
      </c>
      <c r="DC33" s="276" t="str">
        <f t="shared" si="139"/>
        <v>NG</v>
      </c>
      <c r="DD33" s="160"/>
      <c r="DE33" s="162"/>
      <c r="DF33" s="167" t="str">
        <f t="shared" si="99"/>
        <v>0000</v>
      </c>
      <c r="DG33" s="174" t="str">
        <f t="shared" si="14"/>
        <v>NG</v>
      </c>
      <c r="DH33" s="162" t="s">
        <v>124</v>
      </c>
      <c r="DI33" s="276" t="str">
        <f t="shared" si="140"/>
        <v>NG</v>
      </c>
      <c r="DJ33" s="160"/>
      <c r="DK33" s="162"/>
      <c r="DL33" s="167" t="str">
        <f t="shared" si="100"/>
        <v>0000</v>
      </c>
      <c r="DM33" s="174" t="str">
        <f t="shared" si="15"/>
        <v>NG</v>
      </c>
      <c r="DN33" s="162" t="s">
        <v>124</v>
      </c>
      <c r="DO33" s="276" t="str">
        <f t="shared" si="141"/>
        <v>NG</v>
      </c>
      <c r="DP33" s="160"/>
      <c r="DQ33" s="162"/>
      <c r="DR33" s="167" t="str">
        <f t="shared" si="79"/>
        <v>0000</v>
      </c>
      <c r="DS33" s="174" t="str">
        <f t="shared" si="16"/>
        <v>NG</v>
      </c>
      <c r="DT33" s="162" t="s">
        <v>124</v>
      </c>
      <c r="DU33" s="276" t="str">
        <f t="shared" si="142"/>
        <v>NG</v>
      </c>
      <c r="DV33" s="160"/>
      <c r="DW33" s="162"/>
      <c r="DX33" s="167" t="str">
        <f t="shared" si="80"/>
        <v>0000</v>
      </c>
      <c r="DY33" s="174" t="str">
        <f t="shared" si="17"/>
        <v>NG</v>
      </c>
      <c r="DZ33" s="162" t="s">
        <v>124</v>
      </c>
      <c r="EA33" s="276" t="str">
        <f t="shared" si="143"/>
        <v>NG</v>
      </c>
      <c r="EB33" s="160"/>
      <c r="EC33" s="162"/>
      <c r="ED33" s="167" t="str">
        <f t="shared" si="81"/>
        <v>0000</v>
      </c>
      <c r="EE33" s="174" t="str">
        <f t="shared" si="18"/>
        <v>NG</v>
      </c>
      <c r="EF33" s="162" t="s">
        <v>124</v>
      </c>
      <c r="EG33" s="276" t="str">
        <f t="shared" si="144"/>
        <v>NG</v>
      </c>
      <c r="EH33" s="160"/>
      <c r="EI33" s="162"/>
      <c r="EJ33" s="167" t="str">
        <f t="shared" si="82"/>
        <v>0000</v>
      </c>
      <c r="EK33" s="174" t="str">
        <f t="shared" si="19"/>
        <v>NG</v>
      </c>
      <c r="EL33" s="162" t="s">
        <v>124</v>
      </c>
      <c r="EM33" s="276" t="str">
        <f t="shared" si="145"/>
        <v>NG</v>
      </c>
      <c r="EN33" s="160"/>
      <c r="EO33" s="162"/>
      <c r="EP33" s="167" t="str">
        <f t="shared" si="83"/>
        <v>0000</v>
      </c>
      <c r="EQ33" s="174" t="str">
        <f t="shared" si="20"/>
        <v>NG</v>
      </c>
      <c r="ER33" s="162" t="s">
        <v>124</v>
      </c>
      <c r="ES33" s="276" t="str">
        <f t="shared" si="146"/>
        <v>NG</v>
      </c>
      <c r="ET33" s="160"/>
      <c r="EU33" s="162"/>
      <c r="EV33" s="167" t="str">
        <f t="shared" si="84"/>
        <v>0000</v>
      </c>
      <c r="EW33" s="174" t="str">
        <f t="shared" si="21"/>
        <v>NG</v>
      </c>
      <c r="EX33" s="162" t="s">
        <v>124</v>
      </c>
      <c r="EY33" s="276" t="str">
        <f t="shared" si="147"/>
        <v>NG</v>
      </c>
      <c r="EZ33" s="160"/>
      <c r="FA33" s="162"/>
      <c r="FB33" s="167" t="str">
        <f t="shared" si="85"/>
        <v>0000</v>
      </c>
      <c r="FC33" s="174" t="str">
        <f t="shared" si="22"/>
        <v>NG</v>
      </c>
      <c r="FD33" s="162" t="s">
        <v>124</v>
      </c>
      <c r="FE33" s="276" t="str">
        <f t="shared" si="148"/>
        <v>NG</v>
      </c>
      <c r="FF33" s="160"/>
      <c r="FG33" s="162"/>
      <c r="FH33" s="167" t="str">
        <f t="shared" si="101"/>
        <v>0000</v>
      </c>
      <c r="FI33" s="174" t="str">
        <f t="shared" si="23"/>
        <v>NG</v>
      </c>
      <c r="FJ33" s="162" t="s">
        <v>124</v>
      </c>
      <c r="FK33" s="276" t="str">
        <f t="shared" si="149"/>
        <v>NG</v>
      </c>
      <c r="FL33" s="160"/>
      <c r="FM33" s="162"/>
      <c r="FN33" s="167" t="str">
        <f t="shared" si="102"/>
        <v>0000</v>
      </c>
      <c r="FO33" s="174" t="str">
        <f t="shared" si="24"/>
        <v>NG</v>
      </c>
      <c r="FP33" s="162" t="s">
        <v>124</v>
      </c>
      <c r="FQ33" s="276" t="str">
        <f t="shared" si="150"/>
        <v>NG</v>
      </c>
      <c r="FR33" s="160"/>
      <c r="FS33" s="162"/>
      <c r="FT33" s="167" t="str">
        <f t="shared" si="103"/>
        <v>0000</v>
      </c>
      <c r="FU33" s="174" t="str">
        <f t="shared" si="25"/>
        <v>NG</v>
      </c>
      <c r="FV33" s="162" t="s">
        <v>124</v>
      </c>
      <c r="FW33" s="276" t="str">
        <f t="shared" si="151"/>
        <v>NG</v>
      </c>
      <c r="FX33" s="160"/>
      <c r="FY33" s="162"/>
      <c r="FZ33" s="167" t="str">
        <f t="shared" si="104"/>
        <v>0000</v>
      </c>
      <c r="GA33" s="174" t="str">
        <f t="shared" si="26"/>
        <v>NG</v>
      </c>
      <c r="GB33" s="162" t="s">
        <v>124</v>
      </c>
      <c r="GC33" s="276" t="str">
        <f t="shared" si="152"/>
        <v>NG</v>
      </c>
    </row>
    <row r="34" spans="2:185" s="52" customFormat="1" ht="51">
      <c r="B34" s="48">
        <f t="shared" si="153"/>
        <v>27</v>
      </c>
      <c r="C34" s="187"/>
      <c r="D34" s="37"/>
      <c r="E34" s="199" t="s">
        <v>308</v>
      </c>
      <c r="F34" s="39"/>
      <c r="G34" s="39"/>
      <c r="H34" s="40"/>
      <c r="I34" s="57"/>
      <c r="J34" s="57"/>
      <c r="K34" s="57"/>
      <c r="L34" s="42"/>
      <c r="M34" s="58" t="s">
        <v>180</v>
      </c>
      <c r="N34" s="47"/>
      <c r="O34" s="143"/>
      <c r="P34" s="45">
        <f t="shared" si="192"/>
        <v>11</v>
      </c>
      <c r="Q34" s="200">
        <v>9</v>
      </c>
      <c r="R34" s="41" t="str">
        <f>IF(AA34="M","NX",AA34)</f>
        <v>X</v>
      </c>
      <c r="S34" s="185"/>
      <c r="T34" s="43"/>
      <c r="U34" s="41" t="s">
        <v>178</v>
      </c>
      <c r="V34" s="44"/>
      <c r="W34" s="22" t="str">
        <f t="shared" si="194"/>
        <v>2</v>
      </c>
      <c r="X34" s="62" t="s">
        <v>181</v>
      </c>
      <c r="Y34" s="201">
        <v>9</v>
      </c>
      <c r="Z34" s="201">
        <v>9</v>
      </c>
      <c r="AA34" s="202" t="s">
        <v>163</v>
      </c>
      <c r="AB34" s="202" t="s">
        <v>57</v>
      </c>
      <c r="AC34" s="166"/>
      <c r="AD34" s="160"/>
      <c r="AE34" s="162"/>
      <c r="AF34" s="203" t="str">
        <f t="shared" si="86"/>
        <v xml:space="preserve">         </v>
      </c>
      <c r="AG34" s="174" t="str">
        <f t="shared" si="1"/>
        <v>NG</v>
      </c>
      <c r="AH34" s="141"/>
      <c r="AI34" s="276" t="str">
        <f t="shared" si="131"/>
        <v>OK</v>
      </c>
      <c r="AJ34" s="160"/>
      <c r="AK34" s="162"/>
      <c r="AL34" s="203" t="str">
        <f t="shared" si="154"/>
        <v xml:space="preserve">         </v>
      </c>
      <c r="AM34" s="174" t="str">
        <f t="shared" si="155"/>
        <v>NG</v>
      </c>
      <c r="AN34" s="141"/>
      <c r="AO34" s="276" t="str">
        <f t="shared" si="156"/>
        <v>OK</v>
      </c>
      <c r="AP34" s="160"/>
      <c r="AQ34" s="141"/>
      <c r="AR34" s="203" t="str">
        <f t="shared" si="157"/>
        <v xml:space="preserve">         </v>
      </c>
      <c r="AS34" s="174" t="str">
        <f t="shared" si="158"/>
        <v>NG</v>
      </c>
      <c r="AT34" s="141"/>
      <c r="AU34" s="276" t="str">
        <f t="shared" si="159"/>
        <v>OK</v>
      </c>
      <c r="AV34" s="160"/>
      <c r="AW34" s="141"/>
      <c r="AX34" s="203" t="str">
        <f t="shared" si="160"/>
        <v xml:space="preserve">         </v>
      </c>
      <c r="AY34" s="174" t="str">
        <f t="shared" si="161"/>
        <v>NG</v>
      </c>
      <c r="AZ34" s="141"/>
      <c r="BA34" s="276" t="str">
        <f t="shared" si="162"/>
        <v>OK</v>
      </c>
      <c r="BB34" s="160"/>
      <c r="BC34" s="141"/>
      <c r="BD34" s="203" t="str">
        <f t="shared" si="163"/>
        <v xml:space="preserve">         </v>
      </c>
      <c r="BE34" s="174" t="str">
        <f t="shared" si="164"/>
        <v>NG</v>
      </c>
      <c r="BF34" s="141"/>
      <c r="BG34" s="276" t="str">
        <f t="shared" si="165"/>
        <v>OK</v>
      </c>
      <c r="BH34" s="160"/>
      <c r="BI34" s="141"/>
      <c r="BJ34" s="203" t="str">
        <f t="shared" si="91"/>
        <v xml:space="preserve">         </v>
      </c>
      <c r="BK34" s="174" t="str">
        <f t="shared" si="6"/>
        <v>NG</v>
      </c>
      <c r="BL34" s="141"/>
      <c r="BM34" s="276" t="str">
        <f t="shared" si="132"/>
        <v>OK</v>
      </c>
      <c r="BN34" s="160"/>
      <c r="BO34" s="141"/>
      <c r="BP34" s="203" t="str">
        <f t="shared" si="92"/>
        <v xml:space="preserve">         </v>
      </c>
      <c r="BQ34" s="174" t="str">
        <f t="shared" si="7"/>
        <v>NG</v>
      </c>
      <c r="BR34" s="141"/>
      <c r="BS34" s="276" t="str">
        <f t="shared" si="133"/>
        <v>OK</v>
      </c>
      <c r="BT34" s="160"/>
      <c r="BU34" s="141"/>
      <c r="BV34" s="203" t="str">
        <f t="shared" si="93"/>
        <v xml:space="preserve">         </v>
      </c>
      <c r="BW34" s="174" t="str">
        <f t="shared" si="8"/>
        <v>NG</v>
      </c>
      <c r="BX34" s="141"/>
      <c r="BY34" s="276" t="str">
        <f t="shared" si="134"/>
        <v>OK</v>
      </c>
      <c r="BZ34" s="160"/>
      <c r="CA34" s="141"/>
      <c r="CB34" s="203" t="str">
        <f t="shared" si="94"/>
        <v xml:space="preserve">         </v>
      </c>
      <c r="CC34" s="174" t="str">
        <f t="shared" si="9"/>
        <v>NG</v>
      </c>
      <c r="CD34" s="141"/>
      <c r="CE34" s="276" t="str">
        <f t="shared" si="135"/>
        <v>OK</v>
      </c>
      <c r="CF34" s="160"/>
      <c r="CG34" s="141"/>
      <c r="CH34" s="203" t="str">
        <f t="shared" si="95"/>
        <v xml:space="preserve">         </v>
      </c>
      <c r="CI34" s="174" t="str">
        <f t="shared" si="10"/>
        <v>NG</v>
      </c>
      <c r="CJ34" s="141"/>
      <c r="CK34" s="276" t="str">
        <f t="shared" si="136"/>
        <v>OK</v>
      </c>
      <c r="CL34" s="160"/>
      <c r="CM34" s="141"/>
      <c r="CN34" s="203" t="str">
        <f t="shared" si="96"/>
        <v xml:space="preserve">         </v>
      </c>
      <c r="CO34" s="174" t="str">
        <f t="shared" si="11"/>
        <v>NG</v>
      </c>
      <c r="CP34" s="141"/>
      <c r="CQ34" s="276" t="str">
        <f t="shared" si="137"/>
        <v>OK</v>
      </c>
      <c r="CR34" s="160"/>
      <c r="CS34" s="141"/>
      <c r="CT34" s="203" t="str">
        <f t="shared" si="97"/>
        <v xml:space="preserve">         </v>
      </c>
      <c r="CU34" s="174" t="str">
        <f t="shared" si="12"/>
        <v>NG</v>
      </c>
      <c r="CV34" s="141"/>
      <c r="CW34" s="276" t="str">
        <f t="shared" si="138"/>
        <v>OK</v>
      </c>
      <c r="CX34" s="160"/>
      <c r="CY34" s="141"/>
      <c r="CZ34" s="203" t="str">
        <f t="shared" si="98"/>
        <v xml:space="preserve">         </v>
      </c>
      <c r="DA34" s="174" t="str">
        <f t="shared" si="13"/>
        <v>NG</v>
      </c>
      <c r="DB34" s="141"/>
      <c r="DC34" s="276" t="str">
        <f t="shared" si="139"/>
        <v>OK</v>
      </c>
      <c r="DD34" s="160"/>
      <c r="DE34" s="141"/>
      <c r="DF34" s="203" t="str">
        <f t="shared" si="99"/>
        <v xml:space="preserve">         </v>
      </c>
      <c r="DG34" s="174" t="str">
        <f t="shared" si="14"/>
        <v>NG</v>
      </c>
      <c r="DH34" s="141"/>
      <c r="DI34" s="276" t="str">
        <f t="shared" si="140"/>
        <v>OK</v>
      </c>
      <c r="DJ34" s="160"/>
      <c r="DK34" s="141"/>
      <c r="DL34" s="203" t="str">
        <f t="shared" si="100"/>
        <v xml:space="preserve">         </v>
      </c>
      <c r="DM34" s="174" t="str">
        <f t="shared" si="15"/>
        <v>NG</v>
      </c>
      <c r="DN34" s="141"/>
      <c r="DO34" s="276" t="str">
        <f t="shared" si="141"/>
        <v>OK</v>
      </c>
      <c r="DP34" s="160"/>
      <c r="DQ34" s="141"/>
      <c r="DR34" s="203" t="str">
        <f t="shared" si="79"/>
        <v xml:space="preserve">         </v>
      </c>
      <c r="DS34" s="174" t="str">
        <f t="shared" si="16"/>
        <v>NG</v>
      </c>
      <c r="DT34" s="141"/>
      <c r="DU34" s="276" t="str">
        <f t="shared" si="142"/>
        <v>OK</v>
      </c>
      <c r="DV34" s="160"/>
      <c r="DW34" s="141"/>
      <c r="DX34" s="203" t="str">
        <f t="shared" si="80"/>
        <v xml:space="preserve">         </v>
      </c>
      <c r="DY34" s="174" t="str">
        <f t="shared" si="17"/>
        <v>NG</v>
      </c>
      <c r="DZ34" s="141"/>
      <c r="EA34" s="276" t="str">
        <f t="shared" si="143"/>
        <v>OK</v>
      </c>
      <c r="EB34" s="160"/>
      <c r="EC34" s="141"/>
      <c r="ED34" s="203" t="str">
        <f t="shared" si="81"/>
        <v xml:space="preserve">         </v>
      </c>
      <c r="EE34" s="174" t="str">
        <f t="shared" si="18"/>
        <v>NG</v>
      </c>
      <c r="EF34" s="141"/>
      <c r="EG34" s="276" t="str">
        <f t="shared" si="144"/>
        <v>OK</v>
      </c>
      <c r="EH34" s="160"/>
      <c r="EI34" s="141"/>
      <c r="EJ34" s="203" t="str">
        <f t="shared" si="82"/>
        <v xml:space="preserve">         </v>
      </c>
      <c r="EK34" s="174" t="str">
        <f t="shared" si="19"/>
        <v>NG</v>
      </c>
      <c r="EL34" s="141"/>
      <c r="EM34" s="276" t="str">
        <f t="shared" si="145"/>
        <v>OK</v>
      </c>
      <c r="EN34" s="160"/>
      <c r="EO34" s="141"/>
      <c r="EP34" s="203" t="str">
        <f t="shared" si="83"/>
        <v xml:space="preserve">         </v>
      </c>
      <c r="EQ34" s="174" t="str">
        <f t="shared" si="20"/>
        <v>NG</v>
      </c>
      <c r="ER34" s="141"/>
      <c r="ES34" s="276" t="str">
        <f t="shared" si="146"/>
        <v>OK</v>
      </c>
      <c r="ET34" s="160"/>
      <c r="EU34" s="141"/>
      <c r="EV34" s="203" t="str">
        <f t="shared" si="84"/>
        <v xml:space="preserve">         </v>
      </c>
      <c r="EW34" s="174" t="str">
        <f t="shared" si="21"/>
        <v>NG</v>
      </c>
      <c r="EX34" s="141"/>
      <c r="EY34" s="276" t="str">
        <f t="shared" si="147"/>
        <v>OK</v>
      </c>
      <c r="EZ34" s="160"/>
      <c r="FA34" s="141"/>
      <c r="FB34" s="203" t="str">
        <f t="shared" si="85"/>
        <v xml:space="preserve">         </v>
      </c>
      <c r="FC34" s="174" t="str">
        <f t="shared" si="22"/>
        <v>NG</v>
      </c>
      <c r="FD34" s="141"/>
      <c r="FE34" s="276" t="str">
        <f t="shared" si="148"/>
        <v>OK</v>
      </c>
      <c r="FF34" s="160"/>
      <c r="FG34" s="141"/>
      <c r="FH34" s="203" t="str">
        <f t="shared" si="101"/>
        <v xml:space="preserve">         </v>
      </c>
      <c r="FI34" s="174" t="str">
        <f t="shared" si="23"/>
        <v>NG</v>
      </c>
      <c r="FJ34" s="141"/>
      <c r="FK34" s="276" t="str">
        <f t="shared" si="149"/>
        <v>OK</v>
      </c>
      <c r="FL34" s="160"/>
      <c r="FM34" s="141"/>
      <c r="FN34" s="203" t="str">
        <f t="shared" si="102"/>
        <v xml:space="preserve">         </v>
      </c>
      <c r="FO34" s="174" t="str">
        <f t="shared" si="24"/>
        <v>NG</v>
      </c>
      <c r="FP34" s="141"/>
      <c r="FQ34" s="276" t="str">
        <f t="shared" si="150"/>
        <v>OK</v>
      </c>
      <c r="FR34" s="160"/>
      <c r="FS34" s="141"/>
      <c r="FT34" s="203" t="str">
        <f t="shared" si="103"/>
        <v xml:space="preserve">         </v>
      </c>
      <c r="FU34" s="174" t="str">
        <f t="shared" si="25"/>
        <v>NG</v>
      </c>
      <c r="FV34" s="141"/>
      <c r="FW34" s="276" t="str">
        <f t="shared" si="151"/>
        <v>OK</v>
      </c>
      <c r="FX34" s="160"/>
      <c r="FY34" s="141"/>
      <c r="FZ34" s="203" t="str">
        <f t="shared" si="104"/>
        <v xml:space="preserve">         </v>
      </c>
      <c r="GA34" s="174" t="str">
        <f t="shared" si="26"/>
        <v>NG</v>
      </c>
      <c r="GB34" s="141"/>
      <c r="GC34" s="276" t="str">
        <f t="shared" si="152"/>
        <v>OK</v>
      </c>
    </row>
    <row r="35" spans="2:185" s="52" customFormat="1" ht="38.25">
      <c r="B35" s="48">
        <f t="shared" si="153"/>
        <v>28</v>
      </c>
      <c r="C35" s="37"/>
      <c r="D35" s="37"/>
      <c r="E35" s="49" t="s">
        <v>182</v>
      </c>
      <c r="F35" s="39"/>
      <c r="G35" s="39"/>
      <c r="H35" s="40"/>
      <c r="I35" s="42"/>
      <c r="J35" s="42" t="s">
        <v>306</v>
      </c>
      <c r="K35" s="42"/>
      <c r="L35" s="42"/>
      <c r="M35" s="63" t="s">
        <v>309</v>
      </c>
      <c r="N35" s="47"/>
      <c r="O35" s="143"/>
      <c r="P35" s="45">
        <f t="shared" si="192"/>
        <v>12</v>
      </c>
      <c r="Q35" s="46">
        <v>1</v>
      </c>
      <c r="R35" s="41" t="s">
        <v>286</v>
      </c>
      <c r="S35" s="185"/>
      <c r="T35" s="43"/>
      <c r="U35" s="41" t="s">
        <v>178</v>
      </c>
      <c r="V35" s="44"/>
      <c r="W35" s="22" t="str">
        <f>IF(C35&lt;&gt;"","0",IF(D35&lt;&gt;"","1",IF(E35&lt;&gt;"","2",IF(F35&lt;&gt;"","3",IF(G35&lt;&gt;"","4",IF(H35&lt;&gt;"","5"))))))</f>
        <v>2</v>
      </c>
      <c r="X35" s="47" t="s">
        <v>183</v>
      </c>
      <c r="Y35" s="47">
        <v>1</v>
      </c>
      <c r="Z35" s="47">
        <v>1</v>
      </c>
      <c r="AA35" s="42">
        <v>9</v>
      </c>
      <c r="AB35" s="42" t="s">
        <v>57</v>
      </c>
      <c r="AC35" s="166"/>
      <c r="AD35" s="160"/>
      <c r="AE35" s="162"/>
      <c r="AF35" s="204" t="str">
        <f t="shared" si="86"/>
        <v>0</v>
      </c>
      <c r="AG35" s="174" t="str">
        <f t="shared" si="1"/>
        <v>NG</v>
      </c>
      <c r="AH35" s="162" t="s">
        <v>475</v>
      </c>
      <c r="AI35" s="276" t="str">
        <f t="shared" si="131"/>
        <v>NG</v>
      </c>
      <c r="AJ35" s="160"/>
      <c r="AK35" s="162"/>
      <c r="AL35" s="204" t="str">
        <f t="shared" si="154"/>
        <v>0</v>
      </c>
      <c r="AM35" s="174" t="str">
        <f t="shared" si="155"/>
        <v>NG</v>
      </c>
      <c r="AN35" s="162" t="s">
        <v>475</v>
      </c>
      <c r="AO35" s="276" t="str">
        <f t="shared" si="156"/>
        <v>NG</v>
      </c>
      <c r="AP35" s="160"/>
      <c r="AQ35" s="162"/>
      <c r="AR35" s="204" t="str">
        <f t="shared" si="157"/>
        <v>0</v>
      </c>
      <c r="AS35" s="174" t="str">
        <f t="shared" si="158"/>
        <v>NG</v>
      </c>
      <c r="AT35" s="162" t="s">
        <v>475</v>
      </c>
      <c r="AU35" s="276" t="str">
        <f t="shared" si="159"/>
        <v>NG</v>
      </c>
      <c r="AV35" s="160"/>
      <c r="AW35" s="162"/>
      <c r="AX35" s="204" t="str">
        <f t="shared" si="160"/>
        <v>0</v>
      </c>
      <c r="AY35" s="174" t="str">
        <f t="shared" si="161"/>
        <v>NG</v>
      </c>
      <c r="AZ35" s="162" t="s">
        <v>475</v>
      </c>
      <c r="BA35" s="276" t="str">
        <f t="shared" si="162"/>
        <v>NG</v>
      </c>
      <c r="BB35" s="160"/>
      <c r="BC35" s="162"/>
      <c r="BD35" s="204" t="str">
        <f t="shared" si="163"/>
        <v>0</v>
      </c>
      <c r="BE35" s="174" t="str">
        <f t="shared" si="164"/>
        <v>NG</v>
      </c>
      <c r="BF35" s="162" t="s">
        <v>475</v>
      </c>
      <c r="BG35" s="276" t="str">
        <f t="shared" si="165"/>
        <v>NG</v>
      </c>
      <c r="BH35" s="160"/>
      <c r="BI35" s="162"/>
      <c r="BJ35" s="204" t="str">
        <f t="shared" si="91"/>
        <v>0</v>
      </c>
      <c r="BK35" s="174" t="str">
        <f t="shared" si="6"/>
        <v>NG</v>
      </c>
      <c r="BL35" s="162" t="s">
        <v>475</v>
      </c>
      <c r="BM35" s="276" t="str">
        <f t="shared" si="132"/>
        <v>NG</v>
      </c>
      <c r="BN35" s="160"/>
      <c r="BO35" s="162"/>
      <c r="BP35" s="204" t="str">
        <f t="shared" si="92"/>
        <v>0</v>
      </c>
      <c r="BQ35" s="174" t="str">
        <f t="shared" si="7"/>
        <v>NG</v>
      </c>
      <c r="BR35" s="162" t="s">
        <v>475</v>
      </c>
      <c r="BS35" s="276" t="str">
        <f t="shared" si="133"/>
        <v>NG</v>
      </c>
      <c r="BT35" s="160"/>
      <c r="BU35" s="162" t="s">
        <v>56</v>
      </c>
      <c r="BV35" s="204" t="str">
        <f t="shared" si="93"/>
        <v>0</v>
      </c>
      <c r="BW35" s="174" t="str">
        <f t="shared" si="8"/>
        <v>OK</v>
      </c>
      <c r="BX35" s="162" t="s">
        <v>475</v>
      </c>
      <c r="BY35" s="276" t="str">
        <f t="shared" si="134"/>
        <v>OK</v>
      </c>
      <c r="BZ35" s="160"/>
      <c r="CA35" s="162"/>
      <c r="CB35" s="204" t="str">
        <f t="shared" si="94"/>
        <v>0</v>
      </c>
      <c r="CC35" s="174" t="str">
        <f t="shared" si="9"/>
        <v>NG</v>
      </c>
      <c r="CD35" s="162" t="s">
        <v>475</v>
      </c>
      <c r="CE35" s="276" t="str">
        <f t="shared" si="135"/>
        <v>NG</v>
      </c>
      <c r="CF35" s="160"/>
      <c r="CG35" s="162"/>
      <c r="CH35" s="204" t="str">
        <f t="shared" si="95"/>
        <v>0</v>
      </c>
      <c r="CI35" s="174" t="str">
        <f t="shared" si="10"/>
        <v>NG</v>
      </c>
      <c r="CJ35" s="162" t="s">
        <v>475</v>
      </c>
      <c r="CK35" s="276" t="str">
        <f t="shared" si="136"/>
        <v>NG</v>
      </c>
      <c r="CL35" s="160"/>
      <c r="CM35" s="162"/>
      <c r="CN35" s="204" t="str">
        <f t="shared" si="96"/>
        <v>0</v>
      </c>
      <c r="CO35" s="174" t="str">
        <f t="shared" si="11"/>
        <v>NG</v>
      </c>
      <c r="CP35" s="162" t="s">
        <v>475</v>
      </c>
      <c r="CQ35" s="276" t="str">
        <f t="shared" si="137"/>
        <v>NG</v>
      </c>
      <c r="CR35" s="160"/>
      <c r="CS35" s="162"/>
      <c r="CT35" s="204" t="str">
        <f t="shared" si="97"/>
        <v>0</v>
      </c>
      <c r="CU35" s="174" t="str">
        <f t="shared" si="12"/>
        <v>NG</v>
      </c>
      <c r="CV35" s="162" t="s">
        <v>475</v>
      </c>
      <c r="CW35" s="276" t="str">
        <f t="shared" si="138"/>
        <v>NG</v>
      </c>
      <c r="CX35" s="160"/>
      <c r="CY35" s="162"/>
      <c r="CZ35" s="204" t="str">
        <f t="shared" si="98"/>
        <v>0</v>
      </c>
      <c r="DA35" s="174" t="str">
        <f t="shared" si="13"/>
        <v>NG</v>
      </c>
      <c r="DB35" s="162" t="s">
        <v>475</v>
      </c>
      <c r="DC35" s="276" t="str">
        <f t="shared" si="139"/>
        <v>NG</v>
      </c>
      <c r="DD35" s="160"/>
      <c r="DE35" s="162"/>
      <c r="DF35" s="204" t="str">
        <f t="shared" si="99"/>
        <v>0</v>
      </c>
      <c r="DG35" s="174" t="str">
        <f t="shared" si="14"/>
        <v>NG</v>
      </c>
      <c r="DH35" s="162" t="s">
        <v>475</v>
      </c>
      <c r="DI35" s="276" t="str">
        <f t="shared" si="140"/>
        <v>NG</v>
      </c>
      <c r="DJ35" s="160"/>
      <c r="DK35" s="162"/>
      <c r="DL35" s="204" t="str">
        <f t="shared" si="100"/>
        <v>0</v>
      </c>
      <c r="DM35" s="174" t="str">
        <f t="shared" si="15"/>
        <v>NG</v>
      </c>
      <c r="DN35" s="162" t="s">
        <v>475</v>
      </c>
      <c r="DO35" s="276" t="str">
        <f t="shared" si="141"/>
        <v>NG</v>
      </c>
      <c r="DP35" s="160"/>
      <c r="DQ35" s="162"/>
      <c r="DR35" s="204" t="str">
        <f t="shared" si="79"/>
        <v>0</v>
      </c>
      <c r="DS35" s="174" t="str">
        <f t="shared" si="16"/>
        <v>NG</v>
      </c>
      <c r="DT35" s="162" t="s">
        <v>475</v>
      </c>
      <c r="DU35" s="276" t="str">
        <f t="shared" si="142"/>
        <v>NG</v>
      </c>
      <c r="DV35" s="160"/>
      <c r="DW35" s="162"/>
      <c r="DX35" s="204" t="str">
        <f t="shared" si="80"/>
        <v>0</v>
      </c>
      <c r="DY35" s="174" t="str">
        <f t="shared" si="17"/>
        <v>NG</v>
      </c>
      <c r="DZ35" s="162" t="s">
        <v>475</v>
      </c>
      <c r="EA35" s="276" t="str">
        <f t="shared" si="143"/>
        <v>NG</v>
      </c>
      <c r="EB35" s="160"/>
      <c r="EC35" s="162"/>
      <c r="ED35" s="204" t="str">
        <f t="shared" si="81"/>
        <v>0</v>
      </c>
      <c r="EE35" s="174" t="str">
        <f t="shared" si="18"/>
        <v>NG</v>
      </c>
      <c r="EF35" s="162" t="s">
        <v>475</v>
      </c>
      <c r="EG35" s="276" t="str">
        <f t="shared" si="144"/>
        <v>NG</v>
      </c>
      <c r="EH35" s="160"/>
      <c r="EI35" s="162"/>
      <c r="EJ35" s="204" t="str">
        <f t="shared" si="82"/>
        <v>0</v>
      </c>
      <c r="EK35" s="174" t="str">
        <f t="shared" si="19"/>
        <v>NG</v>
      </c>
      <c r="EL35" s="162" t="s">
        <v>475</v>
      </c>
      <c r="EM35" s="276" t="str">
        <f t="shared" si="145"/>
        <v>NG</v>
      </c>
      <c r="EN35" s="160"/>
      <c r="EO35" s="162"/>
      <c r="EP35" s="204" t="str">
        <f t="shared" si="83"/>
        <v>0</v>
      </c>
      <c r="EQ35" s="174" t="str">
        <f t="shared" si="20"/>
        <v>NG</v>
      </c>
      <c r="ER35" s="162" t="s">
        <v>475</v>
      </c>
      <c r="ES35" s="276" t="str">
        <f t="shared" si="146"/>
        <v>NG</v>
      </c>
      <c r="ET35" s="160"/>
      <c r="EU35" s="162"/>
      <c r="EV35" s="204" t="str">
        <f t="shared" si="84"/>
        <v>0</v>
      </c>
      <c r="EW35" s="174" t="str">
        <f t="shared" si="21"/>
        <v>NG</v>
      </c>
      <c r="EX35" s="162" t="s">
        <v>475</v>
      </c>
      <c r="EY35" s="276" t="str">
        <f t="shared" si="147"/>
        <v>NG</v>
      </c>
      <c r="EZ35" s="160"/>
      <c r="FA35" s="162"/>
      <c r="FB35" s="204" t="str">
        <f t="shared" si="85"/>
        <v>0</v>
      </c>
      <c r="FC35" s="174" t="str">
        <f t="shared" si="22"/>
        <v>NG</v>
      </c>
      <c r="FD35" s="162" t="s">
        <v>475</v>
      </c>
      <c r="FE35" s="276" t="str">
        <f t="shared" si="148"/>
        <v>NG</v>
      </c>
      <c r="FF35" s="160"/>
      <c r="FG35" s="162"/>
      <c r="FH35" s="204" t="str">
        <f t="shared" si="101"/>
        <v>0</v>
      </c>
      <c r="FI35" s="174" t="str">
        <f t="shared" si="23"/>
        <v>NG</v>
      </c>
      <c r="FJ35" s="162" t="s">
        <v>475</v>
      </c>
      <c r="FK35" s="276" t="str">
        <f t="shared" si="149"/>
        <v>NG</v>
      </c>
      <c r="FL35" s="160"/>
      <c r="FM35" s="162"/>
      <c r="FN35" s="204" t="str">
        <f t="shared" si="102"/>
        <v>0</v>
      </c>
      <c r="FO35" s="174" t="str">
        <f t="shared" si="24"/>
        <v>NG</v>
      </c>
      <c r="FP35" s="162" t="s">
        <v>475</v>
      </c>
      <c r="FQ35" s="276" t="str">
        <f t="shared" si="150"/>
        <v>NG</v>
      </c>
      <c r="FR35" s="160"/>
      <c r="FS35" s="162"/>
      <c r="FT35" s="204" t="str">
        <f t="shared" si="103"/>
        <v>0</v>
      </c>
      <c r="FU35" s="174" t="str">
        <f t="shared" si="25"/>
        <v>NG</v>
      </c>
      <c r="FV35" s="162" t="s">
        <v>475</v>
      </c>
      <c r="FW35" s="276" t="str">
        <f t="shared" si="151"/>
        <v>NG</v>
      </c>
      <c r="FX35" s="160"/>
      <c r="FY35" s="162"/>
      <c r="FZ35" s="204" t="str">
        <f t="shared" si="104"/>
        <v>0</v>
      </c>
      <c r="GA35" s="174" t="str">
        <f t="shared" si="26"/>
        <v>NG</v>
      </c>
      <c r="GB35" s="162" t="s">
        <v>475</v>
      </c>
      <c r="GC35" s="276" t="str">
        <f t="shared" si="152"/>
        <v>NG</v>
      </c>
    </row>
    <row r="36" spans="2:185" s="52" customFormat="1" ht="18.75" customHeight="1" thickBot="1">
      <c r="B36" s="65">
        <f t="shared" si="153"/>
        <v>29</v>
      </c>
      <c r="C36" s="261"/>
      <c r="D36" s="157"/>
      <c r="E36" s="188" t="s">
        <v>184</v>
      </c>
      <c r="F36" s="39"/>
      <c r="G36" s="39"/>
      <c r="H36" s="40"/>
      <c r="I36" s="42"/>
      <c r="J36" s="42" t="s">
        <v>306</v>
      </c>
      <c r="K36" s="42"/>
      <c r="L36" s="42"/>
      <c r="M36" s="47" t="s">
        <v>185</v>
      </c>
      <c r="N36" s="50"/>
      <c r="O36" s="262"/>
      <c r="P36" s="71">
        <f t="shared" si="192"/>
        <v>13</v>
      </c>
      <c r="Q36" s="72">
        <v>2</v>
      </c>
      <c r="R36" s="73">
        <v>9</v>
      </c>
      <c r="S36" s="263" t="s">
        <v>287</v>
      </c>
      <c r="T36" s="264">
        <v>14</v>
      </c>
      <c r="U36" s="73" t="s">
        <v>178</v>
      </c>
      <c r="V36" s="75"/>
      <c r="W36" s="61" t="str">
        <f>IF(C36&lt;&gt;"","0",IF(D36&lt;&gt;"","1",IF(E36&lt;&gt;"","2",IF(F36&lt;&gt;"","3",IF(G36&lt;&gt;"","4",IF(H36&lt;&gt;"","5"))))))</f>
        <v>2</v>
      </c>
      <c r="X36" s="62" t="s">
        <v>186</v>
      </c>
      <c r="Y36" s="62">
        <v>1</v>
      </c>
      <c r="Z36" s="62">
        <v>2</v>
      </c>
      <c r="AA36" s="57">
        <v>9</v>
      </c>
      <c r="AB36" s="57"/>
      <c r="AC36" s="205"/>
      <c r="AD36" s="303"/>
      <c r="AE36" s="206"/>
      <c r="AF36" s="304" t="str">
        <f t="shared" si="86"/>
        <v xml:space="preserve">  </v>
      </c>
      <c r="AG36" s="177" t="str">
        <f t="shared" si="1"/>
        <v>NG</v>
      </c>
      <c r="AH36" s="206"/>
      <c r="AI36" s="270" t="str">
        <f t="shared" si="131"/>
        <v>OK</v>
      </c>
      <c r="AJ36" s="303"/>
      <c r="AK36" s="206"/>
      <c r="AL36" s="304" t="str">
        <f t="shared" si="154"/>
        <v xml:space="preserve">  </v>
      </c>
      <c r="AM36" s="177" t="str">
        <f t="shared" si="155"/>
        <v>NG</v>
      </c>
      <c r="AN36" s="206"/>
      <c r="AO36" s="270" t="str">
        <f t="shared" si="156"/>
        <v>OK</v>
      </c>
      <c r="AP36" s="303"/>
      <c r="AQ36" s="206"/>
      <c r="AR36" s="304" t="str">
        <f t="shared" si="157"/>
        <v xml:space="preserve">  </v>
      </c>
      <c r="AS36" s="177" t="str">
        <f t="shared" si="158"/>
        <v>NG</v>
      </c>
      <c r="AT36" s="206"/>
      <c r="AU36" s="270" t="str">
        <f t="shared" si="159"/>
        <v>OK</v>
      </c>
      <c r="AV36" s="303"/>
      <c r="AW36" s="206"/>
      <c r="AX36" s="304" t="str">
        <f t="shared" si="160"/>
        <v xml:space="preserve">  </v>
      </c>
      <c r="AY36" s="177" t="str">
        <f t="shared" si="161"/>
        <v>NG</v>
      </c>
      <c r="AZ36" s="206"/>
      <c r="BA36" s="270" t="str">
        <f t="shared" si="162"/>
        <v>OK</v>
      </c>
      <c r="BB36" s="303"/>
      <c r="BC36" s="206"/>
      <c r="BD36" s="304" t="str">
        <f t="shared" si="163"/>
        <v xml:space="preserve">  </v>
      </c>
      <c r="BE36" s="177" t="str">
        <f t="shared" si="164"/>
        <v>NG</v>
      </c>
      <c r="BF36" s="206"/>
      <c r="BG36" s="270" t="str">
        <f t="shared" si="165"/>
        <v>OK</v>
      </c>
      <c r="BH36" s="303"/>
      <c r="BI36" s="206"/>
      <c r="BJ36" s="304" t="str">
        <f t="shared" si="91"/>
        <v xml:space="preserve">  </v>
      </c>
      <c r="BK36" s="177" t="str">
        <f t="shared" si="6"/>
        <v>NG</v>
      </c>
      <c r="BL36" s="206"/>
      <c r="BM36" s="270" t="str">
        <f t="shared" si="132"/>
        <v>OK</v>
      </c>
      <c r="BN36" s="303"/>
      <c r="BO36" s="206"/>
      <c r="BP36" s="304" t="str">
        <f t="shared" si="92"/>
        <v xml:space="preserve">  </v>
      </c>
      <c r="BQ36" s="177" t="str">
        <f t="shared" si="7"/>
        <v>NG</v>
      </c>
      <c r="BR36" s="206"/>
      <c r="BS36" s="270" t="str">
        <f t="shared" si="133"/>
        <v>OK</v>
      </c>
      <c r="BT36" s="303"/>
      <c r="BU36" s="206"/>
      <c r="BV36" s="304" t="str">
        <f t="shared" si="93"/>
        <v xml:space="preserve">  </v>
      </c>
      <c r="BW36" s="177" t="str">
        <f t="shared" si="8"/>
        <v>NG</v>
      </c>
      <c r="BX36" s="206"/>
      <c r="BY36" s="270" t="str">
        <f t="shared" si="134"/>
        <v>OK</v>
      </c>
      <c r="BZ36" s="303"/>
      <c r="CA36" s="206"/>
      <c r="CB36" s="304" t="str">
        <f t="shared" si="94"/>
        <v xml:space="preserve">  </v>
      </c>
      <c r="CC36" s="177" t="str">
        <f t="shared" si="9"/>
        <v>NG</v>
      </c>
      <c r="CD36" s="206"/>
      <c r="CE36" s="270" t="str">
        <f t="shared" si="135"/>
        <v>OK</v>
      </c>
      <c r="CF36" s="303"/>
      <c r="CG36" s="206"/>
      <c r="CH36" s="304" t="str">
        <f t="shared" si="95"/>
        <v xml:space="preserve">  </v>
      </c>
      <c r="CI36" s="177" t="str">
        <f t="shared" si="10"/>
        <v>NG</v>
      </c>
      <c r="CJ36" s="206"/>
      <c r="CK36" s="270" t="str">
        <f t="shared" si="136"/>
        <v>OK</v>
      </c>
      <c r="CL36" s="303"/>
      <c r="CM36" s="206"/>
      <c r="CN36" s="304" t="str">
        <f t="shared" si="96"/>
        <v xml:space="preserve">  </v>
      </c>
      <c r="CO36" s="177" t="str">
        <f t="shared" si="11"/>
        <v>NG</v>
      </c>
      <c r="CP36" s="206"/>
      <c r="CQ36" s="270" t="str">
        <f t="shared" si="137"/>
        <v>OK</v>
      </c>
      <c r="CR36" s="303"/>
      <c r="CS36" s="206"/>
      <c r="CT36" s="304" t="str">
        <f t="shared" si="97"/>
        <v xml:space="preserve">  </v>
      </c>
      <c r="CU36" s="177" t="str">
        <f t="shared" si="12"/>
        <v>NG</v>
      </c>
      <c r="CV36" s="206"/>
      <c r="CW36" s="270" t="str">
        <f t="shared" si="138"/>
        <v>OK</v>
      </c>
      <c r="CX36" s="303"/>
      <c r="CY36" s="206"/>
      <c r="CZ36" s="304" t="str">
        <f t="shared" si="98"/>
        <v xml:space="preserve">  </v>
      </c>
      <c r="DA36" s="177" t="str">
        <f t="shared" si="13"/>
        <v>NG</v>
      </c>
      <c r="DB36" s="206"/>
      <c r="DC36" s="270" t="str">
        <f t="shared" si="139"/>
        <v>OK</v>
      </c>
      <c r="DD36" s="303"/>
      <c r="DE36" s="206"/>
      <c r="DF36" s="304" t="str">
        <f t="shared" si="99"/>
        <v xml:space="preserve">  </v>
      </c>
      <c r="DG36" s="177" t="str">
        <f t="shared" si="14"/>
        <v>NG</v>
      </c>
      <c r="DH36" s="206"/>
      <c r="DI36" s="270" t="str">
        <f t="shared" si="140"/>
        <v>OK</v>
      </c>
      <c r="DJ36" s="303"/>
      <c r="DK36" s="206"/>
      <c r="DL36" s="304" t="str">
        <f t="shared" si="100"/>
        <v xml:space="preserve">  </v>
      </c>
      <c r="DM36" s="177" t="str">
        <f t="shared" si="15"/>
        <v>NG</v>
      </c>
      <c r="DN36" s="206"/>
      <c r="DO36" s="270" t="str">
        <f t="shared" si="141"/>
        <v>OK</v>
      </c>
      <c r="DP36" s="303"/>
      <c r="DQ36" s="206"/>
      <c r="DR36" s="304" t="str">
        <f t="shared" si="79"/>
        <v xml:space="preserve">  </v>
      </c>
      <c r="DS36" s="177" t="str">
        <f t="shared" si="16"/>
        <v>NG</v>
      </c>
      <c r="DT36" s="206"/>
      <c r="DU36" s="270" t="str">
        <f t="shared" si="142"/>
        <v>OK</v>
      </c>
      <c r="DV36" s="303"/>
      <c r="DW36" s="206"/>
      <c r="DX36" s="304" t="str">
        <f t="shared" si="80"/>
        <v xml:space="preserve">  </v>
      </c>
      <c r="DY36" s="177" t="str">
        <f t="shared" si="17"/>
        <v>NG</v>
      </c>
      <c r="DZ36" s="206"/>
      <c r="EA36" s="270" t="str">
        <f t="shared" si="143"/>
        <v>OK</v>
      </c>
      <c r="EB36" s="303"/>
      <c r="EC36" s="206"/>
      <c r="ED36" s="304" t="str">
        <f t="shared" si="81"/>
        <v xml:space="preserve">  </v>
      </c>
      <c r="EE36" s="177" t="str">
        <f t="shared" si="18"/>
        <v>NG</v>
      </c>
      <c r="EF36" s="206"/>
      <c r="EG36" s="270" t="str">
        <f t="shared" si="144"/>
        <v>OK</v>
      </c>
      <c r="EH36" s="303"/>
      <c r="EI36" s="206"/>
      <c r="EJ36" s="304" t="str">
        <f t="shared" si="82"/>
        <v xml:space="preserve">  </v>
      </c>
      <c r="EK36" s="177" t="str">
        <f t="shared" si="19"/>
        <v>NG</v>
      </c>
      <c r="EL36" s="206"/>
      <c r="EM36" s="270" t="str">
        <f t="shared" si="145"/>
        <v>OK</v>
      </c>
      <c r="EN36" s="303"/>
      <c r="EO36" s="206"/>
      <c r="EP36" s="304" t="str">
        <f t="shared" si="83"/>
        <v xml:space="preserve">  </v>
      </c>
      <c r="EQ36" s="177" t="str">
        <f t="shared" si="20"/>
        <v>NG</v>
      </c>
      <c r="ER36" s="206"/>
      <c r="ES36" s="270" t="str">
        <f t="shared" si="146"/>
        <v>OK</v>
      </c>
      <c r="ET36" s="303"/>
      <c r="EU36" s="206"/>
      <c r="EV36" s="304" t="str">
        <f t="shared" si="84"/>
        <v xml:space="preserve">  </v>
      </c>
      <c r="EW36" s="177" t="str">
        <f t="shared" si="21"/>
        <v>NG</v>
      </c>
      <c r="EX36" s="206"/>
      <c r="EY36" s="270" t="str">
        <f t="shared" si="147"/>
        <v>OK</v>
      </c>
      <c r="EZ36" s="303"/>
      <c r="FA36" s="206"/>
      <c r="FB36" s="304" t="str">
        <f t="shared" si="85"/>
        <v xml:space="preserve">  </v>
      </c>
      <c r="FC36" s="177" t="str">
        <f t="shared" si="22"/>
        <v>NG</v>
      </c>
      <c r="FD36" s="206"/>
      <c r="FE36" s="270" t="str">
        <f t="shared" si="148"/>
        <v>OK</v>
      </c>
      <c r="FF36" s="303"/>
      <c r="FG36" s="206"/>
      <c r="FH36" s="304" t="str">
        <f t="shared" si="101"/>
        <v xml:space="preserve">  </v>
      </c>
      <c r="FI36" s="177" t="str">
        <f t="shared" si="23"/>
        <v>NG</v>
      </c>
      <c r="FJ36" s="206"/>
      <c r="FK36" s="270" t="str">
        <f t="shared" si="149"/>
        <v>OK</v>
      </c>
      <c r="FL36" s="303"/>
      <c r="FM36" s="206"/>
      <c r="FN36" s="304" t="str">
        <f t="shared" si="102"/>
        <v xml:space="preserve">  </v>
      </c>
      <c r="FO36" s="177" t="str">
        <f t="shared" si="24"/>
        <v>NG</v>
      </c>
      <c r="FP36" s="206"/>
      <c r="FQ36" s="270" t="str">
        <f t="shared" si="150"/>
        <v>OK</v>
      </c>
      <c r="FR36" s="303"/>
      <c r="FS36" s="206"/>
      <c r="FT36" s="304" t="str">
        <f t="shared" si="103"/>
        <v xml:space="preserve">  </v>
      </c>
      <c r="FU36" s="177" t="str">
        <f t="shared" si="25"/>
        <v>NG</v>
      </c>
      <c r="FV36" s="206"/>
      <c r="FW36" s="270" t="str">
        <f t="shared" si="151"/>
        <v>OK</v>
      </c>
      <c r="FX36" s="303"/>
      <c r="FY36" s="206"/>
      <c r="FZ36" s="304" t="str">
        <f t="shared" si="104"/>
        <v xml:space="preserve">  </v>
      </c>
      <c r="GA36" s="177" t="str">
        <f t="shared" si="26"/>
        <v>NG</v>
      </c>
      <c r="GB36" s="206"/>
      <c r="GC36" s="270" t="str">
        <f t="shared" si="152"/>
        <v>OK</v>
      </c>
    </row>
    <row r="37" spans="2:185" s="52" customFormat="1" ht="18.75" customHeight="1" thickTop="1">
      <c r="B37" s="48">
        <f t="shared" si="153"/>
        <v>30</v>
      </c>
      <c r="C37" s="37"/>
      <c r="D37" s="37"/>
      <c r="E37" s="26" t="s">
        <v>315</v>
      </c>
      <c r="F37" s="254"/>
      <c r="G37" s="254"/>
      <c r="H37" s="28"/>
      <c r="I37" s="42" t="s">
        <v>1</v>
      </c>
      <c r="J37" s="42" t="s">
        <v>316</v>
      </c>
      <c r="K37" s="42"/>
      <c r="L37" s="42"/>
      <c r="M37" s="47" t="s">
        <v>317</v>
      </c>
      <c r="N37" s="50"/>
      <c r="O37" s="256"/>
      <c r="P37" s="33"/>
      <c r="Q37" s="34"/>
      <c r="R37" s="29"/>
      <c r="S37" s="257"/>
      <c r="T37" s="255"/>
      <c r="U37" s="29"/>
      <c r="V37" s="259"/>
      <c r="W37" s="136" t="str">
        <f t="shared" si="194"/>
        <v>2</v>
      </c>
      <c r="X37" s="23" t="s">
        <v>187</v>
      </c>
      <c r="Y37" s="23"/>
      <c r="Z37" s="23"/>
      <c r="AA37" s="17"/>
      <c r="AB37" s="17" t="s">
        <v>80</v>
      </c>
      <c r="AC37" s="208"/>
      <c r="AD37" s="180"/>
      <c r="AE37" s="138"/>
      <c r="AF37" s="252" t="str">
        <f t="shared" si="86"/>
        <v/>
      </c>
      <c r="AG37" s="172" t="str">
        <f t="shared" si="1"/>
        <v>OK</v>
      </c>
      <c r="AH37" s="138"/>
      <c r="AI37" s="278" t="s">
        <v>71</v>
      </c>
      <c r="AJ37" s="180"/>
      <c r="AK37" s="138"/>
      <c r="AL37" s="252" t="str">
        <f t="shared" si="154"/>
        <v/>
      </c>
      <c r="AM37" s="172" t="str">
        <f t="shared" ref="AM37:AM66" si="195">IF(OR(AK$8="判定対象外",AL$8="判定対象外",AL37="-"),"-",IF(AK37=AL37,"OK","NG"))</f>
        <v>OK</v>
      </c>
      <c r="AN37" s="138"/>
      <c r="AO37" s="278" t="s">
        <v>71</v>
      </c>
      <c r="AP37" s="180"/>
      <c r="AQ37" s="138"/>
      <c r="AR37" s="252" t="str">
        <f t="shared" si="157"/>
        <v/>
      </c>
      <c r="AS37" s="172" t="str">
        <f t="shared" si="158"/>
        <v>OK</v>
      </c>
      <c r="AT37" s="141"/>
      <c r="AU37" s="278" t="s">
        <v>71</v>
      </c>
      <c r="AV37" s="209"/>
      <c r="AW37" s="210"/>
      <c r="AX37" s="181" t="str">
        <f t="shared" si="160"/>
        <v/>
      </c>
      <c r="AY37" s="211" t="str">
        <f t="shared" si="161"/>
        <v>OK</v>
      </c>
      <c r="AZ37" s="141"/>
      <c r="BA37" s="276" t="s">
        <v>71</v>
      </c>
      <c r="BB37" s="209"/>
      <c r="BC37" s="210"/>
      <c r="BD37" s="181" t="str">
        <f t="shared" si="163"/>
        <v/>
      </c>
      <c r="BE37" s="211" t="str">
        <f t="shared" si="164"/>
        <v>OK</v>
      </c>
      <c r="BF37" s="141"/>
      <c r="BG37" s="276" t="s">
        <v>71</v>
      </c>
      <c r="BH37" s="209"/>
      <c r="BI37" s="210"/>
      <c r="BJ37" s="181" t="str">
        <f t="shared" si="91"/>
        <v/>
      </c>
      <c r="BK37" s="211" t="s">
        <v>71</v>
      </c>
      <c r="BL37" s="210"/>
      <c r="BM37" s="276" t="s">
        <v>71</v>
      </c>
      <c r="BN37" s="160"/>
      <c r="BO37" s="141"/>
      <c r="BP37" s="252" t="str">
        <f t="shared" si="92"/>
        <v/>
      </c>
      <c r="BQ37" s="211" t="s">
        <v>71</v>
      </c>
      <c r="BR37" s="141"/>
      <c r="BS37" s="276" t="s">
        <v>71</v>
      </c>
      <c r="BT37" s="160"/>
      <c r="BU37" s="141"/>
      <c r="BV37" s="203" t="str">
        <f t="shared" si="93"/>
        <v/>
      </c>
      <c r="BW37" s="174" t="str">
        <f t="shared" si="8"/>
        <v>OK</v>
      </c>
      <c r="BX37" s="141"/>
      <c r="BY37" s="278" t="s">
        <v>71</v>
      </c>
      <c r="BZ37" s="160"/>
      <c r="CA37" s="141"/>
      <c r="CB37" s="203" t="str">
        <f t="shared" si="94"/>
        <v/>
      </c>
      <c r="CC37" s="174" t="str">
        <f t="shared" si="9"/>
        <v>OK</v>
      </c>
      <c r="CD37" s="141"/>
      <c r="CE37" s="276" t="s">
        <v>71</v>
      </c>
      <c r="CF37" s="160"/>
      <c r="CG37" s="141"/>
      <c r="CH37" s="203" t="str">
        <f t="shared" si="95"/>
        <v/>
      </c>
      <c r="CI37" s="174" t="str">
        <f t="shared" si="10"/>
        <v>OK</v>
      </c>
      <c r="CJ37" s="141"/>
      <c r="CK37" s="276" t="s">
        <v>71</v>
      </c>
      <c r="CL37" s="160"/>
      <c r="CM37" s="141"/>
      <c r="CN37" s="203" t="str">
        <f t="shared" si="96"/>
        <v/>
      </c>
      <c r="CO37" s="174" t="str">
        <f t="shared" si="11"/>
        <v>OK</v>
      </c>
      <c r="CP37" s="141"/>
      <c r="CQ37" s="276" t="s">
        <v>71</v>
      </c>
      <c r="CR37" s="160"/>
      <c r="CS37" s="141"/>
      <c r="CT37" s="203" t="str">
        <f t="shared" si="97"/>
        <v/>
      </c>
      <c r="CU37" s="174" t="str">
        <f t="shared" si="12"/>
        <v>OK</v>
      </c>
      <c r="CV37" s="141"/>
      <c r="CW37" s="276" t="s">
        <v>71</v>
      </c>
      <c r="CX37" s="160"/>
      <c r="CY37" s="141"/>
      <c r="CZ37" s="203" t="str">
        <f t="shared" si="98"/>
        <v/>
      </c>
      <c r="DA37" s="174" t="str">
        <f t="shared" si="13"/>
        <v>OK</v>
      </c>
      <c r="DB37" s="141"/>
      <c r="DC37" s="276" t="s">
        <v>71</v>
      </c>
      <c r="DD37" s="160"/>
      <c r="DE37" s="141"/>
      <c r="DF37" s="203" t="str">
        <f t="shared" si="99"/>
        <v/>
      </c>
      <c r="DG37" s="174" t="str">
        <f t="shared" si="14"/>
        <v>OK</v>
      </c>
      <c r="DH37" s="141"/>
      <c r="DI37" s="276" t="s">
        <v>71</v>
      </c>
      <c r="DJ37" s="160"/>
      <c r="DK37" s="141"/>
      <c r="DL37" s="203"/>
      <c r="DM37" s="174" t="str">
        <f t="shared" si="15"/>
        <v>OK</v>
      </c>
      <c r="DN37" s="141"/>
      <c r="DO37" s="276" t="s">
        <v>71</v>
      </c>
      <c r="DP37" s="160"/>
      <c r="DQ37" s="141"/>
      <c r="DR37" s="203" t="str">
        <f t="shared" si="79"/>
        <v/>
      </c>
      <c r="DS37" s="174" t="str">
        <f t="shared" si="16"/>
        <v>OK</v>
      </c>
      <c r="DT37" s="141"/>
      <c r="DU37" s="276" t="s">
        <v>71</v>
      </c>
      <c r="DV37" s="160"/>
      <c r="DW37" s="141"/>
      <c r="DX37" s="203" t="str">
        <f t="shared" si="80"/>
        <v/>
      </c>
      <c r="DY37" s="174" t="str">
        <f t="shared" si="17"/>
        <v>OK</v>
      </c>
      <c r="DZ37" s="141"/>
      <c r="EA37" s="276" t="s">
        <v>71</v>
      </c>
      <c r="EB37" s="160"/>
      <c r="EC37" s="141"/>
      <c r="ED37" s="203" t="str">
        <f t="shared" si="81"/>
        <v/>
      </c>
      <c r="EE37" s="174" t="str">
        <f t="shared" si="18"/>
        <v>OK</v>
      </c>
      <c r="EF37" s="141"/>
      <c r="EG37" s="276" t="s">
        <v>71</v>
      </c>
      <c r="EH37" s="160"/>
      <c r="EI37" s="141"/>
      <c r="EJ37" s="203" t="str">
        <f t="shared" si="82"/>
        <v/>
      </c>
      <c r="EK37" s="174" t="str">
        <f t="shared" si="19"/>
        <v>OK</v>
      </c>
      <c r="EL37" s="141"/>
      <c r="EM37" s="276" t="s">
        <v>71</v>
      </c>
      <c r="EN37" s="160"/>
      <c r="EO37" s="141"/>
      <c r="EP37" s="203" t="str">
        <f t="shared" si="83"/>
        <v/>
      </c>
      <c r="EQ37" s="174" t="str">
        <f t="shared" si="20"/>
        <v>OK</v>
      </c>
      <c r="ER37" s="141"/>
      <c r="ES37" s="276" t="s">
        <v>71</v>
      </c>
      <c r="ET37" s="160"/>
      <c r="EU37" s="141"/>
      <c r="EV37" s="203" t="str">
        <f t="shared" si="84"/>
        <v/>
      </c>
      <c r="EW37" s="174" t="str">
        <f t="shared" si="21"/>
        <v>OK</v>
      </c>
      <c r="EX37" s="141"/>
      <c r="EY37" s="276" t="s">
        <v>71</v>
      </c>
      <c r="EZ37" s="160"/>
      <c r="FA37" s="141"/>
      <c r="FB37" s="203" t="str">
        <f t="shared" si="85"/>
        <v/>
      </c>
      <c r="FC37" s="174" t="str">
        <f t="shared" si="22"/>
        <v>OK</v>
      </c>
      <c r="FD37" s="141"/>
      <c r="FE37" s="276" t="s">
        <v>71</v>
      </c>
      <c r="FF37" s="160"/>
      <c r="FG37" s="141"/>
      <c r="FH37" s="203" t="str">
        <f t="shared" si="101"/>
        <v/>
      </c>
      <c r="FI37" s="174" t="str">
        <f t="shared" si="23"/>
        <v>OK</v>
      </c>
      <c r="FJ37" s="203"/>
      <c r="FK37" s="276" t="s">
        <v>71</v>
      </c>
      <c r="FL37" s="160"/>
      <c r="FM37" s="141"/>
      <c r="FN37" s="203" t="str">
        <f t="shared" si="102"/>
        <v/>
      </c>
      <c r="FO37" s="174" t="str">
        <f t="shared" si="24"/>
        <v>OK</v>
      </c>
      <c r="FP37" s="203"/>
      <c r="FQ37" s="276" t="s">
        <v>71</v>
      </c>
      <c r="FR37" s="160"/>
      <c r="FS37" s="141"/>
      <c r="FT37" s="203" t="str">
        <f t="shared" si="103"/>
        <v/>
      </c>
      <c r="FU37" s="174" t="str">
        <f t="shared" si="25"/>
        <v>OK</v>
      </c>
      <c r="FV37" s="203"/>
      <c r="FW37" s="276" t="s">
        <v>71</v>
      </c>
      <c r="FX37" s="160"/>
      <c r="FY37" s="141"/>
      <c r="FZ37" s="203" t="str">
        <f t="shared" si="104"/>
        <v/>
      </c>
      <c r="GA37" s="174" t="str">
        <f t="shared" si="26"/>
        <v>OK</v>
      </c>
      <c r="GB37" s="203"/>
      <c r="GC37" s="276" t="s">
        <v>71</v>
      </c>
    </row>
    <row r="38" spans="2:185" s="52" customFormat="1" ht="64.150000000000006" thickBot="1">
      <c r="B38" s="48">
        <f t="shared" si="153"/>
        <v>31</v>
      </c>
      <c r="C38" s="187"/>
      <c r="D38" s="37"/>
      <c r="E38" s="37"/>
      <c r="F38" s="188" t="s">
        <v>318</v>
      </c>
      <c r="G38" s="39"/>
      <c r="H38" s="40"/>
      <c r="I38" s="57"/>
      <c r="J38" s="57"/>
      <c r="K38" s="57"/>
      <c r="L38" s="42"/>
      <c r="M38" s="58" t="s">
        <v>319</v>
      </c>
      <c r="N38" s="47"/>
      <c r="O38" s="143"/>
      <c r="P38" s="45">
        <f>P36+1</f>
        <v>14</v>
      </c>
      <c r="Q38" s="200">
        <v>2</v>
      </c>
      <c r="R38" s="41" t="str">
        <f>IF(AA38="M","NX",AA38)</f>
        <v>X</v>
      </c>
      <c r="S38" s="185" t="s">
        <v>99</v>
      </c>
      <c r="T38" s="43"/>
      <c r="U38" s="41" t="s">
        <v>80</v>
      </c>
      <c r="V38" s="212" t="s">
        <v>188</v>
      </c>
      <c r="W38" s="22" t="str">
        <f t="shared" si="194"/>
        <v>3</v>
      </c>
      <c r="X38" s="62" t="s">
        <v>189</v>
      </c>
      <c r="Y38" s="201">
        <v>2</v>
      </c>
      <c r="Z38" s="201">
        <v>2</v>
      </c>
      <c r="AA38" s="202" t="s">
        <v>163</v>
      </c>
      <c r="AB38" s="202" t="s">
        <v>57</v>
      </c>
      <c r="AC38" s="166"/>
      <c r="AD38" s="160"/>
      <c r="AE38" s="162"/>
      <c r="AF38" s="167" t="str">
        <f t="shared" si="86"/>
        <v>01</v>
      </c>
      <c r="AG38" s="174" t="str">
        <f t="shared" si="1"/>
        <v>NG</v>
      </c>
      <c r="AH38" s="162" t="s">
        <v>311</v>
      </c>
      <c r="AI38" s="270" t="str">
        <f>IF(OR(AE$8="判定対象外",AH$8="判定対象外",AH38="-"),"-",IF(AE38=AH38,"OK","NG"))</f>
        <v>NG</v>
      </c>
      <c r="AJ38" s="160"/>
      <c r="AK38" s="162"/>
      <c r="AL38" s="167" t="str">
        <f t="shared" si="154"/>
        <v>01</v>
      </c>
      <c r="AM38" s="174" t="str">
        <f t="shared" si="195"/>
        <v>NG</v>
      </c>
      <c r="AN38" s="162" t="s">
        <v>311</v>
      </c>
      <c r="AO38" s="270" t="str">
        <f t="shared" si="156"/>
        <v>NG</v>
      </c>
      <c r="AP38" s="160"/>
      <c r="AQ38" s="162"/>
      <c r="AR38" s="167" t="str">
        <f t="shared" si="157"/>
        <v>01</v>
      </c>
      <c r="AS38" s="174" t="str">
        <f t="shared" si="158"/>
        <v>NG</v>
      </c>
      <c r="AT38" s="162" t="s">
        <v>311</v>
      </c>
      <c r="AU38" s="276" t="str">
        <f>IF(OR(AQ$8="判定対象外",AT$8="判定対象外",AT38="-"),"-",IF(AQ38=AT38,"OK","NG"))</f>
        <v>NG</v>
      </c>
      <c r="AV38" s="160"/>
      <c r="AW38" s="162"/>
      <c r="AX38" s="167" t="str">
        <f t="shared" si="160"/>
        <v>01</v>
      </c>
      <c r="AY38" s="174" t="str">
        <f t="shared" si="161"/>
        <v>NG</v>
      </c>
      <c r="AZ38" s="162" t="s">
        <v>311</v>
      </c>
      <c r="BA38" s="276" t="str">
        <f>IF(OR(AW$8="判定対象外",AZ$8="判定対象外",AZ38="-"),"-",IF(AW38=AZ38,"OK","NG"))</f>
        <v>NG</v>
      </c>
      <c r="BB38" s="160"/>
      <c r="BC38" s="162"/>
      <c r="BD38" s="167" t="str">
        <f t="shared" si="163"/>
        <v>01</v>
      </c>
      <c r="BE38" s="174" t="str">
        <f t="shared" si="164"/>
        <v>NG</v>
      </c>
      <c r="BF38" s="162" t="s">
        <v>311</v>
      </c>
      <c r="BG38" s="276" t="str">
        <f>IF(OR(BC$8="判定対象外",BF$8="判定対象外",BF38="-"),"-",IF(BC38=BF38,"OK","NG"))</f>
        <v>NG</v>
      </c>
      <c r="BH38" s="160"/>
      <c r="BI38" s="162"/>
      <c r="BJ38" s="167" t="s">
        <v>311</v>
      </c>
      <c r="BK38" s="174" t="str">
        <f>IF(OR(BI$8="判定対象外",BJ$8="判定対象外",BJ38="-"),"-",IF(BI38=BJ38,"OK","NG"))</f>
        <v>NG</v>
      </c>
      <c r="BL38" s="162"/>
      <c r="BM38" s="172" t="s">
        <v>71</v>
      </c>
      <c r="BN38" s="160"/>
      <c r="BO38" s="162"/>
      <c r="BP38" s="167" t="s">
        <v>311</v>
      </c>
      <c r="BQ38" s="174" t="s">
        <v>71</v>
      </c>
      <c r="BR38" s="162"/>
      <c r="BS38" s="172" t="s">
        <v>71</v>
      </c>
      <c r="BT38" s="160"/>
      <c r="BU38" s="162"/>
      <c r="BV38" s="167" t="str">
        <f t="shared" si="93"/>
        <v>91</v>
      </c>
      <c r="BW38" s="174" t="str">
        <f t="shared" si="8"/>
        <v>NG</v>
      </c>
      <c r="BX38" s="162" t="s">
        <v>481</v>
      </c>
      <c r="BY38" s="276" t="str">
        <f>IF(OR(BU$8="判定対象外",BX$8="判定対象外",BX38="-"),"-",IF(BU38=BX38,"OK","NG"))</f>
        <v>NG</v>
      </c>
      <c r="BZ38" s="160"/>
      <c r="CA38" s="162"/>
      <c r="CB38" s="167" t="str">
        <f t="shared" si="94"/>
        <v>01</v>
      </c>
      <c r="CC38" s="174" t="str">
        <f t="shared" si="9"/>
        <v>NG</v>
      </c>
      <c r="CD38" s="162" t="s">
        <v>311</v>
      </c>
      <c r="CE38" s="276" t="str">
        <f>IF(OR(CA$8="判定対象外",CD$8="判定対象外",CD38="-"),"-",IF(CA38=CD38,"OK","NG"))</f>
        <v>NG</v>
      </c>
      <c r="CF38" s="160"/>
      <c r="CG38" s="162"/>
      <c r="CH38" s="167" t="str">
        <f t="shared" si="95"/>
        <v>01</v>
      </c>
      <c r="CI38" s="174" t="str">
        <f t="shared" si="10"/>
        <v>NG</v>
      </c>
      <c r="CJ38" s="162" t="s">
        <v>311</v>
      </c>
      <c r="CK38" s="276" t="str">
        <f>IF(OR(CG$8="判定対象外",CJ$8="判定対象外",CJ38="-"),"-",IF(CG38=CJ38,"OK","NG"))</f>
        <v>NG</v>
      </c>
      <c r="CL38" s="160"/>
      <c r="CM38" s="162"/>
      <c r="CN38" s="167" t="str">
        <f t="shared" si="96"/>
        <v>01</v>
      </c>
      <c r="CO38" s="174" t="str">
        <f t="shared" si="11"/>
        <v>NG</v>
      </c>
      <c r="CP38" s="162" t="s">
        <v>311</v>
      </c>
      <c r="CQ38" s="276" t="str">
        <f>IF(OR(CM$8="判定対象外",CP$8="判定対象外",CP38="-"),"-",IF(CM38=CP38,"OK","NG"))</f>
        <v>NG</v>
      </c>
      <c r="CR38" s="160"/>
      <c r="CS38" s="162"/>
      <c r="CT38" s="167" t="str">
        <f t="shared" si="97"/>
        <v>01</v>
      </c>
      <c r="CU38" s="174" t="str">
        <f t="shared" si="12"/>
        <v>NG</v>
      </c>
      <c r="CV38" s="162" t="s">
        <v>311</v>
      </c>
      <c r="CW38" s="276" t="str">
        <f>IF(OR(CS$8="判定対象外",CV$8="判定対象外",CV38="-"),"-",IF(CS38=CV38,"OK","NG"))</f>
        <v>NG</v>
      </c>
      <c r="CX38" s="160"/>
      <c r="CY38" s="162"/>
      <c r="CZ38" s="167" t="str">
        <f t="shared" si="98"/>
        <v>01</v>
      </c>
      <c r="DA38" s="174" t="str">
        <f t="shared" si="13"/>
        <v>NG</v>
      </c>
      <c r="DB38" s="162" t="s">
        <v>311</v>
      </c>
      <c r="DC38" s="276" t="str">
        <f>IF(OR(CY$8="判定対象外",DB$8="判定対象外",DB38="-"),"-",IF(CY38=DB38,"OK","NG"))</f>
        <v>NG</v>
      </c>
      <c r="DD38" s="160"/>
      <c r="DE38" s="162"/>
      <c r="DF38" s="167" t="str">
        <f t="shared" si="99"/>
        <v>01</v>
      </c>
      <c r="DG38" s="174" t="str">
        <f t="shared" si="14"/>
        <v>NG</v>
      </c>
      <c r="DH38" s="162" t="s">
        <v>311</v>
      </c>
      <c r="DI38" s="276" t="str">
        <f>IF(OR(DE$8="判定対象外",DH$8="判定対象外",DH38="-"),"-",IF(DE38=DH38,"OK","NG"))</f>
        <v>NG</v>
      </c>
      <c r="DJ38" s="160"/>
      <c r="DK38" s="162"/>
      <c r="DL38" s="204">
        <v>91</v>
      </c>
      <c r="DM38" s="174" t="str">
        <f t="shared" si="15"/>
        <v>NG</v>
      </c>
      <c r="DN38" s="162"/>
      <c r="DO38" s="172" t="s">
        <v>71</v>
      </c>
      <c r="DP38" s="160"/>
      <c r="DQ38" s="162"/>
      <c r="DR38" s="203" t="str">
        <f t="shared" si="79"/>
        <v>91</v>
      </c>
      <c r="DS38" s="174" t="str">
        <f t="shared" si="16"/>
        <v>NG</v>
      </c>
      <c r="DT38" s="162">
        <v>91</v>
      </c>
      <c r="DU38" s="172" t="s">
        <v>71</v>
      </c>
      <c r="DV38" s="160"/>
      <c r="DW38" s="162"/>
      <c r="DX38" s="203" t="str">
        <f t="shared" si="80"/>
        <v>01</v>
      </c>
      <c r="DY38" s="174" t="str">
        <f t="shared" si="17"/>
        <v>NG</v>
      </c>
      <c r="DZ38" s="162" t="s">
        <v>311</v>
      </c>
      <c r="EA38" s="172" t="s">
        <v>71</v>
      </c>
      <c r="EB38" s="160"/>
      <c r="EC38" s="162"/>
      <c r="ED38" s="203" t="str">
        <f t="shared" si="81"/>
        <v>01</v>
      </c>
      <c r="EE38" s="174" t="str">
        <f t="shared" si="18"/>
        <v>NG</v>
      </c>
      <c r="EF38" s="162" t="s">
        <v>311</v>
      </c>
      <c r="EG38" s="172" t="s">
        <v>71</v>
      </c>
      <c r="EH38" s="160"/>
      <c r="EI38" s="162"/>
      <c r="EJ38" s="203" t="str">
        <f t="shared" si="82"/>
        <v>01</v>
      </c>
      <c r="EK38" s="174" t="str">
        <f t="shared" si="19"/>
        <v>NG</v>
      </c>
      <c r="EL38" s="162" t="s">
        <v>311</v>
      </c>
      <c r="EM38" s="172" t="s">
        <v>71</v>
      </c>
      <c r="EN38" s="160"/>
      <c r="EO38" s="162"/>
      <c r="EP38" s="203" t="str">
        <f t="shared" si="83"/>
        <v>01</v>
      </c>
      <c r="EQ38" s="174" t="str">
        <f t="shared" si="20"/>
        <v>NG</v>
      </c>
      <c r="ER38" s="162" t="s">
        <v>311</v>
      </c>
      <c r="ES38" s="172" t="s">
        <v>71</v>
      </c>
      <c r="ET38" s="160"/>
      <c r="EU38" s="162"/>
      <c r="EV38" s="203" t="str">
        <f t="shared" si="84"/>
        <v>01</v>
      </c>
      <c r="EW38" s="174" t="str">
        <f t="shared" si="21"/>
        <v>NG</v>
      </c>
      <c r="EX38" s="162" t="s">
        <v>311</v>
      </c>
      <c r="EY38" s="172" t="s">
        <v>71</v>
      </c>
      <c r="EZ38" s="160"/>
      <c r="FA38" s="162"/>
      <c r="FB38" s="203" t="str">
        <f t="shared" si="85"/>
        <v>01</v>
      </c>
      <c r="FC38" s="174" t="str">
        <f t="shared" si="22"/>
        <v>NG</v>
      </c>
      <c r="FD38" s="162" t="s">
        <v>311</v>
      </c>
      <c r="FE38" s="172" t="s">
        <v>71</v>
      </c>
      <c r="FF38" s="160"/>
      <c r="FG38" s="162"/>
      <c r="FH38" s="167" t="str">
        <f t="shared" si="101"/>
        <v>01</v>
      </c>
      <c r="FI38" s="174" t="str">
        <f t="shared" si="23"/>
        <v>NG</v>
      </c>
      <c r="FJ38" s="204" t="s">
        <v>311</v>
      </c>
      <c r="FK38" s="276" t="str">
        <f>IF(OR(FG$8="判定対象外",FJ$8="判定対象外",FJ38="-"),"-",IF(FG38=FJ38,"OK","NG"))</f>
        <v>NG</v>
      </c>
      <c r="FL38" s="160"/>
      <c r="FM38" s="162"/>
      <c r="FN38" s="167" t="str">
        <f t="shared" si="102"/>
        <v>01</v>
      </c>
      <c r="FO38" s="174" t="str">
        <f t="shared" si="24"/>
        <v>NG</v>
      </c>
      <c r="FP38" s="204" t="s">
        <v>311</v>
      </c>
      <c r="FQ38" s="276" t="str">
        <f>IF(OR(FM$8="判定対象外",FP$8="判定対象外",FP38="-"),"-",IF(FM38=FP38,"OK","NG"))</f>
        <v>NG</v>
      </c>
      <c r="FR38" s="160"/>
      <c r="FS38" s="162"/>
      <c r="FT38" s="167" t="str">
        <f t="shared" si="103"/>
        <v>01</v>
      </c>
      <c r="FU38" s="174" t="str">
        <f t="shared" si="25"/>
        <v>NG</v>
      </c>
      <c r="FV38" s="204" t="s">
        <v>311</v>
      </c>
      <c r="FW38" s="276" t="str">
        <f>IF(OR(FS$8="判定対象外",FV$8="判定対象外",FV38="-"),"-",IF(FS38=FV38,"OK","NG"))</f>
        <v>NG</v>
      </c>
      <c r="FX38" s="160"/>
      <c r="FY38" s="162"/>
      <c r="FZ38" s="167" t="str">
        <f t="shared" si="104"/>
        <v>01</v>
      </c>
      <c r="GA38" s="174" t="str">
        <f t="shared" si="26"/>
        <v>NG</v>
      </c>
      <c r="GB38" s="204" t="s">
        <v>311</v>
      </c>
      <c r="GC38" s="276" t="str">
        <f>IF(OR(FY$8="判定対象外",GB$8="判定対象外",GB38="-"),"-",IF(FY38=GB38,"OK","NG"))</f>
        <v>NG</v>
      </c>
    </row>
    <row r="39" spans="2:185" s="52" customFormat="1" ht="344.65" thickTop="1">
      <c r="B39" s="48">
        <f t="shared" si="153"/>
        <v>32</v>
      </c>
      <c r="C39" s="37"/>
      <c r="D39" s="37"/>
      <c r="E39" s="37"/>
      <c r="F39" s="188" t="s">
        <v>320</v>
      </c>
      <c r="G39" s="39"/>
      <c r="H39" s="40"/>
      <c r="I39" s="42"/>
      <c r="J39" s="42" t="s">
        <v>316</v>
      </c>
      <c r="K39" s="42"/>
      <c r="L39" s="42"/>
      <c r="M39" s="189" t="s">
        <v>321</v>
      </c>
      <c r="N39" s="63"/>
      <c r="O39" s="143"/>
      <c r="P39" s="45">
        <f>P38+1</f>
        <v>15</v>
      </c>
      <c r="Q39" s="46">
        <v>2</v>
      </c>
      <c r="R39" s="41" t="str">
        <f t="shared" si="193"/>
        <v>X</v>
      </c>
      <c r="S39" s="185" t="s">
        <v>100</v>
      </c>
      <c r="T39" s="43"/>
      <c r="U39" s="41" t="s">
        <v>80</v>
      </c>
      <c r="V39" s="44"/>
      <c r="W39" s="22">
        <v>3</v>
      </c>
      <c r="X39" s="47" t="s">
        <v>162</v>
      </c>
      <c r="Y39" s="47">
        <v>2</v>
      </c>
      <c r="Z39" s="47">
        <v>2</v>
      </c>
      <c r="AA39" s="42" t="s">
        <v>163</v>
      </c>
      <c r="AB39" s="42" t="s">
        <v>57</v>
      </c>
      <c r="AC39" s="166"/>
      <c r="AD39" s="160"/>
      <c r="AE39" s="162"/>
      <c r="AF39" s="167" t="str">
        <f t="shared" si="86"/>
        <v>00</v>
      </c>
      <c r="AG39" s="174" t="str">
        <f t="shared" si="1"/>
        <v>NG</v>
      </c>
      <c r="AH39" s="162" t="s">
        <v>302</v>
      </c>
      <c r="AI39" s="276" t="str">
        <f>IF(OR(AE$8="判定対象外",AH$8="判定対象外",AH39="-"),"-",IF(AE39=AH39,"OK","NG"))</f>
        <v>NG</v>
      </c>
      <c r="AJ39" s="160"/>
      <c r="AK39" s="162"/>
      <c r="AL39" s="167" t="str">
        <f t="shared" si="154"/>
        <v>00</v>
      </c>
      <c r="AM39" s="174" t="str">
        <f t="shared" si="195"/>
        <v>NG</v>
      </c>
      <c r="AN39" s="162" t="s">
        <v>302</v>
      </c>
      <c r="AO39" s="276" t="str">
        <f>IF(OR(AK$8="判定対象外",AN$8="判定対象外",AN39="-"),"-",IF(AK39=AN39,"OK","NG"))</f>
        <v>NG</v>
      </c>
      <c r="AP39" s="160"/>
      <c r="AQ39" s="162"/>
      <c r="AR39" s="167" t="str">
        <f t="shared" si="157"/>
        <v>04</v>
      </c>
      <c r="AS39" s="174" t="str">
        <f t="shared" si="158"/>
        <v>NG</v>
      </c>
      <c r="AT39" s="162" t="s">
        <v>401</v>
      </c>
      <c r="AU39" s="276" t="str">
        <f>IF(OR(AQ$8="判定対象外",AT$8="判定対象外",AT39="-"),"-",IF(AQ39=AT39,"OK","NG"))</f>
        <v>NG</v>
      </c>
      <c r="AV39" s="160"/>
      <c r="AW39" s="162"/>
      <c r="AX39" s="167" t="str">
        <f t="shared" si="160"/>
        <v>02</v>
      </c>
      <c r="AY39" s="174" t="str">
        <f t="shared" si="161"/>
        <v>NG</v>
      </c>
      <c r="AZ39" s="162" t="s">
        <v>397</v>
      </c>
      <c r="BA39" s="276" t="str">
        <f>IF(OR(AW$8="判定対象外",AZ$8="判定対象外",AZ39="-"),"-",IF(AW39=AZ39,"OK","NG"))</f>
        <v>NG</v>
      </c>
      <c r="BB39" s="160"/>
      <c r="BC39" s="162"/>
      <c r="BD39" s="167" t="str">
        <f t="shared" si="163"/>
        <v>02</v>
      </c>
      <c r="BE39" s="174" t="str">
        <f t="shared" si="164"/>
        <v>NG</v>
      </c>
      <c r="BF39" s="162" t="s">
        <v>397</v>
      </c>
      <c r="BG39" s="276" t="str">
        <f>IF(OR(BC$8="判定対象外",BF$8="判定対象外",BF39="-"),"-",IF(BC39=BF39,"OK","NG"))</f>
        <v>NG</v>
      </c>
      <c r="BH39" s="160"/>
      <c r="BI39" s="162"/>
      <c r="BJ39" s="167" t="str">
        <f>IF(BL39="-","-",BL39&amp;REPT(IF($R39="N","　",IF($R39="9","0"," ")),$Z39-LENB(BL39)))</f>
        <v>10</v>
      </c>
      <c r="BK39" s="174" t="str">
        <f>IF(OR(BI$8="判定対象外",BJ$8="判定対象外",BJ39="-"),"-",IF(BI39=BJ39,"OK","NG"))</f>
        <v>NG</v>
      </c>
      <c r="BL39" s="162">
        <v>10</v>
      </c>
      <c r="BM39" s="276" t="str">
        <f>IF(OR(BI$8="判定対象外",BL$8="判定対象外",BL39="-"),"-",IF(BI39=BL39,"OK","NG"))</f>
        <v>NG</v>
      </c>
      <c r="BN39" s="160"/>
      <c r="BO39" s="162"/>
      <c r="BP39" s="167" t="str">
        <f>IF(BR39="-","-",BR39&amp;REPT(IF($R39="N","　",IF($R39="9","0"," ")),$Z39-LENB(BR39)))</f>
        <v>11</v>
      </c>
      <c r="BQ39" s="174" t="str">
        <f>IF(OR(BO$8="判定対象外",BP$8="判定対象外",BP39="-"),"-",IF(BO39=BP39,"OK","NG"))</f>
        <v>NG</v>
      </c>
      <c r="BR39" s="162" t="s">
        <v>297</v>
      </c>
      <c r="BS39" s="276" t="str">
        <f>IF(OR(BO$8="判定対象外",BR$8="判定対象外",BR39="-"),"-",IF(BO39=BR39,"OK","NG"))</f>
        <v>NG</v>
      </c>
      <c r="BT39" s="160"/>
      <c r="BU39" s="162"/>
      <c r="BV39" s="167" t="str">
        <f t="shared" si="93"/>
        <v>A2</v>
      </c>
      <c r="BW39" s="174" t="str">
        <f t="shared" si="8"/>
        <v>NG</v>
      </c>
      <c r="BX39" s="162" t="s">
        <v>403</v>
      </c>
      <c r="BY39" s="276" t="str">
        <f>IF(OR(BU$8="判定対象外",BX$8="判定対象外",BX39="-"),"-",IF(BU39=BX39,"OK","NG"))</f>
        <v>NG</v>
      </c>
      <c r="BZ39" s="160"/>
      <c r="CA39" s="162"/>
      <c r="CB39" s="167" t="str">
        <f t="shared" si="94"/>
        <v>A1</v>
      </c>
      <c r="CC39" s="174" t="str">
        <f t="shared" si="9"/>
        <v>NG</v>
      </c>
      <c r="CD39" s="162" t="s">
        <v>402</v>
      </c>
      <c r="CE39" s="276" t="str">
        <f>IF(OR(CA$8="判定対象外",CD$8="判定対象外",CD39="-"),"-",IF(CA39=CD39,"OK","NG"))</f>
        <v>NG</v>
      </c>
      <c r="CF39" s="160"/>
      <c r="CG39" s="162"/>
      <c r="CH39" s="167" t="str">
        <f t="shared" si="95"/>
        <v>A0</v>
      </c>
      <c r="CI39" s="174" t="str">
        <f t="shared" si="10"/>
        <v>NG</v>
      </c>
      <c r="CJ39" s="162" t="s">
        <v>411</v>
      </c>
      <c r="CK39" s="276" t="str">
        <f>IF(OR(CG$8="判定対象外",CJ$8="判定対象外",CJ39="-"),"-",IF(CG39=CJ39,"OK","NG"))</f>
        <v>NG</v>
      </c>
      <c r="CL39" s="160"/>
      <c r="CM39" s="162"/>
      <c r="CN39" s="167" t="str">
        <f t="shared" si="96"/>
        <v>A3</v>
      </c>
      <c r="CO39" s="174" t="str">
        <f t="shared" si="11"/>
        <v>NG</v>
      </c>
      <c r="CP39" s="162" t="s">
        <v>414</v>
      </c>
      <c r="CQ39" s="276" t="str">
        <f>IF(OR(CM$8="判定対象外",CP$8="判定対象外",CP39="-"),"-",IF(CM39=CP39,"OK","NG"))</f>
        <v>NG</v>
      </c>
      <c r="CR39" s="160"/>
      <c r="CS39" s="162"/>
      <c r="CT39" s="167" t="str">
        <f t="shared" si="97"/>
        <v>A4</v>
      </c>
      <c r="CU39" s="174" t="str">
        <f t="shared" si="12"/>
        <v>NG</v>
      </c>
      <c r="CV39" s="162" t="s">
        <v>416</v>
      </c>
      <c r="CW39" s="276" t="str">
        <f>IF(OR(CS$8="判定対象外",CV$8="判定対象外",CV39="-"),"-",IF(CS39=CV39,"OK","NG"))</f>
        <v>NG</v>
      </c>
      <c r="CX39" s="160"/>
      <c r="CY39" s="162"/>
      <c r="CZ39" s="167" t="str">
        <f t="shared" si="98"/>
        <v>A5</v>
      </c>
      <c r="DA39" s="174" t="str">
        <f t="shared" si="13"/>
        <v>NG</v>
      </c>
      <c r="DB39" s="162" t="s">
        <v>419</v>
      </c>
      <c r="DC39" s="276" t="str">
        <f>IF(OR(CY$8="判定対象外",DB$8="判定対象外",DB39="-"),"-",IF(CY39=DB39,"OK","NG"))</f>
        <v>NG</v>
      </c>
      <c r="DD39" s="160"/>
      <c r="DE39" s="162"/>
      <c r="DF39" s="167" t="str">
        <f t="shared" si="99"/>
        <v>A7</v>
      </c>
      <c r="DG39" s="174" t="str">
        <f t="shared" si="14"/>
        <v>NG</v>
      </c>
      <c r="DH39" s="162" t="s">
        <v>422</v>
      </c>
      <c r="DI39" s="276" t="str">
        <f>IF(OR(DE$8="判定対象外",DH$8="判定対象外",DH39="-"),"-",IF(DE39=DH39,"OK","NG"))</f>
        <v>NG</v>
      </c>
      <c r="DJ39" s="160"/>
      <c r="DK39" s="162"/>
      <c r="DL39" s="204" t="s">
        <v>455</v>
      </c>
      <c r="DM39" s="174" t="str">
        <f t="shared" si="15"/>
        <v>NG</v>
      </c>
      <c r="DN39" s="162" t="s">
        <v>298</v>
      </c>
      <c r="DO39" s="276" t="str">
        <f>IF(OR(DK$8="判定対象外",DN$8="判定対象外",DN39="-"),"-",IF(DK39=DN39,"OK","NG"))</f>
        <v>NG</v>
      </c>
      <c r="DP39" s="160"/>
      <c r="DQ39" s="162"/>
      <c r="DR39" s="203" t="str">
        <f t="shared" si="79"/>
        <v>B6</v>
      </c>
      <c r="DS39" s="174" t="str">
        <f t="shared" si="16"/>
        <v>NG</v>
      </c>
      <c r="DT39" s="162" t="s">
        <v>456</v>
      </c>
      <c r="DU39" s="276" t="str">
        <f>IF(OR(DQ$8="判定対象外",DT$8="判定対象外",DT39="-"),"-",IF(DQ39=DT39,"OK","NG"))</f>
        <v>NG</v>
      </c>
      <c r="DV39" s="160"/>
      <c r="DW39" s="162"/>
      <c r="DX39" s="203" t="str">
        <f t="shared" si="80"/>
        <v>B1</v>
      </c>
      <c r="DY39" s="174" t="str">
        <f t="shared" si="17"/>
        <v>NG</v>
      </c>
      <c r="DZ39" s="162" t="s">
        <v>407</v>
      </c>
      <c r="EA39" s="276" t="str">
        <f>IF(OR(DW$8="判定対象外",DZ$8="判定対象外",DZ39="-"),"-",IF(DW39=DZ39,"OK","NG"))</f>
        <v>NG</v>
      </c>
      <c r="EB39" s="160"/>
      <c r="EC39" s="162"/>
      <c r="ED39" s="203" t="str">
        <f t="shared" si="81"/>
        <v>B0</v>
      </c>
      <c r="EE39" s="174" t="str">
        <f t="shared" si="18"/>
        <v>NG</v>
      </c>
      <c r="EF39" s="162" t="s">
        <v>434</v>
      </c>
      <c r="EG39" s="276" t="str">
        <f>IF(OR(EC$8="判定対象外",EF$8="判定対象外",EF39="-"),"-",IF(EC39=EF39,"OK","NG"))</f>
        <v>NG</v>
      </c>
      <c r="EH39" s="160"/>
      <c r="EI39" s="162"/>
      <c r="EJ39" s="203" t="str">
        <f t="shared" si="82"/>
        <v>B3</v>
      </c>
      <c r="EK39" s="174" t="str">
        <f t="shared" si="19"/>
        <v>NG</v>
      </c>
      <c r="EL39" s="162" t="s">
        <v>437</v>
      </c>
      <c r="EM39" s="276" t="str">
        <f>IF(OR(EI$8="判定対象外",EL$8="判定対象外",EL39="-"),"-",IF(EI39=EL39,"OK","NG"))</f>
        <v>NG</v>
      </c>
      <c r="EN39" s="160"/>
      <c r="EO39" s="162"/>
      <c r="EP39" s="203" t="str">
        <f t="shared" si="83"/>
        <v>B4</v>
      </c>
      <c r="EQ39" s="174" t="str">
        <f t="shared" si="20"/>
        <v>NG</v>
      </c>
      <c r="ER39" s="162" t="s">
        <v>451</v>
      </c>
      <c r="ES39" s="276" t="str">
        <f>IF(OR(EO$8="判定対象外",ER$8="判定対象外",ER39="-"),"-",IF(EO39=ER39,"OK","NG"))</f>
        <v>NG</v>
      </c>
      <c r="ET39" s="160"/>
      <c r="EU39" s="162"/>
      <c r="EV39" s="203" t="str">
        <f t="shared" si="84"/>
        <v>B5</v>
      </c>
      <c r="EW39" s="174" t="str">
        <f t="shared" si="21"/>
        <v>NG</v>
      </c>
      <c r="EX39" s="162" t="s">
        <v>442</v>
      </c>
      <c r="EY39" s="276" t="str">
        <f>IF(OR(EU$8="判定対象外",EX$8="判定対象外",EX39="-"),"-",IF(EU39=EX39,"OK","NG"))</f>
        <v>NG</v>
      </c>
      <c r="EZ39" s="160"/>
      <c r="FA39" s="162"/>
      <c r="FB39" s="203" t="str">
        <f t="shared" si="85"/>
        <v>B7</v>
      </c>
      <c r="FC39" s="174" t="str">
        <f t="shared" si="22"/>
        <v>NG</v>
      </c>
      <c r="FD39" s="162" t="s">
        <v>299</v>
      </c>
      <c r="FE39" s="276" t="str">
        <f>IF(OR(FA$8="判定対象外",FD$8="判定対象外",FD39="-"),"-",IF(FA39=FD39,"OK","NG"))</f>
        <v>NG</v>
      </c>
      <c r="FF39" s="160"/>
      <c r="FG39" s="162"/>
      <c r="FH39" s="167" t="str">
        <f t="shared" si="101"/>
        <v>C0</v>
      </c>
      <c r="FI39" s="174" t="str">
        <f t="shared" si="23"/>
        <v>NG</v>
      </c>
      <c r="FJ39" s="204" t="s">
        <v>427</v>
      </c>
      <c r="FK39" s="276" t="str">
        <f>IF(OR(FG$8="判定対象外",FJ$8="判定対象外",FJ39="-"),"-",IF(FG39=FJ39,"OK","NG"))</f>
        <v>NG</v>
      </c>
      <c r="FL39" s="160"/>
      <c r="FM39" s="162"/>
      <c r="FN39" s="167" t="str">
        <f t="shared" si="102"/>
        <v>C0</v>
      </c>
      <c r="FO39" s="174" t="str">
        <f t="shared" si="24"/>
        <v>NG</v>
      </c>
      <c r="FP39" s="204" t="s">
        <v>427</v>
      </c>
      <c r="FQ39" s="276" t="str">
        <f>IF(OR(FM$8="判定対象外",FP$8="判定対象外",FP39="-"),"-",IF(FM39=FP39,"OK","NG"))</f>
        <v>NG</v>
      </c>
      <c r="FR39" s="160"/>
      <c r="FS39" s="162"/>
      <c r="FT39" s="167" t="str">
        <f t="shared" si="103"/>
        <v>C1</v>
      </c>
      <c r="FU39" s="174" t="str">
        <f t="shared" si="25"/>
        <v>NG</v>
      </c>
      <c r="FV39" s="204" t="s">
        <v>410</v>
      </c>
      <c r="FW39" s="276" t="str">
        <f>IF(OR(FS$8="判定対象外",FV$8="判定対象外",FV39="-"),"-",IF(FS39=FV39,"OK","NG"))</f>
        <v>NG</v>
      </c>
      <c r="FX39" s="160"/>
      <c r="FY39" s="162"/>
      <c r="FZ39" s="167" t="str">
        <f t="shared" si="104"/>
        <v>C1</v>
      </c>
      <c r="GA39" s="174" t="str">
        <f t="shared" si="26"/>
        <v>NG</v>
      </c>
      <c r="GB39" s="204" t="s">
        <v>410</v>
      </c>
      <c r="GC39" s="276" t="str">
        <f>IF(OR(FY$8="判定対象外",GB$8="判定対象外",GB39="-"),"-",IF(FY39=GB39,"OK","NG"))</f>
        <v>NG</v>
      </c>
    </row>
    <row r="40" spans="2:185" s="52" customFormat="1">
      <c r="B40" s="48">
        <f t="shared" si="153"/>
        <v>33</v>
      </c>
      <c r="C40" s="37"/>
      <c r="D40" s="37"/>
      <c r="E40" s="37"/>
      <c r="F40" s="49" t="s">
        <v>322</v>
      </c>
      <c r="G40" s="39"/>
      <c r="H40" s="40"/>
      <c r="I40" s="42"/>
      <c r="J40" s="42"/>
      <c r="K40" s="42"/>
      <c r="L40" s="42"/>
      <c r="M40" s="213" t="s">
        <v>323</v>
      </c>
      <c r="N40" s="63"/>
      <c r="O40" s="143"/>
      <c r="P40" s="45">
        <f t="shared" si="192"/>
        <v>16</v>
      </c>
      <c r="Q40" s="46">
        <v>2</v>
      </c>
      <c r="R40" s="41" t="str">
        <f t="shared" si="193"/>
        <v>X</v>
      </c>
      <c r="S40" s="185" t="s">
        <v>190</v>
      </c>
      <c r="T40" s="43"/>
      <c r="U40" s="41" t="s">
        <v>80</v>
      </c>
      <c r="V40" s="44"/>
      <c r="W40" s="22">
        <v>3</v>
      </c>
      <c r="X40" s="47" t="s">
        <v>191</v>
      </c>
      <c r="Y40" s="47">
        <v>2</v>
      </c>
      <c r="Z40" s="47">
        <v>2</v>
      </c>
      <c r="AA40" s="42" t="s">
        <v>163</v>
      </c>
      <c r="AB40" s="42" t="s">
        <v>57</v>
      </c>
      <c r="AC40" s="166"/>
      <c r="AD40" s="160"/>
      <c r="AE40" s="141"/>
      <c r="AF40" s="203" t="str">
        <f t="shared" si="86"/>
        <v xml:space="preserve">  </v>
      </c>
      <c r="AG40" s="174" t="str">
        <f t="shared" si="1"/>
        <v>NG</v>
      </c>
      <c r="AH40" s="141"/>
      <c r="AI40" s="172" t="s">
        <v>71</v>
      </c>
      <c r="AJ40" s="160"/>
      <c r="AK40" s="141"/>
      <c r="AL40" s="203" t="str">
        <f t="shared" si="154"/>
        <v xml:space="preserve">  </v>
      </c>
      <c r="AM40" s="174" t="str">
        <f t="shared" si="195"/>
        <v>NG</v>
      </c>
      <c r="AN40" s="141"/>
      <c r="AO40" s="172" t="s">
        <v>71</v>
      </c>
      <c r="AP40" s="160"/>
      <c r="AQ40" s="141"/>
      <c r="AR40" s="203" t="str">
        <f t="shared" si="157"/>
        <v xml:space="preserve">  </v>
      </c>
      <c r="AS40" s="174" t="str">
        <f t="shared" si="158"/>
        <v>NG</v>
      </c>
      <c r="AT40" s="141"/>
      <c r="AU40" s="172" t="s">
        <v>71</v>
      </c>
      <c r="AV40" s="160"/>
      <c r="AW40" s="141"/>
      <c r="AX40" s="203" t="str">
        <f t="shared" si="160"/>
        <v xml:space="preserve">  </v>
      </c>
      <c r="AY40" s="174" t="str">
        <f t="shared" si="161"/>
        <v>NG</v>
      </c>
      <c r="AZ40" s="141"/>
      <c r="BA40" s="172" t="s">
        <v>71</v>
      </c>
      <c r="BB40" s="160"/>
      <c r="BC40" s="141"/>
      <c r="BD40" s="203" t="str">
        <f t="shared" si="163"/>
        <v xml:space="preserve">  </v>
      </c>
      <c r="BE40" s="174" t="str">
        <f t="shared" si="164"/>
        <v>NG</v>
      </c>
      <c r="BF40" s="141"/>
      <c r="BG40" s="172" t="s">
        <v>71</v>
      </c>
      <c r="BH40" s="160"/>
      <c r="BI40" s="162"/>
      <c r="BJ40" s="203" t="str">
        <f>IF(BL40="-","-",BL40&amp;REPT(IF($R40="N","　",IF($R40="9","0"," ")),$Z40-LENB(BL40)))</f>
        <v xml:space="preserve">  </v>
      </c>
      <c r="BK40" s="174" t="s">
        <v>71</v>
      </c>
      <c r="BL40" s="141"/>
      <c r="BM40" s="172" t="s">
        <v>71</v>
      </c>
      <c r="BN40" s="160"/>
      <c r="BO40" s="162"/>
      <c r="BP40" s="203" t="str">
        <f>IF(BR40="-","-",BR40&amp;REPT(IF($R40="N","　",IF($R40="9","0"," ")),$Z40-LENB(BR40)))</f>
        <v xml:space="preserve">  </v>
      </c>
      <c r="BQ40" s="174" t="s">
        <v>71</v>
      </c>
      <c r="BR40" s="141"/>
      <c r="BS40" s="172" t="s">
        <v>71</v>
      </c>
      <c r="BT40" s="160"/>
      <c r="BU40" s="141"/>
      <c r="BV40" s="203" t="str">
        <f t="shared" si="93"/>
        <v xml:space="preserve">  </v>
      </c>
      <c r="BW40" s="174" t="str">
        <f t="shared" si="8"/>
        <v>NG</v>
      </c>
      <c r="BX40" s="141"/>
      <c r="BY40" s="172" t="s">
        <v>71</v>
      </c>
      <c r="BZ40" s="160"/>
      <c r="CA40" s="141"/>
      <c r="CB40" s="203" t="str">
        <f t="shared" si="94"/>
        <v xml:space="preserve">  </v>
      </c>
      <c r="CC40" s="174" t="str">
        <f t="shared" si="9"/>
        <v>NG</v>
      </c>
      <c r="CD40" s="141"/>
      <c r="CE40" s="172" t="s">
        <v>71</v>
      </c>
      <c r="CF40" s="160"/>
      <c r="CG40" s="141"/>
      <c r="CH40" s="203" t="str">
        <f t="shared" si="95"/>
        <v xml:space="preserve">  </v>
      </c>
      <c r="CI40" s="174" t="str">
        <f t="shared" si="10"/>
        <v>NG</v>
      </c>
      <c r="CJ40" s="141"/>
      <c r="CK40" s="172" t="s">
        <v>71</v>
      </c>
      <c r="CL40" s="160"/>
      <c r="CM40" s="141"/>
      <c r="CN40" s="203" t="str">
        <f t="shared" si="96"/>
        <v xml:space="preserve">  </v>
      </c>
      <c r="CO40" s="174" t="str">
        <f t="shared" si="11"/>
        <v>NG</v>
      </c>
      <c r="CP40" s="141"/>
      <c r="CQ40" s="172" t="s">
        <v>71</v>
      </c>
      <c r="CR40" s="160"/>
      <c r="CS40" s="141"/>
      <c r="CT40" s="203" t="str">
        <f t="shared" si="97"/>
        <v xml:space="preserve">  </v>
      </c>
      <c r="CU40" s="174" t="str">
        <f t="shared" si="12"/>
        <v>NG</v>
      </c>
      <c r="CV40" s="141"/>
      <c r="CW40" s="172" t="s">
        <v>71</v>
      </c>
      <c r="CX40" s="160"/>
      <c r="CY40" s="141"/>
      <c r="CZ40" s="203" t="str">
        <f t="shared" si="98"/>
        <v xml:space="preserve">  </v>
      </c>
      <c r="DA40" s="174" t="str">
        <f t="shared" si="13"/>
        <v>NG</v>
      </c>
      <c r="DB40" s="141"/>
      <c r="DC40" s="172" t="s">
        <v>71</v>
      </c>
      <c r="DD40" s="160"/>
      <c r="DE40" s="141"/>
      <c r="DF40" s="203" t="str">
        <f t="shared" si="99"/>
        <v xml:space="preserve">  </v>
      </c>
      <c r="DG40" s="174" t="str">
        <f t="shared" si="14"/>
        <v>NG</v>
      </c>
      <c r="DH40" s="141"/>
      <c r="DI40" s="172" t="s">
        <v>71</v>
      </c>
      <c r="DJ40" s="160"/>
      <c r="DK40" s="162"/>
      <c r="DL40" s="203"/>
      <c r="DM40" s="172" t="s">
        <v>71</v>
      </c>
      <c r="DN40" s="141"/>
      <c r="DO40" s="172" t="s">
        <v>71</v>
      </c>
      <c r="DP40" s="160"/>
      <c r="DQ40" s="162"/>
      <c r="DR40" s="203" t="str">
        <f t="shared" ref="DR40:DR65" si="196">IF(DT40="-","-",DT40&amp;REPT(IF($R40="N","　",IF($R40="9","0"," ")),$Z40-LENB(DT40)))</f>
        <v xml:space="preserve">  </v>
      </c>
      <c r="DS40" s="172" t="s">
        <v>71</v>
      </c>
      <c r="DT40" s="141"/>
      <c r="DU40" s="172" t="s">
        <v>71</v>
      </c>
      <c r="DV40" s="160"/>
      <c r="DW40" s="162"/>
      <c r="DX40" s="203" t="str">
        <f t="shared" ref="DX40:DX65" si="197">IF(DZ40="-","-",DZ40&amp;REPT(IF($R40="N","　",IF($R40="9","0"," ")),$Z40-LENB(DZ40)))</f>
        <v xml:space="preserve">  </v>
      </c>
      <c r="DY40" s="172" t="s">
        <v>71</v>
      </c>
      <c r="DZ40" s="141"/>
      <c r="EA40" s="172" t="s">
        <v>71</v>
      </c>
      <c r="EB40" s="160"/>
      <c r="EC40" s="162"/>
      <c r="ED40" s="203" t="str">
        <f t="shared" ref="ED40:ED65" si="198">IF(EF40="-","-",EF40&amp;REPT(IF($R40="N","　",IF($R40="9","0"," ")),$Z40-LENB(EF40)))</f>
        <v xml:space="preserve">  </v>
      </c>
      <c r="EE40" s="172" t="s">
        <v>71</v>
      </c>
      <c r="EF40" s="141"/>
      <c r="EG40" s="172" t="s">
        <v>71</v>
      </c>
      <c r="EH40" s="160"/>
      <c r="EI40" s="162"/>
      <c r="EJ40" s="203" t="str">
        <f t="shared" ref="EJ40:EJ65" si="199">IF(EL40="-","-",EL40&amp;REPT(IF($R40="N","　",IF($R40="9","0"," ")),$Z40-LENB(EL40)))</f>
        <v xml:space="preserve">  </v>
      </c>
      <c r="EK40" s="172" t="s">
        <v>71</v>
      </c>
      <c r="EL40" s="141"/>
      <c r="EM40" s="172" t="s">
        <v>71</v>
      </c>
      <c r="EN40" s="160"/>
      <c r="EO40" s="162"/>
      <c r="EP40" s="203" t="str">
        <f t="shared" ref="EP40:EP65" si="200">IF(ER40="-","-",ER40&amp;REPT(IF($R40="N","　",IF($R40="9","0"," ")),$Z40-LENB(ER40)))</f>
        <v xml:space="preserve">  </v>
      </c>
      <c r="EQ40" s="172" t="s">
        <v>71</v>
      </c>
      <c r="ER40" s="141"/>
      <c r="ES40" s="172" t="s">
        <v>71</v>
      </c>
      <c r="ET40" s="160"/>
      <c r="EU40" s="162"/>
      <c r="EV40" s="203" t="str">
        <f t="shared" ref="EV40:EV65" si="201">IF(EX40="-","-",EX40&amp;REPT(IF($R40="N","　",IF($R40="9","0"," ")),$Z40-LENB(EX40)))</f>
        <v xml:space="preserve">  </v>
      </c>
      <c r="EW40" s="172" t="s">
        <v>71</v>
      </c>
      <c r="EX40" s="141"/>
      <c r="EY40" s="172" t="s">
        <v>71</v>
      </c>
      <c r="EZ40" s="160"/>
      <c r="FA40" s="162"/>
      <c r="FB40" s="203" t="str">
        <f t="shared" ref="FB40:FB65" si="202">IF(FD40="-","-",FD40&amp;REPT(IF($R40="N","　",IF($R40="9","0"," ")),$Z40-LENB(FD40)))</f>
        <v xml:space="preserve">  </v>
      </c>
      <c r="FC40" s="172" t="s">
        <v>71</v>
      </c>
      <c r="FD40" s="141"/>
      <c r="FE40" s="172" t="s">
        <v>71</v>
      </c>
      <c r="FF40" s="160"/>
      <c r="FG40" s="141"/>
      <c r="FH40" s="203" t="str">
        <f t="shared" si="101"/>
        <v xml:space="preserve">  </v>
      </c>
      <c r="FI40" s="174" t="str">
        <f t="shared" si="23"/>
        <v>NG</v>
      </c>
      <c r="FJ40" s="203"/>
      <c r="FK40" s="172" t="s">
        <v>71</v>
      </c>
      <c r="FL40" s="160"/>
      <c r="FM40" s="141"/>
      <c r="FN40" s="203" t="str">
        <f t="shared" si="102"/>
        <v xml:space="preserve">  </v>
      </c>
      <c r="FO40" s="174" t="str">
        <f t="shared" si="24"/>
        <v>NG</v>
      </c>
      <c r="FP40" s="203"/>
      <c r="FQ40" s="172" t="s">
        <v>71</v>
      </c>
      <c r="FR40" s="160"/>
      <c r="FS40" s="141"/>
      <c r="FT40" s="203" t="str">
        <f t="shared" si="103"/>
        <v xml:space="preserve">  </v>
      </c>
      <c r="FU40" s="174" t="str">
        <f t="shared" si="25"/>
        <v>NG</v>
      </c>
      <c r="FV40" s="203"/>
      <c r="FW40" s="172" t="s">
        <v>71</v>
      </c>
      <c r="FX40" s="160"/>
      <c r="FY40" s="141"/>
      <c r="FZ40" s="203" t="str">
        <f t="shared" si="104"/>
        <v xml:space="preserve">  </v>
      </c>
      <c r="GA40" s="174" t="str">
        <f t="shared" si="26"/>
        <v>NG</v>
      </c>
      <c r="GB40" s="203"/>
      <c r="GC40" s="172" t="s">
        <v>71</v>
      </c>
    </row>
    <row r="41" spans="2:185" s="52" customFormat="1">
      <c r="B41" s="48">
        <f t="shared" si="153"/>
        <v>34</v>
      </c>
      <c r="C41" s="37"/>
      <c r="D41" s="37"/>
      <c r="E41" s="37"/>
      <c r="F41" s="49" t="s">
        <v>192</v>
      </c>
      <c r="G41" s="39"/>
      <c r="H41" s="40"/>
      <c r="I41" s="42"/>
      <c r="J41" s="42" t="s">
        <v>316</v>
      </c>
      <c r="K41" s="42"/>
      <c r="L41" s="42"/>
      <c r="M41" s="47" t="s">
        <v>324</v>
      </c>
      <c r="N41" s="47"/>
      <c r="O41" s="143"/>
      <c r="P41" s="45">
        <f t="shared" si="192"/>
        <v>17</v>
      </c>
      <c r="Q41" s="46">
        <v>255</v>
      </c>
      <c r="R41" s="41" t="str">
        <f t="shared" si="193"/>
        <v>NX</v>
      </c>
      <c r="S41" s="185" t="s">
        <v>193</v>
      </c>
      <c r="T41" s="43"/>
      <c r="U41" s="41" t="s">
        <v>80</v>
      </c>
      <c r="V41" s="44"/>
      <c r="W41" s="22">
        <v>3</v>
      </c>
      <c r="X41" s="47" t="s">
        <v>194</v>
      </c>
      <c r="Y41" s="47">
        <v>1</v>
      </c>
      <c r="Z41" s="47">
        <v>255</v>
      </c>
      <c r="AA41" s="42" t="s">
        <v>195</v>
      </c>
      <c r="AB41" s="42" t="s">
        <v>57</v>
      </c>
      <c r="AC41" s="166"/>
      <c r="AD41" s="160"/>
      <c r="AE41" s="162"/>
      <c r="AF41" s="204" t="str">
        <f t="shared" ref="AF41:AF54" si="203">IF(AH41="-","-",AH41&amp;REPT(IF($R41="N","　",IF($R41="9","0"," ")),$Z41-LENB(AH41)))</f>
        <v xml:space="preserve">ａｕひかり ホーム                                                                                                                                                                                                                                              </v>
      </c>
      <c r="AG41" s="174" t="str">
        <f t="shared" si="1"/>
        <v>NG</v>
      </c>
      <c r="AH41" s="162" t="s">
        <v>394</v>
      </c>
      <c r="AI41" s="276" t="str">
        <f>IF(OR(AE$8="判定対象外",AH$8="判定対象外",AH41="-"),"-",IF(AE41=AH41,"OK","NG"))</f>
        <v>NG</v>
      </c>
      <c r="AJ41" s="160"/>
      <c r="AK41" s="162"/>
      <c r="AL41" s="204" t="str">
        <f t="shared" si="154"/>
        <v xml:space="preserve">ａｕひかり ホーム                                                                                                                                                                                                                                              </v>
      </c>
      <c r="AM41" s="174" t="str">
        <f t="shared" si="195"/>
        <v>NG</v>
      </c>
      <c r="AN41" s="162" t="s">
        <v>394</v>
      </c>
      <c r="AO41" s="276" t="str">
        <f>IF(OR(AK$8="判定対象外",AN$8="判定対象外",AN41="-"),"-",IF(AK41=AN41,"OK","NG"))</f>
        <v>NG</v>
      </c>
      <c r="AP41" s="160"/>
      <c r="AQ41" s="162"/>
      <c r="AR41" s="204" t="str">
        <f t="shared" si="157"/>
        <v xml:space="preserve">ａｕひかり ちゅら ホーム                                                                                                                                                                                                                                       </v>
      </c>
      <c r="AS41" s="174" t="str">
        <f t="shared" si="158"/>
        <v>NG</v>
      </c>
      <c r="AT41" s="162" t="s">
        <v>480</v>
      </c>
      <c r="AU41" s="276" t="str">
        <f>IF(OR(AQ$8="判定対象外",AT$8="判定対象外",AT41="-"),"-",IF(AQ41=AT41,"OK","NG"))</f>
        <v>NG</v>
      </c>
      <c r="AV41" s="160"/>
      <c r="AW41" s="162"/>
      <c r="AX41" s="204" t="str">
        <f t="shared" si="160"/>
        <v xml:space="preserve">ａｕひかり ホーム（Ｓ）                                                                                                                                                                                                                                        </v>
      </c>
      <c r="AY41" s="174" t="str">
        <f t="shared" si="161"/>
        <v>NG</v>
      </c>
      <c r="AZ41" s="162" t="s">
        <v>398</v>
      </c>
      <c r="BA41" s="276" t="str">
        <f>IF(OR(AW$8="判定対象外",AZ$8="判定対象外",AZ41="-"),"-",IF(AW41=AZ41,"OK","NG"))</f>
        <v>NG</v>
      </c>
      <c r="BB41" s="160"/>
      <c r="BC41" s="162"/>
      <c r="BD41" s="204" t="str">
        <f t="shared" si="163"/>
        <v xml:space="preserve">                                                                                                                                                                                                                                                               </v>
      </c>
      <c r="BE41" s="174" t="str">
        <f t="shared" si="164"/>
        <v>NG</v>
      </c>
      <c r="BF41" s="162"/>
      <c r="BG41" s="172" t="s">
        <v>71</v>
      </c>
      <c r="BH41" s="160"/>
      <c r="BI41" s="162"/>
      <c r="BJ41" s="204" t="s">
        <v>428</v>
      </c>
      <c r="BK41" s="174" t="str">
        <f>IF(OR(BI$8="判定対象外",BJ$8="判定対象外",BJ41="-"),"-",IF(BI41=BJ41,"OK","NG"))</f>
        <v>NG</v>
      </c>
      <c r="BL41" s="162"/>
      <c r="BM41" s="172" t="s">
        <v>71</v>
      </c>
      <c r="BN41" s="160"/>
      <c r="BO41" s="162"/>
      <c r="BP41" s="204" t="s">
        <v>493</v>
      </c>
      <c r="BQ41" s="174" t="str">
        <f>IF(OR(BO$8="判定対象外",BP$8="判定対象外",BP41="-"),"-",IF(BO41=BP41,"OK","NG"))</f>
        <v>NG</v>
      </c>
      <c r="BR41" s="162"/>
      <c r="BS41" s="172" t="s">
        <v>71</v>
      </c>
      <c r="BT41" s="160"/>
      <c r="BU41" s="162"/>
      <c r="BV41" s="204" t="str">
        <f t="shared" si="93"/>
        <v xml:space="preserve">ケーブルテレビ                                                                                                                                                                                                                                                 </v>
      </c>
      <c r="BW41" s="174" t="str">
        <f t="shared" si="8"/>
        <v>NG</v>
      </c>
      <c r="BX41" s="162" t="s">
        <v>405</v>
      </c>
      <c r="BY41" s="276" t="str">
        <f>IF(OR(BU$8="判定対象外",BX$8="判定対象外",BX41="-"),"-",IF(BU41=BX41,"OK","NG"))</f>
        <v>NG</v>
      </c>
      <c r="BZ41" s="160"/>
      <c r="CA41" s="162"/>
      <c r="CB41" s="204" t="str">
        <f t="shared" si="94"/>
        <v xml:space="preserve">ｅｏ光 ホーム                                                                                                                                                                                                                                                  </v>
      </c>
      <c r="CC41" s="174" t="str">
        <f t="shared" si="9"/>
        <v>NG</v>
      </c>
      <c r="CD41" s="162" t="s">
        <v>409</v>
      </c>
      <c r="CE41" s="276" t="str">
        <f>IF(OR(CA$8="判定対象外",CD$8="判定対象外",CD41="-"),"-",IF(CA41=CD41,"OK","NG"))</f>
        <v>NG</v>
      </c>
      <c r="CF41" s="160"/>
      <c r="CG41" s="162"/>
      <c r="CH41" s="204" t="str">
        <f t="shared" si="95"/>
        <v xml:space="preserve">コミュファ光 ホーム                                                                                                                                                                                                                                            </v>
      </c>
      <c r="CI41" s="174" t="str">
        <f t="shared" si="10"/>
        <v>NG</v>
      </c>
      <c r="CJ41" s="162" t="s">
        <v>412</v>
      </c>
      <c r="CK41" s="276" t="str">
        <f>IF(OR(CG$8="判定対象外",CJ$8="判定対象外",CJ41="-"),"-",IF(CG41=CJ41,"OK","NG"))</f>
        <v>NG</v>
      </c>
      <c r="CL41" s="160"/>
      <c r="CM41" s="162"/>
      <c r="CN41" s="204" t="str">
        <f t="shared" si="96"/>
        <v xml:space="preserve">ピカラ光ホーム                                                                                                                                                                                                                                                 </v>
      </c>
      <c r="CO41" s="174" t="str">
        <f t="shared" si="11"/>
        <v>NG</v>
      </c>
      <c r="CP41" s="162" t="s">
        <v>483</v>
      </c>
      <c r="CQ41" s="276" t="str">
        <f>IF(OR(CM$8="判定対象外",CP$8="判定対象外",CP41="-"),"-",IF(CM41=CP41,"OK","NG"))</f>
        <v>NG</v>
      </c>
      <c r="CR41" s="160"/>
      <c r="CS41" s="162"/>
      <c r="CT41" s="204" t="str">
        <f t="shared" si="97"/>
        <v xml:space="preserve">メガ・エッグ　ファイバー                                                                                                                                                                                                                                       </v>
      </c>
      <c r="CU41" s="174" t="str">
        <f t="shared" si="12"/>
        <v>NG</v>
      </c>
      <c r="CV41" s="162" t="s">
        <v>417</v>
      </c>
      <c r="CW41" s="276" t="str">
        <f>IF(OR(CS$8="判定対象外",CV$8="判定対象外",CV41="-"),"-",IF(CS41=CV41,"OK","NG"))</f>
        <v>NG</v>
      </c>
      <c r="CX41" s="160"/>
      <c r="CY41" s="162"/>
      <c r="CZ41" s="204" t="str">
        <f t="shared" si="98"/>
        <v xml:space="preserve">ＢＢＩＱホームタイプ                                                                                                                                                                                                                                           </v>
      </c>
      <c r="DA41" s="174" t="str">
        <f t="shared" si="13"/>
        <v>NG</v>
      </c>
      <c r="DB41" s="162" t="s">
        <v>420</v>
      </c>
      <c r="DC41" s="276" t="str">
        <f>IF(OR(CY$8="判定対象外",DB$8="判定対象外",DB41="-"),"-",IF(CY41=DB41,"OK","NG"))</f>
        <v>NG</v>
      </c>
      <c r="DD41" s="160"/>
      <c r="DE41" s="162"/>
      <c r="DF41" s="204" t="str">
        <f t="shared" si="99"/>
        <v xml:space="preserve">ひかりＪホーム（ＪＰＮＥ光コラボ）                                                                                                                                                                                                                             </v>
      </c>
      <c r="DG41" s="174" t="str">
        <f t="shared" si="14"/>
        <v>NG</v>
      </c>
      <c r="DH41" s="162" t="s">
        <v>479</v>
      </c>
      <c r="DI41" s="276" t="str">
        <f>IF(OR(DE$8="判定対象外",DH$8="判定対象外",DH41="-"),"-",IF(DE41=DH41,"OK","NG"))</f>
        <v>NG</v>
      </c>
      <c r="DJ41" s="160"/>
      <c r="DK41" s="162"/>
      <c r="DL41" s="204" t="s">
        <v>404</v>
      </c>
      <c r="DM41" s="174" t="str">
        <f>IF(OR(DK$8="判定対象外",DL$8="判定対象外",DL41="-"),"-",IF(DK41=DL41,"OK","NG"))</f>
        <v>NG</v>
      </c>
      <c r="DN41" s="162"/>
      <c r="DO41" s="172" t="s">
        <v>71</v>
      </c>
      <c r="DP41" s="160"/>
      <c r="DQ41" s="162"/>
      <c r="DR41" s="203" t="str">
        <f t="shared" si="196"/>
        <v xml:space="preserve">マンションＩＳＰサービス                                                                                                                                                                                                                                       </v>
      </c>
      <c r="DS41" s="174" t="str">
        <f>IF(OR(DQ$8="判定対象外",DR$8="判定対象外",DR41="-"),"-",IF(DQ41=DR41,"OK","NG"))</f>
        <v>NG</v>
      </c>
      <c r="DT41" s="162" t="s">
        <v>457</v>
      </c>
      <c r="DU41" s="172" t="s">
        <v>71</v>
      </c>
      <c r="DV41" s="160"/>
      <c r="DW41" s="162"/>
      <c r="DX41" s="203" t="str">
        <f t="shared" si="197"/>
        <v xml:space="preserve">ｅｏ光 メゾン／マンション                                                                                                                                                                                                                                      </v>
      </c>
      <c r="DY41" s="174" t="str">
        <f>IF(OR(DW$8="判定対象外",DX$8="判定対象外",DX41="-"),"-",IF(DW41=DX41,"OK","NG"))</f>
        <v>NG</v>
      </c>
      <c r="DZ41" s="162" t="s">
        <v>488</v>
      </c>
      <c r="EA41" s="172" t="s">
        <v>71</v>
      </c>
      <c r="EB41" s="160"/>
      <c r="EC41" s="162"/>
      <c r="ED41" s="203" t="str">
        <f t="shared" si="198"/>
        <v xml:space="preserve">コミュファ光 マンション                                                                                                                                                                                                                                        </v>
      </c>
      <c r="EE41" s="174" t="str">
        <f>IF(OR(EC$8="判定対象外",ED$8="判定対象外",ED41="-"),"-",IF(EC41=ED41,"OK","NG"))</f>
        <v>NG</v>
      </c>
      <c r="EF41" s="162" t="s">
        <v>435</v>
      </c>
      <c r="EG41" s="172" t="s">
        <v>71</v>
      </c>
      <c r="EH41" s="160"/>
      <c r="EI41" s="162"/>
      <c r="EJ41" s="203" t="str">
        <f t="shared" si="199"/>
        <v xml:space="preserve">ピカラ光マンション                                                                                                                                                                                                                                             </v>
      </c>
      <c r="EK41" s="174" t="str">
        <f>IF(OR(EI$8="判定対象外",EJ$8="判定対象外",EJ41="-"),"-",IF(EI41=EJ41,"OK","NG"))</f>
        <v>NG</v>
      </c>
      <c r="EL41" s="162" t="s">
        <v>489</v>
      </c>
      <c r="EM41" s="172" t="s">
        <v>71</v>
      </c>
      <c r="EN41" s="160"/>
      <c r="EO41" s="162"/>
      <c r="EP41" s="203" t="str">
        <f t="shared" si="200"/>
        <v xml:space="preserve">メガ・エッグ　光マンション                                                                                                                                                                                                                                     </v>
      </c>
      <c r="EQ41" s="174" t="str">
        <f>IF(OR(EO$8="判定対象外",EP$8="判定対象外",EP41="-"),"-",IF(EO41=EP41,"OK","NG"))</f>
        <v>NG</v>
      </c>
      <c r="ER41" s="162" t="s">
        <v>490</v>
      </c>
      <c r="ES41" s="172" t="s">
        <v>71</v>
      </c>
      <c r="ET41" s="160"/>
      <c r="EU41" s="162"/>
      <c r="EV41" s="203" t="str">
        <f t="shared" si="201"/>
        <v xml:space="preserve">ＢＢＩＱマンションタイプ                                                                                                                                                                                                                                       </v>
      </c>
      <c r="EW41" s="174" t="str">
        <f>IF(OR(EU$8="判定対象外",EV$8="判定対象外",EV41="-"),"-",IF(EU41=EV41,"OK","NG"))</f>
        <v>NG</v>
      </c>
      <c r="EX41" s="162" t="s">
        <v>443</v>
      </c>
      <c r="EY41" s="172" t="s">
        <v>71</v>
      </c>
      <c r="EZ41" s="160"/>
      <c r="FA41" s="162"/>
      <c r="FB41" s="203" t="str">
        <f t="shared" si="202"/>
        <v xml:space="preserve">ひかりＪマンション（ＪＰＮＥ光コラボ）                                                                                                                                                                                                                         </v>
      </c>
      <c r="FC41" s="174" t="str">
        <f>IF(OR(FA$8="判定対象外",FB$8="判定対象外",FB41="-"),"-",IF(FA41=FB41,"OK","NG"))</f>
        <v>NG</v>
      </c>
      <c r="FD41" s="162" t="s">
        <v>492</v>
      </c>
      <c r="FE41" s="172" t="s">
        <v>71</v>
      </c>
      <c r="FF41" s="160"/>
      <c r="FG41" s="162"/>
      <c r="FH41" s="204" t="str">
        <f t="shared" si="101"/>
        <v xml:space="preserve">＋ＷｉＭＡＸ対応Ｗｉ－Ｆｉルーター                                                                                                                                                                                                                             </v>
      </c>
      <c r="FI41" s="174" t="str">
        <f t="shared" si="23"/>
        <v>NG</v>
      </c>
      <c r="FJ41" s="204" t="s">
        <v>482</v>
      </c>
      <c r="FK41" s="276" t="str">
        <f>IF(OR(FG$8="判定対象外",FJ$8="判定対象外",FJ41="-"),"-",IF(FG41=FJ41,"OK","NG"))</f>
        <v>NG</v>
      </c>
      <c r="FL41" s="160"/>
      <c r="FM41" s="162"/>
      <c r="FN41" s="204" t="str">
        <f t="shared" si="102"/>
        <v xml:space="preserve">＋ＷｉＭＡＸ対応Ｗｉ－Ｆｉルーター                                                                                                                                                                                                                             </v>
      </c>
      <c r="FO41" s="174" t="str">
        <f t="shared" si="24"/>
        <v>NG</v>
      </c>
      <c r="FP41" s="204" t="s">
        <v>482</v>
      </c>
      <c r="FQ41" s="276" t="str">
        <f>IF(OR(FM$8="判定対象外",FP$8="判定対象外",FP41="-"),"-",IF(FM41=FP41,"OK","NG"))</f>
        <v>NG</v>
      </c>
      <c r="FR41" s="160"/>
      <c r="FS41" s="162"/>
      <c r="FT41" s="204" t="str">
        <f t="shared" si="103"/>
        <v xml:space="preserve">ホームプラス電話                                                                                                                                                                                                                                               </v>
      </c>
      <c r="FU41" s="174" t="str">
        <f t="shared" si="25"/>
        <v>NG</v>
      </c>
      <c r="FV41" s="204" t="s">
        <v>491</v>
      </c>
      <c r="FW41" s="276" t="str">
        <f>IF(OR(FS$8="判定対象外",FV$8="判定対象外",FV41="-"),"-",IF(FS41=FV41,"OK","NG"))</f>
        <v>NG</v>
      </c>
      <c r="FX41" s="160"/>
      <c r="FY41" s="162"/>
      <c r="FZ41" s="204" t="str">
        <f t="shared" si="104"/>
        <v xml:space="preserve">ホームプラス電話                                                                                                                                                                                                                                               </v>
      </c>
      <c r="GA41" s="174" t="str">
        <f t="shared" si="26"/>
        <v>NG</v>
      </c>
      <c r="GB41" s="204" t="s">
        <v>491</v>
      </c>
      <c r="GC41" s="276" t="str">
        <f>IF(OR(FY$8="判定対象外",GB$8="判定対象外",GB41="-"),"-",IF(FY41=GB41,"OK","NG"))</f>
        <v>NG</v>
      </c>
    </row>
    <row r="42" spans="2:185" s="52" customFormat="1">
      <c r="B42" s="53">
        <f t="shared" si="153"/>
        <v>35</v>
      </c>
      <c r="C42" s="37"/>
      <c r="D42" s="37"/>
      <c r="E42" s="37"/>
      <c r="F42" s="54" t="s">
        <v>325</v>
      </c>
      <c r="G42" s="54"/>
      <c r="H42" s="55"/>
      <c r="I42" s="57"/>
      <c r="J42" s="57"/>
      <c r="K42" s="57"/>
      <c r="L42" s="57"/>
      <c r="M42" s="58" t="s">
        <v>326</v>
      </c>
      <c r="N42" s="62"/>
      <c r="O42" s="150"/>
      <c r="P42" s="45">
        <f t="shared" si="192"/>
        <v>18</v>
      </c>
      <c r="Q42" s="60">
        <v>256</v>
      </c>
      <c r="R42" s="41" t="str">
        <f t="shared" si="193"/>
        <v>NX</v>
      </c>
      <c r="S42" s="185" t="s">
        <v>196</v>
      </c>
      <c r="T42" s="43"/>
      <c r="U42" s="41" t="s">
        <v>80</v>
      </c>
      <c r="V42" s="44"/>
      <c r="W42" s="61">
        <v>3</v>
      </c>
      <c r="X42" s="62" t="s">
        <v>197</v>
      </c>
      <c r="Y42" s="62">
        <v>1</v>
      </c>
      <c r="Z42" s="62">
        <v>256</v>
      </c>
      <c r="AA42" s="57" t="s">
        <v>101</v>
      </c>
      <c r="AB42" s="57" t="s">
        <v>80</v>
      </c>
      <c r="AC42" s="214"/>
      <c r="AD42" s="160"/>
      <c r="AE42" s="141"/>
      <c r="AF42" s="203" t="str">
        <f t="shared" si="203"/>
        <v xml:space="preserve">                                                                                                                                                                                                                                                                </v>
      </c>
      <c r="AG42" s="174" t="str">
        <f t="shared" si="1"/>
        <v>NG</v>
      </c>
      <c r="AH42" s="141"/>
      <c r="AI42" s="172" t="s">
        <v>71</v>
      </c>
      <c r="AJ42" s="160"/>
      <c r="AK42" s="141"/>
      <c r="AL42" s="203" t="str">
        <f t="shared" si="154"/>
        <v xml:space="preserve">                                                                                                                                                                                                                                                                </v>
      </c>
      <c r="AM42" s="174" t="str">
        <f t="shared" si="195"/>
        <v>NG</v>
      </c>
      <c r="AN42" s="141"/>
      <c r="AO42" s="172" t="s">
        <v>71</v>
      </c>
      <c r="AP42" s="160"/>
      <c r="AQ42" s="141"/>
      <c r="AR42" s="203" t="str">
        <f t="shared" si="157"/>
        <v xml:space="preserve">                                                                                                                                                                                                                                                                </v>
      </c>
      <c r="AS42" s="174" t="str">
        <f t="shared" si="158"/>
        <v>NG</v>
      </c>
      <c r="AT42" s="141"/>
      <c r="AU42" s="172" t="s">
        <v>71</v>
      </c>
      <c r="AV42" s="160"/>
      <c r="AW42" s="141"/>
      <c r="AX42" s="203" t="str">
        <f t="shared" si="160"/>
        <v xml:space="preserve">                                                                                                                                                                                                                                                                </v>
      </c>
      <c r="AY42" s="174" t="str">
        <f t="shared" si="161"/>
        <v>NG</v>
      </c>
      <c r="AZ42" s="141"/>
      <c r="BA42" s="172" t="s">
        <v>71</v>
      </c>
      <c r="BB42" s="160"/>
      <c r="BC42" s="141"/>
      <c r="BD42" s="203" t="str">
        <f t="shared" si="163"/>
        <v xml:space="preserve">                                                                                                                                                                                                                                                                </v>
      </c>
      <c r="BE42" s="174" t="str">
        <f t="shared" si="164"/>
        <v>NG</v>
      </c>
      <c r="BF42" s="141"/>
      <c r="BG42" s="172" t="s">
        <v>71</v>
      </c>
      <c r="BH42" s="160"/>
      <c r="BI42" s="162"/>
      <c r="BJ42" s="203" t="str">
        <f>IF(BL42="-","-",BL42&amp;REPT(IF($R42="N","　",IF($R42="9","0"," ")),$Z42-LENB(BL42)))</f>
        <v xml:space="preserve">                                                                                                                                                                                                                                                                </v>
      </c>
      <c r="BK42" s="174" t="s">
        <v>71</v>
      </c>
      <c r="BL42" s="141"/>
      <c r="BM42" s="172" t="s">
        <v>71</v>
      </c>
      <c r="BN42" s="160"/>
      <c r="BO42" s="162"/>
      <c r="BP42" s="203" t="str">
        <f>IF(BR42="-","-",BR42&amp;REPT(IF($R42="N","　",IF($R42="9","0"," ")),$Z42-LENB(BR42)))</f>
        <v xml:space="preserve">                                                                                                                                                                                                                                                                </v>
      </c>
      <c r="BQ42" s="174" t="s">
        <v>71</v>
      </c>
      <c r="BR42" s="141"/>
      <c r="BS42" s="172" t="s">
        <v>71</v>
      </c>
      <c r="BT42" s="160"/>
      <c r="BU42" s="141"/>
      <c r="BV42" s="203" t="str">
        <f t="shared" si="93"/>
        <v xml:space="preserve">                                                                                                                                                                                                                                                                </v>
      </c>
      <c r="BW42" s="174" t="str">
        <f t="shared" si="8"/>
        <v>NG</v>
      </c>
      <c r="BX42" s="141"/>
      <c r="BY42" s="172" t="s">
        <v>71</v>
      </c>
      <c r="BZ42" s="160"/>
      <c r="CA42" s="141"/>
      <c r="CB42" s="203" t="str">
        <f t="shared" si="94"/>
        <v xml:space="preserve">                                                                                                                                                                                                                                                                </v>
      </c>
      <c r="CC42" s="174" t="str">
        <f t="shared" si="9"/>
        <v>NG</v>
      </c>
      <c r="CD42" s="141"/>
      <c r="CE42" s="172" t="s">
        <v>71</v>
      </c>
      <c r="CF42" s="160"/>
      <c r="CG42" s="141"/>
      <c r="CH42" s="203" t="str">
        <f t="shared" si="95"/>
        <v xml:space="preserve">                                                                                                                                                                                                                                                                </v>
      </c>
      <c r="CI42" s="174" t="str">
        <f t="shared" si="10"/>
        <v>NG</v>
      </c>
      <c r="CJ42" s="141"/>
      <c r="CK42" s="172" t="s">
        <v>71</v>
      </c>
      <c r="CL42" s="160"/>
      <c r="CM42" s="141"/>
      <c r="CN42" s="203" t="str">
        <f t="shared" si="96"/>
        <v xml:space="preserve">                                                                                                                                                                                                                                                                </v>
      </c>
      <c r="CO42" s="174" t="str">
        <f t="shared" si="11"/>
        <v>NG</v>
      </c>
      <c r="CP42" s="141"/>
      <c r="CQ42" s="172" t="s">
        <v>71</v>
      </c>
      <c r="CR42" s="160"/>
      <c r="CS42" s="141"/>
      <c r="CT42" s="203" t="str">
        <f t="shared" si="97"/>
        <v xml:space="preserve">                                                                                                                                                                                                                                                                </v>
      </c>
      <c r="CU42" s="174" t="str">
        <f t="shared" si="12"/>
        <v>NG</v>
      </c>
      <c r="CV42" s="141"/>
      <c r="CW42" s="172" t="s">
        <v>71</v>
      </c>
      <c r="CX42" s="160"/>
      <c r="CY42" s="141"/>
      <c r="CZ42" s="203" t="str">
        <f t="shared" si="98"/>
        <v xml:space="preserve">                                                                                                                                                                                                                                                                </v>
      </c>
      <c r="DA42" s="174" t="str">
        <f t="shared" si="13"/>
        <v>NG</v>
      </c>
      <c r="DB42" s="141"/>
      <c r="DC42" s="172" t="s">
        <v>71</v>
      </c>
      <c r="DD42" s="160"/>
      <c r="DE42" s="141"/>
      <c r="DF42" s="203" t="str">
        <f t="shared" si="99"/>
        <v xml:space="preserve">                                                                                                                                                                                                                                                                </v>
      </c>
      <c r="DG42" s="174" t="str">
        <f t="shared" si="14"/>
        <v>NG</v>
      </c>
      <c r="DH42" s="141"/>
      <c r="DI42" s="172" t="s">
        <v>71</v>
      </c>
      <c r="DJ42" s="160"/>
      <c r="DK42" s="162"/>
      <c r="DL42" s="203"/>
      <c r="DM42" s="172" t="s">
        <v>71</v>
      </c>
      <c r="DN42" s="141"/>
      <c r="DO42" s="172" t="s">
        <v>71</v>
      </c>
      <c r="DP42" s="160"/>
      <c r="DQ42" s="162"/>
      <c r="DR42" s="203" t="str">
        <f t="shared" si="196"/>
        <v xml:space="preserve">                                                                                                                                                                                                                                                                </v>
      </c>
      <c r="DS42" s="172" t="s">
        <v>71</v>
      </c>
      <c r="DT42" s="141"/>
      <c r="DU42" s="172" t="s">
        <v>71</v>
      </c>
      <c r="DV42" s="160"/>
      <c r="DW42" s="162"/>
      <c r="DX42" s="203" t="str">
        <f t="shared" si="197"/>
        <v xml:space="preserve">                                                                                                                                                                                                                                                                </v>
      </c>
      <c r="DY42" s="172" t="s">
        <v>71</v>
      </c>
      <c r="DZ42" s="141"/>
      <c r="EA42" s="172" t="s">
        <v>71</v>
      </c>
      <c r="EB42" s="160"/>
      <c r="EC42" s="162"/>
      <c r="ED42" s="203" t="str">
        <f t="shared" si="198"/>
        <v xml:space="preserve">                                                                                                                                                                                                                                                                </v>
      </c>
      <c r="EE42" s="172" t="s">
        <v>71</v>
      </c>
      <c r="EF42" s="141"/>
      <c r="EG42" s="172" t="s">
        <v>71</v>
      </c>
      <c r="EH42" s="160"/>
      <c r="EI42" s="162"/>
      <c r="EJ42" s="203" t="str">
        <f t="shared" si="199"/>
        <v xml:space="preserve">                                                                                                                                                                                                                                                                </v>
      </c>
      <c r="EK42" s="172" t="s">
        <v>71</v>
      </c>
      <c r="EL42" s="141"/>
      <c r="EM42" s="172" t="s">
        <v>71</v>
      </c>
      <c r="EN42" s="160"/>
      <c r="EO42" s="162"/>
      <c r="EP42" s="203" t="str">
        <f t="shared" si="200"/>
        <v xml:space="preserve">                                                                                                                                                                                                                                                                </v>
      </c>
      <c r="EQ42" s="172" t="s">
        <v>71</v>
      </c>
      <c r="ER42" s="141"/>
      <c r="ES42" s="172" t="s">
        <v>71</v>
      </c>
      <c r="ET42" s="160"/>
      <c r="EU42" s="162"/>
      <c r="EV42" s="203" t="str">
        <f t="shared" si="201"/>
        <v xml:space="preserve">                                                                                                                                                                                                                                                                </v>
      </c>
      <c r="EW42" s="172" t="s">
        <v>71</v>
      </c>
      <c r="EX42" s="141"/>
      <c r="EY42" s="172" t="s">
        <v>71</v>
      </c>
      <c r="EZ42" s="160"/>
      <c r="FA42" s="162"/>
      <c r="FB42" s="203" t="str">
        <f t="shared" si="202"/>
        <v xml:space="preserve">                                                                                                                                                                                                                                                                </v>
      </c>
      <c r="FC42" s="172" t="s">
        <v>71</v>
      </c>
      <c r="FD42" s="141"/>
      <c r="FE42" s="172" t="s">
        <v>71</v>
      </c>
      <c r="FF42" s="160"/>
      <c r="FG42" s="141"/>
      <c r="FH42" s="203" t="str">
        <f t="shared" si="101"/>
        <v xml:space="preserve">                                                                                                                                                                                                                                                                </v>
      </c>
      <c r="FI42" s="174" t="str">
        <f t="shared" si="23"/>
        <v>NG</v>
      </c>
      <c r="FJ42" s="203"/>
      <c r="FK42" s="172" t="s">
        <v>71</v>
      </c>
      <c r="FL42" s="160"/>
      <c r="FM42" s="141"/>
      <c r="FN42" s="203" t="str">
        <f t="shared" si="102"/>
        <v xml:space="preserve">                                                                                                                                                                                                                                                                </v>
      </c>
      <c r="FO42" s="174" t="str">
        <f t="shared" si="24"/>
        <v>NG</v>
      </c>
      <c r="FP42" s="203"/>
      <c r="FQ42" s="172" t="s">
        <v>71</v>
      </c>
      <c r="FR42" s="160"/>
      <c r="FS42" s="141"/>
      <c r="FT42" s="203" t="str">
        <f t="shared" si="103"/>
        <v xml:space="preserve">                                                                                                                                                                                                                                                                </v>
      </c>
      <c r="FU42" s="174" t="str">
        <f t="shared" si="25"/>
        <v>NG</v>
      </c>
      <c r="FV42" s="203"/>
      <c r="FW42" s="172" t="s">
        <v>71</v>
      </c>
      <c r="FX42" s="160"/>
      <c r="FY42" s="141"/>
      <c r="FZ42" s="203" t="str">
        <f t="shared" si="104"/>
        <v xml:space="preserve">                                                                                                                                                                                                                                                                </v>
      </c>
      <c r="GA42" s="174" t="str">
        <f t="shared" si="26"/>
        <v>NG</v>
      </c>
      <c r="GB42" s="203"/>
      <c r="GC42" s="172" t="s">
        <v>71</v>
      </c>
    </row>
    <row r="43" spans="2:185" s="52" customFormat="1" ht="63.75">
      <c r="B43" s="48">
        <f t="shared" si="153"/>
        <v>36</v>
      </c>
      <c r="C43" s="37"/>
      <c r="D43" s="37"/>
      <c r="E43" s="37"/>
      <c r="F43" s="49" t="s">
        <v>198</v>
      </c>
      <c r="G43" s="39"/>
      <c r="H43" s="40"/>
      <c r="I43" s="42"/>
      <c r="J43" s="42"/>
      <c r="K43" s="42"/>
      <c r="L43" s="42"/>
      <c r="M43" s="63" t="s">
        <v>387</v>
      </c>
      <c r="N43" s="47"/>
      <c r="O43" s="143"/>
      <c r="P43" s="45">
        <f t="shared" si="192"/>
        <v>19</v>
      </c>
      <c r="Q43" s="46">
        <v>256</v>
      </c>
      <c r="R43" s="41" t="str">
        <f t="shared" si="193"/>
        <v>NX</v>
      </c>
      <c r="S43" s="185" t="s">
        <v>199</v>
      </c>
      <c r="T43" s="43"/>
      <c r="U43" s="41" t="s">
        <v>80</v>
      </c>
      <c r="V43" s="44"/>
      <c r="W43" s="22">
        <v>3</v>
      </c>
      <c r="X43" s="47" t="s">
        <v>200</v>
      </c>
      <c r="Y43" s="47">
        <v>1</v>
      </c>
      <c r="Z43" s="47">
        <v>256</v>
      </c>
      <c r="AA43" s="42" t="s">
        <v>195</v>
      </c>
      <c r="AB43" s="42" t="s">
        <v>80</v>
      </c>
      <c r="AC43" s="166"/>
      <c r="AD43" s="160"/>
      <c r="AE43" s="162"/>
      <c r="AF43" s="167" t="str">
        <f t="shared" si="203"/>
        <v xml:space="preserve">インターネット/TV                                                                                                                                                                                                                                               </v>
      </c>
      <c r="AG43" s="174" t="str">
        <f t="shared" si="1"/>
        <v>NG</v>
      </c>
      <c r="AH43" s="162" t="s">
        <v>389</v>
      </c>
      <c r="AI43" s="276" t="str">
        <f t="shared" ref="AI43:AI49" si="204">IF(OR(AE$8="判定対象外",AH$8="判定対象外",AH43="-"),"-",IF(AE43=AH43,"OK","NG"))</f>
        <v>NG</v>
      </c>
      <c r="AJ43" s="160"/>
      <c r="AK43" s="162"/>
      <c r="AL43" s="167" t="str">
        <f t="shared" si="154"/>
        <v xml:space="preserve">インターネット/TV                                                                                                                                                                                                                                               </v>
      </c>
      <c r="AM43" s="174" t="str">
        <f t="shared" si="195"/>
        <v>NG</v>
      </c>
      <c r="AN43" s="162" t="s">
        <v>389</v>
      </c>
      <c r="AO43" s="276" t="str">
        <f t="shared" ref="AO43:AO49" si="205">IF(OR(AK$8="判定対象外",AN$8="判定対象外",AN43="-"),"-",IF(AK43=AN43,"OK","NG"))</f>
        <v>NG</v>
      </c>
      <c r="AP43" s="160"/>
      <c r="AQ43" s="162"/>
      <c r="AR43" s="167" t="str">
        <f t="shared" si="157"/>
        <v xml:space="preserve">インターネット/TV                                                                                                                                                                                                                                               </v>
      </c>
      <c r="AS43" s="174" t="str">
        <f t="shared" si="158"/>
        <v>NG</v>
      </c>
      <c r="AT43" s="162" t="s">
        <v>388</v>
      </c>
      <c r="AU43" s="276" t="str">
        <f t="shared" ref="AU43:AU48" si="206">IF(OR(AQ$8="判定対象外",AT$8="判定対象外",AT43="-"),"-",IF(AQ43=AT43,"OK","NG"))</f>
        <v>NG</v>
      </c>
      <c r="AV43" s="160"/>
      <c r="AW43" s="162"/>
      <c r="AX43" s="167" t="str">
        <f t="shared" si="160"/>
        <v xml:space="preserve">インターネット/TV                                                                                                                                                                                                                                               </v>
      </c>
      <c r="AY43" s="174" t="str">
        <f t="shared" si="161"/>
        <v>NG</v>
      </c>
      <c r="AZ43" s="162" t="s">
        <v>388</v>
      </c>
      <c r="BA43" s="276" t="str">
        <f t="shared" ref="BA43:BA49" si="207">IF(OR(AW$8="判定対象外",AZ$8="判定対象外",AZ43="-"),"-",IF(AW43=AZ43,"OK","NG"))</f>
        <v>NG</v>
      </c>
      <c r="BB43" s="160"/>
      <c r="BC43" s="162"/>
      <c r="BD43" s="167" t="str">
        <f t="shared" si="163"/>
        <v xml:space="preserve">                                                                                                                                                                                                                                                                </v>
      </c>
      <c r="BE43" s="174" t="str">
        <f t="shared" si="164"/>
        <v>NG</v>
      </c>
      <c r="BF43" s="162"/>
      <c r="BG43" s="172" t="s">
        <v>71</v>
      </c>
      <c r="BH43" s="160"/>
      <c r="BI43" s="162"/>
      <c r="BJ43" s="162" t="s">
        <v>389</v>
      </c>
      <c r="BK43" s="174" t="str">
        <f t="shared" ref="BK43:BK48" si="208">IF(OR(BI$8="判定対象外",BJ$8="判定対象外",BJ43="-"),"-",IF(BI43=BJ43,"OK","NG"))</f>
        <v>NG</v>
      </c>
      <c r="BL43" s="162"/>
      <c r="BM43" s="172" t="s">
        <v>71</v>
      </c>
      <c r="BN43" s="160"/>
      <c r="BO43" s="162"/>
      <c r="BP43" s="162" t="s">
        <v>388</v>
      </c>
      <c r="BQ43" s="174" t="str">
        <f t="shared" ref="BQ43:BQ48" si="209">IF(OR(BO$8="判定対象外",BP$8="判定対象外",BP43="-"),"-",IF(BO43=BP43,"OK","NG"))</f>
        <v>NG</v>
      </c>
      <c r="BR43" s="162"/>
      <c r="BS43" s="172" t="s">
        <v>71</v>
      </c>
      <c r="BT43" s="160"/>
      <c r="BU43" s="162"/>
      <c r="BV43" s="167" t="str">
        <f t="shared" si="93"/>
        <v xml:space="preserve">                                                                                                                                                                                                                                                                </v>
      </c>
      <c r="BW43" s="174" t="str">
        <f t="shared" si="8"/>
        <v>NG</v>
      </c>
      <c r="BX43" s="162"/>
      <c r="BY43" s="172" t="s">
        <v>71</v>
      </c>
      <c r="BZ43" s="160"/>
      <c r="CA43" s="162"/>
      <c r="CB43" s="167" t="str">
        <f t="shared" si="94"/>
        <v xml:space="preserve">                                                                                                                                                                                                                                                                </v>
      </c>
      <c r="CC43" s="174" t="str">
        <f t="shared" si="9"/>
        <v>NG</v>
      </c>
      <c r="CD43" s="162"/>
      <c r="CE43" s="172" t="s">
        <v>71</v>
      </c>
      <c r="CF43" s="160"/>
      <c r="CG43" s="162"/>
      <c r="CH43" s="167" t="str">
        <f t="shared" si="95"/>
        <v xml:space="preserve">                                                                                                                                                                                                                                                                </v>
      </c>
      <c r="CI43" s="174" t="str">
        <f t="shared" si="10"/>
        <v>NG</v>
      </c>
      <c r="CJ43" s="162"/>
      <c r="CK43" s="172" t="s">
        <v>71</v>
      </c>
      <c r="CL43" s="160"/>
      <c r="CM43" s="162"/>
      <c r="CN43" s="167" t="str">
        <f t="shared" si="96"/>
        <v xml:space="preserve">                                                                                                                                                                                                                                                                </v>
      </c>
      <c r="CO43" s="174" t="str">
        <f t="shared" si="11"/>
        <v>NG</v>
      </c>
      <c r="CP43" s="162"/>
      <c r="CQ43" s="172" t="s">
        <v>71</v>
      </c>
      <c r="CR43" s="160"/>
      <c r="CS43" s="162"/>
      <c r="CT43" s="167" t="str">
        <f t="shared" si="97"/>
        <v xml:space="preserve">                                                                                                                                                                                                                                                                </v>
      </c>
      <c r="CU43" s="174" t="str">
        <f t="shared" si="12"/>
        <v>NG</v>
      </c>
      <c r="CV43" s="162"/>
      <c r="CW43" s="172" t="s">
        <v>71</v>
      </c>
      <c r="CX43" s="160"/>
      <c r="CY43" s="162"/>
      <c r="CZ43" s="167" t="str">
        <f t="shared" si="98"/>
        <v xml:space="preserve">                                                                                                                                                                                                                                                                </v>
      </c>
      <c r="DA43" s="174" t="str">
        <f t="shared" si="13"/>
        <v>NG</v>
      </c>
      <c r="DB43" s="162"/>
      <c r="DC43" s="172" t="s">
        <v>71</v>
      </c>
      <c r="DD43" s="160"/>
      <c r="DE43" s="162"/>
      <c r="DF43" s="167" t="str">
        <f t="shared" si="99"/>
        <v xml:space="preserve">                                                                                                                                                                                                                                                                </v>
      </c>
      <c r="DG43" s="174" t="str">
        <f t="shared" si="14"/>
        <v>NG</v>
      </c>
      <c r="DH43" s="162"/>
      <c r="DI43" s="172" t="s">
        <v>71</v>
      </c>
      <c r="DJ43" s="160"/>
      <c r="DK43" s="162"/>
      <c r="DL43" s="204"/>
      <c r="DM43" s="172" t="s">
        <v>71</v>
      </c>
      <c r="DN43" s="162"/>
      <c r="DO43" s="172" t="s">
        <v>71</v>
      </c>
      <c r="DP43" s="160"/>
      <c r="DQ43" s="162"/>
      <c r="DR43" s="203" t="str">
        <f t="shared" si="196"/>
        <v xml:space="preserve">                                                                                                                                                                                                                                                                </v>
      </c>
      <c r="DS43" s="172" t="s">
        <v>71</v>
      </c>
      <c r="DT43" s="162"/>
      <c r="DU43" s="172" t="s">
        <v>71</v>
      </c>
      <c r="DV43" s="160"/>
      <c r="DW43" s="162"/>
      <c r="DX43" s="203" t="str">
        <f t="shared" si="197"/>
        <v xml:space="preserve">                                                                                                                                                                                                                                                                </v>
      </c>
      <c r="DY43" s="172" t="s">
        <v>71</v>
      </c>
      <c r="DZ43" s="162"/>
      <c r="EA43" s="172" t="s">
        <v>71</v>
      </c>
      <c r="EB43" s="160"/>
      <c r="EC43" s="162"/>
      <c r="ED43" s="203" t="str">
        <f t="shared" si="198"/>
        <v xml:space="preserve">                                                                                                                                                                                                                                                                </v>
      </c>
      <c r="EE43" s="172" t="s">
        <v>71</v>
      </c>
      <c r="EF43" s="162"/>
      <c r="EG43" s="172" t="s">
        <v>71</v>
      </c>
      <c r="EH43" s="160"/>
      <c r="EI43" s="162"/>
      <c r="EJ43" s="203" t="str">
        <f t="shared" si="199"/>
        <v xml:space="preserve">                                                                                                                                                                                                                                                                </v>
      </c>
      <c r="EK43" s="172" t="s">
        <v>71</v>
      </c>
      <c r="EL43" s="162"/>
      <c r="EM43" s="172" t="s">
        <v>71</v>
      </c>
      <c r="EN43" s="160"/>
      <c r="EO43" s="162"/>
      <c r="EP43" s="203" t="str">
        <f t="shared" si="200"/>
        <v xml:space="preserve">                                                                                                                                                                                                                                                                </v>
      </c>
      <c r="EQ43" s="172" t="s">
        <v>71</v>
      </c>
      <c r="ER43" s="162"/>
      <c r="ES43" s="172" t="s">
        <v>71</v>
      </c>
      <c r="ET43" s="160"/>
      <c r="EU43" s="162"/>
      <c r="EV43" s="203" t="str">
        <f t="shared" si="201"/>
        <v xml:space="preserve">                                                                                                                                                                                                                                                                </v>
      </c>
      <c r="EW43" s="172" t="s">
        <v>71</v>
      </c>
      <c r="EX43" s="162"/>
      <c r="EY43" s="172" t="s">
        <v>71</v>
      </c>
      <c r="EZ43" s="160"/>
      <c r="FA43" s="162"/>
      <c r="FB43" s="203" t="str">
        <f t="shared" si="202"/>
        <v xml:space="preserve">                                                                                                                                                                                                                                                                </v>
      </c>
      <c r="FC43" s="172" t="s">
        <v>71</v>
      </c>
      <c r="FD43" s="162"/>
      <c r="FE43" s="172" t="s">
        <v>71</v>
      </c>
      <c r="FF43" s="160"/>
      <c r="FG43" s="162"/>
      <c r="FH43" s="167" t="str">
        <f t="shared" si="101"/>
        <v xml:space="preserve">                                                                                                                                                                                                                                                                </v>
      </c>
      <c r="FI43" s="174" t="str">
        <f t="shared" si="23"/>
        <v>NG</v>
      </c>
      <c r="FJ43" s="204"/>
      <c r="FK43" s="172" t="s">
        <v>71</v>
      </c>
      <c r="FL43" s="160"/>
      <c r="FM43" s="162"/>
      <c r="FN43" s="167" t="str">
        <f t="shared" si="102"/>
        <v xml:space="preserve">                                                                                                                                                                                                                                                                </v>
      </c>
      <c r="FO43" s="174" t="str">
        <f t="shared" si="24"/>
        <v>NG</v>
      </c>
      <c r="FP43" s="204"/>
      <c r="FQ43" s="172" t="s">
        <v>71</v>
      </c>
      <c r="FR43" s="160"/>
      <c r="FS43" s="162"/>
      <c r="FT43" s="167" t="str">
        <f t="shared" si="103"/>
        <v xml:space="preserve">                                                                                                                                                                                                                                                                </v>
      </c>
      <c r="FU43" s="174" t="str">
        <f t="shared" si="25"/>
        <v>NG</v>
      </c>
      <c r="FV43" s="204"/>
      <c r="FW43" s="172" t="s">
        <v>71</v>
      </c>
      <c r="FX43" s="160"/>
      <c r="FY43" s="162"/>
      <c r="FZ43" s="167" t="str">
        <f t="shared" si="104"/>
        <v xml:space="preserve">                                                                                                                                                                                                                                                                </v>
      </c>
      <c r="GA43" s="174" t="str">
        <f t="shared" si="26"/>
        <v>NG</v>
      </c>
      <c r="GB43" s="204"/>
      <c r="GC43" s="172" t="s">
        <v>71</v>
      </c>
    </row>
    <row r="44" spans="2:185" s="52" customFormat="1" ht="63.75">
      <c r="B44" s="48">
        <f t="shared" si="153"/>
        <v>37</v>
      </c>
      <c r="C44" s="37"/>
      <c r="D44" s="37"/>
      <c r="E44" s="37"/>
      <c r="F44" s="49" t="s">
        <v>201</v>
      </c>
      <c r="G44" s="39"/>
      <c r="H44" s="40"/>
      <c r="I44" s="42"/>
      <c r="J44" s="42"/>
      <c r="K44" s="42"/>
      <c r="L44" s="42"/>
      <c r="M44" s="63" t="s">
        <v>328</v>
      </c>
      <c r="N44" s="47"/>
      <c r="O44" s="143"/>
      <c r="P44" s="45">
        <f t="shared" si="192"/>
        <v>20</v>
      </c>
      <c r="Q44" s="46">
        <v>256</v>
      </c>
      <c r="R44" s="41" t="str">
        <f t="shared" si="193"/>
        <v>NX</v>
      </c>
      <c r="S44" s="185" t="s">
        <v>202</v>
      </c>
      <c r="T44" s="43"/>
      <c r="U44" s="41" t="s">
        <v>80</v>
      </c>
      <c r="V44" s="44"/>
      <c r="W44" s="22">
        <v>3</v>
      </c>
      <c r="X44" s="47" t="s">
        <v>203</v>
      </c>
      <c r="Y44" s="47">
        <v>1</v>
      </c>
      <c r="Z44" s="47">
        <v>256</v>
      </c>
      <c r="AA44" s="42" t="s">
        <v>195</v>
      </c>
      <c r="AB44" s="42" t="s">
        <v>80</v>
      </c>
      <c r="AC44" s="166"/>
      <c r="AD44" s="160"/>
      <c r="AE44" s="162"/>
      <c r="AF44" s="167" t="str">
        <f t="shared" si="203"/>
        <v xml:space="preserve">電話                                                                                                                                                                                                                                                            </v>
      </c>
      <c r="AG44" s="174" t="str">
        <f t="shared" si="1"/>
        <v>NG</v>
      </c>
      <c r="AH44" s="162" t="s">
        <v>390</v>
      </c>
      <c r="AI44" s="276" t="str">
        <f t="shared" si="204"/>
        <v>NG</v>
      </c>
      <c r="AJ44" s="160"/>
      <c r="AK44" s="162"/>
      <c r="AL44" s="167" t="str">
        <f t="shared" si="154"/>
        <v xml:space="preserve">電話                                                                                                                                                                                                                                                            </v>
      </c>
      <c r="AM44" s="174" t="str">
        <f t="shared" si="195"/>
        <v>NG</v>
      </c>
      <c r="AN44" s="162" t="s">
        <v>390</v>
      </c>
      <c r="AO44" s="276" t="str">
        <f t="shared" si="205"/>
        <v>NG</v>
      </c>
      <c r="AP44" s="160"/>
      <c r="AQ44" s="162"/>
      <c r="AR44" s="167" t="str">
        <f t="shared" si="157"/>
        <v xml:space="preserve">電話                                                                                                                                                                                                                                                            </v>
      </c>
      <c r="AS44" s="174" t="str">
        <f t="shared" si="158"/>
        <v>NG</v>
      </c>
      <c r="AT44" s="162" t="s">
        <v>400</v>
      </c>
      <c r="AU44" s="276" t="str">
        <f t="shared" si="206"/>
        <v>NG</v>
      </c>
      <c r="AV44" s="160"/>
      <c r="AW44" s="162"/>
      <c r="AX44" s="167" t="str">
        <f t="shared" si="160"/>
        <v xml:space="preserve">電話                                                                                                                                                                                                                                                            </v>
      </c>
      <c r="AY44" s="174" t="str">
        <f t="shared" si="161"/>
        <v>NG</v>
      </c>
      <c r="AZ44" s="162" t="s">
        <v>400</v>
      </c>
      <c r="BA44" s="276" t="str">
        <f t="shared" si="207"/>
        <v>NG</v>
      </c>
      <c r="BB44" s="160"/>
      <c r="BC44" s="162"/>
      <c r="BD44" s="167" t="str">
        <f t="shared" si="163"/>
        <v xml:space="preserve">                                                                                                                                                                                                                                                                </v>
      </c>
      <c r="BE44" s="174" t="str">
        <f t="shared" si="164"/>
        <v>NG</v>
      </c>
      <c r="BF44" s="162"/>
      <c r="BG44" s="172" t="s">
        <v>71</v>
      </c>
      <c r="BH44" s="160"/>
      <c r="BI44" s="162"/>
      <c r="BJ44" s="162" t="s">
        <v>390</v>
      </c>
      <c r="BK44" s="174" t="str">
        <f t="shared" si="208"/>
        <v>NG</v>
      </c>
      <c r="BL44" s="162"/>
      <c r="BM44" s="172" t="s">
        <v>71</v>
      </c>
      <c r="BN44" s="160"/>
      <c r="BO44" s="162"/>
      <c r="BP44" s="162" t="s">
        <v>400</v>
      </c>
      <c r="BQ44" s="174" t="str">
        <f t="shared" si="209"/>
        <v>NG</v>
      </c>
      <c r="BR44" s="162"/>
      <c r="BS44" s="172" t="s">
        <v>71</v>
      </c>
      <c r="BT44" s="160"/>
      <c r="BU44" s="162"/>
      <c r="BV44" s="167" t="str">
        <f t="shared" si="93"/>
        <v xml:space="preserve">                                                                                                                                                                                                                                                                </v>
      </c>
      <c r="BW44" s="174" t="str">
        <f t="shared" si="8"/>
        <v>NG</v>
      </c>
      <c r="BX44" s="162"/>
      <c r="BY44" s="172" t="s">
        <v>71</v>
      </c>
      <c r="BZ44" s="160"/>
      <c r="CA44" s="162"/>
      <c r="CB44" s="167" t="str">
        <f t="shared" si="94"/>
        <v xml:space="preserve">                                                                                                                                                                                                                                                                </v>
      </c>
      <c r="CC44" s="174" t="str">
        <f t="shared" si="9"/>
        <v>NG</v>
      </c>
      <c r="CD44" s="162"/>
      <c r="CE44" s="172" t="s">
        <v>71</v>
      </c>
      <c r="CF44" s="160"/>
      <c r="CG44" s="162"/>
      <c r="CH44" s="167" t="str">
        <f t="shared" si="95"/>
        <v xml:space="preserve">                                                                                                                                                                                                                                                                </v>
      </c>
      <c r="CI44" s="174" t="str">
        <f t="shared" si="10"/>
        <v>NG</v>
      </c>
      <c r="CJ44" s="162"/>
      <c r="CK44" s="172" t="s">
        <v>71</v>
      </c>
      <c r="CL44" s="160"/>
      <c r="CM44" s="162"/>
      <c r="CN44" s="167" t="str">
        <f t="shared" si="96"/>
        <v xml:space="preserve">                                                                                                                                                                                                                                                                </v>
      </c>
      <c r="CO44" s="174" t="str">
        <f t="shared" si="11"/>
        <v>NG</v>
      </c>
      <c r="CP44" s="162"/>
      <c r="CQ44" s="172" t="s">
        <v>71</v>
      </c>
      <c r="CR44" s="160"/>
      <c r="CS44" s="162"/>
      <c r="CT44" s="167" t="str">
        <f t="shared" si="97"/>
        <v xml:space="preserve">                                                                                                                                                                                                                                                                </v>
      </c>
      <c r="CU44" s="174" t="str">
        <f t="shared" si="12"/>
        <v>NG</v>
      </c>
      <c r="CV44" s="162"/>
      <c r="CW44" s="172" t="s">
        <v>71</v>
      </c>
      <c r="CX44" s="160"/>
      <c r="CY44" s="162"/>
      <c r="CZ44" s="167" t="str">
        <f t="shared" si="98"/>
        <v xml:space="preserve">                                                                                                                                                                                                                                                                </v>
      </c>
      <c r="DA44" s="174" t="str">
        <f t="shared" si="13"/>
        <v>NG</v>
      </c>
      <c r="DB44" s="162"/>
      <c r="DC44" s="172" t="s">
        <v>71</v>
      </c>
      <c r="DD44" s="160"/>
      <c r="DE44" s="162"/>
      <c r="DF44" s="167" t="str">
        <f t="shared" si="99"/>
        <v xml:space="preserve">                                                                                                                                                                                                                                                                </v>
      </c>
      <c r="DG44" s="174" t="str">
        <f t="shared" si="14"/>
        <v>NG</v>
      </c>
      <c r="DH44" s="162"/>
      <c r="DI44" s="172" t="s">
        <v>71</v>
      </c>
      <c r="DJ44" s="160"/>
      <c r="DK44" s="162"/>
      <c r="DL44" s="204"/>
      <c r="DM44" s="172" t="s">
        <v>71</v>
      </c>
      <c r="DN44" s="162"/>
      <c r="DO44" s="172" t="s">
        <v>71</v>
      </c>
      <c r="DP44" s="160"/>
      <c r="DQ44" s="162"/>
      <c r="DR44" s="203" t="str">
        <f t="shared" si="196"/>
        <v xml:space="preserve">                                                                                                                                                                                                                                                                </v>
      </c>
      <c r="DS44" s="172" t="s">
        <v>71</v>
      </c>
      <c r="DT44" s="162"/>
      <c r="DU44" s="172" t="s">
        <v>71</v>
      </c>
      <c r="DV44" s="160"/>
      <c r="DW44" s="162"/>
      <c r="DX44" s="203" t="str">
        <f t="shared" si="197"/>
        <v xml:space="preserve">                                                                                                                                                                                                                                                                </v>
      </c>
      <c r="DY44" s="172" t="s">
        <v>71</v>
      </c>
      <c r="DZ44" s="162"/>
      <c r="EA44" s="172" t="s">
        <v>71</v>
      </c>
      <c r="EB44" s="160"/>
      <c r="EC44" s="162"/>
      <c r="ED44" s="203" t="str">
        <f t="shared" si="198"/>
        <v xml:space="preserve">                                                                                                                                                                                                                                                                </v>
      </c>
      <c r="EE44" s="172" t="s">
        <v>71</v>
      </c>
      <c r="EF44" s="162"/>
      <c r="EG44" s="172" t="s">
        <v>71</v>
      </c>
      <c r="EH44" s="160"/>
      <c r="EI44" s="162"/>
      <c r="EJ44" s="203" t="str">
        <f t="shared" si="199"/>
        <v xml:space="preserve">                                                                                                                                                                                                                                                                </v>
      </c>
      <c r="EK44" s="172" t="s">
        <v>71</v>
      </c>
      <c r="EL44" s="162"/>
      <c r="EM44" s="172" t="s">
        <v>71</v>
      </c>
      <c r="EN44" s="160"/>
      <c r="EO44" s="162"/>
      <c r="EP44" s="203" t="str">
        <f t="shared" si="200"/>
        <v xml:space="preserve">                                                                                                                                                                                                                                                                </v>
      </c>
      <c r="EQ44" s="172" t="s">
        <v>71</v>
      </c>
      <c r="ER44" s="162"/>
      <c r="ES44" s="172" t="s">
        <v>71</v>
      </c>
      <c r="ET44" s="160"/>
      <c r="EU44" s="162"/>
      <c r="EV44" s="203" t="str">
        <f t="shared" si="201"/>
        <v xml:space="preserve">                                                                                                                                                                                                                                                                </v>
      </c>
      <c r="EW44" s="172" t="s">
        <v>71</v>
      </c>
      <c r="EX44" s="162"/>
      <c r="EY44" s="172" t="s">
        <v>71</v>
      </c>
      <c r="EZ44" s="160"/>
      <c r="FA44" s="162"/>
      <c r="FB44" s="203" t="str">
        <f t="shared" si="202"/>
        <v xml:space="preserve">                                                                                                                                                                                                                                                                </v>
      </c>
      <c r="FC44" s="172" t="s">
        <v>71</v>
      </c>
      <c r="FD44" s="162"/>
      <c r="FE44" s="172" t="s">
        <v>71</v>
      </c>
      <c r="FF44" s="160"/>
      <c r="FG44" s="162"/>
      <c r="FH44" s="167" t="str">
        <f t="shared" si="101"/>
        <v xml:space="preserve">                                                                                                                                                                                                                                                                </v>
      </c>
      <c r="FI44" s="174" t="str">
        <f t="shared" si="23"/>
        <v>NG</v>
      </c>
      <c r="FJ44" s="204"/>
      <c r="FK44" s="172" t="s">
        <v>71</v>
      </c>
      <c r="FL44" s="160"/>
      <c r="FM44" s="162"/>
      <c r="FN44" s="167" t="str">
        <f t="shared" si="102"/>
        <v xml:space="preserve">                                                                                                                                                                                                                                                                </v>
      </c>
      <c r="FO44" s="174" t="str">
        <f t="shared" si="24"/>
        <v>NG</v>
      </c>
      <c r="FP44" s="204"/>
      <c r="FQ44" s="172" t="s">
        <v>71</v>
      </c>
      <c r="FR44" s="160"/>
      <c r="FS44" s="162"/>
      <c r="FT44" s="167" t="str">
        <f t="shared" si="103"/>
        <v xml:space="preserve">                                                                                                                                                                                                                                                                </v>
      </c>
      <c r="FU44" s="174" t="str">
        <f t="shared" si="25"/>
        <v>NG</v>
      </c>
      <c r="FV44" s="204"/>
      <c r="FW44" s="172" t="s">
        <v>71</v>
      </c>
      <c r="FX44" s="160"/>
      <c r="FY44" s="162"/>
      <c r="FZ44" s="167" t="str">
        <f t="shared" si="104"/>
        <v xml:space="preserve">                                                                                                                                                                                                                                                                </v>
      </c>
      <c r="GA44" s="174" t="str">
        <f t="shared" si="26"/>
        <v>NG</v>
      </c>
      <c r="GB44" s="204"/>
      <c r="GC44" s="172" t="s">
        <v>71</v>
      </c>
    </row>
    <row r="45" spans="2:185" s="52" customFormat="1" ht="69" customHeight="1">
      <c r="B45" s="53">
        <f t="shared" si="153"/>
        <v>38</v>
      </c>
      <c r="C45" s="37"/>
      <c r="D45" s="37"/>
      <c r="E45" s="37"/>
      <c r="F45" s="188" t="s">
        <v>329</v>
      </c>
      <c r="G45" s="39"/>
      <c r="H45" s="40"/>
      <c r="I45" s="42"/>
      <c r="J45" s="42" t="s">
        <v>316</v>
      </c>
      <c r="K45" s="42"/>
      <c r="L45" s="42"/>
      <c r="M45" s="63" t="s">
        <v>330</v>
      </c>
      <c r="N45" s="47"/>
      <c r="O45" s="143"/>
      <c r="P45" s="45">
        <f t="shared" si="192"/>
        <v>21</v>
      </c>
      <c r="Q45" s="46">
        <v>1</v>
      </c>
      <c r="R45" s="41" t="s">
        <v>81</v>
      </c>
      <c r="S45" s="185" t="s">
        <v>204</v>
      </c>
      <c r="T45" s="43"/>
      <c r="U45" s="41" t="s">
        <v>80</v>
      </c>
      <c r="V45" s="44"/>
      <c r="W45" s="22">
        <v>3</v>
      </c>
      <c r="X45" s="47" t="s">
        <v>205</v>
      </c>
      <c r="Y45" s="47">
        <v>1</v>
      </c>
      <c r="Z45" s="47">
        <v>1</v>
      </c>
      <c r="AA45" s="42">
        <v>9</v>
      </c>
      <c r="AB45" s="42" t="s">
        <v>57</v>
      </c>
      <c r="AC45" s="166"/>
      <c r="AD45" s="160"/>
      <c r="AE45" s="162"/>
      <c r="AF45" s="203" t="str">
        <f t="shared" si="203"/>
        <v>1</v>
      </c>
      <c r="AG45" s="174" t="str">
        <f t="shared" si="1"/>
        <v>NG</v>
      </c>
      <c r="AH45" s="162" t="s">
        <v>476</v>
      </c>
      <c r="AI45" s="276" t="str">
        <f t="shared" si="204"/>
        <v>NG</v>
      </c>
      <c r="AJ45" s="160"/>
      <c r="AK45" s="162"/>
      <c r="AL45" s="203" t="str">
        <f t="shared" si="154"/>
        <v>1</v>
      </c>
      <c r="AM45" s="174" t="str">
        <f t="shared" si="195"/>
        <v>NG</v>
      </c>
      <c r="AN45" s="162" t="s">
        <v>476</v>
      </c>
      <c r="AO45" s="276" t="str">
        <f t="shared" si="205"/>
        <v>NG</v>
      </c>
      <c r="AP45" s="160"/>
      <c r="AQ45" s="162"/>
      <c r="AR45" s="203" t="str">
        <f t="shared" si="157"/>
        <v>1</v>
      </c>
      <c r="AS45" s="174" t="str">
        <f t="shared" si="158"/>
        <v>NG</v>
      </c>
      <c r="AT45" s="162" t="s">
        <v>476</v>
      </c>
      <c r="AU45" s="276" t="str">
        <f t="shared" si="206"/>
        <v>NG</v>
      </c>
      <c r="AV45" s="160"/>
      <c r="AW45" s="162"/>
      <c r="AX45" s="203" t="str">
        <f t="shared" si="160"/>
        <v>1</v>
      </c>
      <c r="AY45" s="174" t="str">
        <f t="shared" si="161"/>
        <v>NG</v>
      </c>
      <c r="AZ45" s="162" t="s">
        <v>476</v>
      </c>
      <c r="BA45" s="276" t="str">
        <f t="shared" si="207"/>
        <v>NG</v>
      </c>
      <c r="BB45" s="160"/>
      <c r="BC45" s="162"/>
      <c r="BD45" s="203" t="str">
        <f t="shared" si="163"/>
        <v>1</v>
      </c>
      <c r="BE45" s="174" t="str">
        <f t="shared" si="164"/>
        <v>NG</v>
      </c>
      <c r="BF45" s="162" t="s">
        <v>476</v>
      </c>
      <c r="BG45" s="172" t="s">
        <v>71</v>
      </c>
      <c r="BH45" s="160"/>
      <c r="BI45" s="162"/>
      <c r="BJ45" s="203">
        <v>1</v>
      </c>
      <c r="BK45" s="174" t="str">
        <f t="shared" si="208"/>
        <v>NG</v>
      </c>
      <c r="BL45" s="162"/>
      <c r="BM45" s="172" t="s">
        <v>71</v>
      </c>
      <c r="BN45" s="160"/>
      <c r="BO45" s="162"/>
      <c r="BP45" s="203">
        <v>1</v>
      </c>
      <c r="BQ45" s="174" t="str">
        <f t="shared" si="209"/>
        <v>NG</v>
      </c>
      <c r="BR45" s="162"/>
      <c r="BS45" s="172" t="s">
        <v>71</v>
      </c>
      <c r="BT45" s="160"/>
      <c r="BU45" s="162"/>
      <c r="BV45" s="203" t="str">
        <f t="shared" si="93"/>
        <v>1</v>
      </c>
      <c r="BW45" s="174" t="str">
        <f t="shared" si="8"/>
        <v>NG</v>
      </c>
      <c r="BX45" s="162" t="s">
        <v>476</v>
      </c>
      <c r="BY45" s="276" t="str">
        <f>IF(OR(BU$8="判定対象外",BX$8="判定対象外",BX45="-"),"-",IF(BU45=BX45,"OK","NG"))</f>
        <v>NG</v>
      </c>
      <c r="BZ45" s="160"/>
      <c r="CA45" s="162"/>
      <c r="CB45" s="203" t="str">
        <f t="shared" si="94"/>
        <v>1</v>
      </c>
      <c r="CC45" s="174" t="str">
        <f t="shared" si="9"/>
        <v>NG</v>
      </c>
      <c r="CD45" s="162" t="s">
        <v>313</v>
      </c>
      <c r="CE45" s="276" t="str">
        <f>IF(OR(CA$8="判定対象外",CD$8="判定対象外",CD45="-"),"-",IF(CA45=CD45,"OK","NG"))</f>
        <v>NG</v>
      </c>
      <c r="CF45" s="160"/>
      <c r="CG45" s="162"/>
      <c r="CH45" s="203" t="str">
        <f t="shared" si="95"/>
        <v>1</v>
      </c>
      <c r="CI45" s="174" t="str">
        <f t="shared" si="10"/>
        <v>NG</v>
      </c>
      <c r="CJ45" s="162" t="s">
        <v>313</v>
      </c>
      <c r="CK45" s="276" t="str">
        <f>IF(OR(CG$8="判定対象外",CJ$8="判定対象外",CJ45="-"),"-",IF(CG45=CJ45,"OK","NG"))</f>
        <v>NG</v>
      </c>
      <c r="CL45" s="160"/>
      <c r="CM45" s="162"/>
      <c r="CN45" s="203" t="str">
        <f t="shared" si="96"/>
        <v>1</v>
      </c>
      <c r="CO45" s="174" t="str">
        <f t="shared" si="11"/>
        <v>NG</v>
      </c>
      <c r="CP45" s="162" t="s">
        <v>313</v>
      </c>
      <c r="CQ45" s="276" t="str">
        <f>IF(OR(CM$8="判定対象外",CP$8="判定対象外",CP45="-"),"-",IF(CM45=CP45,"OK","NG"))</f>
        <v>NG</v>
      </c>
      <c r="CR45" s="160"/>
      <c r="CS45" s="162"/>
      <c r="CT45" s="203" t="str">
        <f t="shared" si="97"/>
        <v>1</v>
      </c>
      <c r="CU45" s="174" t="str">
        <f t="shared" si="12"/>
        <v>NG</v>
      </c>
      <c r="CV45" s="162" t="s">
        <v>313</v>
      </c>
      <c r="CW45" s="276" t="str">
        <f>IF(OR(CS$8="判定対象外",CV$8="判定対象外",CV45="-"),"-",IF(CS45=CV45,"OK","NG"))</f>
        <v>NG</v>
      </c>
      <c r="CX45" s="160"/>
      <c r="CY45" s="162"/>
      <c r="CZ45" s="203" t="str">
        <f t="shared" si="98"/>
        <v>1</v>
      </c>
      <c r="DA45" s="174" t="str">
        <f t="shared" si="13"/>
        <v>NG</v>
      </c>
      <c r="DB45" s="162" t="s">
        <v>313</v>
      </c>
      <c r="DC45" s="276" t="str">
        <f>IF(OR(CY$8="判定対象外",DB$8="判定対象外",DB45="-"),"-",IF(CY45=DB45,"OK","NG"))</f>
        <v>NG</v>
      </c>
      <c r="DD45" s="160"/>
      <c r="DE45" s="162"/>
      <c r="DF45" s="203" t="str">
        <f t="shared" si="99"/>
        <v>1</v>
      </c>
      <c r="DG45" s="174" t="str">
        <f t="shared" si="14"/>
        <v>NG</v>
      </c>
      <c r="DH45" s="162" t="s">
        <v>313</v>
      </c>
      <c r="DI45" s="276" t="str">
        <f>IF(OR(DE$8="判定対象外",DH$8="判定対象外",DH45="-"),"-",IF(DE45=DH45,"OK","NG"))</f>
        <v>NG</v>
      </c>
      <c r="DJ45" s="160"/>
      <c r="DK45" s="162"/>
      <c r="DL45" s="204">
        <v>1</v>
      </c>
      <c r="DM45" s="174" t="str">
        <f>IF(OR(DK$8="判定対象外",DL$8="判定対象外",DL45="-"),"-",IF(DK45=DL45,"OK","NG"))</f>
        <v>NG</v>
      </c>
      <c r="DN45" s="162"/>
      <c r="DO45" s="172" t="s">
        <v>71</v>
      </c>
      <c r="DP45" s="160"/>
      <c r="DQ45" s="162"/>
      <c r="DR45" s="203" t="str">
        <f t="shared" si="196"/>
        <v>1</v>
      </c>
      <c r="DS45" s="174" t="str">
        <f>IF(OR(DQ$8="判定対象外",DR$8="判定対象外",DR45="-"),"-",IF(DQ45=DR45,"OK","NG"))</f>
        <v>NG</v>
      </c>
      <c r="DT45" s="162">
        <v>1</v>
      </c>
      <c r="DU45" s="172" t="s">
        <v>71</v>
      </c>
      <c r="DV45" s="160"/>
      <c r="DW45" s="162"/>
      <c r="DX45" s="203" t="str">
        <f t="shared" si="197"/>
        <v>1</v>
      </c>
      <c r="DY45" s="174" t="str">
        <f>IF(OR(DW$8="判定対象外",DX$8="判定対象外",DX45="-"),"-",IF(DW45=DX45,"OK","NG"))</f>
        <v>NG</v>
      </c>
      <c r="DZ45" s="162">
        <v>1</v>
      </c>
      <c r="EA45" s="172" t="s">
        <v>71</v>
      </c>
      <c r="EB45" s="160"/>
      <c r="EC45" s="162"/>
      <c r="ED45" s="203" t="str">
        <f t="shared" si="198"/>
        <v>1</v>
      </c>
      <c r="EE45" s="174" t="str">
        <f>IF(OR(EC$8="判定対象外",ED$8="判定対象外",ED45="-"),"-",IF(EC45=ED45,"OK","NG"))</f>
        <v>NG</v>
      </c>
      <c r="EF45" s="162">
        <v>1</v>
      </c>
      <c r="EG45" s="172" t="s">
        <v>71</v>
      </c>
      <c r="EH45" s="160"/>
      <c r="EI45" s="162"/>
      <c r="EJ45" s="203" t="str">
        <f t="shared" si="199"/>
        <v>1</v>
      </c>
      <c r="EK45" s="174" t="str">
        <f>IF(OR(EI$8="判定対象外",EJ$8="判定対象外",EJ45="-"),"-",IF(EI45=EJ45,"OK","NG"))</f>
        <v>NG</v>
      </c>
      <c r="EL45" s="162">
        <v>1</v>
      </c>
      <c r="EM45" s="172" t="s">
        <v>71</v>
      </c>
      <c r="EN45" s="160"/>
      <c r="EO45" s="162"/>
      <c r="EP45" s="203" t="str">
        <f t="shared" si="200"/>
        <v>1</v>
      </c>
      <c r="EQ45" s="174" t="str">
        <f>IF(OR(EO$8="判定対象外",EP$8="判定対象外",EP45="-"),"-",IF(EO45=EP45,"OK","NG"))</f>
        <v>NG</v>
      </c>
      <c r="ER45" s="162">
        <v>1</v>
      </c>
      <c r="ES45" s="172" t="s">
        <v>71</v>
      </c>
      <c r="ET45" s="160"/>
      <c r="EU45" s="162"/>
      <c r="EV45" s="203" t="str">
        <f t="shared" si="201"/>
        <v>1</v>
      </c>
      <c r="EW45" s="174" t="str">
        <f>IF(OR(EU$8="判定対象外",EV$8="判定対象外",EV45="-"),"-",IF(EU45=EV45,"OK","NG"))</f>
        <v>NG</v>
      </c>
      <c r="EX45" s="162">
        <v>1</v>
      </c>
      <c r="EY45" s="172" t="s">
        <v>71</v>
      </c>
      <c r="EZ45" s="160"/>
      <c r="FA45" s="162"/>
      <c r="FB45" s="203" t="str">
        <f t="shared" si="202"/>
        <v>1</v>
      </c>
      <c r="FC45" s="174" t="str">
        <f>IF(OR(FA$8="判定対象外",FB$8="判定対象外",FB45="-"),"-",IF(FA45=FB45,"OK","NG"))</f>
        <v>NG</v>
      </c>
      <c r="FD45" s="162">
        <v>1</v>
      </c>
      <c r="FE45" s="172" t="s">
        <v>71</v>
      </c>
      <c r="FF45" s="160"/>
      <c r="FG45" s="162"/>
      <c r="FH45" s="203" t="str">
        <f t="shared" si="101"/>
        <v>1</v>
      </c>
      <c r="FI45" s="174" t="str">
        <f t="shared" si="23"/>
        <v>NG</v>
      </c>
      <c r="FJ45" s="204" t="s">
        <v>476</v>
      </c>
      <c r="FK45" s="276" t="str">
        <f>IF(OR(FG$8="判定対象外",FJ$8="判定対象外",FJ45="-"),"-",IF(FG45=FJ45,"OK","NG"))</f>
        <v>NG</v>
      </c>
      <c r="FL45" s="160"/>
      <c r="FM45" s="162"/>
      <c r="FN45" s="203" t="str">
        <f t="shared" si="102"/>
        <v>1</v>
      </c>
      <c r="FO45" s="174" t="str">
        <f t="shared" si="24"/>
        <v>NG</v>
      </c>
      <c r="FP45" s="204" t="s">
        <v>476</v>
      </c>
      <c r="FQ45" s="276" t="str">
        <f>IF(OR(FM$8="判定対象外",FP$8="判定対象外",FP45="-"),"-",IF(FM45=FP45,"OK","NG"))</f>
        <v>NG</v>
      </c>
      <c r="FR45" s="160"/>
      <c r="FS45" s="162"/>
      <c r="FT45" s="203" t="str">
        <f t="shared" si="103"/>
        <v>1</v>
      </c>
      <c r="FU45" s="174" t="str">
        <f t="shared" si="25"/>
        <v>NG</v>
      </c>
      <c r="FV45" s="162" t="s">
        <v>313</v>
      </c>
      <c r="FW45" s="276" t="str">
        <f>IF(OR(FS$8="判定対象外",FV$8="判定対象外",FV45="-"),"-",IF(FS45=FV45,"OK","NG"))</f>
        <v>NG</v>
      </c>
      <c r="FX45" s="160"/>
      <c r="FY45" s="162"/>
      <c r="FZ45" s="203" t="str">
        <f t="shared" si="104"/>
        <v>1</v>
      </c>
      <c r="GA45" s="174" t="str">
        <f t="shared" si="26"/>
        <v>NG</v>
      </c>
      <c r="GB45" s="162" t="s">
        <v>313</v>
      </c>
      <c r="GC45" s="276" t="str">
        <f>IF(OR(FY$8="判定対象外",GB$8="判定対象外",GB45="-"),"-",IF(FY45=GB45,"OK","NG"))</f>
        <v>NG</v>
      </c>
    </row>
    <row r="46" spans="2:185" s="52" customFormat="1" ht="114.75">
      <c r="B46" s="48">
        <f t="shared" si="153"/>
        <v>39</v>
      </c>
      <c r="C46" s="37"/>
      <c r="D46" s="37"/>
      <c r="E46" s="37"/>
      <c r="F46" s="49" t="s">
        <v>206</v>
      </c>
      <c r="G46" s="39"/>
      <c r="H46" s="40"/>
      <c r="I46" s="42"/>
      <c r="J46" s="42"/>
      <c r="K46" s="42"/>
      <c r="L46" s="42"/>
      <c r="M46" s="163" t="s">
        <v>331</v>
      </c>
      <c r="N46" s="47"/>
      <c r="O46" s="143"/>
      <c r="P46" s="45">
        <f t="shared" si="192"/>
        <v>22</v>
      </c>
      <c r="Q46" s="46">
        <v>1</v>
      </c>
      <c r="R46" s="41" t="s">
        <v>81</v>
      </c>
      <c r="S46" s="185" t="s">
        <v>207</v>
      </c>
      <c r="T46" s="43"/>
      <c r="U46" s="41" t="s">
        <v>80</v>
      </c>
      <c r="V46" s="44"/>
      <c r="W46" s="22">
        <v>3</v>
      </c>
      <c r="X46" s="47" t="s">
        <v>98</v>
      </c>
      <c r="Y46" s="47">
        <v>1</v>
      </c>
      <c r="Z46" s="47">
        <v>1</v>
      </c>
      <c r="AA46" s="42">
        <v>9</v>
      </c>
      <c r="AB46" s="42" t="s">
        <v>57</v>
      </c>
      <c r="AC46" s="215"/>
      <c r="AD46" s="160"/>
      <c r="AE46" s="162"/>
      <c r="AF46" s="203" t="str">
        <f t="shared" si="203"/>
        <v>1</v>
      </c>
      <c r="AG46" s="174" t="str">
        <f t="shared" si="1"/>
        <v>NG</v>
      </c>
      <c r="AH46" s="162" t="s">
        <v>476</v>
      </c>
      <c r="AI46" s="276" t="str">
        <f t="shared" si="204"/>
        <v>NG</v>
      </c>
      <c r="AJ46" s="160"/>
      <c r="AK46" s="162"/>
      <c r="AL46" s="203" t="str">
        <f t="shared" si="154"/>
        <v>1</v>
      </c>
      <c r="AM46" s="174" t="str">
        <f t="shared" si="195"/>
        <v>NG</v>
      </c>
      <c r="AN46" s="162" t="s">
        <v>476</v>
      </c>
      <c r="AO46" s="276" t="str">
        <f t="shared" si="205"/>
        <v>NG</v>
      </c>
      <c r="AP46" s="160"/>
      <c r="AQ46" s="162"/>
      <c r="AR46" s="203" t="str">
        <f t="shared" si="157"/>
        <v>1</v>
      </c>
      <c r="AS46" s="174" t="str">
        <f t="shared" si="158"/>
        <v>NG</v>
      </c>
      <c r="AT46" s="162" t="s">
        <v>476</v>
      </c>
      <c r="AU46" s="276" t="str">
        <f t="shared" si="206"/>
        <v>NG</v>
      </c>
      <c r="AV46" s="160"/>
      <c r="AW46" s="162"/>
      <c r="AX46" s="203" t="str">
        <f t="shared" si="160"/>
        <v>1</v>
      </c>
      <c r="AY46" s="174" t="str">
        <f t="shared" si="161"/>
        <v>NG</v>
      </c>
      <c r="AZ46" s="162" t="s">
        <v>476</v>
      </c>
      <c r="BA46" s="276" t="str">
        <f t="shared" si="207"/>
        <v>NG</v>
      </c>
      <c r="BB46" s="160"/>
      <c r="BC46" s="162"/>
      <c r="BD46" s="203" t="str">
        <f t="shared" si="163"/>
        <v xml:space="preserve"> </v>
      </c>
      <c r="BE46" s="174" t="str">
        <f t="shared" si="164"/>
        <v>NG</v>
      </c>
      <c r="BF46" s="162"/>
      <c r="BG46" s="172" t="s">
        <v>71</v>
      </c>
      <c r="BH46" s="160"/>
      <c r="BI46" s="162"/>
      <c r="BJ46" s="203">
        <v>1</v>
      </c>
      <c r="BK46" s="174" t="str">
        <f t="shared" si="208"/>
        <v>NG</v>
      </c>
      <c r="BL46" s="162"/>
      <c r="BM46" s="172" t="s">
        <v>71</v>
      </c>
      <c r="BN46" s="160"/>
      <c r="BO46" s="162"/>
      <c r="BP46" s="203">
        <v>1</v>
      </c>
      <c r="BQ46" s="174" t="str">
        <f t="shared" si="209"/>
        <v>NG</v>
      </c>
      <c r="BR46" s="162"/>
      <c r="BS46" s="172" t="s">
        <v>71</v>
      </c>
      <c r="BT46" s="160"/>
      <c r="BU46" s="162"/>
      <c r="BV46" s="203" t="str">
        <f t="shared" si="93"/>
        <v xml:space="preserve"> </v>
      </c>
      <c r="BW46" s="174" t="str">
        <f t="shared" si="8"/>
        <v>NG</v>
      </c>
      <c r="BX46" s="162"/>
      <c r="BY46" s="172" t="s">
        <v>71</v>
      </c>
      <c r="BZ46" s="160"/>
      <c r="CA46" s="162"/>
      <c r="CB46" s="203" t="str">
        <f t="shared" si="94"/>
        <v xml:space="preserve"> </v>
      </c>
      <c r="CC46" s="174" t="str">
        <f t="shared" si="9"/>
        <v>NG</v>
      </c>
      <c r="CD46" s="162"/>
      <c r="CE46" s="172" t="s">
        <v>71</v>
      </c>
      <c r="CF46" s="160"/>
      <c r="CG46" s="162"/>
      <c r="CH46" s="203" t="str">
        <f t="shared" si="95"/>
        <v xml:space="preserve"> </v>
      </c>
      <c r="CI46" s="174" t="str">
        <f t="shared" si="10"/>
        <v>NG</v>
      </c>
      <c r="CJ46" s="162"/>
      <c r="CK46" s="172" t="s">
        <v>71</v>
      </c>
      <c r="CL46" s="160"/>
      <c r="CM46" s="162"/>
      <c r="CN46" s="203" t="str">
        <f t="shared" si="96"/>
        <v xml:space="preserve"> </v>
      </c>
      <c r="CO46" s="174" t="str">
        <f t="shared" si="11"/>
        <v>NG</v>
      </c>
      <c r="CP46" s="162"/>
      <c r="CQ46" s="172" t="s">
        <v>71</v>
      </c>
      <c r="CR46" s="160"/>
      <c r="CS46" s="162"/>
      <c r="CT46" s="203" t="str">
        <f t="shared" si="97"/>
        <v xml:space="preserve"> </v>
      </c>
      <c r="CU46" s="174" t="str">
        <f t="shared" si="12"/>
        <v>NG</v>
      </c>
      <c r="CV46" s="162"/>
      <c r="CW46" s="172" t="s">
        <v>71</v>
      </c>
      <c r="CX46" s="160"/>
      <c r="CY46" s="162"/>
      <c r="CZ46" s="203" t="str">
        <f t="shared" si="98"/>
        <v xml:space="preserve"> </v>
      </c>
      <c r="DA46" s="174" t="str">
        <f t="shared" si="13"/>
        <v>NG</v>
      </c>
      <c r="DB46" s="162"/>
      <c r="DC46" s="172" t="s">
        <v>71</v>
      </c>
      <c r="DD46" s="160"/>
      <c r="DE46" s="162"/>
      <c r="DF46" s="203" t="str">
        <f t="shared" si="99"/>
        <v xml:space="preserve"> </v>
      </c>
      <c r="DG46" s="174" t="str">
        <f t="shared" si="14"/>
        <v>NG</v>
      </c>
      <c r="DH46" s="162"/>
      <c r="DI46" s="172" t="s">
        <v>71</v>
      </c>
      <c r="DJ46" s="160"/>
      <c r="DK46" s="162"/>
      <c r="DL46" s="204"/>
      <c r="DM46" s="172" t="s">
        <v>71</v>
      </c>
      <c r="DN46" s="162"/>
      <c r="DO46" s="172" t="s">
        <v>71</v>
      </c>
      <c r="DP46" s="160"/>
      <c r="DQ46" s="162"/>
      <c r="DR46" s="203" t="str">
        <f t="shared" si="196"/>
        <v xml:space="preserve"> </v>
      </c>
      <c r="DS46" s="172" t="s">
        <v>71</v>
      </c>
      <c r="DT46" s="162"/>
      <c r="DU46" s="172" t="s">
        <v>71</v>
      </c>
      <c r="DV46" s="160"/>
      <c r="DW46" s="162"/>
      <c r="DX46" s="203" t="str">
        <f t="shared" si="197"/>
        <v xml:space="preserve"> </v>
      </c>
      <c r="DY46" s="172" t="s">
        <v>71</v>
      </c>
      <c r="DZ46" s="162"/>
      <c r="EA46" s="172" t="s">
        <v>71</v>
      </c>
      <c r="EB46" s="160"/>
      <c r="EC46" s="162"/>
      <c r="ED46" s="203" t="str">
        <f t="shared" si="198"/>
        <v xml:space="preserve"> </v>
      </c>
      <c r="EE46" s="172" t="s">
        <v>71</v>
      </c>
      <c r="EF46" s="162"/>
      <c r="EG46" s="172" t="s">
        <v>71</v>
      </c>
      <c r="EH46" s="160"/>
      <c r="EI46" s="162"/>
      <c r="EJ46" s="203" t="str">
        <f t="shared" si="199"/>
        <v xml:space="preserve"> </v>
      </c>
      <c r="EK46" s="172" t="s">
        <v>71</v>
      </c>
      <c r="EL46" s="162"/>
      <c r="EM46" s="172" t="s">
        <v>71</v>
      </c>
      <c r="EN46" s="160"/>
      <c r="EO46" s="162"/>
      <c r="EP46" s="203" t="str">
        <f t="shared" si="200"/>
        <v xml:space="preserve"> </v>
      </c>
      <c r="EQ46" s="172" t="s">
        <v>71</v>
      </c>
      <c r="ER46" s="162"/>
      <c r="ES46" s="172" t="s">
        <v>71</v>
      </c>
      <c r="ET46" s="160"/>
      <c r="EU46" s="162"/>
      <c r="EV46" s="203" t="str">
        <f t="shared" si="201"/>
        <v xml:space="preserve"> </v>
      </c>
      <c r="EW46" s="172" t="s">
        <v>71</v>
      </c>
      <c r="EX46" s="162"/>
      <c r="EY46" s="172" t="s">
        <v>71</v>
      </c>
      <c r="EZ46" s="160"/>
      <c r="FA46" s="162"/>
      <c r="FB46" s="203" t="str">
        <f t="shared" si="202"/>
        <v xml:space="preserve"> </v>
      </c>
      <c r="FC46" s="172" t="s">
        <v>71</v>
      </c>
      <c r="FD46" s="162"/>
      <c r="FE46" s="172" t="s">
        <v>71</v>
      </c>
      <c r="FF46" s="160"/>
      <c r="FG46" s="162"/>
      <c r="FH46" s="203" t="str">
        <f t="shared" si="101"/>
        <v xml:space="preserve"> </v>
      </c>
      <c r="FI46" s="174" t="str">
        <f t="shared" si="23"/>
        <v>NG</v>
      </c>
      <c r="FJ46" s="204"/>
      <c r="FK46" s="172" t="s">
        <v>71</v>
      </c>
      <c r="FL46" s="160"/>
      <c r="FM46" s="162"/>
      <c r="FN46" s="203" t="str">
        <f t="shared" si="102"/>
        <v xml:space="preserve"> </v>
      </c>
      <c r="FO46" s="174" t="str">
        <f t="shared" si="24"/>
        <v>NG</v>
      </c>
      <c r="FP46" s="204"/>
      <c r="FQ46" s="172" t="s">
        <v>71</v>
      </c>
      <c r="FR46" s="160"/>
      <c r="FS46" s="162"/>
      <c r="FT46" s="203" t="str">
        <f t="shared" si="103"/>
        <v xml:space="preserve"> </v>
      </c>
      <c r="FU46" s="174" t="str">
        <f t="shared" si="25"/>
        <v>NG</v>
      </c>
      <c r="FV46" s="204"/>
      <c r="FW46" s="172" t="s">
        <v>71</v>
      </c>
      <c r="FX46" s="160"/>
      <c r="FY46" s="162"/>
      <c r="FZ46" s="203" t="str">
        <f t="shared" si="104"/>
        <v xml:space="preserve"> </v>
      </c>
      <c r="GA46" s="174" t="str">
        <f t="shared" si="26"/>
        <v>NG</v>
      </c>
      <c r="GB46" s="204"/>
      <c r="GC46" s="172" t="s">
        <v>71</v>
      </c>
    </row>
    <row r="47" spans="2:185" s="52" customFormat="1" ht="129" customHeight="1">
      <c r="B47" s="216">
        <f t="shared" si="153"/>
        <v>40</v>
      </c>
      <c r="C47" s="37"/>
      <c r="D47" s="37"/>
      <c r="E47" s="37"/>
      <c r="F47" s="188" t="s">
        <v>332</v>
      </c>
      <c r="G47" s="39"/>
      <c r="H47" s="40"/>
      <c r="I47" s="42"/>
      <c r="J47" s="42"/>
      <c r="K47" s="42"/>
      <c r="L47" s="42"/>
      <c r="M47" s="63" t="s">
        <v>333</v>
      </c>
      <c r="N47" s="47"/>
      <c r="O47" s="143"/>
      <c r="P47" s="45">
        <f t="shared" si="192"/>
        <v>23</v>
      </c>
      <c r="Q47" s="46">
        <v>1</v>
      </c>
      <c r="R47" s="41" t="str">
        <f t="shared" si="193"/>
        <v>X</v>
      </c>
      <c r="S47" s="185" t="s">
        <v>208</v>
      </c>
      <c r="T47" s="43"/>
      <c r="U47" s="41" t="s">
        <v>80</v>
      </c>
      <c r="V47" s="44"/>
      <c r="W47" s="22">
        <v>3</v>
      </c>
      <c r="X47" s="47" t="s">
        <v>209</v>
      </c>
      <c r="Y47" s="47">
        <v>1</v>
      </c>
      <c r="Z47" s="47">
        <v>1</v>
      </c>
      <c r="AA47" s="42" t="s">
        <v>81</v>
      </c>
      <c r="AB47" s="42" t="s">
        <v>80</v>
      </c>
      <c r="AC47" s="166"/>
      <c r="AD47" s="160"/>
      <c r="AE47" s="162"/>
      <c r="AF47" s="203" t="str">
        <f t="shared" si="203"/>
        <v>1</v>
      </c>
      <c r="AG47" s="174" t="str">
        <f t="shared" si="1"/>
        <v>NG</v>
      </c>
      <c r="AH47" s="162" t="s">
        <v>476</v>
      </c>
      <c r="AI47" s="276" t="str">
        <f t="shared" si="204"/>
        <v>NG</v>
      </c>
      <c r="AJ47" s="160"/>
      <c r="AK47" s="162"/>
      <c r="AL47" s="203" t="str">
        <f t="shared" si="154"/>
        <v>1</v>
      </c>
      <c r="AM47" s="174" t="str">
        <f t="shared" si="195"/>
        <v>NG</v>
      </c>
      <c r="AN47" s="162" t="s">
        <v>476</v>
      </c>
      <c r="AO47" s="276" t="str">
        <f t="shared" si="205"/>
        <v>NG</v>
      </c>
      <c r="AP47" s="160"/>
      <c r="AQ47" s="162"/>
      <c r="AR47" s="203" t="str">
        <f t="shared" si="157"/>
        <v>1</v>
      </c>
      <c r="AS47" s="174" t="str">
        <f t="shared" si="158"/>
        <v>NG</v>
      </c>
      <c r="AT47" s="162" t="s">
        <v>476</v>
      </c>
      <c r="AU47" s="276" t="str">
        <f t="shared" si="206"/>
        <v>NG</v>
      </c>
      <c r="AV47" s="160"/>
      <c r="AW47" s="162"/>
      <c r="AX47" s="203" t="str">
        <f t="shared" si="160"/>
        <v>1</v>
      </c>
      <c r="AY47" s="174" t="str">
        <f t="shared" si="161"/>
        <v>NG</v>
      </c>
      <c r="AZ47" s="162" t="s">
        <v>476</v>
      </c>
      <c r="BA47" s="276" t="str">
        <f t="shared" si="207"/>
        <v>NG</v>
      </c>
      <c r="BB47" s="160"/>
      <c r="BC47" s="162"/>
      <c r="BD47" s="203" t="str">
        <f t="shared" si="163"/>
        <v xml:space="preserve"> </v>
      </c>
      <c r="BE47" s="174" t="str">
        <f t="shared" si="164"/>
        <v>NG</v>
      </c>
      <c r="BF47" s="162"/>
      <c r="BG47" s="172" t="s">
        <v>71</v>
      </c>
      <c r="BH47" s="160"/>
      <c r="BI47" s="162"/>
      <c r="BJ47" s="203">
        <v>1</v>
      </c>
      <c r="BK47" s="174" t="str">
        <f t="shared" si="208"/>
        <v>NG</v>
      </c>
      <c r="BL47" s="162"/>
      <c r="BM47" s="172" t="s">
        <v>71</v>
      </c>
      <c r="BN47" s="160"/>
      <c r="BO47" s="162"/>
      <c r="BP47" s="203">
        <v>1</v>
      </c>
      <c r="BQ47" s="174" t="str">
        <f t="shared" si="209"/>
        <v>NG</v>
      </c>
      <c r="BR47" s="162"/>
      <c r="BS47" s="172" t="s">
        <v>71</v>
      </c>
      <c r="BT47" s="160"/>
      <c r="BU47" s="162"/>
      <c r="BV47" s="203" t="str">
        <f t="shared" si="93"/>
        <v>1</v>
      </c>
      <c r="BW47" s="174" t="str">
        <f t="shared" si="8"/>
        <v>NG</v>
      </c>
      <c r="BX47" s="162" t="s">
        <v>476</v>
      </c>
      <c r="BY47" s="276" t="str">
        <f>IF(OR(BU$8="判定対象外",BX$8="判定対象外",BX47="-"),"-",IF(BU47=BX47,"OK","NG"))</f>
        <v>NG</v>
      </c>
      <c r="BZ47" s="160"/>
      <c r="CA47" s="162"/>
      <c r="CB47" s="203" t="str">
        <f t="shared" si="94"/>
        <v>5</v>
      </c>
      <c r="CC47" s="174" t="str">
        <f t="shared" si="9"/>
        <v>NG</v>
      </c>
      <c r="CD47" s="162" t="s">
        <v>477</v>
      </c>
      <c r="CE47" s="276" t="str">
        <f>IF(OR(CA$8="判定対象外",CD$8="判定対象外",CD47="-"),"-",IF(CA47=CD47,"OK","NG"))</f>
        <v>NG</v>
      </c>
      <c r="CF47" s="160"/>
      <c r="CG47" s="162"/>
      <c r="CH47" s="203" t="str">
        <f t="shared" si="95"/>
        <v>5</v>
      </c>
      <c r="CI47" s="174" t="str">
        <f t="shared" si="10"/>
        <v>NG</v>
      </c>
      <c r="CJ47" s="162" t="s">
        <v>477</v>
      </c>
      <c r="CK47" s="276" t="str">
        <f>IF(OR(CG$8="判定対象外",CJ$8="判定対象外",CJ47="-"),"-",IF(CG47=CJ47,"OK","NG"))</f>
        <v>NG</v>
      </c>
      <c r="CL47" s="160"/>
      <c r="CM47" s="162"/>
      <c r="CN47" s="203" t="str">
        <f t="shared" si="96"/>
        <v>5</v>
      </c>
      <c r="CO47" s="174" t="str">
        <f t="shared" si="11"/>
        <v>NG</v>
      </c>
      <c r="CP47" s="162" t="s">
        <v>477</v>
      </c>
      <c r="CQ47" s="276" t="str">
        <f>IF(OR(CM$8="判定対象外",CP$8="判定対象外",CP47="-"),"-",IF(CM47=CP47,"OK","NG"))</f>
        <v>NG</v>
      </c>
      <c r="CR47" s="160"/>
      <c r="CS47" s="162"/>
      <c r="CT47" s="203" t="str">
        <f t="shared" si="97"/>
        <v>5</v>
      </c>
      <c r="CU47" s="174" t="str">
        <f t="shared" si="12"/>
        <v>NG</v>
      </c>
      <c r="CV47" s="162" t="s">
        <v>408</v>
      </c>
      <c r="CW47" s="276" t="str">
        <f>IF(OR(CS$8="判定対象外",CV$8="判定対象外",CV47="-"),"-",IF(CS47=CV47,"OK","NG"))</f>
        <v>NG</v>
      </c>
      <c r="CX47" s="160"/>
      <c r="CY47" s="162"/>
      <c r="CZ47" s="203" t="str">
        <f t="shared" si="98"/>
        <v>5</v>
      </c>
      <c r="DA47" s="174" t="str">
        <f t="shared" si="13"/>
        <v>NG</v>
      </c>
      <c r="DB47" s="162" t="s">
        <v>477</v>
      </c>
      <c r="DC47" s="276" t="str">
        <f>IF(OR(CY$8="判定対象外",DB$8="判定対象外",DB47="-"),"-",IF(CY47=DB47,"OK","NG"))</f>
        <v>NG</v>
      </c>
      <c r="DD47" s="160"/>
      <c r="DE47" s="162"/>
      <c r="DF47" s="203" t="str">
        <f t="shared" si="99"/>
        <v>5</v>
      </c>
      <c r="DG47" s="174" t="str">
        <f t="shared" si="14"/>
        <v>NG</v>
      </c>
      <c r="DH47" s="162" t="s">
        <v>477</v>
      </c>
      <c r="DI47" s="276" t="str">
        <f>IF(OR(DE$8="判定対象外",DH$8="判定対象外",DH47="-"),"-",IF(DE47=DH47,"OK","NG"))</f>
        <v>NG</v>
      </c>
      <c r="DJ47" s="160"/>
      <c r="DK47" s="162"/>
      <c r="DL47" s="204">
        <v>1</v>
      </c>
      <c r="DM47" s="174" t="str">
        <f>IF(OR(DK$8="判定対象外",DL$8="判定対象外",DL47="-"),"-",IF(DK47=DL47,"OK","NG"))</f>
        <v>NG</v>
      </c>
      <c r="DN47" s="162"/>
      <c r="DO47" s="172" t="s">
        <v>71</v>
      </c>
      <c r="DP47" s="160"/>
      <c r="DQ47" s="162"/>
      <c r="DR47" s="203" t="str">
        <f t="shared" si="196"/>
        <v>1</v>
      </c>
      <c r="DS47" s="174" t="str">
        <f>IF(OR(DQ$8="判定対象外",DR$8="判定対象外",DR47="-"),"-",IF(DQ47=DR47,"OK","NG"))</f>
        <v>NG</v>
      </c>
      <c r="DT47" s="162">
        <v>1</v>
      </c>
      <c r="DU47" s="172" t="s">
        <v>71</v>
      </c>
      <c r="DV47" s="160"/>
      <c r="DW47" s="162"/>
      <c r="DX47" s="203" t="str">
        <f t="shared" si="197"/>
        <v>1</v>
      </c>
      <c r="DY47" s="174" t="str">
        <f>IF(OR(DW$8="判定対象外",DX$8="判定対象外",DX47="-"),"-",IF(DW47=DX47,"OK","NG"))</f>
        <v>NG</v>
      </c>
      <c r="DZ47" s="162">
        <v>1</v>
      </c>
      <c r="EA47" s="172" t="s">
        <v>71</v>
      </c>
      <c r="EB47" s="160"/>
      <c r="EC47" s="162"/>
      <c r="ED47" s="203" t="str">
        <f t="shared" si="198"/>
        <v>5</v>
      </c>
      <c r="EE47" s="174" t="str">
        <f>IF(OR(EC$8="判定対象外",ED$8="判定対象外",ED47="-"),"-",IF(EC47=ED47,"OK","NG"))</f>
        <v>NG</v>
      </c>
      <c r="EF47" s="162">
        <v>5</v>
      </c>
      <c r="EG47" s="172" t="s">
        <v>71</v>
      </c>
      <c r="EH47" s="160"/>
      <c r="EI47" s="162"/>
      <c r="EJ47" s="203" t="str">
        <f t="shared" si="199"/>
        <v>5</v>
      </c>
      <c r="EK47" s="174" t="str">
        <f>IF(OR(EI$8="判定対象外",EJ$8="判定対象外",EJ47="-"),"-",IF(EI47=EJ47,"OK","NG"))</f>
        <v>NG</v>
      </c>
      <c r="EL47" s="162">
        <v>5</v>
      </c>
      <c r="EM47" s="172" t="s">
        <v>71</v>
      </c>
      <c r="EN47" s="160"/>
      <c r="EO47" s="162"/>
      <c r="EP47" s="203" t="str">
        <f t="shared" si="200"/>
        <v>5</v>
      </c>
      <c r="EQ47" s="174" t="str">
        <f>IF(OR(EO$8="判定対象外",EP$8="判定対象外",EP47="-"),"-",IF(EO47=EP47,"OK","NG"))</f>
        <v>NG</v>
      </c>
      <c r="ER47" s="162">
        <v>5</v>
      </c>
      <c r="ES47" s="172" t="s">
        <v>71</v>
      </c>
      <c r="ET47" s="160"/>
      <c r="EU47" s="162"/>
      <c r="EV47" s="203" t="str">
        <f t="shared" si="201"/>
        <v>5</v>
      </c>
      <c r="EW47" s="174" t="str">
        <f>IF(OR(EU$8="判定対象外",EV$8="判定対象外",EV47="-"),"-",IF(EU47=EV47,"OK","NG"))</f>
        <v>NG</v>
      </c>
      <c r="EX47" s="162">
        <v>5</v>
      </c>
      <c r="EY47" s="172" t="s">
        <v>71</v>
      </c>
      <c r="EZ47" s="160"/>
      <c r="FA47" s="162"/>
      <c r="FB47" s="203" t="str">
        <f t="shared" si="202"/>
        <v>5</v>
      </c>
      <c r="FC47" s="174" t="str">
        <f>IF(OR(FA$8="判定対象外",FB$8="判定対象外",FB47="-"),"-",IF(FA47=FB47,"OK","NG"))</f>
        <v>NG</v>
      </c>
      <c r="FD47" s="162">
        <v>5</v>
      </c>
      <c r="FE47" s="172" t="s">
        <v>71</v>
      </c>
      <c r="FF47" s="160"/>
      <c r="FG47" s="162"/>
      <c r="FH47" s="203" t="str">
        <f t="shared" si="101"/>
        <v>5</v>
      </c>
      <c r="FI47" s="174" t="str">
        <f t="shared" si="23"/>
        <v>NG</v>
      </c>
      <c r="FJ47" s="204" t="s">
        <v>477</v>
      </c>
      <c r="FK47" s="276" t="str">
        <f>IF(OR(FG$8="判定対象外",FJ$8="判定対象外",FJ47="-"),"-",IF(FG47=FJ47,"OK","NG"))</f>
        <v>NG</v>
      </c>
      <c r="FL47" s="160"/>
      <c r="FM47" s="162"/>
      <c r="FN47" s="203" t="str">
        <f t="shared" si="102"/>
        <v>5</v>
      </c>
      <c r="FO47" s="174" t="str">
        <f t="shared" si="24"/>
        <v>NG</v>
      </c>
      <c r="FP47" s="204" t="s">
        <v>477</v>
      </c>
      <c r="FQ47" s="276" t="str">
        <f>IF(OR(FM$8="判定対象外",FP$8="判定対象外",FP47="-"),"-",IF(FM47=FP47,"OK","NG"))</f>
        <v>NG</v>
      </c>
      <c r="FR47" s="160"/>
      <c r="FS47" s="162"/>
      <c r="FT47" s="203" t="str">
        <f t="shared" si="103"/>
        <v>5</v>
      </c>
      <c r="FU47" s="174" t="str">
        <f t="shared" si="25"/>
        <v>NG</v>
      </c>
      <c r="FV47" s="204">
        <v>5</v>
      </c>
      <c r="FW47" s="276" t="str">
        <f>IF(OR(FS$8="判定対象外",FV$8="判定対象外",FV47="-"),"-",IF(FS47=FV47,"OK","NG"))</f>
        <v>NG</v>
      </c>
      <c r="FX47" s="160"/>
      <c r="FY47" s="162"/>
      <c r="FZ47" s="203" t="str">
        <f t="shared" si="104"/>
        <v>5</v>
      </c>
      <c r="GA47" s="174" t="str">
        <f t="shared" si="26"/>
        <v>NG</v>
      </c>
      <c r="GB47" s="204">
        <v>5</v>
      </c>
      <c r="GC47" s="276" t="str">
        <f>IF(OR(FY$8="判定対象外",GB$8="判定対象外",GB47="-"),"-",IF(FY47=GB47,"OK","NG"))</f>
        <v>NG</v>
      </c>
    </row>
    <row r="48" spans="2:185" s="52" customFormat="1">
      <c r="B48" s="216">
        <f t="shared" si="153"/>
        <v>41</v>
      </c>
      <c r="C48" s="37"/>
      <c r="D48" s="37"/>
      <c r="E48" s="37"/>
      <c r="F48" s="49" t="s">
        <v>210</v>
      </c>
      <c r="G48" s="39"/>
      <c r="H48" s="40"/>
      <c r="I48" s="42"/>
      <c r="J48" s="42"/>
      <c r="K48" s="42"/>
      <c r="L48" s="42"/>
      <c r="M48" s="163" t="s">
        <v>334</v>
      </c>
      <c r="N48" s="47"/>
      <c r="O48" s="143"/>
      <c r="P48" s="45">
        <f t="shared" si="192"/>
        <v>24</v>
      </c>
      <c r="Q48" s="46">
        <v>400</v>
      </c>
      <c r="R48" s="41" t="str">
        <f t="shared" si="193"/>
        <v>NX</v>
      </c>
      <c r="S48" s="185" t="s">
        <v>211</v>
      </c>
      <c r="T48" s="43"/>
      <c r="U48" s="41" t="s">
        <v>80</v>
      </c>
      <c r="V48" s="44"/>
      <c r="W48" s="22">
        <v>3</v>
      </c>
      <c r="X48" s="47" t="s">
        <v>212</v>
      </c>
      <c r="Y48" s="47">
        <v>1</v>
      </c>
      <c r="Z48" s="47">
        <v>400</v>
      </c>
      <c r="AA48" s="42" t="s">
        <v>195</v>
      </c>
      <c r="AB48" s="42" t="s">
        <v>80</v>
      </c>
      <c r="AC48" s="166"/>
      <c r="AD48" s="160"/>
      <c r="AE48" s="162"/>
      <c r="AF48" s="175" t="str">
        <f t="shared" si="203"/>
        <v xml:space="preserve">申込受付中。                                                                                                                                                                                                                                                                                                                                                                                                    </v>
      </c>
      <c r="AG48" s="174" t="str">
        <f t="shared" si="1"/>
        <v>NG</v>
      </c>
      <c r="AH48" s="162" t="s">
        <v>395</v>
      </c>
      <c r="AI48" s="276" t="str">
        <f t="shared" si="204"/>
        <v>NG</v>
      </c>
      <c r="AJ48" s="160"/>
      <c r="AK48" s="162"/>
      <c r="AL48" s="175" t="str">
        <f t="shared" si="154"/>
        <v xml:space="preserve">申込受付中。                                                                                                                                                                                                                                                                                                                                                                                                    </v>
      </c>
      <c r="AM48" s="174" t="str">
        <f t="shared" si="195"/>
        <v>NG</v>
      </c>
      <c r="AN48" s="162" t="s">
        <v>395</v>
      </c>
      <c r="AO48" s="276" t="str">
        <f t="shared" si="205"/>
        <v>NG</v>
      </c>
      <c r="AP48" s="160"/>
      <c r="AQ48" s="162"/>
      <c r="AR48" s="175" t="str">
        <f t="shared" si="157"/>
        <v xml:space="preserve">申込受付中。                                                                                                                                                                                                                                                                                                                                                                                                    </v>
      </c>
      <c r="AS48" s="174" t="str">
        <f t="shared" si="158"/>
        <v>NG</v>
      </c>
      <c r="AT48" s="162" t="s">
        <v>395</v>
      </c>
      <c r="AU48" s="276" t="str">
        <f t="shared" si="206"/>
        <v>NG</v>
      </c>
      <c r="AV48" s="160"/>
      <c r="AW48" s="162"/>
      <c r="AX48" s="175" t="str">
        <f t="shared" si="160"/>
        <v xml:space="preserve">申込受付中。                                                                                                                                                                                                                                                                                                                                                                                                    </v>
      </c>
      <c r="AY48" s="174" t="str">
        <f t="shared" si="161"/>
        <v>NG</v>
      </c>
      <c r="AZ48" s="162" t="s">
        <v>406</v>
      </c>
      <c r="BA48" s="276" t="str">
        <f t="shared" si="207"/>
        <v>NG</v>
      </c>
      <c r="BB48" s="160"/>
      <c r="BC48" s="162"/>
      <c r="BD48" s="175" t="str">
        <f t="shared" si="163"/>
        <v xml:space="preserve">申込受付中。                                                                                                                                                                                                                                                                                                                                                                                                    </v>
      </c>
      <c r="BE48" s="174" t="str">
        <f t="shared" si="164"/>
        <v>NG</v>
      </c>
      <c r="BF48" s="162" t="s">
        <v>406</v>
      </c>
      <c r="BG48" s="276" t="str">
        <f>IF(OR(BC$8="判定対象外",BF$8="判定対象外",BF48="-"),"-",IF(BC48=BF48,"OK","NG"))</f>
        <v>NG</v>
      </c>
      <c r="BH48" s="160"/>
      <c r="BI48" s="162"/>
      <c r="BJ48" s="175" t="s">
        <v>395</v>
      </c>
      <c r="BK48" s="174" t="str">
        <f t="shared" si="208"/>
        <v>NG</v>
      </c>
      <c r="BL48" s="162"/>
      <c r="BM48" s="172" t="s">
        <v>71</v>
      </c>
      <c r="BN48" s="160"/>
      <c r="BO48" s="162"/>
      <c r="BP48" s="175" t="s">
        <v>395</v>
      </c>
      <c r="BQ48" s="174" t="str">
        <f t="shared" si="209"/>
        <v>NG</v>
      </c>
      <c r="BR48" s="162"/>
      <c r="BS48" s="172" t="s">
        <v>71</v>
      </c>
      <c r="BT48" s="160"/>
      <c r="BU48" s="162"/>
      <c r="BV48" s="175" t="str">
        <f t="shared" si="93"/>
        <v xml:space="preserve">申込受付中。                                                                                                                                                                                                                                                                                                                                                                                                    </v>
      </c>
      <c r="BW48" s="174" t="str">
        <f t="shared" si="8"/>
        <v>NG</v>
      </c>
      <c r="BX48" s="162" t="s">
        <v>406</v>
      </c>
      <c r="BY48" s="276" t="str">
        <f>IF(OR(BU$8="判定対象外",BX$8="判定対象外",BX48="-"),"-",IF(BU48=BX48,"OK","NG"))</f>
        <v>NG</v>
      </c>
      <c r="BZ48" s="160"/>
      <c r="CA48" s="162"/>
      <c r="CB48" s="175" t="str">
        <f t="shared" si="94"/>
        <v xml:space="preserve">申込受付中。                                                                                                                                                                                                                                                                                                                                                                                                    </v>
      </c>
      <c r="CC48" s="174" t="str">
        <f t="shared" si="9"/>
        <v>NG</v>
      </c>
      <c r="CD48" s="162" t="s">
        <v>395</v>
      </c>
      <c r="CE48" s="276" t="str">
        <f>IF(OR(CA$8="判定対象外",CD$8="判定対象外",CD48="-"),"-",IF(CA48=CD48,"OK","NG"))</f>
        <v>NG</v>
      </c>
      <c r="CF48" s="160"/>
      <c r="CG48" s="162"/>
      <c r="CH48" s="175" t="str">
        <f t="shared" si="95"/>
        <v xml:space="preserve">申込受付中。                                                                                                                                                                                                                                                                                                                                                                                                    </v>
      </c>
      <c r="CI48" s="174" t="str">
        <f t="shared" si="10"/>
        <v>NG</v>
      </c>
      <c r="CJ48" s="162" t="s">
        <v>395</v>
      </c>
      <c r="CK48" s="276" t="str">
        <f>IF(OR(CG$8="判定対象外",CJ$8="判定対象外",CJ48="-"),"-",IF(CG48=CJ48,"OK","NG"))</f>
        <v>NG</v>
      </c>
      <c r="CL48" s="160"/>
      <c r="CM48" s="162"/>
      <c r="CN48" s="175" t="str">
        <f t="shared" si="96"/>
        <v xml:space="preserve">申込受付中。                                                                                                                                                                                                                                                                                                                                                                                                    </v>
      </c>
      <c r="CO48" s="174" t="str">
        <f t="shared" si="11"/>
        <v>NG</v>
      </c>
      <c r="CP48" s="162" t="s">
        <v>395</v>
      </c>
      <c r="CQ48" s="276" t="str">
        <f>IF(OR(CM$8="判定対象外",CP$8="判定対象外",CP48="-"),"-",IF(CM48=CP48,"OK","NG"))</f>
        <v>NG</v>
      </c>
      <c r="CR48" s="160"/>
      <c r="CS48" s="162"/>
      <c r="CT48" s="175" t="str">
        <f t="shared" si="97"/>
        <v xml:space="preserve">申込受付中。                                                                                                                                                                                                                                                                                                                                                                                                    </v>
      </c>
      <c r="CU48" s="174" t="str">
        <f t="shared" si="12"/>
        <v>NG</v>
      </c>
      <c r="CV48" s="162" t="s">
        <v>395</v>
      </c>
      <c r="CW48" s="276" t="str">
        <f>IF(OR(CS$8="判定対象外",CV$8="判定対象外",CV48="-"),"-",IF(CS48=CV48,"OK","NG"))</f>
        <v>NG</v>
      </c>
      <c r="CX48" s="160"/>
      <c r="CY48" s="162"/>
      <c r="CZ48" s="175" t="str">
        <f t="shared" si="98"/>
        <v xml:space="preserve">申込受付中。                                                                                                                                                                                                                                                                                                                                                                                                    </v>
      </c>
      <c r="DA48" s="174" t="str">
        <f t="shared" si="13"/>
        <v>NG</v>
      </c>
      <c r="DB48" s="162" t="s">
        <v>395</v>
      </c>
      <c r="DC48" s="276" t="str">
        <f>IF(OR(CY$8="判定対象外",DB$8="判定対象外",DB48="-"),"-",IF(CY48=DB48,"OK","NG"))</f>
        <v>NG</v>
      </c>
      <c r="DD48" s="160"/>
      <c r="DE48" s="162"/>
      <c r="DF48" s="175" t="str">
        <f t="shared" si="99"/>
        <v xml:space="preserve">申込受付中。                                                                                                                                                                                                                                                                                                                                                                                                    </v>
      </c>
      <c r="DG48" s="174" t="str">
        <f t="shared" si="14"/>
        <v>NG</v>
      </c>
      <c r="DH48" s="162" t="s">
        <v>395</v>
      </c>
      <c r="DI48" s="276" t="str">
        <f>IF(OR(DE$8="判定対象外",DH$8="判定対象外",DH48="-"),"-",IF(DE48=DH48,"OK","NG"))</f>
        <v>NG</v>
      </c>
      <c r="DJ48" s="160"/>
      <c r="DK48" s="162"/>
      <c r="DL48" s="204" t="s">
        <v>395</v>
      </c>
      <c r="DM48" s="174" t="str">
        <f>IF(OR(DK$8="判定対象外",DL$8="判定対象外",DL48="-"),"-",IF(DK48=DL48,"OK","NG"))</f>
        <v>NG</v>
      </c>
      <c r="DN48" s="162"/>
      <c r="DO48" s="172" t="s">
        <v>71</v>
      </c>
      <c r="DP48" s="160"/>
      <c r="DQ48" s="162"/>
      <c r="DR48" s="203" t="str">
        <f t="shared" si="196"/>
        <v xml:space="preserve">申込受付中。                                                                                                                                                                                                                                                                                                                                                                                                    </v>
      </c>
      <c r="DS48" s="174" t="str">
        <f>IF(OR(DQ$8="判定対象外",DR$8="判定対象外",DR48="-"),"-",IF(DQ48=DR48,"OK","NG"))</f>
        <v>NG</v>
      </c>
      <c r="DT48" s="162" t="s">
        <v>406</v>
      </c>
      <c r="DU48" s="172" t="s">
        <v>71</v>
      </c>
      <c r="DV48" s="160"/>
      <c r="DW48" s="162"/>
      <c r="DX48" s="203" t="str">
        <f t="shared" si="197"/>
        <v xml:space="preserve">申込受付中。                                                                                                                                                                                                                                                                                                                                                                                                    </v>
      </c>
      <c r="DY48" s="174" t="str">
        <f>IF(OR(DW$8="判定対象外",DX$8="判定対象外",DX48="-"),"-",IF(DW48=DX48,"OK","NG"))</f>
        <v>NG</v>
      </c>
      <c r="DZ48" s="162" t="s">
        <v>406</v>
      </c>
      <c r="EA48" s="172" t="s">
        <v>71</v>
      </c>
      <c r="EB48" s="160"/>
      <c r="EC48" s="162"/>
      <c r="ED48" s="203" t="str">
        <f t="shared" si="198"/>
        <v xml:space="preserve">申込受付中。                                                                                                                                                                                                                                                                                                                                                                                                    </v>
      </c>
      <c r="EE48" s="174" t="str">
        <f>IF(OR(EC$8="判定対象外",ED$8="判定対象外",ED48="-"),"-",IF(EC48=ED48,"OK","NG"))</f>
        <v>NG</v>
      </c>
      <c r="EF48" s="162" t="s">
        <v>406</v>
      </c>
      <c r="EG48" s="172" t="s">
        <v>71</v>
      </c>
      <c r="EH48" s="160"/>
      <c r="EI48" s="162"/>
      <c r="EJ48" s="203" t="str">
        <f t="shared" si="199"/>
        <v xml:space="preserve">申込受付中。                                                                                                                                                                                                                                                                                                                                                                                                    </v>
      </c>
      <c r="EK48" s="174" t="str">
        <f>IF(OR(EI$8="判定対象外",EJ$8="判定対象外",EJ48="-"),"-",IF(EI48=EJ48,"OK","NG"))</f>
        <v>NG</v>
      </c>
      <c r="EL48" s="162" t="s">
        <v>406</v>
      </c>
      <c r="EM48" s="172" t="s">
        <v>71</v>
      </c>
      <c r="EN48" s="160"/>
      <c r="EO48" s="162"/>
      <c r="EP48" s="203" t="str">
        <f t="shared" si="200"/>
        <v xml:space="preserve">申込受付中。                                                                                                                                                                                                                                                                                                                                                                                                    </v>
      </c>
      <c r="EQ48" s="174" t="str">
        <f>IF(OR(EO$8="判定対象外",EP$8="判定対象外",EP48="-"),"-",IF(EO48=EP48,"OK","NG"))</f>
        <v>NG</v>
      </c>
      <c r="ER48" s="162" t="s">
        <v>406</v>
      </c>
      <c r="ES48" s="172" t="s">
        <v>71</v>
      </c>
      <c r="ET48" s="160"/>
      <c r="EU48" s="162"/>
      <c r="EV48" s="203" t="str">
        <f t="shared" si="201"/>
        <v xml:space="preserve">申込受付中。                                                                                                                                                                                                                                                                                                                                                                                                    </v>
      </c>
      <c r="EW48" s="174" t="str">
        <f>IF(OR(EU$8="判定対象外",EV$8="判定対象外",EV48="-"),"-",IF(EU48=EV48,"OK","NG"))</f>
        <v>NG</v>
      </c>
      <c r="EX48" s="162" t="s">
        <v>406</v>
      </c>
      <c r="EY48" s="172" t="s">
        <v>71</v>
      </c>
      <c r="EZ48" s="160"/>
      <c r="FA48" s="162"/>
      <c r="FB48" s="203" t="str">
        <f t="shared" si="202"/>
        <v xml:space="preserve">申込受付中。                                                                                                                                                                                                                                                                                                                                                                                                    </v>
      </c>
      <c r="FC48" s="174" t="str">
        <f>IF(OR(FA$8="判定対象外",FB$8="判定対象外",FB48="-"),"-",IF(FA48=FB48,"OK","NG"))</f>
        <v>NG</v>
      </c>
      <c r="FD48" s="162" t="s">
        <v>406</v>
      </c>
      <c r="FE48" s="172" t="s">
        <v>71</v>
      </c>
      <c r="FF48" s="160"/>
      <c r="FG48" s="162"/>
      <c r="FH48" s="175" t="str">
        <f t="shared" si="101"/>
        <v xml:space="preserve">申込受付中。                                                                                                                                                                                                                                                                                                                                                                                                    </v>
      </c>
      <c r="FI48" s="174" t="str">
        <f t="shared" si="23"/>
        <v>NG</v>
      </c>
      <c r="FJ48" s="204" t="s">
        <v>395</v>
      </c>
      <c r="FK48" s="276" t="str">
        <f>IF(OR(FG$8="判定対象外",FJ$8="判定対象外",FJ48="-"),"-",IF(FG48=FJ48,"OK","NG"))</f>
        <v>NG</v>
      </c>
      <c r="FL48" s="160"/>
      <c r="FM48" s="162"/>
      <c r="FN48" s="175" t="str">
        <f t="shared" si="102"/>
        <v xml:space="preserve">申込受付中。                                                                                                                                                                                                                                                                                                                                                                                                    </v>
      </c>
      <c r="FO48" s="174" t="str">
        <f t="shared" si="24"/>
        <v>NG</v>
      </c>
      <c r="FP48" s="204" t="s">
        <v>395</v>
      </c>
      <c r="FQ48" s="276" t="str">
        <f>IF(OR(FM$8="判定対象外",FP$8="判定対象外",FP48="-"),"-",IF(FM48=FP48,"OK","NG"))</f>
        <v>NG</v>
      </c>
      <c r="FR48" s="160"/>
      <c r="FS48" s="162"/>
      <c r="FT48" s="175" t="str">
        <f t="shared" si="103"/>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FU48" s="174" t="str">
        <f t="shared" si="25"/>
        <v>NG</v>
      </c>
      <c r="FV48" s="204" t="s">
        <v>425</v>
      </c>
      <c r="FW48" s="276" t="str">
        <f>IF(OR(FS$8="判定対象外",FV$8="判定対象外",FV48="-"),"-",IF(FS48=FV48,"OK","NG"))</f>
        <v>NG</v>
      </c>
      <c r="FX48" s="160"/>
      <c r="FY48" s="162"/>
      <c r="FZ48" s="175" t="str">
        <f t="shared" si="104"/>
        <v xml:space="preserve">サービスエリア内でも電波が伝わりにくい場所（屋内、車中、地下、トンネル内、ビルの陰、山間部など）では、通信できなかったり通信速度が低下する場合があります。また、高層ビル・マンションなどの高層階で見晴らしのよい場所であってもご使用になれない場合があります。電波状態が一定以上悪くなった場合には、突然通信が途切れることとなりますが、電波状態が良いところでも通信が途切れることがあります。                  </v>
      </c>
      <c r="GA48" s="174" t="str">
        <f t="shared" si="26"/>
        <v>NG</v>
      </c>
      <c r="GB48" s="204" t="s">
        <v>425</v>
      </c>
      <c r="GC48" s="276" t="str">
        <f>IF(OR(FY$8="判定対象外",GB$8="判定対象外",GB48="-"),"-",IF(FY48=GB48,"OK","NG"))</f>
        <v>NG</v>
      </c>
    </row>
    <row r="49" spans="2:185" s="52" customFormat="1" ht="63.75">
      <c r="B49" s="216">
        <f t="shared" si="153"/>
        <v>42</v>
      </c>
      <c r="C49" s="37"/>
      <c r="D49" s="37"/>
      <c r="E49" s="37"/>
      <c r="F49" s="49" t="s">
        <v>213</v>
      </c>
      <c r="G49" s="39"/>
      <c r="H49" s="40"/>
      <c r="I49" s="42"/>
      <c r="J49" s="42"/>
      <c r="K49" s="42"/>
      <c r="L49" s="42"/>
      <c r="M49" s="163" t="s">
        <v>335</v>
      </c>
      <c r="N49" s="47"/>
      <c r="O49" s="143"/>
      <c r="P49" s="45">
        <f t="shared" si="192"/>
        <v>25</v>
      </c>
      <c r="Q49" s="46">
        <v>400</v>
      </c>
      <c r="R49" s="41" t="str">
        <f t="shared" si="193"/>
        <v>NX</v>
      </c>
      <c r="S49" s="185" t="s">
        <v>214</v>
      </c>
      <c r="T49" s="43"/>
      <c r="U49" s="41" t="s">
        <v>80</v>
      </c>
      <c r="V49" s="44"/>
      <c r="W49" s="22">
        <v>3</v>
      </c>
      <c r="X49" s="47" t="s">
        <v>215</v>
      </c>
      <c r="Y49" s="47">
        <v>1</v>
      </c>
      <c r="Z49" s="47">
        <v>400</v>
      </c>
      <c r="AA49" s="42" t="s">
        <v>195</v>
      </c>
      <c r="AB49" s="42" t="s">
        <v>80</v>
      </c>
      <c r="AC49" s="166"/>
      <c r="AD49" s="160"/>
      <c r="AE49" s="162"/>
      <c r="AF49" s="146" t="str">
        <f t="shared" si="203"/>
        <v xml:space="preserve">※エリア判定には補足住所での確認が必要です。\⇒　提供不可エリアが有る場合のみ、一覧を表示します。                                                                                                                                                                                                                                                                                                               </v>
      </c>
      <c r="AG49" s="174" t="str">
        <f t="shared" si="1"/>
        <v>NG</v>
      </c>
      <c r="AH49" s="162" t="s">
        <v>474</v>
      </c>
      <c r="AI49" s="276" t="str">
        <f t="shared" si="204"/>
        <v>NG</v>
      </c>
      <c r="AJ49" s="160"/>
      <c r="AK49" s="162"/>
      <c r="AL49" s="146" t="str">
        <f t="shared" si="154"/>
        <v xml:space="preserve">※エリア判定には補足住所での確認が必要です。\⇒　提供不可エリアが有る場合のみ、一覧を表示します。                                                                                                                                                                                                                                                                                                               </v>
      </c>
      <c r="AM49" s="174" t="str">
        <f t="shared" si="195"/>
        <v>NG</v>
      </c>
      <c r="AN49" s="162" t="s">
        <v>474</v>
      </c>
      <c r="AO49" s="276" t="str">
        <f t="shared" si="205"/>
        <v>NG</v>
      </c>
      <c r="AP49" s="160"/>
      <c r="AQ49" s="162"/>
      <c r="AR49" s="146" t="str">
        <f t="shared" si="157"/>
        <v xml:space="preserve">                                                                                                                                                                                                                                                                                                                                                                                                                </v>
      </c>
      <c r="AS49" s="174" t="str">
        <f t="shared" si="158"/>
        <v>NG</v>
      </c>
      <c r="AT49" s="162"/>
      <c r="AU49" s="172" t="s">
        <v>71</v>
      </c>
      <c r="AV49" s="160"/>
      <c r="AW49" s="162"/>
      <c r="AX49" s="146" t="str">
        <f t="shared" si="160"/>
        <v xml:space="preserve">                                                                                                                                                                                                                                                                                                                                                                                                                </v>
      </c>
      <c r="AY49" s="174" t="str">
        <f t="shared" si="161"/>
        <v>NG</v>
      </c>
      <c r="AZ49" s="162"/>
      <c r="BA49" s="276" t="str">
        <f t="shared" si="207"/>
        <v>OK</v>
      </c>
      <c r="BB49" s="160"/>
      <c r="BC49" s="162"/>
      <c r="BD49" s="146" t="str">
        <f t="shared" si="163"/>
        <v xml:space="preserve">                                                                                                                                                                                                                                                                                                                                                                                                                </v>
      </c>
      <c r="BE49" s="174" t="str">
        <f t="shared" si="164"/>
        <v>NG</v>
      </c>
      <c r="BF49" s="162"/>
      <c r="BG49" s="172" t="s">
        <v>71</v>
      </c>
      <c r="BH49" s="160"/>
      <c r="BI49" s="162"/>
      <c r="BJ49" s="146" t="str">
        <f t="shared" ref="BJ49:BJ55" si="210">IF(BL49="-","-",BL49&amp;REPT(IF($R49="N","　",IF($R49="9","0"," ")),$Z49-LENB(BL49)))</f>
        <v xml:space="preserve">                                                                                                                                                                                                                                                                                                                                                                                                                </v>
      </c>
      <c r="BK49" s="174" t="s">
        <v>71</v>
      </c>
      <c r="BL49" s="162"/>
      <c r="BM49" s="172" t="s">
        <v>71</v>
      </c>
      <c r="BN49" s="160"/>
      <c r="BO49" s="162"/>
      <c r="BP49" s="146" t="str">
        <f>IF(BR49="-","-",BR49&amp;REPT(IF($R49="N","　",IF($R49="9","0"," ")),$Z49-LENB(BR49)))</f>
        <v xml:space="preserve">                                                                                                                                                                                                                                                                                                                                                                                                                </v>
      </c>
      <c r="BQ49" s="174" t="s">
        <v>71</v>
      </c>
      <c r="BR49" s="162"/>
      <c r="BS49" s="172" t="s">
        <v>71</v>
      </c>
      <c r="BT49" s="160"/>
      <c r="BU49" s="162"/>
      <c r="BV49" s="146" t="str">
        <f t="shared" si="93"/>
        <v xml:space="preserve">                                                                                                                                                                                                                                                                                                                                                                                                                </v>
      </c>
      <c r="BW49" s="174" t="str">
        <f t="shared" si="8"/>
        <v>NG</v>
      </c>
      <c r="BX49" s="162"/>
      <c r="BY49" s="172" t="s">
        <v>71</v>
      </c>
      <c r="BZ49" s="160"/>
      <c r="CA49" s="162"/>
      <c r="CB49" s="146" t="str">
        <f t="shared" si="94"/>
        <v xml:space="preserve">                                                                                                                                                                                                                                                                                                                                                                                                                </v>
      </c>
      <c r="CC49" s="174" t="str">
        <f t="shared" si="9"/>
        <v>NG</v>
      </c>
      <c r="CD49" s="162"/>
      <c r="CE49" s="172" t="s">
        <v>71</v>
      </c>
      <c r="CF49" s="160"/>
      <c r="CG49" s="162"/>
      <c r="CH49" s="146" t="str">
        <f t="shared" si="95"/>
        <v xml:space="preserve">                                                                                                                                                                                                                                                                                                                                                                                                                </v>
      </c>
      <c r="CI49" s="174" t="str">
        <f t="shared" si="10"/>
        <v>NG</v>
      </c>
      <c r="CJ49" s="162"/>
      <c r="CK49" s="172" t="s">
        <v>71</v>
      </c>
      <c r="CL49" s="160"/>
      <c r="CM49" s="162"/>
      <c r="CN49" s="146" t="str">
        <f t="shared" si="96"/>
        <v xml:space="preserve">                                                                                                                                                                                                                                                                                                                                                                                                                </v>
      </c>
      <c r="CO49" s="174" t="str">
        <f t="shared" si="11"/>
        <v>NG</v>
      </c>
      <c r="CP49" s="162"/>
      <c r="CQ49" s="172" t="s">
        <v>71</v>
      </c>
      <c r="CR49" s="160"/>
      <c r="CS49" s="162"/>
      <c r="CT49" s="146" t="str">
        <f t="shared" si="97"/>
        <v xml:space="preserve">                                                                                                                                                                                                                                                                                                                                                                                                                </v>
      </c>
      <c r="CU49" s="174" t="str">
        <f t="shared" si="12"/>
        <v>NG</v>
      </c>
      <c r="CV49" s="162"/>
      <c r="CW49" s="172" t="s">
        <v>71</v>
      </c>
      <c r="CX49" s="160"/>
      <c r="CY49" s="162"/>
      <c r="CZ49" s="146" t="str">
        <f t="shared" si="98"/>
        <v xml:space="preserve">                                                                                                                                                                                                                                                                                                                                                                                                                </v>
      </c>
      <c r="DA49" s="174" t="str">
        <f t="shared" si="13"/>
        <v>NG</v>
      </c>
      <c r="DB49" s="162"/>
      <c r="DC49" s="172" t="s">
        <v>71</v>
      </c>
      <c r="DD49" s="160"/>
      <c r="DE49" s="162"/>
      <c r="DF49" s="146" t="str">
        <f t="shared" si="99"/>
        <v xml:space="preserve">                                                                                                                                                                                                                                                                                                                                                                                                                </v>
      </c>
      <c r="DG49" s="174" t="str">
        <f t="shared" si="14"/>
        <v>NG</v>
      </c>
      <c r="DH49" s="162"/>
      <c r="DI49" s="172" t="s">
        <v>71</v>
      </c>
      <c r="DJ49" s="160"/>
      <c r="DK49" s="162"/>
      <c r="DL49" s="204"/>
      <c r="DM49" s="172" t="s">
        <v>71</v>
      </c>
      <c r="DN49" s="162"/>
      <c r="DO49" s="172" t="s">
        <v>71</v>
      </c>
      <c r="DP49" s="160"/>
      <c r="DQ49" s="162"/>
      <c r="DR49" s="203" t="str">
        <f t="shared" si="196"/>
        <v xml:space="preserve">                                                                                                                                                                                                                                                                                                                                                                                                                </v>
      </c>
      <c r="DS49" s="172" t="s">
        <v>71</v>
      </c>
      <c r="DT49" s="162"/>
      <c r="DU49" s="172" t="s">
        <v>71</v>
      </c>
      <c r="DV49" s="160"/>
      <c r="DW49" s="162"/>
      <c r="DX49" s="203" t="str">
        <f t="shared" si="197"/>
        <v xml:space="preserve">                                                                                                                                                                                                                                                                                                                                                                                                                </v>
      </c>
      <c r="DY49" s="172" t="s">
        <v>71</v>
      </c>
      <c r="DZ49" s="162"/>
      <c r="EA49" s="172" t="s">
        <v>71</v>
      </c>
      <c r="EB49" s="160"/>
      <c r="EC49" s="162"/>
      <c r="ED49" s="203" t="str">
        <f t="shared" si="198"/>
        <v xml:space="preserve">                                                                                                                                                                                                                                                                                                                                                                                                                </v>
      </c>
      <c r="EE49" s="172" t="s">
        <v>71</v>
      </c>
      <c r="EF49" s="162"/>
      <c r="EG49" s="172" t="s">
        <v>71</v>
      </c>
      <c r="EH49" s="160"/>
      <c r="EI49" s="162"/>
      <c r="EJ49" s="203" t="str">
        <f t="shared" si="199"/>
        <v xml:space="preserve">                                                                                                                                                                                                                                                                                                                                                                                                                </v>
      </c>
      <c r="EK49" s="172" t="s">
        <v>71</v>
      </c>
      <c r="EL49" s="162"/>
      <c r="EM49" s="172" t="s">
        <v>71</v>
      </c>
      <c r="EN49" s="160"/>
      <c r="EO49" s="162"/>
      <c r="EP49" s="203" t="str">
        <f t="shared" si="200"/>
        <v xml:space="preserve">                                                                                                                                                                                                                                                                                                                                                                                                                </v>
      </c>
      <c r="EQ49" s="172" t="s">
        <v>71</v>
      </c>
      <c r="ER49" s="162"/>
      <c r="ES49" s="172" t="s">
        <v>71</v>
      </c>
      <c r="ET49" s="160"/>
      <c r="EU49" s="162"/>
      <c r="EV49" s="203" t="str">
        <f t="shared" si="201"/>
        <v xml:space="preserve">                                                                                                                                                                                                                                                                                                                                                                                                                </v>
      </c>
      <c r="EW49" s="172" t="s">
        <v>71</v>
      </c>
      <c r="EX49" s="162"/>
      <c r="EY49" s="172" t="s">
        <v>71</v>
      </c>
      <c r="EZ49" s="160"/>
      <c r="FA49" s="162"/>
      <c r="FB49" s="203" t="str">
        <f t="shared" si="202"/>
        <v xml:space="preserve">                                                                                                                                                                                                                                                                                                                                                                                                                </v>
      </c>
      <c r="FC49" s="172" t="s">
        <v>71</v>
      </c>
      <c r="FD49" s="162"/>
      <c r="FE49" s="172" t="s">
        <v>71</v>
      </c>
      <c r="FF49" s="160"/>
      <c r="FG49" s="162"/>
      <c r="FH49" s="146" t="str">
        <f t="shared" si="101"/>
        <v xml:space="preserve">                                                                                                                                                                                                                                                                                                                                                                                                                </v>
      </c>
      <c r="FI49" s="174" t="str">
        <f t="shared" si="23"/>
        <v>NG</v>
      </c>
      <c r="FJ49" s="204"/>
      <c r="FK49" s="172" t="s">
        <v>71</v>
      </c>
      <c r="FL49" s="160"/>
      <c r="FM49" s="162"/>
      <c r="FN49" s="146" t="str">
        <f t="shared" si="102"/>
        <v xml:space="preserve">                                                                                                                                                                                                                                                                                                                                                                                                                </v>
      </c>
      <c r="FO49" s="174" t="str">
        <f t="shared" si="24"/>
        <v>NG</v>
      </c>
      <c r="FP49" s="204"/>
      <c r="FQ49" s="172" t="s">
        <v>71</v>
      </c>
      <c r="FR49" s="160"/>
      <c r="FS49" s="162"/>
      <c r="FT49" s="146" t="str">
        <f t="shared" si="103"/>
        <v xml:space="preserve">                                                                                                                                                                                                                                                                                                                                                                                                                </v>
      </c>
      <c r="FU49" s="174" t="str">
        <f t="shared" si="25"/>
        <v>NG</v>
      </c>
      <c r="FV49" s="204"/>
      <c r="FW49" s="172" t="s">
        <v>71</v>
      </c>
      <c r="FX49" s="160"/>
      <c r="FY49" s="162"/>
      <c r="FZ49" s="146" t="str">
        <f t="shared" si="104"/>
        <v xml:space="preserve">                                                                                                                                                                                                                                                                                                                                                                                                                </v>
      </c>
      <c r="GA49" s="174" t="str">
        <f t="shared" si="26"/>
        <v>NG</v>
      </c>
      <c r="GB49" s="204"/>
      <c r="GC49" s="172" t="s">
        <v>71</v>
      </c>
    </row>
    <row r="50" spans="2:185" s="52" customFormat="1">
      <c r="B50" s="216">
        <f t="shared" si="153"/>
        <v>43</v>
      </c>
      <c r="C50" s="37"/>
      <c r="D50" s="37"/>
      <c r="E50" s="37"/>
      <c r="F50" s="49" t="s">
        <v>216</v>
      </c>
      <c r="G50" s="39"/>
      <c r="H50" s="40"/>
      <c r="I50" s="42"/>
      <c r="J50" s="42"/>
      <c r="K50" s="42"/>
      <c r="L50" s="42"/>
      <c r="M50" s="63" t="s">
        <v>336</v>
      </c>
      <c r="N50" s="47"/>
      <c r="O50" s="143"/>
      <c r="P50" s="45">
        <f t="shared" si="192"/>
        <v>26</v>
      </c>
      <c r="Q50" s="46">
        <v>400</v>
      </c>
      <c r="R50" s="41" t="str">
        <f t="shared" si="193"/>
        <v>NX</v>
      </c>
      <c r="S50" s="185" t="s">
        <v>217</v>
      </c>
      <c r="T50" s="43"/>
      <c r="U50" s="41" t="s">
        <v>80</v>
      </c>
      <c r="V50" s="44"/>
      <c r="W50" s="22">
        <v>3</v>
      </c>
      <c r="X50" s="47" t="s">
        <v>218</v>
      </c>
      <c r="Y50" s="47">
        <v>1</v>
      </c>
      <c r="Z50" s="47">
        <v>400</v>
      </c>
      <c r="AA50" s="42" t="s">
        <v>195</v>
      </c>
      <c r="AB50" s="42" t="s">
        <v>80</v>
      </c>
      <c r="AC50" s="166"/>
      <c r="AD50" s="160"/>
      <c r="AE50" s="141"/>
      <c r="AF50" s="146" t="str">
        <f t="shared" si="203"/>
        <v xml:space="preserve">                                                                                                                                                                                                                                                                                                                                                                                                                </v>
      </c>
      <c r="AG50" s="174" t="str">
        <f t="shared" si="1"/>
        <v>NG</v>
      </c>
      <c r="AH50" s="141"/>
      <c r="AI50" s="172" t="s">
        <v>71</v>
      </c>
      <c r="AJ50" s="160"/>
      <c r="AK50" s="141"/>
      <c r="AL50" s="146" t="str">
        <f t="shared" si="154"/>
        <v xml:space="preserve">                                                                                                                                                                                                                                                                                                                                                                                                                </v>
      </c>
      <c r="AM50" s="174" t="str">
        <f t="shared" si="195"/>
        <v>NG</v>
      </c>
      <c r="AN50" s="141"/>
      <c r="AO50" s="172" t="s">
        <v>71</v>
      </c>
      <c r="AP50" s="160"/>
      <c r="AQ50" s="141"/>
      <c r="AR50" s="146" t="str">
        <f t="shared" si="157"/>
        <v xml:space="preserve">                                                                                                                                                                                                                                                                                                                                                                                                                </v>
      </c>
      <c r="AS50" s="174" t="str">
        <f t="shared" si="158"/>
        <v>NG</v>
      </c>
      <c r="AT50" s="141"/>
      <c r="AU50" s="172" t="s">
        <v>71</v>
      </c>
      <c r="AV50" s="160"/>
      <c r="AW50" s="141"/>
      <c r="AX50" s="146" t="str">
        <f t="shared" si="160"/>
        <v xml:space="preserve">                                                                                                                                                                                                                                                                                                                                                                                                                </v>
      </c>
      <c r="AY50" s="174" t="str">
        <f t="shared" si="161"/>
        <v>NG</v>
      </c>
      <c r="AZ50" s="141"/>
      <c r="BA50" s="172" t="s">
        <v>71</v>
      </c>
      <c r="BB50" s="160"/>
      <c r="BC50" s="141"/>
      <c r="BD50" s="146" t="str">
        <f t="shared" si="163"/>
        <v xml:space="preserve">                                                                                                                                                                                                                                                                                                                                                                                                                </v>
      </c>
      <c r="BE50" s="174" t="str">
        <f t="shared" si="164"/>
        <v>NG</v>
      </c>
      <c r="BF50" s="141"/>
      <c r="BG50" s="172" t="s">
        <v>71</v>
      </c>
      <c r="BH50" s="160"/>
      <c r="BI50" s="162"/>
      <c r="BJ50" s="146" t="str">
        <f t="shared" si="210"/>
        <v xml:space="preserve">                                                                                                                                                                                                                                                                                                                                                                                                                </v>
      </c>
      <c r="BK50" s="174" t="s">
        <v>71</v>
      </c>
      <c r="BL50" s="141"/>
      <c r="BM50" s="172" t="s">
        <v>71</v>
      </c>
      <c r="BN50" s="160"/>
      <c r="BO50" s="162"/>
      <c r="BP50" s="146" t="str">
        <f>IF(BR50="-","-",BR50&amp;REPT(IF($R50="N","　",IF($R50="9","0"," ")),$Z50-LENB(BR50)))</f>
        <v xml:space="preserve">                                                                                                                                                                                                                                                                                                                                                                                                                </v>
      </c>
      <c r="BQ50" s="174" t="s">
        <v>71</v>
      </c>
      <c r="BR50" s="141"/>
      <c r="BS50" s="172" t="s">
        <v>71</v>
      </c>
      <c r="BT50" s="160"/>
      <c r="BU50" s="141"/>
      <c r="BV50" s="146" t="str">
        <f t="shared" si="93"/>
        <v xml:space="preserve">                                                                                                                                                                                                                                                                                                                                                                                                                </v>
      </c>
      <c r="BW50" s="174" t="str">
        <f t="shared" si="8"/>
        <v>NG</v>
      </c>
      <c r="BX50" s="141"/>
      <c r="BY50" s="172" t="s">
        <v>71</v>
      </c>
      <c r="BZ50" s="160"/>
      <c r="CA50" s="141"/>
      <c r="CB50" s="146" t="str">
        <f t="shared" si="94"/>
        <v xml:space="preserve">                                                                                                                                                                                                                                                                                                                                                                                                                </v>
      </c>
      <c r="CC50" s="174" t="str">
        <f t="shared" si="9"/>
        <v>NG</v>
      </c>
      <c r="CD50" s="141"/>
      <c r="CE50" s="172" t="s">
        <v>71</v>
      </c>
      <c r="CF50" s="160"/>
      <c r="CG50" s="141"/>
      <c r="CH50" s="146" t="str">
        <f t="shared" si="95"/>
        <v xml:space="preserve">                                                                                                                                                                                                                                                                                                                                                                                                                </v>
      </c>
      <c r="CI50" s="174" t="str">
        <f t="shared" si="10"/>
        <v>NG</v>
      </c>
      <c r="CJ50" s="141"/>
      <c r="CK50" s="172" t="s">
        <v>71</v>
      </c>
      <c r="CL50" s="160"/>
      <c r="CM50" s="141"/>
      <c r="CN50" s="146" t="str">
        <f t="shared" si="96"/>
        <v xml:space="preserve">                                                                                                                                                                                                                                                                                                                                                                                                                </v>
      </c>
      <c r="CO50" s="174" t="str">
        <f t="shared" si="11"/>
        <v>NG</v>
      </c>
      <c r="CP50" s="141"/>
      <c r="CQ50" s="172" t="s">
        <v>71</v>
      </c>
      <c r="CR50" s="160"/>
      <c r="CS50" s="141"/>
      <c r="CT50" s="146" t="str">
        <f t="shared" si="97"/>
        <v xml:space="preserve">                                                                                                                                                                                                                                                                                                                                                                                                                </v>
      </c>
      <c r="CU50" s="174" t="str">
        <f t="shared" si="12"/>
        <v>NG</v>
      </c>
      <c r="CV50" s="141"/>
      <c r="CW50" s="172" t="s">
        <v>71</v>
      </c>
      <c r="CX50" s="160"/>
      <c r="CY50" s="141"/>
      <c r="CZ50" s="146" t="str">
        <f t="shared" si="98"/>
        <v xml:space="preserve">                                                                                                                                                                                                                                                                                                                                                                                                                </v>
      </c>
      <c r="DA50" s="174" t="str">
        <f t="shared" si="13"/>
        <v>NG</v>
      </c>
      <c r="DB50" s="141"/>
      <c r="DC50" s="172" t="s">
        <v>71</v>
      </c>
      <c r="DD50" s="160"/>
      <c r="DE50" s="141"/>
      <c r="DF50" s="146" t="str">
        <f t="shared" si="99"/>
        <v xml:space="preserve">                                                                                                                                                                                                                                                                                                                                                                                                                </v>
      </c>
      <c r="DG50" s="174" t="str">
        <f t="shared" si="14"/>
        <v>NG</v>
      </c>
      <c r="DH50" s="141"/>
      <c r="DI50" s="172" t="s">
        <v>71</v>
      </c>
      <c r="DJ50" s="160"/>
      <c r="DK50" s="162"/>
      <c r="DL50" s="203"/>
      <c r="DM50" s="172" t="s">
        <v>71</v>
      </c>
      <c r="DN50" s="141"/>
      <c r="DO50" s="172" t="s">
        <v>71</v>
      </c>
      <c r="DP50" s="160"/>
      <c r="DQ50" s="162"/>
      <c r="DR50" s="203" t="str">
        <f t="shared" si="196"/>
        <v xml:space="preserve">                                                                                                                                                                                                                                                                                                                                                                                                                </v>
      </c>
      <c r="DS50" s="172" t="s">
        <v>71</v>
      </c>
      <c r="DT50" s="141"/>
      <c r="DU50" s="172" t="s">
        <v>71</v>
      </c>
      <c r="DV50" s="160"/>
      <c r="DW50" s="162"/>
      <c r="DX50" s="203" t="str">
        <f t="shared" si="197"/>
        <v xml:space="preserve">                                                                                                                                                                                                                                                                                                                                                                                                                </v>
      </c>
      <c r="DY50" s="172" t="s">
        <v>71</v>
      </c>
      <c r="DZ50" s="141"/>
      <c r="EA50" s="172" t="s">
        <v>71</v>
      </c>
      <c r="EB50" s="160"/>
      <c r="EC50" s="162"/>
      <c r="ED50" s="203" t="str">
        <f t="shared" si="198"/>
        <v xml:space="preserve">                                                                                                                                                                                                                                                                                                                                                                                                                </v>
      </c>
      <c r="EE50" s="172" t="s">
        <v>71</v>
      </c>
      <c r="EF50" s="141"/>
      <c r="EG50" s="172" t="s">
        <v>71</v>
      </c>
      <c r="EH50" s="160"/>
      <c r="EI50" s="162"/>
      <c r="EJ50" s="203" t="str">
        <f t="shared" si="199"/>
        <v xml:space="preserve">                                                                                                                                                                                                                                                                                                                                                                                                                </v>
      </c>
      <c r="EK50" s="172" t="s">
        <v>71</v>
      </c>
      <c r="EL50" s="141"/>
      <c r="EM50" s="172" t="s">
        <v>71</v>
      </c>
      <c r="EN50" s="160"/>
      <c r="EO50" s="162"/>
      <c r="EP50" s="203" t="str">
        <f t="shared" si="200"/>
        <v xml:space="preserve">                                                                                                                                                                                                                                                                                                                                                                                                                </v>
      </c>
      <c r="EQ50" s="172" t="s">
        <v>71</v>
      </c>
      <c r="ER50" s="141"/>
      <c r="ES50" s="172" t="s">
        <v>71</v>
      </c>
      <c r="ET50" s="160"/>
      <c r="EU50" s="162"/>
      <c r="EV50" s="203" t="str">
        <f t="shared" si="201"/>
        <v xml:space="preserve">                                                                                                                                                                                                                                                                                                                                                                                                                </v>
      </c>
      <c r="EW50" s="172" t="s">
        <v>71</v>
      </c>
      <c r="EX50" s="141"/>
      <c r="EY50" s="172" t="s">
        <v>71</v>
      </c>
      <c r="EZ50" s="160"/>
      <c r="FA50" s="162"/>
      <c r="FB50" s="203" t="str">
        <f t="shared" si="202"/>
        <v xml:space="preserve">                                                                                                                                                                                                                                                                                                                                                                                                                </v>
      </c>
      <c r="FC50" s="172" t="s">
        <v>71</v>
      </c>
      <c r="FD50" s="141"/>
      <c r="FE50" s="172" t="s">
        <v>71</v>
      </c>
      <c r="FF50" s="160"/>
      <c r="FG50" s="141"/>
      <c r="FH50" s="146" t="str">
        <f t="shared" si="101"/>
        <v xml:space="preserve">                                                                                                                                                                                                                                                                                                                                                                                                                </v>
      </c>
      <c r="FI50" s="174" t="str">
        <f t="shared" si="23"/>
        <v>NG</v>
      </c>
      <c r="FJ50" s="203"/>
      <c r="FK50" s="172" t="s">
        <v>71</v>
      </c>
      <c r="FL50" s="160"/>
      <c r="FM50" s="141"/>
      <c r="FN50" s="146" t="str">
        <f t="shared" si="102"/>
        <v xml:space="preserve">                                                                                                                                                                                                                                                                                                                                                                                                                </v>
      </c>
      <c r="FO50" s="174" t="str">
        <f t="shared" si="24"/>
        <v>NG</v>
      </c>
      <c r="FP50" s="203"/>
      <c r="FQ50" s="172" t="s">
        <v>71</v>
      </c>
      <c r="FR50" s="160"/>
      <c r="FS50" s="141"/>
      <c r="FT50" s="146" t="str">
        <f t="shared" si="103"/>
        <v xml:space="preserve">                                                                                                                                                                                                                                                                                                                                                                                                                </v>
      </c>
      <c r="FU50" s="174" t="str">
        <f t="shared" si="25"/>
        <v>NG</v>
      </c>
      <c r="FV50" s="203"/>
      <c r="FW50" s="172" t="s">
        <v>71</v>
      </c>
      <c r="FX50" s="160"/>
      <c r="FY50" s="141"/>
      <c r="FZ50" s="146" t="str">
        <f t="shared" si="104"/>
        <v xml:space="preserve">                                                                                                                                                                                                                                                                                                                                                                                                                </v>
      </c>
      <c r="GA50" s="174" t="str">
        <f t="shared" si="26"/>
        <v>NG</v>
      </c>
      <c r="GB50" s="203"/>
      <c r="GC50" s="172" t="s">
        <v>71</v>
      </c>
    </row>
    <row r="51" spans="2:185" s="52" customFormat="1" ht="76.5">
      <c r="B51" s="216">
        <f t="shared" si="153"/>
        <v>44</v>
      </c>
      <c r="C51" s="37"/>
      <c r="D51" s="37"/>
      <c r="E51" s="37"/>
      <c r="F51" s="49" t="s">
        <v>219</v>
      </c>
      <c r="G51" s="39"/>
      <c r="H51" s="40"/>
      <c r="I51" s="42"/>
      <c r="J51" s="42"/>
      <c r="K51" s="42"/>
      <c r="L51" s="42"/>
      <c r="M51" s="63" t="s">
        <v>337</v>
      </c>
      <c r="N51" s="47"/>
      <c r="O51" s="143"/>
      <c r="P51" s="45">
        <f t="shared" si="192"/>
        <v>27</v>
      </c>
      <c r="Q51" s="46">
        <v>400</v>
      </c>
      <c r="R51" s="41" t="str">
        <f t="shared" si="193"/>
        <v>NX</v>
      </c>
      <c r="S51" s="185" t="s">
        <v>220</v>
      </c>
      <c r="T51" s="43"/>
      <c r="U51" s="41" t="s">
        <v>80</v>
      </c>
      <c r="V51" s="44"/>
      <c r="W51" s="22">
        <v>3</v>
      </c>
      <c r="X51" s="47" t="s">
        <v>221</v>
      </c>
      <c r="Y51" s="47">
        <v>1</v>
      </c>
      <c r="Z51" s="47">
        <v>400</v>
      </c>
      <c r="AA51" s="42" t="s">
        <v>195</v>
      </c>
      <c r="AB51" s="42" t="s">
        <v>80</v>
      </c>
      <c r="AC51" s="166"/>
      <c r="AD51" s="160"/>
      <c r="AE51" s="141"/>
      <c r="AF51" s="146" t="str">
        <f t="shared" si="203"/>
        <v xml:space="preserve">                                                                                                                                                                                                                                                                                                                                                                                                                </v>
      </c>
      <c r="AG51" s="174" t="str">
        <f t="shared" si="1"/>
        <v>NG</v>
      </c>
      <c r="AH51" s="141"/>
      <c r="AI51" s="276" t="str">
        <f>IF(OR(AE$8="判定対象外",AH$8="判定対象外",AH51="-"),"-",IF(AE51=AH51,"OK","NG"))</f>
        <v>OK</v>
      </c>
      <c r="AJ51" s="160"/>
      <c r="AK51" s="141"/>
      <c r="AL51" s="146" t="str">
        <f t="shared" si="154"/>
        <v xml:space="preserve">                                                                                                                                                                                                                                                                                                                                                                                                                </v>
      </c>
      <c r="AM51" s="174" t="str">
        <f t="shared" si="195"/>
        <v>NG</v>
      </c>
      <c r="AN51" s="141"/>
      <c r="AO51" s="276" t="str">
        <f>IF(OR(AK$8="判定対象外",AN$8="判定対象外",AN51="-"),"-",IF(AK51=AN51,"OK","NG"))</f>
        <v>OK</v>
      </c>
      <c r="AP51" s="160"/>
      <c r="AQ51" s="141"/>
      <c r="AR51" s="146" t="str">
        <f t="shared" si="157"/>
        <v xml:space="preserve">                                                                                                                                                                                                                                                                                                                                                                                                                </v>
      </c>
      <c r="AS51" s="174" t="str">
        <f t="shared" si="158"/>
        <v>NG</v>
      </c>
      <c r="AT51" s="141"/>
      <c r="AU51" s="276" t="str">
        <f>IF(OR(AQ$8="判定対象外",AT$8="判定対象外",AT51="-"),"-",IF(AQ51=AT51,"OK","NG"))</f>
        <v>OK</v>
      </c>
      <c r="AV51" s="160"/>
      <c r="AW51" s="141"/>
      <c r="AX51" s="146" t="str">
        <f t="shared" si="160"/>
        <v xml:space="preserve">                                                                                                                                                                                                                                                                                                                                                                                                                </v>
      </c>
      <c r="AY51" s="174" t="str">
        <f t="shared" si="161"/>
        <v>NG</v>
      </c>
      <c r="AZ51" s="141"/>
      <c r="BA51" s="276" t="str">
        <f>IF(OR(AW$8="判定対象外",AZ$8="判定対象外",AZ51="-"),"-",IF(AW51=AZ51,"OK","NG"))</f>
        <v>OK</v>
      </c>
      <c r="BB51" s="160"/>
      <c r="BC51" s="141"/>
      <c r="BD51" s="146" t="str">
        <f t="shared" si="163"/>
        <v xml:space="preserve">                                                                                                                                                                                                                                                                                                                                                                                                                </v>
      </c>
      <c r="BE51" s="174" t="str">
        <f t="shared" si="164"/>
        <v>NG</v>
      </c>
      <c r="BF51" s="141"/>
      <c r="BG51" s="172" t="s">
        <v>71</v>
      </c>
      <c r="BH51" s="160"/>
      <c r="BI51" s="162"/>
      <c r="BJ51" s="146" t="str">
        <f t="shared" si="210"/>
        <v xml:space="preserve">                                                                                                                                                                                                                                                                                                                                                                                                                </v>
      </c>
      <c r="BK51" s="174" t="s">
        <v>71</v>
      </c>
      <c r="BL51" s="141"/>
      <c r="BM51" s="172" t="s">
        <v>71</v>
      </c>
      <c r="BN51" s="160"/>
      <c r="BO51" s="146"/>
      <c r="BP51" s="146" t="s">
        <v>494</v>
      </c>
      <c r="BQ51" s="174" t="str">
        <f>IF(OR(BO$8="判定対象外",BP$8="判定対象外",BP51="-"),"-",IF(BO51=BP51,"OK","NG"))</f>
        <v>NG</v>
      </c>
      <c r="BR51" s="141"/>
      <c r="BS51" s="172" t="s">
        <v>71</v>
      </c>
      <c r="BT51" s="160"/>
      <c r="BU51" s="141"/>
      <c r="BV51" s="146" t="str">
        <f t="shared" si="93"/>
        <v xml:space="preserve">                                                                                                                                                                                                                                                                                                                                                                                                                </v>
      </c>
      <c r="BW51" s="174" t="str">
        <f t="shared" si="8"/>
        <v>NG</v>
      </c>
      <c r="BX51" s="141"/>
      <c r="BY51" s="172" t="s">
        <v>71</v>
      </c>
      <c r="BZ51" s="160"/>
      <c r="CA51" s="141"/>
      <c r="CB51" s="146" t="str">
        <f t="shared" si="94"/>
        <v xml:space="preserve">                                                                                                                                                                                                                                                                                                                                                                                                                </v>
      </c>
      <c r="CC51" s="174" t="str">
        <f t="shared" si="9"/>
        <v>NG</v>
      </c>
      <c r="CD51" s="141"/>
      <c r="CE51" s="172" t="s">
        <v>71</v>
      </c>
      <c r="CF51" s="160"/>
      <c r="CG51" s="141"/>
      <c r="CH51" s="146" t="str">
        <f t="shared" si="95"/>
        <v xml:space="preserve">                                                                                                                                                                                                                                                                                                                                                                                                                </v>
      </c>
      <c r="CI51" s="174" t="str">
        <f t="shared" si="10"/>
        <v>NG</v>
      </c>
      <c r="CJ51" s="141"/>
      <c r="CK51" s="172" t="s">
        <v>71</v>
      </c>
      <c r="CL51" s="160"/>
      <c r="CM51" s="141"/>
      <c r="CN51" s="146" t="str">
        <f t="shared" si="96"/>
        <v xml:space="preserve">                                                                                                                                                                                                                                                                                                                                                                                                                </v>
      </c>
      <c r="CO51" s="174" t="str">
        <f t="shared" si="11"/>
        <v>NG</v>
      </c>
      <c r="CP51" s="141"/>
      <c r="CQ51" s="172" t="s">
        <v>71</v>
      </c>
      <c r="CR51" s="160"/>
      <c r="CS51" s="141"/>
      <c r="CT51" s="146" t="str">
        <f t="shared" si="97"/>
        <v xml:space="preserve">                                                                                                                                                                                                                                                                                                                                                                                                                </v>
      </c>
      <c r="CU51" s="174" t="str">
        <f t="shared" si="12"/>
        <v>NG</v>
      </c>
      <c r="CV51" s="141"/>
      <c r="CW51" s="172" t="s">
        <v>71</v>
      </c>
      <c r="CX51" s="160"/>
      <c r="CY51" s="141"/>
      <c r="CZ51" s="146" t="str">
        <f t="shared" si="98"/>
        <v xml:space="preserve">                                                                                                                                                                                                                                                                                                                                                                                                                </v>
      </c>
      <c r="DA51" s="174" t="str">
        <f t="shared" si="13"/>
        <v>NG</v>
      </c>
      <c r="DB51" s="141"/>
      <c r="DC51" s="172" t="s">
        <v>71</v>
      </c>
      <c r="DD51" s="160"/>
      <c r="DE51" s="141"/>
      <c r="DF51" s="146" t="str">
        <f t="shared" si="99"/>
        <v xml:space="preserve">                                                                                                                                                                                                                                                                                                                                                                                                                </v>
      </c>
      <c r="DG51" s="174" t="str">
        <f t="shared" si="14"/>
        <v>NG</v>
      </c>
      <c r="DH51" s="141"/>
      <c r="DI51" s="172" t="s">
        <v>71</v>
      </c>
      <c r="DJ51" s="160"/>
      <c r="DK51" s="162"/>
      <c r="DL51" s="203"/>
      <c r="DM51" s="172" t="s">
        <v>71</v>
      </c>
      <c r="DN51" s="141"/>
      <c r="DO51" s="172" t="s">
        <v>71</v>
      </c>
      <c r="DP51" s="160"/>
      <c r="DQ51" s="162"/>
      <c r="DR51" s="203" t="str">
        <f t="shared" si="196"/>
        <v xml:space="preserve">                                                                                                                                                                                                                                                                                                                                                                                                                </v>
      </c>
      <c r="DS51" s="172" t="s">
        <v>71</v>
      </c>
      <c r="DT51" s="141"/>
      <c r="DU51" s="172" t="s">
        <v>71</v>
      </c>
      <c r="DV51" s="160"/>
      <c r="DW51" s="162"/>
      <c r="DX51" s="203" t="str">
        <f t="shared" si="197"/>
        <v xml:space="preserve">                                                                                                                                                                                                                                                                                                                                                                                                                </v>
      </c>
      <c r="DY51" s="172" t="s">
        <v>71</v>
      </c>
      <c r="DZ51" s="141"/>
      <c r="EA51" s="172" t="s">
        <v>71</v>
      </c>
      <c r="EB51" s="160"/>
      <c r="EC51" s="162"/>
      <c r="ED51" s="203" t="str">
        <f t="shared" si="198"/>
        <v xml:space="preserve">                                                                                                                                                                                                                                                                                                                                                                                                                </v>
      </c>
      <c r="EE51" s="172" t="s">
        <v>71</v>
      </c>
      <c r="EF51" s="141"/>
      <c r="EG51" s="172" t="s">
        <v>71</v>
      </c>
      <c r="EH51" s="160"/>
      <c r="EI51" s="162"/>
      <c r="EJ51" s="203" t="str">
        <f t="shared" si="199"/>
        <v xml:space="preserve">                                                                                                                                                                                                                                                                                                                                                                                                                </v>
      </c>
      <c r="EK51" s="172" t="s">
        <v>71</v>
      </c>
      <c r="EL51" s="141"/>
      <c r="EM51" s="172" t="s">
        <v>71</v>
      </c>
      <c r="EN51" s="160"/>
      <c r="EO51" s="162"/>
      <c r="EP51" s="203" t="str">
        <f t="shared" si="200"/>
        <v xml:space="preserve">                                                                                                                                                                                                                                                                                                                                                                                                                </v>
      </c>
      <c r="EQ51" s="172" t="s">
        <v>71</v>
      </c>
      <c r="ER51" s="141"/>
      <c r="ES51" s="172" t="s">
        <v>71</v>
      </c>
      <c r="ET51" s="160"/>
      <c r="EU51" s="162"/>
      <c r="EV51" s="203" t="str">
        <f t="shared" si="201"/>
        <v xml:space="preserve">                                                                                                                                                                                                                                                                                                                                                                                                                </v>
      </c>
      <c r="EW51" s="172" t="s">
        <v>71</v>
      </c>
      <c r="EX51" s="141"/>
      <c r="EY51" s="172" t="s">
        <v>71</v>
      </c>
      <c r="EZ51" s="160"/>
      <c r="FA51" s="162"/>
      <c r="FB51" s="203" t="str">
        <f t="shared" si="202"/>
        <v xml:space="preserve">                                                                                                                                                                                                                                                                                                                                                                                                                </v>
      </c>
      <c r="FC51" s="172" t="s">
        <v>71</v>
      </c>
      <c r="FD51" s="141"/>
      <c r="FE51" s="172" t="s">
        <v>71</v>
      </c>
      <c r="FF51" s="160"/>
      <c r="FG51" s="141"/>
      <c r="FH51" s="146" t="str">
        <f t="shared" si="101"/>
        <v xml:space="preserve">                                                                                                                                                                                                                                                                                                                                                                                                                </v>
      </c>
      <c r="FI51" s="174" t="str">
        <f t="shared" si="23"/>
        <v>NG</v>
      </c>
      <c r="FJ51" s="203"/>
      <c r="FK51" s="172" t="s">
        <v>71</v>
      </c>
      <c r="FL51" s="160"/>
      <c r="FM51" s="141"/>
      <c r="FN51" s="146" t="str">
        <f t="shared" si="102"/>
        <v xml:space="preserve">                                                                                                                                                                                                                                                                                                                                                                                                                </v>
      </c>
      <c r="FO51" s="174" t="str">
        <f t="shared" si="24"/>
        <v>NG</v>
      </c>
      <c r="FP51" s="203"/>
      <c r="FQ51" s="172" t="s">
        <v>71</v>
      </c>
      <c r="FR51" s="160"/>
      <c r="FS51" s="141"/>
      <c r="FT51" s="146" t="str">
        <f t="shared" si="103"/>
        <v xml:space="preserve">                                                                                                                                                                                                                                                                                                                                                                                                                </v>
      </c>
      <c r="FU51" s="174" t="str">
        <f t="shared" si="25"/>
        <v>NG</v>
      </c>
      <c r="FV51" s="203"/>
      <c r="FW51" s="172" t="s">
        <v>71</v>
      </c>
      <c r="FX51" s="160"/>
      <c r="FY51" s="141"/>
      <c r="FZ51" s="146" t="str">
        <f t="shared" si="104"/>
        <v xml:space="preserve">                                                                                                                                                                                                                                                                                                                                                                                                                </v>
      </c>
      <c r="GA51" s="174" t="str">
        <f t="shared" si="26"/>
        <v>NG</v>
      </c>
      <c r="GB51" s="203"/>
      <c r="GC51" s="172" t="s">
        <v>71</v>
      </c>
    </row>
    <row r="52" spans="2:185" s="52" customFormat="1">
      <c r="B52" s="216">
        <f t="shared" si="153"/>
        <v>45</v>
      </c>
      <c r="C52" s="37"/>
      <c r="D52" s="37"/>
      <c r="E52" s="37"/>
      <c r="F52" s="49" t="s">
        <v>222</v>
      </c>
      <c r="G52" s="39"/>
      <c r="H52" s="40"/>
      <c r="I52" s="42"/>
      <c r="J52" s="42"/>
      <c r="K52" s="42"/>
      <c r="L52" s="42"/>
      <c r="M52" s="63" t="s">
        <v>336</v>
      </c>
      <c r="N52" s="47"/>
      <c r="O52" s="143"/>
      <c r="P52" s="45">
        <f t="shared" si="192"/>
        <v>28</v>
      </c>
      <c r="Q52" s="46">
        <v>400</v>
      </c>
      <c r="R52" s="41" t="str">
        <f t="shared" si="193"/>
        <v>NX</v>
      </c>
      <c r="S52" s="185" t="s">
        <v>223</v>
      </c>
      <c r="T52" s="43"/>
      <c r="U52" s="41" t="s">
        <v>80</v>
      </c>
      <c r="V52" s="44"/>
      <c r="W52" s="22">
        <v>3</v>
      </c>
      <c r="X52" s="47" t="s">
        <v>224</v>
      </c>
      <c r="Y52" s="47">
        <v>1</v>
      </c>
      <c r="Z52" s="47">
        <v>400</v>
      </c>
      <c r="AA52" s="42" t="s">
        <v>195</v>
      </c>
      <c r="AB52" s="42" t="s">
        <v>80</v>
      </c>
      <c r="AC52" s="166"/>
      <c r="AD52" s="160"/>
      <c r="AE52" s="141"/>
      <c r="AF52" s="146" t="str">
        <f t="shared" si="203"/>
        <v xml:space="preserve">                                                                                                                                                                                                                                                                                                                                                                                                                </v>
      </c>
      <c r="AG52" s="174" t="str">
        <f t="shared" si="1"/>
        <v>NG</v>
      </c>
      <c r="AH52" s="141"/>
      <c r="AI52" s="172" t="s">
        <v>71</v>
      </c>
      <c r="AJ52" s="160"/>
      <c r="AK52" s="141"/>
      <c r="AL52" s="146" t="str">
        <f t="shared" si="154"/>
        <v xml:space="preserve">                                                                                                                                                                                                                                                                                                                                                                                                                </v>
      </c>
      <c r="AM52" s="174" t="str">
        <f t="shared" si="195"/>
        <v>NG</v>
      </c>
      <c r="AN52" s="141"/>
      <c r="AO52" s="172" t="s">
        <v>71</v>
      </c>
      <c r="AP52" s="160"/>
      <c r="AQ52" s="141"/>
      <c r="AR52" s="146" t="str">
        <f t="shared" si="157"/>
        <v xml:space="preserve">                                                                                                                                                                                                                                                                                                                                                                                                                </v>
      </c>
      <c r="AS52" s="174" t="str">
        <f t="shared" si="158"/>
        <v>NG</v>
      </c>
      <c r="AT52" s="141"/>
      <c r="AU52" s="172" t="s">
        <v>71</v>
      </c>
      <c r="AV52" s="160"/>
      <c r="AW52" s="141"/>
      <c r="AX52" s="146" t="str">
        <f t="shared" si="160"/>
        <v xml:space="preserve">                                                                                                                                                                                                                                                                                                                                                                                                                </v>
      </c>
      <c r="AY52" s="174" t="str">
        <f t="shared" si="161"/>
        <v>NG</v>
      </c>
      <c r="AZ52" s="141"/>
      <c r="BA52" s="172" t="s">
        <v>71</v>
      </c>
      <c r="BB52" s="160"/>
      <c r="BC52" s="141"/>
      <c r="BD52" s="146" t="str">
        <f t="shared" si="163"/>
        <v xml:space="preserve">                                                                                                                                                                                                                                                                                                                                                                                                                </v>
      </c>
      <c r="BE52" s="174" t="str">
        <f t="shared" si="164"/>
        <v>NG</v>
      </c>
      <c r="BF52" s="141"/>
      <c r="BG52" s="172" t="s">
        <v>71</v>
      </c>
      <c r="BH52" s="160"/>
      <c r="BI52" s="162"/>
      <c r="BJ52" s="146" t="str">
        <f t="shared" si="210"/>
        <v xml:space="preserve">                                                                                                                                                                                                                                                                                                                                                                                                                </v>
      </c>
      <c r="BK52" s="174" t="s">
        <v>71</v>
      </c>
      <c r="BL52" s="141"/>
      <c r="BM52" s="172" t="s">
        <v>71</v>
      </c>
      <c r="BN52" s="160"/>
      <c r="BO52" s="162"/>
      <c r="BP52" s="146" t="str">
        <f>IF(BR52="-","-",BR52&amp;REPT(IF($R52="N","　",IF($R52="9","0"," ")),$Z52-LENB(BR52)))</f>
        <v xml:space="preserve">                                                                                                                                                                                                                                                                                                                                                                                                                </v>
      </c>
      <c r="BQ52" s="174" t="s">
        <v>71</v>
      </c>
      <c r="BR52" s="141"/>
      <c r="BS52" s="172" t="s">
        <v>71</v>
      </c>
      <c r="BT52" s="160"/>
      <c r="BU52" s="141"/>
      <c r="BV52" s="146" t="str">
        <f t="shared" si="93"/>
        <v xml:space="preserve">                                                                                                                                                                                                                                                                                                                                                                                                                </v>
      </c>
      <c r="BW52" s="174" t="str">
        <f t="shared" si="8"/>
        <v>NG</v>
      </c>
      <c r="BX52" s="141"/>
      <c r="BY52" s="172" t="s">
        <v>71</v>
      </c>
      <c r="BZ52" s="160"/>
      <c r="CA52" s="141"/>
      <c r="CB52" s="146" t="str">
        <f t="shared" si="94"/>
        <v xml:space="preserve">                                                                                                                                                                                                                                                                                                                                                                                                                </v>
      </c>
      <c r="CC52" s="174" t="str">
        <f t="shared" si="9"/>
        <v>NG</v>
      </c>
      <c r="CD52" s="141"/>
      <c r="CE52" s="172" t="s">
        <v>71</v>
      </c>
      <c r="CF52" s="160"/>
      <c r="CG52" s="141"/>
      <c r="CH52" s="146" t="str">
        <f t="shared" si="95"/>
        <v xml:space="preserve">                                                                                                                                                                                                                                                                                                                                                                                                                </v>
      </c>
      <c r="CI52" s="174" t="str">
        <f t="shared" si="10"/>
        <v>NG</v>
      </c>
      <c r="CJ52" s="141"/>
      <c r="CK52" s="172" t="s">
        <v>71</v>
      </c>
      <c r="CL52" s="160"/>
      <c r="CM52" s="141"/>
      <c r="CN52" s="146" t="str">
        <f t="shared" si="96"/>
        <v xml:space="preserve">                                                                                                                                                                                                                                                                                                                                                                                                                </v>
      </c>
      <c r="CO52" s="174" t="str">
        <f t="shared" si="11"/>
        <v>NG</v>
      </c>
      <c r="CP52" s="141"/>
      <c r="CQ52" s="172" t="s">
        <v>71</v>
      </c>
      <c r="CR52" s="160"/>
      <c r="CS52" s="141"/>
      <c r="CT52" s="146" t="str">
        <f t="shared" si="97"/>
        <v xml:space="preserve">                                                                                                                                                                                                                                                                                                                                                                                                                </v>
      </c>
      <c r="CU52" s="174" t="str">
        <f t="shared" si="12"/>
        <v>NG</v>
      </c>
      <c r="CV52" s="141"/>
      <c r="CW52" s="172" t="s">
        <v>71</v>
      </c>
      <c r="CX52" s="160"/>
      <c r="CY52" s="141"/>
      <c r="CZ52" s="146" t="str">
        <f t="shared" si="98"/>
        <v xml:space="preserve">                                                                                                                                                                                                                                                                                                                                                                                                                </v>
      </c>
      <c r="DA52" s="174" t="str">
        <f t="shared" si="13"/>
        <v>NG</v>
      </c>
      <c r="DB52" s="141"/>
      <c r="DC52" s="172" t="s">
        <v>71</v>
      </c>
      <c r="DD52" s="160"/>
      <c r="DE52" s="141"/>
      <c r="DF52" s="146" t="str">
        <f t="shared" si="99"/>
        <v xml:space="preserve">                                                                                                                                                                                                                                                                                                                                                                                                                </v>
      </c>
      <c r="DG52" s="174" t="str">
        <f t="shared" si="14"/>
        <v>NG</v>
      </c>
      <c r="DH52" s="141"/>
      <c r="DI52" s="172" t="s">
        <v>71</v>
      </c>
      <c r="DJ52" s="160"/>
      <c r="DK52" s="162"/>
      <c r="DL52" s="203"/>
      <c r="DM52" s="172" t="s">
        <v>71</v>
      </c>
      <c r="DN52" s="141"/>
      <c r="DO52" s="172" t="s">
        <v>71</v>
      </c>
      <c r="DP52" s="160"/>
      <c r="DQ52" s="162"/>
      <c r="DR52" s="203" t="str">
        <f t="shared" si="196"/>
        <v xml:space="preserve">                                                                                                                                                                                                                                                                                                                                                                                                                </v>
      </c>
      <c r="DS52" s="172" t="s">
        <v>71</v>
      </c>
      <c r="DT52" s="141"/>
      <c r="DU52" s="172" t="s">
        <v>71</v>
      </c>
      <c r="DV52" s="160"/>
      <c r="DW52" s="162"/>
      <c r="DX52" s="203" t="str">
        <f t="shared" si="197"/>
        <v xml:space="preserve">                                                                                                                                                                                                                                                                                                                                                                                                                </v>
      </c>
      <c r="DY52" s="172" t="s">
        <v>71</v>
      </c>
      <c r="DZ52" s="141"/>
      <c r="EA52" s="172" t="s">
        <v>71</v>
      </c>
      <c r="EB52" s="160"/>
      <c r="EC52" s="162"/>
      <c r="ED52" s="203" t="str">
        <f t="shared" si="198"/>
        <v xml:space="preserve">                                                                                                                                                                                                                                                                                                                                                                                                                </v>
      </c>
      <c r="EE52" s="172" t="s">
        <v>71</v>
      </c>
      <c r="EF52" s="141"/>
      <c r="EG52" s="172" t="s">
        <v>71</v>
      </c>
      <c r="EH52" s="160"/>
      <c r="EI52" s="162"/>
      <c r="EJ52" s="203" t="str">
        <f t="shared" si="199"/>
        <v xml:space="preserve">                                                                                                                                                                                                                                                                                                                                                                                                                </v>
      </c>
      <c r="EK52" s="172" t="s">
        <v>71</v>
      </c>
      <c r="EL52" s="141"/>
      <c r="EM52" s="172" t="s">
        <v>71</v>
      </c>
      <c r="EN52" s="160"/>
      <c r="EO52" s="162"/>
      <c r="EP52" s="203" t="str">
        <f t="shared" si="200"/>
        <v xml:space="preserve">                                                                                                                                                                                                                                                                                                                                                                                                                </v>
      </c>
      <c r="EQ52" s="172" t="s">
        <v>71</v>
      </c>
      <c r="ER52" s="141"/>
      <c r="ES52" s="172" t="s">
        <v>71</v>
      </c>
      <c r="ET52" s="160"/>
      <c r="EU52" s="162"/>
      <c r="EV52" s="203" t="str">
        <f t="shared" si="201"/>
        <v xml:space="preserve">                                                                                                                                                                                                                                                                                                                                                                                                                </v>
      </c>
      <c r="EW52" s="172" t="s">
        <v>71</v>
      </c>
      <c r="EX52" s="141"/>
      <c r="EY52" s="172" t="s">
        <v>71</v>
      </c>
      <c r="EZ52" s="160"/>
      <c r="FA52" s="162"/>
      <c r="FB52" s="203" t="str">
        <f t="shared" si="202"/>
        <v xml:space="preserve">                                                                                                                                                                                                                                                                                                                                                                                                                </v>
      </c>
      <c r="FC52" s="172" t="s">
        <v>71</v>
      </c>
      <c r="FD52" s="141"/>
      <c r="FE52" s="172" t="s">
        <v>71</v>
      </c>
      <c r="FF52" s="160"/>
      <c r="FG52" s="141"/>
      <c r="FH52" s="146" t="str">
        <f t="shared" si="101"/>
        <v xml:space="preserve">                                                                                                                                                                                                                                                                                                                                                                                                                </v>
      </c>
      <c r="FI52" s="174" t="str">
        <f t="shared" si="23"/>
        <v>NG</v>
      </c>
      <c r="FJ52" s="203"/>
      <c r="FK52" s="172" t="s">
        <v>71</v>
      </c>
      <c r="FL52" s="160"/>
      <c r="FM52" s="141"/>
      <c r="FN52" s="146" t="str">
        <f t="shared" si="102"/>
        <v xml:space="preserve">                                                                                                                                                                                                                                                                                                                                                                                                                </v>
      </c>
      <c r="FO52" s="174" t="str">
        <f t="shared" si="24"/>
        <v>NG</v>
      </c>
      <c r="FP52" s="203"/>
      <c r="FQ52" s="172" t="s">
        <v>71</v>
      </c>
      <c r="FR52" s="160"/>
      <c r="FS52" s="141"/>
      <c r="FT52" s="146" t="str">
        <f t="shared" si="103"/>
        <v xml:space="preserve">                                                                                                                                                                                                                                                                                                                                                                                                                </v>
      </c>
      <c r="FU52" s="174" t="str">
        <f t="shared" si="25"/>
        <v>NG</v>
      </c>
      <c r="FV52" s="203"/>
      <c r="FW52" s="172" t="s">
        <v>71</v>
      </c>
      <c r="FX52" s="160"/>
      <c r="FY52" s="141"/>
      <c r="FZ52" s="146" t="str">
        <f t="shared" si="104"/>
        <v xml:space="preserve">                                                                                                                                                                                                                                                                                                                                                                                                                </v>
      </c>
      <c r="GA52" s="174" t="str">
        <f t="shared" si="26"/>
        <v>NG</v>
      </c>
      <c r="GB52" s="203"/>
      <c r="GC52" s="172" t="s">
        <v>71</v>
      </c>
    </row>
    <row r="53" spans="2:185" s="52" customFormat="1">
      <c r="B53" s="216">
        <f t="shared" si="153"/>
        <v>46</v>
      </c>
      <c r="C53" s="37"/>
      <c r="D53" s="37"/>
      <c r="E53" s="37"/>
      <c r="F53" s="49" t="s">
        <v>225</v>
      </c>
      <c r="G53" s="39"/>
      <c r="H53" s="40"/>
      <c r="I53" s="42"/>
      <c r="J53" s="42"/>
      <c r="K53" s="42"/>
      <c r="L53" s="42"/>
      <c r="M53" s="63" t="s">
        <v>336</v>
      </c>
      <c r="N53" s="47"/>
      <c r="O53" s="143"/>
      <c r="P53" s="45">
        <f t="shared" si="192"/>
        <v>29</v>
      </c>
      <c r="Q53" s="46">
        <v>400</v>
      </c>
      <c r="R53" s="41" t="str">
        <f t="shared" si="193"/>
        <v>NX</v>
      </c>
      <c r="S53" s="185" t="s">
        <v>226</v>
      </c>
      <c r="T53" s="43"/>
      <c r="U53" s="41" t="s">
        <v>80</v>
      </c>
      <c r="V53" s="44"/>
      <c r="W53" s="22">
        <v>3</v>
      </c>
      <c r="X53" s="47" t="s">
        <v>227</v>
      </c>
      <c r="Y53" s="47">
        <v>1</v>
      </c>
      <c r="Z53" s="47">
        <v>400</v>
      </c>
      <c r="AA53" s="42" t="s">
        <v>195</v>
      </c>
      <c r="AB53" s="42" t="s">
        <v>80</v>
      </c>
      <c r="AC53" s="166"/>
      <c r="AD53" s="160"/>
      <c r="AE53" s="141"/>
      <c r="AF53" s="146" t="str">
        <f t="shared" si="203"/>
        <v xml:space="preserve">                                                                                                                                                                                                                                                                                                                                                                                                                </v>
      </c>
      <c r="AG53" s="174" t="str">
        <f t="shared" si="1"/>
        <v>NG</v>
      </c>
      <c r="AH53" s="141"/>
      <c r="AI53" s="172" t="s">
        <v>71</v>
      </c>
      <c r="AJ53" s="160"/>
      <c r="AK53" s="141"/>
      <c r="AL53" s="146" t="str">
        <f t="shared" si="154"/>
        <v xml:space="preserve">                                                                                                                                                                                                                                                                                                                                                                                                                </v>
      </c>
      <c r="AM53" s="174" t="str">
        <f t="shared" si="195"/>
        <v>NG</v>
      </c>
      <c r="AN53" s="141"/>
      <c r="AO53" s="172" t="s">
        <v>71</v>
      </c>
      <c r="AP53" s="160"/>
      <c r="AQ53" s="141"/>
      <c r="AR53" s="146" t="str">
        <f t="shared" si="157"/>
        <v xml:space="preserve">                                                                                                                                                                                                                                                                                                                                                                                                                </v>
      </c>
      <c r="AS53" s="174" t="str">
        <f t="shared" si="158"/>
        <v>NG</v>
      </c>
      <c r="AT53" s="141"/>
      <c r="AU53" s="172" t="s">
        <v>71</v>
      </c>
      <c r="AV53" s="160"/>
      <c r="AW53" s="141"/>
      <c r="AX53" s="146" t="str">
        <f t="shared" si="160"/>
        <v xml:space="preserve">                                                                                                                                                                                                                                                                                                                                                                                                                </v>
      </c>
      <c r="AY53" s="174" t="str">
        <f t="shared" si="161"/>
        <v>NG</v>
      </c>
      <c r="AZ53" s="141"/>
      <c r="BA53" s="172" t="s">
        <v>71</v>
      </c>
      <c r="BB53" s="160"/>
      <c r="BC53" s="141"/>
      <c r="BD53" s="146" t="str">
        <f t="shared" si="163"/>
        <v xml:space="preserve">                                                                                                                                                                                                                                                                                                                                                                                                                </v>
      </c>
      <c r="BE53" s="174" t="str">
        <f t="shared" si="164"/>
        <v>NG</v>
      </c>
      <c r="BF53" s="141"/>
      <c r="BG53" s="172" t="s">
        <v>71</v>
      </c>
      <c r="BH53" s="160"/>
      <c r="BI53" s="162"/>
      <c r="BJ53" s="146" t="str">
        <f t="shared" si="210"/>
        <v xml:space="preserve">                                                                                                                                                                                                                                                                                                                                                                                                                </v>
      </c>
      <c r="BK53" s="174" t="s">
        <v>71</v>
      </c>
      <c r="BL53" s="141"/>
      <c r="BM53" s="172" t="s">
        <v>71</v>
      </c>
      <c r="BN53" s="160"/>
      <c r="BO53" s="162"/>
      <c r="BP53" s="146" t="str">
        <f>IF(BR53="-","-",BR53&amp;REPT(IF($R53="N","　",IF($R53="9","0"," ")),$Z53-LENB(BR53)))</f>
        <v xml:space="preserve">                                                                                                                                                                                                                                                                                                                                                                                                                </v>
      </c>
      <c r="BQ53" s="174" t="s">
        <v>71</v>
      </c>
      <c r="BR53" s="141"/>
      <c r="BS53" s="172" t="s">
        <v>71</v>
      </c>
      <c r="BT53" s="160"/>
      <c r="BU53" s="141"/>
      <c r="BV53" s="146" t="str">
        <f t="shared" si="93"/>
        <v xml:space="preserve">                                                                                                                                                                                                                                                                                                                                                                                                                </v>
      </c>
      <c r="BW53" s="174" t="str">
        <f t="shared" si="8"/>
        <v>NG</v>
      </c>
      <c r="BX53" s="141"/>
      <c r="BY53" s="172" t="s">
        <v>71</v>
      </c>
      <c r="BZ53" s="160"/>
      <c r="CA53" s="141"/>
      <c r="CB53" s="146" t="str">
        <f t="shared" si="94"/>
        <v xml:space="preserve">                                                                                                                                                                                                                                                                                                                                                                                                                </v>
      </c>
      <c r="CC53" s="174" t="str">
        <f t="shared" si="9"/>
        <v>NG</v>
      </c>
      <c r="CD53" s="141"/>
      <c r="CE53" s="172" t="s">
        <v>71</v>
      </c>
      <c r="CF53" s="160"/>
      <c r="CG53" s="141"/>
      <c r="CH53" s="146" t="str">
        <f t="shared" si="95"/>
        <v xml:space="preserve">                                                                                                                                                                                                                                                                                                                                                                                                                </v>
      </c>
      <c r="CI53" s="174" t="str">
        <f t="shared" si="10"/>
        <v>NG</v>
      </c>
      <c r="CJ53" s="141"/>
      <c r="CK53" s="172" t="s">
        <v>71</v>
      </c>
      <c r="CL53" s="160"/>
      <c r="CM53" s="141"/>
      <c r="CN53" s="146" t="str">
        <f t="shared" si="96"/>
        <v xml:space="preserve">                                                                                                                                                                                                                                                                                                                                                                                                                </v>
      </c>
      <c r="CO53" s="174" t="str">
        <f t="shared" si="11"/>
        <v>NG</v>
      </c>
      <c r="CP53" s="141"/>
      <c r="CQ53" s="172" t="s">
        <v>71</v>
      </c>
      <c r="CR53" s="160"/>
      <c r="CS53" s="141"/>
      <c r="CT53" s="146" t="str">
        <f t="shared" si="97"/>
        <v xml:space="preserve">                                                                                                                                                                                                                                                                                                                                                                                                                </v>
      </c>
      <c r="CU53" s="174" t="str">
        <f t="shared" si="12"/>
        <v>NG</v>
      </c>
      <c r="CV53" s="141"/>
      <c r="CW53" s="172" t="s">
        <v>71</v>
      </c>
      <c r="CX53" s="160"/>
      <c r="CY53" s="141"/>
      <c r="CZ53" s="146" t="str">
        <f t="shared" si="98"/>
        <v xml:space="preserve">                                                                                                                                                                                                                                                                                                                                                                                                                </v>
      </c>
      <c r="DA53" s="174" t="str">
        <f t="shared" si="13"/>
        <v>NG</v>
      </c>
      <c r="DB53" s="141"/>
      <c r="DC53" s="172" t="s">
        <v>71</v>
      </c>
      <c r="DD53" s="160"/>
      <c r="DE53" s="141"/>
      <c r="DF53" s="146" t="str">
        <f t="shared" si="99"/>
        <v xml:space="preserve">                                                                                                                                                                                                                                                                                                                                                                                                                </v>
      </c>
      <c r="DG53" s="174" t="str">
        <f t="shared" si="14"/>
        <v>NG</v>
      </c>
      <c r="DH53" s="141"/>
      <c r="DI53" s="172" t="s">
        <v>71</v>
      </c>
      <c r="DJ53" s="160"/>
      <c r="DK53" s="162"/>
      <c r="DL53" s="203"/>
      <c r="DM53" s="172" t="s">
        <v>71</v>
      </c>
      <c r="DN53" s="141"/>
      <c r="DO53" s="172" t="s">
        <v>71</v>
      </c>
      <c r="DP53" s="160"/>
      <c r="DQ53" s="162"/>
      <c r="DR53" s="203" t="str">
        <f t="shared" si="196"/>
        <v xml:space="preserve">                                                                                                                                                                                                                                                                                                                                                                                                                </v>
      </c>
      <c r="DS53" s="172" t="s">
        <v>71</v>
      </c>
      <c r="DT53" s="141"/>
      <c r="DU53" s="172" t="s">
        <v>71</v>
      </c>
      <c r="DV53" s="160"/>
      <c r="DW53" s="162"/>
      <c r="DX53" s="203" t="str">
        <f t="shared" si="197"/>
        <v xml:space="preserve">                                                                                                                                                                                                                                                                                                                                                                                                                </v>
      </c>
      <c r="DY53" s="172" t="s">
        <v>71</v>
      </c>
      <c r="DZ53" s="141"/>
      <c r="EA53" s="172" t="s">
        <v>71</v>
      </c>
      <c r="EB53" s="160"/>
      <c r="EC53" s="162"/>
      <c r="ED53" s="203" t="str">
        <f t="shared" si="198"/>
        <v xml:space="preserve">                                                                                                                                                                                                                                                                                                                                                                                                                </v>
      </c>
      <c r="EE53" s="172" t="s">
        <v>71</v>
      </c>
      <c r="EF53" s="141"/>
      <c r="EG53" s="172" t="s">
        <v>71</v>
      </c>
      <c r="EH53" s="160"/>
      <c r="EI53" s="162"/>
      <c r="EJ53" s="203" t="str">
        <f t="shared" si="199"/>
        <v xml:space="preserve">                                                                                                                                                                                                                                                                                                                                                                                                                </v>
      </c>
      <c r="EK53" s="172" t="s">
        <v>71</v>
      </c>
      <c r="EL53" s="141"/>
      <c r="EM53" s="172" t="s">
        <v>71</v>
      </c>
      <c r="EN53" s="160"/>
      <c r="EO53" s="162"/>
      <c r="EP53" s="203" t="str">
        <f t="shared" si="200"/>
        <v xml:space="preserve">                                                                                                                                                                                                                                                                                                                                                                                                                </v>
      </c>
      <c r="EQ53" s="172" t="s">
        <v>71</v>
      </c>
      <c r="ER53" s="141"/>
      <c r="ES53" s="172" t="s">
        <v>71</v>
      </c>
      <c r="ET53" s="160"/>
      <c r="EU53" s="162"/>
      <c r="EV53" s="203" t="str">
        <f t="shared" si="201"/>
        <v xml:space="preserve">                                                                                                                                                                                                                                                                                                                                                                                                                </v>
      </c>
      <c r="EW53" s="172" t="s">
        <v>71</v>
      </c>
      <c r="EX53" s="141"/>
      <c r="EY53" s="172" t="s">
        <v>71</v>
      </c>
      <c r="EZ53" s="160"/>
      <c r="FA53" s="162"/>
      <c r="FB53" s="203" t="str">
        <f t="shared" si="202"/>
        <v xml:space="preserve">                                                                                                                                                                                                                                                                                                                                                                                                                </v>
      </c>
      <c r="FC53" s="172" t="s">
        <v>71</v>
      </c>
      <c r="FD53" s="141"/>
      <c r="FE53" s="172" t="s">
        <v>71</v>
      </c>
      <c r="FF53" s="160"/>
      <c r="FG53" s="141"/>
      <c r="FH53" s="146" t="str">
        <f t="shared" si="101"/>
        <v xml:space="preserve">                                                                                                                                                                                                                                                                                                                                                                                                                </v>
      </c>
      <c r="FI53" s="174" t="str">
        <f t="shared" si="23"/>
        <v>NG</v>
      </c>
      <c r="FJ53" s="203"/>
      <c r="FK53" s="172" t="s">
        <v>71</v>
      </c>
      <c r="FL53" s="160"/>
      <c r="FM53" s="141"/>
      <c r="FN53" s="146" t="str">
        <f t="shared" si="102"/>
        <v xml:space="preserve">                                                                                                                                                                                                                                                                                                                                                                                                                </v>
      </c>
      <c r="FO53" s="174" t="str">
        <f t="shared" si="24"/>
        <v>NG</v>
      </c>
      <c r="FP53" s="203"/>
      <c r="FQ53" s="172" t="s">
        <v>71</v>
      </c>
      <c r="FR53" s="160"/>
      <c r="FS53" s="141"/>
      <c r="FT53" s="146" t="str">
        <f t="shared" si="103"/>
        <v xml:space="preserve">                                                                                                                                                                                                                                                                                                                                                                                                                </v>
      </c>
      <c r="FU53" s="174" t="str">
        <f t="shared" si="25"/>
        <v>NG</v>
      </c>
      <c r="FV53" s="203"/>
      <c r="FW53" s="172" t="s">
        <v>71</v>
      </c>
      <c r="FX53" s="160"/>
      <c r="FY53" s="141"/>
      <c r="FZ53" s="146" t="str">
        <f t="shared" si="104"/>
        <v xml:space="preserve">                                                                                                                                                                                                                                                                                                                                                                                                                </v>
      </c>
      <c r="GA53" s="174" t="str">
        <f t="shared" si="26"/>
        <v>NG</v>
      </c>
      <c r="GB53" s="203"/>
      <c r="GC53" s="172" t="s">
        <v>71</v>
      </c>
    </row>
    <row r="54" spans="2:185" s="52" customFormat="1" ht="89.25">
      <c r="B54" s="216">
        <f t="shared" si="153"/>
        <v>47</v>
      </c>
      <c r="C54" s="37"/>
      <c r="D54" s="37"/>
      <c r="E54" s="37"/>
      <c r="F54" s="49" t="s">
        <v>228</v>
      </c>
      <c r="G54" s="39"/>
      <c r="H54" s="40"/>
      <c r="I54" s="42"/>
      <c r="J54" s="42"/>
      <c r="K54" s="42"/>
      <c r="L54" s="42"/>
      <c r="M54" s="63" t="s">
        <v>338</v>
      </c>
      <c r="N54" s="47"/>
      <c r="O54" s="143"/>
      <c r="P54" s="45">
        <f t="shared" si="192"/>
        <v>30</v>
      </c>
      <c r="Q54" s="46">
        <v>1</v>
      </c>
      <c r="R54" s="41" t="str">
        <f t="shared" si="193"/>
        <v>X</v>
      </c>
      <c r="S54" s="185" t="s">
        <v>229</v>
      </c>
      <c r="T54" s="43"/>
      <c r="U54" s="41" t="s">
        <v>80</v>
      </c>
      <c r="V54" s="44"/>
      <c r="W54" s="22">
        <v>3</v>
      </c>
      <c r="X54" s="47" t="s">
        <v>230</v>
      </c>
      <c r="Y54" s="47">
        <v>1</v>
      </c>
      <c r="Z54" s="47">
        <v>1</v>
      </c>
      <c r="AA54" s="42" t="s">
        <v>163</v>
      </c>
      <c r="AB54" s="42" t="s">
        <v>57</v>
      </c>
      <c r="AC54" s="217"/>
      <c r="AD54" s="160"/>
      <c r="AE54" s="162"/>
      <c r="AF54" s="203" t="str">
        <f t="shared" si="203"/>
        <v>1</v>
      </c>
      <c r="AG54" s="174" t="str">
        <f t="shared" si="1"/>
        <v>NG</v>
      </c>
      <c r="AH54" s="162" t="s">
        <v>476</v>
      </c>
      <c r="AI54" s="276" t="str">
        <f>IF(OR(AE$8="判定対象外",AH$8="判定対象外",AH54="-"),"-",IF(AE54=AH54,"OK","NG"))</f>
        <v>NG</v>
      </c>
      <c r="AJ54" s="160"/>
      <c r="AK54" s="162"/>
      <c r="AL54" s="203" t="str">
        <f t="shared" si="154"/>
        <v>1</v>
      </c>
      <c r="AM54" s="174" t="str">
        <f t="shared" si="195"/>
        <v>NG</v>
      </c>
      <c r="AN54" s="162" t="s">
        <v>476</v>
      </c>
      <c r="AO54" s="276" t="str">
        <f>IF(OR(AK$8="判定対象外",AN$8="判定対象外",AN54="-"),"-",IF(AK54=AN54,"OK","NG"))</f>
        <v>NG</v>
      </c>
      <c r="AP54" s="160"/>
      <c r="AQ54" s="162"/>
      <c r="AR54" s="203" t="str">
        <f t="shared" si="157"/>
        <v xml:space="preserve"> </v>
      </c>
      <c r="AS54" s="174" t="str">
        <f t="shared" si="158"/>
        <v>NG</v>
      </c>
      <c r="AT54" s="162"/>
      <c r="AU54" s="276" t="str">
        <f>IF(OR(AQ$8="判定対象外",AT$8="判定対象外",AT54="-"),"-",IF(AQ54=AT54,"OK","NG"))</f>
        <v>OK</v>
      </c>
      <c r="AV54" s="160"/>
      <c r="AW54" s="162"/>
      <c r="AX54" s="203" t="str">
        <f t="shared" si="160"/>
        <v>1</v>
      </c>
      <c r="AY54" s="174" t="str">
        <f t="shared" si="161"/>
        <v>NG</v>
      </c>
      <c r="AZ54" s="162" t="s">
        <v>476</v>
      </c>
      <c r="BA54" s="276" t="str">
        <f>IF(OR(AW$8="判定対象外",AZ$8="判定対象外",AZ54="-"),"-",IF(AW54=AZ54,"OK","NG"))</f>
        <v>NG</v>
      </c>
      <c r="BB54" s="160"/>
      <c r="BC54" s="162"/>
      <c r="BD54" s="203" t="str">
        <f t="shared" si="163"/>
        <v xml:space="preserve"> </v>
      </c>
      <c r="BE54" s="174" t="str">
        <f t="shared" si="164"/>
        <v>NG</v>
      </c>
      <c r="BF54" s="162"/>
      <c r="BG54" s="172" t="s">
        <v>71</v>
      </c>
      <c r="BH54" s="160"/>
      <c r="BI54" s="162"/>
      <c r="BJ54" s="203" t="str">
        <f t="shared" si="210"/>
        <v xml:space="preserve"> </v>
      </c>
      <c r="BK54" s="174" t="s">
        <v>71</v>
      </c>
      <c r="BL54" s="162"/>
      <c r="BM54" s="172" t="s">
        <v>71</v>
      </c>
      <c r="BN54" s="160"/>
      <c r="BO54" s="162"/>
      <c r="BP54" s="203" t="str">
        <f>IF(BR54="-","-",BR54&amp;REPT(IF($R54="N","　",IF($R54="9","0"," ")),$Z54-LENB(BR54)))</f>
        <v xml:space="preserve"> </v>
      </c>
      <c r="BQ54" s="174" t="s">
        <v>71</v>
      </c>
      <c r="BR54" s="162"/>
      <c r="BS54" s="172" t="s">
        <v>71</v>
      </c>
      <c r="BT54" s="160"/>
      <c r="BU54" s="162"/>
      <c r="BV54" s="203" t="str">
        <f t="shared" si="93"/>
        <v xml:space="preserve"> </v>
      </c>
      <c r="BW54" s="174" t="str">
        <f t="shared" si="8"/>
        <v>NG</v>
      </c>
      <c r="BX54" s="162"/>
      <c r="BY54" s="172" t="s">
        <v>71</v>
      </c>
      <c r="BZ54" s="160"/>
      <c r="CA54" s="162"/>
      <c r="CB54" s="203" t="str">
        <f t="shared" si="94"/>
        <v xml:space="preserve"> </v>
      </c>
      <c r="CC54" s="174" t="str">
        <f t="shared" si="9"/>
        <v>NG</v>
      </c>
      <c r="CD54" s="162"/>
      <c r="CE54" s="172" t="s">
        <v>71</v>
      </c>
      <c r="CF54" s="160"/>
      <c r="CG54" s="162"/>
      <c r="CH54" s="203" t="str">
        <f t="shared" si="95"/>
        <v xml:space="preserve"> </v>
      </c>
      <c r="CI54" s="174" t="str">
        <f t="shared" si="10"/>
        <v>NG</v>
      </c>
      <c r="CJ54" s="162"/>
      <c r="CK54" s="172" t="s">
        <v>71</v>
      </c>
      <c r="CL54" s="160"/>
      <c r="CM54" s="162"/>
      <c r="CN54" s="203" t="str">
        <f t="shared" si="96"/>
        <v xml:space="preserve"> </v>
      </c>
      <c r="CO54" s="174" t="str">
        <f t="shared" si="11"/>
        <v>NG</v>
      </c>
      <c r="CP54" s="162"/>
      <c r="CQ54" s="172" t="s">
        <v>71</v>
      </c>
      <c r="CR54" s="160"/>
      <c r="CS54" s="162"/>
      <c r="CT54" s="203" t="str">
        <f t="shared" si="97"/>
        <v xml:space="preserve"> </v>
      </c>
      <c r="CU54" s="174" t="str">
        <f t="shared" si="12"/>
        <v>NG</v>
      </c>
      <c r="CV54" s="162"/>
      <c r="CW54" s="172" t="s">
        <v>71</v>
      </c>
      <c r="CX54" s="160"/>
      <c r="CY54" s="162"/>
      <c r="CZ54" s="203" t="str">
        <f t="shared" si="98"/>
        <v xml:space="preserve"> </v>
      </c>
      <c r="DA54" s="174" t="str">
        <f t="shared" si="13"/>
        <v>NG</v>
      </c>
      <c r="DB54" s="162"/>
      <c r="DC54" s="172" t="s">
        <v>71</v>
      </c>
      <c r="DD54" s="160"/>
      <c r="DE54" s="162"/>
      <c r="DF54" s="203" t="str">
        <f t="shared" si="99"/>
        <v xml:space="preserve"> </v>
      </c>
      <c r="DG54" s="174" t="str">
        <f t="shared" si="14"/>
        <v>NG</v>
      </c>
      <c r="DH54" s="162"/>
      <c r="DI54" s="172" t="s">
        <v>71</v>
      </c>
      <c r="DJ54" s="160"/>
      <c r="DK54" s="162"/>
      <c r="DL54" s="204"/>
      <c r="DM54" s="172" t="s">
        <v>71</v>
      </c>
      <c r="DN54" s="162"/>
      <c r="DO54" s="172" t="s">
        <v>71</v>
      </c>
      <c r="DP54" s="160"/>
      <c r="DQ54" s="162"/>
      <c r="DR54" s="203" t="str">
        <f t="shared" si="196"/>
        <v xml:space="preserve"> </v>
      </c>
      <c r="DS54" s="172" t="s">
        <v>71</v>
      </c>
      <c r="DT54" s="162"/>
      <c r="DU54" s="172" t="s">
        <v>71</v>
      </c>
      <c r="DV54" s="160"/>
      <c r="DW54" s="162"/>
      <c r="DX54" s="203" t="str">
        <f t="shared" si="197"/>
        <v xml:space="preserve"> </v>
      </c>
      <c r="DY54" s="172" t="s">
        <v>71</v>
      </c>
      <c r="DZ54" s="162"/>
      <c r="EA54" s="172" t="s">
        <v>71</v>
      </c>
      <c r="EB54" s="160"/>
      <c r="EC54" s="162"/>
      <c r="ED54" s="203" t="str">
        <f t="shared" si="198"/>
        <v xml:space="preserve"> </v>
      </c>
      <c r="EE54" s="172" t="s">
        <v>71</v>
      </c>
      <c r="EF54" s="162"/>
      <c r="EG54" s="172" t="s">
        <v>71</v>
      </c>
      <c r="EH54" s="160"/>
      <c r="EI54" s="162"/>
      <c r="EJ54" s="203" t="str">
        <f t="shared" si="199"/>
        <v xml:space="preserve"> </v>
      </c>
      <c r="EK54" s="172" t="s">
        <v>71</v>
      </c>
      <c r="EL54" s="162"/>
      <c r="EM54" s="172" t="s">
        <v>71</v>
      </c>
      <c r="EN54" s="160"/>
      <c r="EO54" s="162"/>
      <c r="EP54" s="203" t="str">
        <f t="shared" si="200"/>
        <v xml:space="preserve"> </v>
      </c>
      <c r="EQ54" s="172" t="s">
        <v>71</v>
      </c>
      <c r="ER54" s="162"/>
      <c r="ES54" s="172" t="s">
        <v>71</v>
      </c>
      <c r="ET54" s="160"/>
      <c r="EU54" s="162"/>
      <c r="EV54" s="203" t="str">
        <f t="shared" si="201"/>
        <v xml:space="preserve"> </v>
      </c>
      <c r="EW54" s="172" t="s">
        <v>71</v>
      </c>
      <c r="EX54" s="162"/>
      <c r="EY54" s="172" t="s">
        <v>71</v>
      </c>
      <c r="EZ54" s="160"/>
      <c r="FA54" s="162"/>
      <c r="FB54" s="203" t="str">
        <f t="shared" si="202"/>
        <v xml:space="preserve"> </v>
      </c>
      <c r="FC54" s="172" t="s">
        <v>71</v>
      </c>
      <c r="FD54" s="162"/>
      <c r="FE54" s="172" t="s">
        <v>71</v>
      </c>
      <c r="FF54" s="160"/>
      <c r="FG54" s="162"/>
      <c r="FH54" s="203" t="str">
        <f t="shared" si="101"/>
        <v xml:space="preserve"> </v>
      </c>
      <c r="FI54" s="174" t="str">
        <f t="shared" si="23"/>
        <v>NG</v>
      </c>
      <c r="FJ54" s="204"/>
      <c r="FK54" s="172" t="s">
        <v>71</v>
      </c>
      <c r="FL54" s="160"/>
      <c r="FM54" s="162"/>
      <c r="FN54" s="203" t="str">
        <f t="shared" si="102"/>
        <v xml:space="preserve"> </v>
      </c>
      <c r="FO54" s="174" t="str">
        <f t="shared" si="24"/>
        <v>NG</v>
      </c>
      <c r="FP54" s="204"/>
      <c r="FQ54" s="172" t="s">
        <v>71</v>
      </c>
      <c r="FR54" s="160"/>
      <c r="FS54" s="162"/>
      <c r="FT54" s="203" t="str">
        <f t="shared" si="103"/>
        <v xml:space="preserve"> </v>
      </c>
      <c r="FU54" s="174" t="str">
        <f t="shared" si="25"/>
        <v>NG</v>
      </c>
      <c r="FV54" s="204"/>
      <c r="FW54" s="172" t="s">
        <v>71</v>
      </c>
      <c r="FX54" s="160"/>
      <c r="FY54" s="162"/>
      <c r="FZ54" s="203" t="str">
        <f t="shared" si="104"/>
        <v xml:space="preserve"> </v>
      </c>
      <c r="GA54" s="174" t="str">
        <f t="shared" si="26"/>
        <v>NG</v>
      </c>
      <c r="GB54" s="204"/>
      <c r="GC54" s="172" t="s">
        <v>71</v>
      </c>
    </row>
    <row r="55" spans="2:185" s="52" customFormat="1">
      <c r="B55" s="216">
        <f t="shared" si="153"/>
        <v>48</v>
      </c>
      <c r="C55" s="37"/>
      <c r="D55" s="37"/>
      <c r="E55" s="37"/>
      <c r="F55" s="49" t="s">
        <v>231</v>
      </c>
      <c r="G55" s="39"/>
      <c r="H55" s="40"/>
      <c r="I55" s="42"/>
      <c r="J55" s="42"/>
      <c r="K55" s="42"/>
      <c r="L55" s="42"/>
      <c r="M55" s="63"/>
      <c r="N55" s="47"/>
      <c r="O55" s="143"/>
      <c r="P55" s="45">
        <f t="shared" si="192"/>
        <v>31</v>
      </c>
      <c r="Q55" s="46">
        <v>128</v>
      </c>
      <c r="R55" s="41" t="str">
        <f t="shared" si="193"/>
        <v>X</v>
      </c>
      <c r="S55" s="185" t="s">
        <v>232</v>
      </c>
      <c r="T55" s="43"/>
      <c r="U55" s="41" t="s">
        <v>80</v>
      </c>
      <c r="V55" s="44"/>
      <c r="W55" s="22">
        <v>3</v>
      </c>
      <c r="X55" s="47" t="s">
        <v>233</v>
      </c>
      <c r="Y55" s="47">
        <v>1</v>
      </c>
      <c r="Z55" s="47">
        <v>128</v>
      </c>
      <c r="AA55" s="42" t="s">
        <v>163</v>
      </c>
      <c r="AB55" s="42" t="s">
        <v>57</v>
      </c>
      <c r="AC55" s="166"/>
      <c r="AD55" s="160"/>
      <c r="AE55" s="141"/>
      <c r="AF55" s="203" t="str">
        <f t="shared" ref="AF55:AF70" si="211">IF(AH55="-","-",AH55&amp;REPT(IF($R55="N","　",IF($R55="9","0"," ")),$Z55-LENB(AH55)))</f>
        <v xml:space="preserve">                                                                                                                                </v>
      </c>
      <c r="AG55" s="174" t="str">
        <f t="shared" si="1"/>
        <v>NG</v>
      </c>
      <c r="AH55" s="141"/>
      <c r="AI55" s="276" t="str">
        <f>IF(OR(AE$8="判定対象外",AH$8="判定対象外",AH55="-"),"-",IF(AE55=AH55,"OK","NG"))</f>
        <v>OK</v>
      </c>
      <c r="AJ55" s="160"/>
      <c r="AK55" s="141"/>
      <c r="AL55" s="203" t="str">
        <f t="shared" ref="AL55:AL66" si="212">IF(AN55="-","-",AN55&amp;REPT(IF($R55="N","　",IF($R55="9","0"," ")),$Z55-LENB(AN55)))</f>
        <v xml:space="preserve">                                                                                                                                </v>
      </c>
      <c r="AM55" s="174" t="str">
        <f t="shared" si="195"/>
        <v>NG</v>
      </c>
      <c r="AN55" s="141"/>
      <c r="AO55" s="276" t="str">
        <f>IF(OR(AK$8="判定対象外",AN$8="判定対象外",AN55="-"),"-",IF(AK55=AN55,"OK","NG"))</f>
        <v>OK</v>
      </c>
      <c r="AP55" s="160"/>
      <c r="AQ55" s="141"/>
      <c r="AR55" s="203" t="str">
        <f t="shared" si="157"/>
        <v xml:space="preserve">                                                                                                                                </v>
      </c>
      <c r="AS55" s="174" t="str">
        <f t="shared" si="158"/>
        <v>NG</v>
      </c>
      <c r="AT55" s="141"/>
      <c r="AU55" s="172" t="s">
        <v>71</v>
      </c>
      <c r="AV55" s="160"/>
      <c r="AW55" s="141"/>
      <c r="AX55" s="203" t="str">
        <f t="shared" si="160"/>
        <v xml:space="preserve">                                                                                                                                </v>
      </c>
      <c r="AY55" s="174" t="str">
        <f t="shared" si="161"/>
        <v>NG</v>
      </c>
      <c r="AZ55" s="141"/>
      <c r="BA55" s="276" t="str">
        <f>IF(OR(AW$8="判定対象外",AZ$8="判定対象外",AZ55="-"),"-",IF(AW55=AZ55,"OK","NG"))</f>
        <v>OK</v>
      </c>
      <c r="BB55" s="160"/>
      <c r="BC55" s="141"/>
      <c r="BD55" s="203" t="str">
        <f t="shared" si="163"/>
        <v xml:space="preserve">                                                                                                                                </v>
      </c>
      <c r="BE55" s="174" t="str">
        <f t="shared" si="164"/>
        <v>NG</v>
      </c>
      <c r="BF55" s="141"/>
      <c r="BG55" s="172" t="s">
        <v>71</v>
      </c>
      <c r="BH55" s="160"/>
      <c r="BI55" s="162"/>
      <c r="BJ55" s="203" t="str">
        <f t="shared" si="210"/>
        <v xml:space="preserve">                                                                                                                                </v>
      </c>
      <c r="BK55" s="174" t="s">
        <v>71</v>
      </c>
      <c r="BL55" s="141"/>
      <c r="BM55" s="172" t="s">
        <v>71</v>
      </c>
      <c r="BN55" s="160"/>
      <c r="BO55" s="162"/>
      <c r="BP55" s="203" t="str">
        <f>IF(BR55="-","-",BR55&amp;REPT(IF($R55="N","　",IF($R55="9","0"," ")),$Z55-LENB(BR55)))</f>
        <v xml:space="preserve">                                                                                                                                </v>
      </c>
      <c r="BQ55" s="174" t="s">
        <v>71</v>
      </c>
      <c r="BR55" s="141"/>
      <c r="BS55" s="172" t="s">
        <v>71</v>
      </c>
      <c r="BT55" s="160"/>
      <c r="BU55" s="141"/>
      <c r="BV55" s="203" t="str">
        <f t="shared" si="93"/>
        <v xml:space="preserve">                                                                                                                                </v>
      </c>
      <c r="BW55" s="174" t="str">
        <f t="shared" si="8"/>
        <v>NG</v>
      </c>
      <c r="BX55" s="141"/>
      <c r="BY55" s="276" t="str">
        <f>IF(OR(BU$8="判定対象外",BX$8="判定対象外",BX55="-"),"-",IF(BU55=BX55,"OK","NG"))</f>
        <v>OK</v>
      </c>
      <c r="BZ55" s="160"/>
      <c r="CA55" s="141"/>
      <c r="CB55" s="203" t="str">
        <f t="shared" si="94"/>
        <v xml:space="preserve">                                                                                                                                </v>
      </c>
      <c r="CC55" s="174" t="str">
        <f t="shared" si="9"/>
        <v>NG</v>
      </c>
      <c r="CD55" s="141"/>
      <c r="CE55" s="276" t="str">
        <f>IF(OR(CA$8="判定対象外",CD$8="判定対象外",CD55="-"),"-",IF(CA55=CD55,"OK","NG"))</f>
        <v>OK</v>
      </c>
      <c r="CF55" s="160"/>
      <c r="CG55" s="141"/>
      <c r="CH55" s="203" t="str">
        <f t="shared" si="95"/>
        <v xml:space="preserve">                                                                                                                                </v>
      </c>
      <c r="CI55" s="174" t="str">
        <f t="shared" si="10"/>
        <v>NG</v>
      </c>
      <c r="CJ55" s="141"/>
      <c r="CK55" s="276" t="str">
        <f>IF(OR(CG$8="判定対象外",CJ$8="判定対象外",CJ55="-"),"-",IF(CG55=CJ55,"OK","NG"))</f>
        <v>OK</v>
      </c>
      <c r="CL55" s="160"/>
      <c r="CM55" s="141"/>
      <c r="CN55" s="203" t="str">
        <f t="shared" si="96"/>
        <v xml:space="preserve">                                                                                                                                </v>
      </c>
      <c r="CO55" s="174" t="str">
        <f t="shared" si="11"/>
        <v>NG</v>
      </c>
      <c r="CP55" s="141"/>
      <c r="CQ55" s="276" t="str">
        <f>IF(OR(CM$8="判定対象外",CP$8="判定対象外",CP55="-"),"-",IF(CM55=CP55,"OK","NG"))</f>
        <v>OK</v>
      </c>
      <c r="CR55" s="160"/>
      <c r="CS55" s="141"/>
      <c r="CT55" s="203" t="str">
        <f t="shared" si="97"/>
        <v xml:space="preserve">                                                                                                                                </v>
      </c>
      <c r="CU55" s="174" t="str">
        <f t="shared" si="12"/>
        <v>NG</v>
      </c>
      <c r="CV55" s="141"/>
      <c r="CW55" s="276" t="str">
        <f>IF(OR(CS$8="判定対象外",CV$8="判定対象外",CV55="-"),"-",IF(CS55=CV55,"OK","NG"))</f>
        <v>OK</v>
      </c>
      <c r="CX55" s="160"/>
      <c r="CY55" s="141"/>
      <c r="CZ55" s="203" t="str">
        <f t="shared" si="98"/>
        <v xml:space="preserve">                                                                                                                                </v>
      </c>
      <c r="DA55" s="174" t="str">
        <f t="shared" si="13"/>
        <v>NG</v>
      </c>
      <c r="DB55" s="141"/>
      <c r="DC55" s="276" t="str">
        <f>IF(OR(CY$8="判定対象外",DB$8="判定対象外",DB55="-"),"-",IF(CY55=DB55,"OK","NG"))</f>
        <v>OK</v>
      </c>
      <c r="DD55" s="160"/>
      <c r="DE55" s="141"/>
      <c r="DF55" s="203" t="str">
        <f t="shared" si="99"/>
        <v xml:space="preserve">                                                                                                                                </v>
      </c>
      <c r="DG55" s="174" t="str">
        <f t="shared" si="14"/>
        <v>NG</v>
      </c>
      <c r="DH55" s="141"/>
      <c r="DI55" s="276" t="str">
        <f>IF(OR(DE$8="判定対象外",DH$8="判定対象外",DH55="-"),"-",IF(DE55=DH55,"OK","NG"))</f>
        <v>OK</v>
      </c>
      <c r="DJ55" s="160"/>
      <c r="DK55" s="162"/>
      <c r="DL55" s="203"/>
      <c r="DM55" s="174" t="str">
        <f>IF(OR(DK$8="判定対象外",DL$8="判定対象外",DL55="-"),"-",IF(DK55=DL55,"OK","NG"))</f>
        <v>OK</v>
      </c>
      <c r="DN55" s="141"/>
      <c r="DO55" s="172" t="s">
        <v>71</v>
      </c>
      <c r="DP55" s="160"/>
      <c r="DQ55" s="162"/>
      <c r="DR55" s="203" t="str">
        <f t="shared" si="196"/>
        <v xml:space="preserve">                                                                                                                                </v>
      </c>
      <c r="DS55" s="174" t="str">
        <f>IF(OR(DQ$8="判定対象外",DR$8="判定対象外",DR55="-"),"-",IF(DQ55=DR55,"OK","NG"))</f>
        <v>NG</v>
      </c>
      <c r="DT55" s="141"/>
      <c r="DU55" s="172" t="s">
        <v>71</v>
      </c>
      <c r="DV55" s="160"/>
      <c r="DW55" s="162"/>
      <c r="DX55" s="203" t="str">
        <f t="shared" si="197"/>
        <v xml:space="preserve">                                                                                                                                </v>
      </c>
      <c r="DY55" s="174" t="str">
        <f>IF(OR(DW$8="判定対象外",DX$8="判定対象外",DX55="-"),"-",IF(DW55=DX55,"OK","NG"))</f>
        <v>NG</v>
      </c>
      <c r="DZ55" s="141"/>
      <c r="EA55" s="172" t="s">
        <v>71</v>
      </c>
      <c r="EB55" s="160"/>
      <c r="EC55" s="162"/>
      <c r="ED55" s="203" t="str">
        <f t="shared" si="198"/>
        <v xml:space="preserve">                                                                                                                                </v>
      </c>
      <c r="EE55" s="174" t="str">
        <f>IF(OR(EC$8="判定対象外",ED$8="判定対象外",ED55="-"),"-",IF(EC55=ED55,"OK","NG"))</f>
        <v>NG</v>
      </c>
      <c r="EF55" s="141"/>
      <c r="EG55" s="172" t="s">
        <v>71</v>
      </c>
      <c r="EH55" s="160"/>
      <c r="EI55" s="162"/>
      <c r="EJ55" s="203" t="str">
        <f t="shared" si="199"/>
        <v xml:space="preserve">                                                                                                                                </v>
      </c>
      <c r="EK55" s="174" t="str">
        <f>IF(OR(EI$8="判定対象外",EJ$8="判定対象外",EJ55="-"),"-",IF(EI55=EJ55,"OK","NG"))</f>
        <v>NG</v>
      </c>
      <c r="EL55" s="141"/>
      <c r="EM55" s="172" t="s">
        <v>71</v>
      </c>
      <c r="EN55" s="160"/>
      <c r="EO55" s="162"/>
      <c r="EP55" s="203" t="str">
        <f t="shared" si="200"/>
        <v xml:space="preserve">                                                                                                                                </v>
      </c>
      <c r="EQ55" s="174" t="str">
        <f>IF(OR(EO$8="判定対象外",EP$8="判定対象外",EP55="-"),"-",IF(EO55=EP55,"OK","NG"))</f>
        <v>NG</v>
      </c>
      <c r="ER55" s="141"/>
      <c r="ES55" s="172" t="s">
        <v>71</v>
      </c>
      <c r="ET55" s="160"/>
      <c r="EU55" s="162"/>
      <c r="EV55" s="203" t="str">
        <f t="shared" si="201"/>
        <v xml:space="preserve">                                                                                                                                </v>
      </c>
      <c r="EW55" s="174" t="str">
        <f>IF(OR(EU$8="判定対象外",EV$8="判定対象外",EV55="-"),"-",IF(EU55=EV55,"OK","NG"))</f>
        <v>NG</v>
      </c>
      <c r="EX55" s="141"/>
      <c r="EY55" s="172" t="s">
        <v>71</v>
      </c>
      <c r="EZ55" s="160"/>
      <c r="FA55" s="162"/>
      <c r="FB55" s="203" t="str">
        <f t="shared" si="202"/>
        <v xml:space="preserve">                                                                                                                                </v>
      </c>
      <c r="FC55" s="174" t="str">
        <f>IF(OR(FA$8="判定対象外",FB$8="判定対象外",FB55="-"),"-",IF(FA55=FB55,"OK","NG"))</f>
        <v>NG</v>
      </c>
      <c r="FD55" s="141"/>
      <c r="FE55" s="172" t="s">
        <v>71</v>
      </c>
      <c r="FF55" s="160"/>
      <c r="FG55" s="141"/>
      <c r="FH55" s="203" t="str">
        <f t="shared" si="101"/>
        <v xml:space="preserve">                                                                                                                                </v>
      </c>
      <c r="FI55" s="174" t="str">
        <f t="shared" si="23"/>
        <v>NG</v>
      </c>
      <c r="FJ55" s="203"/>
      <c r="FK55" s="276" t="str">
        <f>IF(OR(FG$8="判定対象外",FJ$8="判定対象外",FJ55="-"),"-",IF(FG55=FJ55,"OK","NG"))</f>
        <v>OK</v>
      </c>
      <c r="FL55" s="160"/>
      <c r="FM55" s="141"/>
      <c r="FN55" s="203" t="str">
        <f t="shared" si="102"/>
        <v xml:space="preserve">                                                                                                                                </v>
      </c>
      <c r="FO55" s="174" t="str">
        <f t="shared" si="24"/>
        <v>NG</v>
      </c>
      <c r="FP55" s="203"/>
      <c r="FQ55" s="276" t="str">
        <f>IF(OR(FM$8="判定対象外",FP$8="判定対象外",FP55="-"),"-",IF(FM55=FP55,"OK","NG"))</f>
        <v>OK</v>
      </c>
      <c r="FR55" s="160"/>
      <c r="FS55" s="141"/>
      <c r="FT55" s="203" t="str">
        <f t="shared" si="103"/>
        <v xml:space="preserve">                                                                                                                                </v>
      </c>
      <c r="FU55" s="174" t="str">
        <f t="shared" si="25"/>
        <v>NG</v>
      </c>
      <c r="FV55" s="203"/>
      <c r="FW55" s="276" t="str">
        <f>IF(OR(FS$8="判定対象外",FV$8="判定対象外",FV55="-"),"-",IF(FS55=FV55,"OK","NG"))</f>
        <v>OK</v>
      </c>
      <c r="FX55" s="160"/>
      <c r="FY55" s="141"/>
      <c r="FZ55" s="203" t="str">
        <f t="shared" si="104"/>
        <v xml:space="preserve">                                                                                                                                </v>
      </c>
      <c r="GA55" s="174" t="str">
        <f t="shared" si="26"/>
        <v>NG</v>
      </c>
      <c r="GB55" s="203"/>
      <c r="GC55" s="276" t="str">
        <f>IF(OR(FY$8="判定対象外",GB$8="判定対象外",GB55="-"),"-",IF(FY55=GB55,"OK","NG"))</f>
        <v>OK</v>
      </c>
    </row>
    <row r="56" spans="2:185" s="52" customFormat="1" ht="114.75">
      <c r="B56" s="216">
        <f t="shared" si="153"/>
        <v>49</v>
      </c>
      <c r="C56" s="37"/>
      <c r="D56" s="37"/>
      <c r="E56" s="37"/>
      <c r="F56" s="49" t="s">
        <v>339</v>
      </c>
      <c r="G56" s="39"/>
      <c r="H56" s="40"/>
      <c r="I56" s="42"/>
      <c r="J56" s="42"/>
      <c r="K56" s="42"/>
      <c r="L56" s="42"/>
      <c r="M56" s="63" t="s">
        <v>340</v>
      </c>
      <c r="N56" s="47"/>
      <c r="O56" s="143"/>
      <c r="P56" s="45">
        <f t="shared" si="192"/>
        <v>32</v>
      </c>
      <c r="Q56" s="46">
        <v>1</v>
      </c>
      <c r="R56" s="41" t="str">
        <f t="shared" si="193"/>
        <v>X</v>
      </c>
      <c r="S56" s="185" t="s">
        <v>234</v>
      </c>
      <c r="T56" s="43"/>
      <c r="U56" s="41" t="s">
        <v>80</v>
      </c>
      <c r="V56" s="44"/>
      <c r="W56" s="22">
        <v>3</v>
      </c>
      <c r="X56" s="47" t="s">
        <v>235</v>
      </c>
      <c r="Y56" s="47">
        <v>1</v>
      </c>
      <c r="Z56" s="47">
        <v>1</v>
      </c>
      <c r="AA56" s="42" t="s">
        <v>163</v>
      </c>
      <c r="AB56" s="42" t="s">
        <v>57</v>
      </c>
      <c r="AC56" s="217"/>
      <c r="AD56" s="160"/>
      <c r="AE56" s="162"/>
      <c r="AF56" s="203" t="str">
        <f t="shared" si="211"/>
        <v>1</v>
      </c>
      <c r="AG56" s="174" t="str">
        <f t="shared" si="1"/>
        <v>NG</v>
      </c>
      <c r="AH56" s="162" t="s">
        <v>476</v>
      </c>
      <c r="AI56" s="276" t="str">
        <f>IF(OR(AE$8="判定対象外",AH$8="判定対象外",AH56="-"),"-",IF(AE56=AH56,"OK","NG"))</f>
        <v>NG</v>
      </c>
      <c r="AJ56" s="160"/>
      <c r="AK56" s="162"/>
      <c r="AL56" s="203" t="str">
        <f t="shared" si="212"/>
        <v>1</v>
      </c>
      <c r="AM56" s="174" t="str">
        <f t="shared" si="195"/>
        <v>NG</v>
      </c>
      <c r="AN56" s="162" t="s">
        <v>476</v>
      </c>
      <c r="AO56" s="276" t="str">
        <f>IF(OR(AK$8="判定対象外",AN$8="判定対象外",AN56="-"),"-",IF(AK56=AN56,"OK","NG"))</f>
        <v>NG</v>
      </c>
      <c r="AP56" s="160"/>
      <c r="AQ56" s="162"/>
      <c r="AR56" s="203" t="str">
        <f t="shared" si="157"/>
        <v>1</v>
      </c>
      <c r="AS56" s="174" t="str">
        <f t="shared" si="158"/>
        <v>NG</v>
      </c>
      <c r="AT56" s="162" t="s">
        <v>476</v>
      </c>
      <c r="AU56" s="276" t="str">
        <f>IF(OR(AQ$8="判定対象外",AT$8="判定対象外",AT56="-"),"-",IF(AQ56=AT56,"OK","NG"))</f>
        <v>NG</v>
      </c>
      <c r="AV56" s="160"/>
      <c r="AW56" s="162"/>
      <c r="AX56" s="203" t="str">
        <f t="shared" si="160"/>
        <v>1</v>
      </c>
      <c r="AY56" s="174" t="str">
        <f t="shared" si="161"/>
        <v>NG</v>
      </c>
      <c r="AZ56" s="162" t="s">
        <v>476</v>
      </c>
      <c r="BA56" s="276" t="str">
        <f>IF(OR(AW$8="判定対象外",AZ$8="判定対象外",AZ56="-"),"-",IF(AW56=AZ56,"OK","NG"))</f>
        <v>NG</v>
      </c>
      <c r="BB56" s="160"/>
      <c r="BC56" s="162"/>
      <c r="BD56" s="203" t="str">
        <f t="shared" si="163"/>
        <v xml:space="preserve"> </v>
      </c>
      <c r="BE56" s="174" t="str">
        <f t="shared" si="164"/>
        <v>NG</v>
      </c>
      <c r="BF56" s="162"/>
      <c r="BG56" s="172" t="s">
        <v>71</v>
      </c>
      <c r="BH56" s="160"/>
      <c r="BI56" s="162"/>
      <c r="BJ56" s="203">
        <v>1</v>
      </c>
      <c r="BK56" s="174" t="str">
        <f>IF(OR(BI$8="判定対象外",BJ$8="判定対象外",BJ56="-"),"-",IF(BI56=BJ56,"OK","NG"))</f>
        <v>NG</v>
      </c>
      <c r="BL56" s="162"/>
      <c r="BM56" s="172" t="s">
        <v>71</v>
      </c>
      <c r="BN56" s="160"/>
      <c r="BO56" s="162"/>
      <c r="BP56" s="203">
        <v>1</v>
      </c>
      <c r="BQ56" s="174" t="str">
        <f t="shared" ref="BQ56:BQ62" si="213">IF(OR(BO$8="判定対象外",BP$8="判定対象外",BP56="-"),"-",IF(BO56=BP56,"OK","NG"))</f>
        <v>NG</v>
      </c>
      <c r="BR56" s="162"/>
      <c r="BS56" s="172" t="s">
        <v>71</v>
      </c>
      <c r="BT56" s="160"/>
      <c r="BU56" s="162"/>
      <c r="BV56" s="203" t="str">
        <f t="shared" si="93"/>
        <v xml:space="preserve"> </v>
      </c>
      <c r="BW56" s="174" t="str">
        <f t="shared" si="8"/>
        <v>NG</v>
      </c>
      <c r="BX56" s="162"/>
      <c r="BY56" s="172" t="s">
        <v>71</v>
      </c>
      <c r="BZ56" s="160"/>
      <c r="CA56" s="162"/>
      <c r="CB56" s="203" t="str">
        <f t="shared" si="94"/>
        <v xml:space="preserve"> </v>
      </c>
      <c r="CC56" s="174" t="str">
        <f t="shared" si="9"/>
        <v>NG</v>
      </c>
      <c r="CD56" s="162"/>
      <c r="CE56" s="172" t="s">
        <v>71</v>
      </c>
      <c r="CF56" s="160"/>
      <c r="CG56" s="162"/>
      <c r="CH56" s="203" t="str">
        <f t="shared" si="95"/>
        <v xml:space="preserve"> </v>
      </c>
      <c r="CI56" s="174" t="str">
        <f t="shared" si="10"/>
        <v>NG</v>
      </c>
      <c r="CJ56" s="162"/>
      <c r="CK56" s="172" t="s">
        <v>71</v>
      </c>
      <c r="CL56" s="160"/>
      <c r="CM56" s="162"/>
      <c r="CN56" s="203" t="str">
        <f t="shared" si="96"/>
        <v xml:space="preserve"> </v>
      </c>
      <c r="CO56" s="174" t="str">
        <f t="shared" si="11"/>
        <v>NG</v>
      </c>
      <c r="CP56" s="162"/>
      <c r="CQ56" s="172" t="s">
        <v>71</v>
      </c>
      <c r="CR56" s="160"/>
      <c r="CS56" s="162"/>
      <c r="CT56" s="203" t="str">
        <f t="shared" si="97"/>
        <v xml:space="preserve"> </v>
      </c>
      <c r="CU56" s="174" t="str">
        <f t="shared" si="12"/>
        <v>NG</v>
      </c>
      <c r="CV56" s="162"/>
      <c r="CW56" s="172" t="s">
        <v>71</v>
      </c>
      <c r="CX56" s="160"/>
      <c r="CY56" s="162"/>
      <c r="CZ56" s="203" t="str">
        <f t="shared" si="98"/>
        <v xml:space="preserve"> </v>
      </c>
      <c r="DA56" s="174" t="str">
        <f t="shared" si="13"/>
        <v>NG</v>
      </c>
      <c r="DB56" s="162"/>
      <c r="DC56" s="172" t="s">
        <v>71</v>
      </c>
      <c r="DD56" s="160"/>
      <c r="DE56" s="162"/>
      <c r="DF56" s="203" t="str">
        <f t="shared" si="99"/>
        <v xml:space="preserve"> </v>
      </c>
      <c r="DG56" s="174" t="str">
        <f t="shared" si="14"/>
        <v>NG</v>
      </c>
      <c r="DH56" s="162"/>
      <c r="DI56" s="172" t="s">
        <v>71</v>
      </c>
      <c r="DJ56" s="160"/>
      <c r="DK56" s="162"/>
      <c r="DL56" s="204"/>
      <c r="DM56" s="172" t="s">
        <v>71</v>
      </c>
      <c r="DN56" s="162"/>
      <c r="DO56" s="172" t="s">
        <v>71</v>
      </c>
      <c r="DP56" s="160"/>
      <c r="DQ56" s="162"/>
      <c r="DR56" s="203" t="str">
        <f t="shared" si="196"/>
        <v xml:space="preserve"> </v>
      </c>
      <c r="DS56" s="172" t="s">
        <v>71</v>
      </c>
      <c r="DT56" s="162"/>
      <c r="DU56" s="172" t="s">
        <v>71</v>
      </c>
      <c r="DV56" s="160"/>
      <c r="DW56" s="162"/>
      <c r="DX56" s="203" t="str">
        <f t="shared" si="197"/>
        <v xml:space="preserve"> </v>
      </c>
      <c r="DY56" s="172" t="s">
        <v>71</v>
      </c>
      <c r="DZ56" s="162"/>
      <c r="EA56" s="172" t="s">
        <v>71</v>
      </c>
      <c r="EB56" s="160"/>
      <c r="EC56" s="162"/>
      <c r="ED56" s="203" t="str">
        <f t="shared" si="198"/>
        <v xml:space="preserve"> </v>
      </c>
      <c r="EE56" s="172" t="s">
        <v>71</v>
      </c>
      <c r="EF56" s="162"/>
      <c r="EG56" s="172" t="s">
        <v>71</v>
      </c>
      <c r="EH56" s="160"/>
      <c r="EI56" s="162"/>
      <c r="EJ56" s="203" t="str">
        <f t="shared" si="199"/>
        <v xml:space="preserve"> </v>
      </c>
      <c r="EK56" s="172" t="s">
        <v>71</v>
      </c>
      <c r="EL56" s="162"/>
      <c r="EM56" s="172" t="s">
        <v>71</v>
      </c>
      <c r="EN56" s="160"/>
      <c r="EO56" s="162"/>
      <c r="EP56" s="203" t="str">
        <f t="shared" si="200"/>
        <v xml:space="preserve"> </v>
      </c>
      <c r="EQ56" s="172" t="s">
        <v>71</v>
      </c>
      <c r="ER56" s="162"/>
      <c r="ES56" s="172" t="s">
        <v>71</v>
      </c>
      <c r="ET56" s="160"/>
      <c r="EU56" s="162"/>
      <c r="EV56" s="203" t="str">
        <f t="shared" si="201"/>
        <v xml:space="preserve"> </v>
      </c>
      <c r="EW56" s="172" t="s">
        <v>71</v>
      </c>
      <c r="EX56" s="162"/>
      <c r="EY56" s="172" t="s">
        <v>71</v>
      </c>
      <c r="EZ56" s="160"/>
      <c r="FA56" s="162"/>
      <c r="FB56" s="203" t="str">
        <f t="shared" si="202"/>
        <v xml:space="preserve"> </v>
      </c>
      <c r="FC56" s="172" t="s">
        <v>71</v>
      </c>
      <c r="FD56" s="162"/>
      <c r="FE56" s="172" t="s">
        <v>71</v>
      </c>
      <c r="FF56" s="160"/>
      <c r="FG56" s="162"/>
      <c r="FH56" s="203" t="str">
        <f t="shared" si="101"/>
        <v xml:space="preserve"> </v>
      </c>
      <c r="FI56" s="174" t="str">
        <f t="shared" si="23"/>
        <v>NG</v>
      </c>
      <c r="FJ56" s="204"/>
      <c r="FK56" s="172" t="s">
        <v>71</v>
      </c>
      <c r="FL56" s="160"/>
      <c r="FM56" s="162"/>
      <c r="FN56" s="203" t="str">
        <f t="shared" si="102"/>
        <v xml:space="preserve"> </v>
      </c>
      <c r="FO56" s="174" t="str">
        <f t="shared" si="24"/>
        <v>NG</v>
      </c>
      <c r="FP56" s="204"/>
      <c r="FQ56" s="172" t="s">
        <v>71</v>
      </c>
      <c r="FR56" s="160"/>
      <c r="FS56" s="162"/>
      <c r="FT56" s="203" t="str">
        <f t="shared" si="103"/>
        <v>1</v>
      </c>
      <c r="FU56" s="174" t="str">
        <f t="shared" si="25"/>
        <v>NG</v>
      </c>
      <c r="FV56" s="204">
        <v>1</v>
      </c>
      <c r="FW56" s="172" t="s">
        <v>71</v>
      </c>
      <c r="FX56" s="160"/>
      <c r="FY56" s="162"/>
      <c r="FZ56" s="203" t="str">
        <f t="shared" si="104"/>
        <v>1</v>
      </c>
      <c r="GA56" s="174" t="str">
        <f t="shared" si="26"/>
        <v>NG</v>
      </c>
      <c r="GB56" s="204">
        <v>1</v>
      </c>
      <c r="GC56" s="172" t="s">
        <v>71</v>
      </c>
    </row>
    <row r="57" spans="2:185" s="52" customFormat="1" ht="127.5">
      <c r="B57" s="216">
        <f t="shared" si="153"/>
        <v>50</v>
      </c>
      <c r="C57" s="37"/>
      <c r="D57" s="37"/>
      <c r="E57" s="37"/>
      <c r="F57" s="49" t="s">
        <v>341</v>
      </c>
      <c r="G57" s="39"/>
      <c r="H57" s="40"/>
      <c r="I57" s="42"/>
      <c r="J57" s="42" t="s">
        <v>316</v>
      </c>
      <c r="K57" s="42"/>
      <c r="L57" s="42"/>
      <c r="M57" s="163" t="s">
        <v>342</v>
      </c>
      <c r="N57" s="47"/>
      <c r="O57" s="143"/>
      <c r="P57" s="45">
        <f t="shared" si="192"/>
        <v>33</v>
      </c>
      <c r="Q57" s="46">
        <v>1</v>
      </c>
      <c r="R57" s="41" t="str">
        <f t="shared" si="193"/>
        <v>X</v>
      </c>
      <c r="S57" s="185" t="s">
        <v>236</v>
      </c>
      <c r="T57" s="43"/>
      <c r="U57" s="41" t="s">
        <v>80</v>
      </c>
      <c r="V57" s="44"/>
      <c r="W57" s="22">
        <v>3</v>
      </c>
      <c r="X57" s="47" t="s">
        <v>237</v>
      </c>
      <c r="Y57" s="47">
        <v>1</v>
      </c>
      <c r="Z57" s="47">
        <v>1</v>
      </c>
      <c r="AA57" s="42" t="s">
        <v>163</v>
      </c>
      <c r="AB57" s="42" t="s">
        <v>57</v>
      </c>
      <c r="AC57" s="217"/>
      <c r="AD57" s="160"/>
      <c r="AE57" s="162"/>
      <c r="AF57" s="203" t="str">
        <f t="shared" si="211"/>
        <v>1</v>
      </c>
      <c r="AG57" s="174" t="str">
        <f t="shared" si="1"/>
        <v>NG</v>
      </c>
      <c r="AH57" s="162" t="s">
        <v>476</v>
      </c>
      <c r="AI57" s="276" t="str">
        <f>IF(OR(AE$8="判定対象外",AH$8="判定対象外",AH57="-"),"-",IF(AE57=AH57,"OK","NG"))</f>
        <v>NG</v>
      </c>
      <c r="AJ57" s="160"/>
      <c r="AK57" s="162"/>
      <c r="AL57" s="203" t="str">
        <f t="shared" si="212"/>
        <v>1</v>
      </c>
      <c r="AM57" s="174" t="str">
        <f t="shared" si="195"/>
        <v>NG</v>
      </c>
      <c r="AN57" s="162" t="s">
        <v>476</v>
      </c>
      <c r="AO57" s="276" t="str">
        <f>IF(OR(AK$8="判定対象外",AN$8="判定対象外",AN57="-"),"-",IF(AK57=AN57,"OK","NG"))</f>
        <v>NG</v>
      </c>
      <c r="AP57" s="160"/>
      <c r="AQ57" s="162"/>
      <c r="AR57" s="203" t="str">
        <f t="shared" si="157"/>
        <v>1</v>
      </c>
      <c r="AS57" s="174" t="str">
        <f t="shared" si="158"/>
        <v>NG</v>
      </c>
      <c r="AT57" s="162" t="s">
        <v>476</v>
      </c>
      <c r="AU57" s="276" t="str">
        <f>IF(OR(AQ$8="判定対象外",AT$8="判定対象外",AT57="-"),"-",IF(AQ57=AT57,"OK","NG"))</f>
        <v>NG</v>
      </c>
      <c r="AV57" s="160"/>
      <c r="AW57" s="162"/>
      <c r="AX57" s="203" t="str">
        <f t="shared" si="160"/>
        <v>1</v>
      </c>
      <c r="AY57" s="174" t="str">
        <f t="shared" si="161"/>
        <v>NG</v>
      </c>
      <c r="AZ57" s="162" t="s">
        <v>476</v>
      </c>
      <c r="BA57" s="276" t="str">
        <f>IF(OR(AW$8="判定対象外",AZ$8="判定対象外",AZ57="-"),"-",IF(AW57=AZ57,"OK","NG"))</f>
        <v>NG</v>
      </c>
      <c r="BB57" s="160"/>
      <c r="BC57" s="162"/>
      <c r="BD57" s="203" t="str">
        <f t="shared" si="163"/>
        <v xml:space="preserve"> </v>
      </c>
      <c r="BE57" s="174" t="str">
        <f t="shared" si="164"/>
        <v>NG</v>
      </c>
      <c r="BF57" s="162"/>
      <c r="BG57" s="172" t="s">
        <v>71</v>
      </c>
      <c r="BH57" s="160"/>
      <c r="BI57" s="162"/>
      <c r="BJ57" s="203">
        <v>1</v>
      </c>
      <c r="BK57" s="174" t="str">
        <f>IF(OR(BI$8="判定対象外",BJ$8="判定対象外",BJ57="-"),"-",IF(BI57=BJ57,"OK","NG"))</f>
        <v>NG</v>
      </c>
      <c r="BL57" s="162"/>
      <c r="BM57" s="172" t="s">
        <v>71</v>
      </c>
      <c r="BN57" s="160"/>
      <c r="BO57" s="162"/>
      <c r="BP57" s="203">
        <v>1</v>
      </c>
      <c r="BQ57" s="174" t="str">
        <f t="shared" si="213"/>
        <v>NG</v>
      </c>
      <c r="BR57" s="162"/>
      <c r="BS57" s="172" t="s">
        <v>71</v>
      </c>
      <c r="BT57" s="160"/>
      <c r="BU57" s="162"/>
      <c r="BV57" s="203" t="str">
        <f t="shared" si="93"/>
        <v>1</v>
      </c>
      <c r="BW57" s="174" t="str">
        <f t="shared" si="8"/>
        <v>NG</v>
      </c>
      <c r="BX57" s="162" t="s">
        <v>476</v>
      </c>
      <c r="BY57" s="276" t="str">
        <f>IF(OR(BU$8="判定対象外",BX$8="判定対象外",BX57="-"),"-",IF(BU57=BX57,"OK","NG"))</f>
        <v>NG</v>
      </c>
      <c r="BZ57" s="160"/>
      <c r="CA57" s="162"/>
      <c r="CB57" s="203" t="str">
        <f t="shared" si="94"/>
        <v>1</v>
      </c>
      <c r="CC57" s="174" t="str">
        <f t="shared" si="9"/>
        <v>NG</v>
      </c>
      <c r="CD57" s="162" t="s">
        <v>313</v>
      </c>
      <c r="CE57" s="276" t="str">
        <f>IF(OR(CA$8="判定対象外",CD$8="判定対象外",CD57="-"),"-",IF(CA57=CD57,"OK","NG"))</f>
        <v>NG</v>
      </c>
      <c r="CF57" s="160"/>
      <c r="CG57" s="162"/>
      <c r="CH57" s="203" t="str">
        <f t="shared" si="95"/>
        <v>1</v>
      </c>
      <c r="CI57" s="174" t="str">
        <f t="shared" si="10"/>
        <v>NG</v>
      </c>
      <c r="CJ57" s="162" t="s">
        <v>476</v>
      </c>
      <c r="CK57" s="276" t="str">
        <f>IF(OR(CG$8="判定対象外",CJ$8="判定対象外",CJ57="-"),"-",IF(CG57=CJ57,"OK","NG"))</f>
        <v>NG</v>
      </c>
      <c r="CL57" s="160"/>
      <c r="CM57" s="162"/>
      <c r="CN57" s="203" t="str">
        <f t="shared" si="96"/>
        <v>1</v>
      </c>
      <c r="CO57" s="174" t="str">
        <f t="shared" si="11"/>
        <v>NG</v>
      </c>
      <c r="CP57" s="162" t="s">
        <v>313</v>
      </c>
      <c r="CQ57" s="276" t="str">
        <f>IF(OR(CM$8="判定対象外",CP$8="判定対象外",CP57="-"),"-",IF(CM57=CP57,"OK","NG"))</f>
        <v>NG</v>
      </c>
      <c r="CR57" s="160"/>
      <c r="CS57" s="162"/>
      <c r="CT57" s="203" t="str">
        <f t="shared" si="97"/>
        <v>1</v>
      </c>
      <c r="CU57" s="174" t="str">
        <f t="shared" si="12"/>
        <v>NG</v>
      </c>
      <c r="CV57" s="162" t="s">
        <v>313</v>
      </c>
      <c r="CW57" s="276" t="str">
        <f>IF(OR(CS$8="判定対象外",CV$8="判定対象外",CV57="-"),"-",IF(CS57=CV57,"OK","NG"))</f>
        <v>NG</v>
      </c>
      <c r="CX57" s="160"/>
      <c r="CY57" s="162"/>
      <c r="CZ57" s="203" t="str">
        <f t="shared" si="98"/>
        <v>1</v>
      </c>
      <c r="DA57" s="174" t="str">
        <f t="shared" si="13"/>
        <v>NG</v>
      </c>
      <c r="DB57" s="162" t="s">
        <v>313</v>
      </c>
      <c r="DC57" s="276" t="str">
        <f>IF(OR(CY$8="判定対象外",DB$8="判定対象外",DB57="-"),"-",IF(CY57=DB57,"OK","NG"))</f>
        <v>NG</v>
      </c>
      <c r="DD57" s="160"/>
      <c r="DE57" s="162"/>
      <c r="DF57" s="203" t="str">
        <f t="shared" si="99"/>
        <v>1</v>
      </c>
      <c r="DG57" s="174" t="str">
        <f t="shared" si="14"/>
        <v>NG</v>
      </c>
      <c r="DH57" s="162" t="s">
        <v>476</v>
      </c>
      <c r="DI57" s="276" t="str">
        <f>IF(OR(DE$8="判定対象外",DH$8="判定対象外",DH57="-"),"-",IF(DE57=DH57,"OK","NG"))</f>
        <v>NG</v>
      </c>
      <c r="DJ57" s="160"/>
      <c r="DK57" s="162"/>
      <c r="DL57" s="204">
        <v>1</v>
      </c>
      <c r="DM57" s="174" t="str">
        <f t="shared" ref="DM57:DM66" si="214">IF(OR(DK$8="判定対象外",DL$8="判定対象外",DL57="-"),"-",IF(DK57=DL57,"OK","NG"))</f>
        <v>NG</v>
      </c>
      <c r="DN57" s="162"/>
      <c r="DO57" s="172" t="s">
        <v>71</v>
      </c>
      <c r="DP57" s="160"/>
      <c r="DQ57" s="162"/>
      <c r="DR57" s="203" t="str">
        <f t="shared" si="196"/>
        <v>1</v>
      </c>
      <c r="DS57" s="174" t="str">
        <f t="shared" ref="DS57:DS120" si="215">IF(OR(DQ$8="判定対象外",DR$8="判定対象外",DR57="-"),"-",IF(DQ57=DR57,"OK","NG"))</f>
        <v>NG</v>
      </c>
      <c r="DT57" s="162">
        <v>1</v>
      </c>
      <c r="DU57" s="172" t="s">
        <v>71</v>
      </c>
      <c r="DV57" s="160"/>
      <c r="DW57" s="162"/>
      <c r="DX57" s="203" t="str">
        <f t="shared" si="197"/>
        <v>1</v>
      </c>
      <c r="DY57" s="174" t="str">
        <f t="shared" ref="DY57:DY120" si="216">IF(OR(DW$8="判定対象外",DX$8="判定対象外",DX57="-"),"-",IF(DW57=DX57,"OK","NG"))</f>
        <v>NG</v>
      </c>
      <c r="DZ57" s="162">
        <v>1</v>
      </c>
      <c r="EA57" s="172" t="s">
        <v>71</v>
      </c>
      <c r="EB57" s="160"/>
      <c r="EC57" s="162"/>
      <c r="ED57" s="203" t="str">
        <f t="shared" si="198"/>
        <v>1</v>
      </c>
      <c r="EE57" s="174" t="str">
        <f t="shared" ref="EE57:EE120" si="217">IF(OR(EC$8="判定対象外",ED$8="判定対象外",ED57="-"),"-",IF(EC57=ED57,"OK","NG"))</f>
        <v>NG</v>
      </c>
      <c r="EF57" s="162">
        <v>1</v>
      </c>
      <c r="EG57" s="172" t="s">
        <v>71</v>
      </c>
      <c r="EH57" s="160"/>
      <c r="EI57" s="162"/>
      <c r="EJ57" s="203" t="str">
        <f t="shared" si="199"/>
        <v>1</v>
      </c>
      <c r="EK57" s="174" t="str">
        <f t="shared" ref="EK57:EK120" si="218">IF(OR(EI$8="判定対象外",EJ$8="判定対象外",EJ57="-"),"-",IF(EI57=EJ57,"OK","NG"))</f>
        <v>NG</v>
      </c>
      <c r="EL57" s="162">
        <v>1</v>
      </c>
      <c r="EM57" s="172" t="s">
        <v>71</v>
      </c>
      <c r="EN57" s="160"/>
      <c r="EO57" s="162"/>
      <c r="EP57" s="203" t="str">
        <f t="shared" si="200"/>
        <v>1</v>
      </c>
      <c r="EQ57" s="174" t="str">
        <f t="shared" ref="EQ57:EQ120" si="219">IF(OR(EO$8="判定対象外",EP$8="判定対象外",EP57="-"),"-",IF(EO57=EP57,"OK","NG"))</f>
        <v>NG</v>
      </c>
      <c r="ER57" s="162">
        <v>1</v>
      </c>
      <c r="ES57" s="172" t="s">
        <v>71</v>
      </c>
      <c r="ET57" s="160"/>
      <c r="EU57" s="162"/>
      <c r="EV57" s="203" t="str">
        <f t="shared" si="201"/>
        <v>1</v>
      </c>
      <c r="EW57" s="174" t="str">
        <f t="shared" ref="EW57:EW120" si="220">IF(OR(EU$8="判定対象外",EV$8="判定対象外",EV57="-"),"-",IF(EU57=EV57,"OK","NG"))</f>
        <v>NG</v>
      </c>
      <c r="EX57" s="162">
        <v>1</v>
      </c>
      <c r="EY57" s="172" t="s">
        <v>71</v>
      </c>
      <c r="EZ57" s="160"/>
      <c r="FA57" s="162"/>
      <c r="FB57" s="203" t="str">
        <f t="shared" si="202"/>
        <v>1</v>
      </c>
      <c r="FC57" s="174" t="str">
        <f t="shared" ref="FC57:FC120" si="221">IF(OR(FA$8="判定対象外",FB$8="判定対象外",FB57="-"),"-",IF(FA57=FB57,"OK","NG"))</f>
        <v>NG</v>
      </c>
      <c r="FD57" s="162">
        <v>1</v>
      </c>
      <c r="FE57" s="172" t="s">
        <v>71</v>
      </c>
      <c r="FF57" s="160"/>
      <c r="FG57" s="162"/>
      <c r="FH57" s="203" t="str">
        <f t="shared" si="101"/>
        <v>1</v>
      </c>
      <c r="FI57" s="174" t="str">
        <f t="shared" si="23"/>
        <v>NG</v>
      </c>
      <c r="FJ57" s="204" t="s">
        <v>476</v>
      </c>
      <c r="FK57" s="276" t="str">
        <f>IF(OR(FG$8="判定対象外",FJ$8="判定対象外",FJ57="-"),"-",IF(FG57=FJ57,"OK","NG"))</f>
        <v>NG</v>
      </c>
      <c r="FL57" s="160"/>
      <c r="FM57" s="162"/>
      <c r="FN57" s="203" t="str">
        <f t="shared" si="102"/>
        <v>1</v>
      </c>
      <c r="FO57" s="174" t="str">
        <f t="shared" si="24"/>
        <v>NG</v>
      </c>
      <c r="FP57" s="204" t="s">
        <v>476</v>
      </c>
      <c r="FQ57" s="276" t="str">
        <f>IF(OR(FM$8="判定対象外",FP$8="判定対象外",FP57="-"),"-",IF(FM57=FP57,"OK","NG"))</f>
        <v>NG</v>
      </c>
      <c r="FR57" s="160"/>
      <c r="FS57" s="162"/>
      <c r="FT57" s="203" t="str">
        <f t="shared" si="103"/>
        <v>1</v>
      </c>
      <c r="FU57" s="174" t="str">
        <f t="shared" si="25"/>
        <v>NG</v>
      </c>
      <c r="FV57" s="204">
        <v>1</v>
      </c>
      <c r="FW57" s="276" t="str">
        <f>IF(OR(FS$8="判定対象外",FV$8="判定対象外",FV57="-"),"-",IF(FS57=FV57,"OK","NG"))</f>
        <v>NG</v>
      </c>
      <c r="FX57" s="160"/>
      <c r="FY57" s="162"/>
      <c r="FZ57" s="203" t="str">
        <f t="shared" si="104"/>
        <v>1</v>
      </c>
      <c r="GA57" s="174" t="str">
        <f t="shared" si="26"/>
        <v>NG</v>
      </c>
      <c r="GB57" s="204">
        <v>1</v>
      </c>
      <c r="GC57" s="276" t="str">
        <f>IF(OR(FY$8="判定対象外",GB$8="判定対象外",GB57="-"),"-",IF(FY57=GB57,"OK","NG"))</f>
        <v>NG</v>
      </c>
    </row>
    <row r="58" spans="2:185" s="52" customFormat="1" ht="349.5" customHeight="1">
      <c r="B58" s="216">
        <f t="shared" si="153"/>
        <v>51</v>
      </c>
      <c r="C58" s="37"/>
      <c r="D58" s="37"/>
      <c r="E58" s="25"/>
      <c r="F58" s="218" t="s">
        <v>288</v>
      </c>
      <c r="G58" s="27"/>
      <c r="H58" s="28"/>
      <c r="I58" s="42"/>
      <c r="J58" s="42" t="s">
        <v>316</v>
      </c>
      <c r="K58" s="42"/>
      <c r="L58" s="42"/>
      <c r="M58" s="161" t="s">
        <v>391</v>
      </c>
      <c r="N58" s="39"/>
      <c r="O58" s="143"/>
      <c r="P58" s="45">
        <f t="shared" si="192"/>
        <v>34</v>
      </c>
      <c r="Q58" s="46">
        <v>2</v>
      </c>
      <c r="R58" s="41" t="str">
        <f t="shared" si="193"/>
        <v>X</v>
      </c>
      <c r="S58" s="185" t="s">
        <v>238</v>
      </c>
      <c r="T58" s="43"/>
      <c r="U58" s="41" t="s">
        <v>80</v>
      </c>
      <c r="V58" s="44"/>
      <c r="W58" s="22">
        <v>3</v>
      </c>
      <c r="X58" s="47" t="s">
        <v>239</v>
      </c>
      <c r="Y58" s="47">
        <v>2</v>
      </c>
      <c r="Z58" s="47">
        <v>2</v>
      </c>
      <c r="AA58" s="42" t="s">
        <v>81</v>
      </c>
      <c r="AB58" s="42" t="s">
        <v>80</v>
      </c>
      <c r="AC58" s="164"/>
      <c r="AD58" s="160"/>
      <c r="AE58" s="162"/>
      <c r="AF58" s="167" t="str">
        <f t="shared" si="211"/>
        <v>07</v>
      </c>
      <c r="AG58" s="174" t="str">
        <f t="shared" si="1"/>
        <v>NG</v>
      </c>
      <c r="AH58" s="162" t="s">
        <v>396</v>
      </c>
      <c r="AI58" s="276" t="str">
        <f>IF(OR(AE$8="判定対象外",AH$8="判定対象外",AH58="-"),"-",IF(AE58=AH58,"OK","NG"))</f>
        <v>NG</v>
      </c>
      <c r="AJ58" s="160"/>
      <c r="AK58" s="162"/>
      <c r="AL58" s="167" t="str">
        <f t="shared" si="212"/>
        <v>07</v>
      </c>
      <c r="AM58" s="174" t="str">
        <f t="shared" si="195"/>
        <v>NG</v>
      </c>
      <c r="AN58" s="162" t="s">
        <v>396</v>
      </c>
      <c r="AO58" s="276" t="str">
        <f>IF(OR(AK$8="判定対象外",AN$8="判定対象外",AN58="-"),"-",IF(AK58=AN58,"OK","NG"))</f>
        <v>NG</v>
      </c>
      <c r="AP58" s="160"/>
      <c r="AQ58" s="162"/>
      <c r="AR58" s="167" t="str">
        <f t="shared" si="157"/>
        <v>A1</v>
      </c>
      <c r="AS58" s="174" t="str">
        <f t="shared" si="158"/>
        <v>NG</v>
      </c>
      <c r="AT58" s="162" t="s">
        <v>402</v>
      </c>
      <c r="AU58" s="276" t="str">
        <f>IF(OR(AQ$8="判定対象外",AT$8="判定対象外",AT58="-"),"-",IF(AQ58=AT58,"OK","NG"))</f>
        <v>NG</v>
      </c>
      <c r="AV58" s="160"/>
      <c r="AW58" s="162"/>
      <c r="AX58" s="167" t="str">
        <f t="shared" si="160"/>
        <v>01</v>
      </c>
      <c r="AY58" s="174" t="str">
        <f t="shared" si="161"/>
        <v>NG</v>
      </c>
      <c r="AZ58" s="162" t="s">
        <v>311</v>
      </c>
      <c r="BA58" s="276" t="str">
        <f>IF(OR(AW$8="判定対象外",AZ$8="判定対象外",AZ58="-"),"-",IF(AW58=AZ58,"OK","NG"))</f>
        <v>NG</v>
      </c>
      <c r="BB58" s="160"/>
      <c r="BC58" s="162"/>
      <c r="BD58" s="167" t="str">
        <f t="shared" si="163"/>
        <v xml:space="preserve">  </v>
      </c>
      <c r="BE58" s="174" t="str">
        <f t="shared" si="164"/>
        <v>NG</v>
      </c>
      <c r="BF58" s="162"/>
      <c r="BG58" s="172" t="s">
        <v>71</v>
      </c>
      <c r="BH58" s="160"/>
      <c r="BI58" s="162"/>
      <c r="BJ58" s="167" t="s">
        <v>302</v>
      </c>
      <c r="BK58" s="174" t="str">
        <f>IF(OR(BI$8="判定対象外",BJ$8="判定対象外",BJ58="-"),"-",IF(BI58=BJ58,"OK","NG"))</f>
        <v>NG</v>
      </c>
      <c r="BL58" s="162" t="s">
        <v>95</v>
      </c>
      <c r="BM58" s="276" t="str">
        <f>IF(OR(BI$8="判定対象外",BL$8="判定対象外",BL58="-"),"-",IF(BI58=BL58,"OK","NG"))</f>
        <v>NG</v>
      </c>
      <c r="BN58" s="160"/>
      <c r="BO58" s="162"/>
      <c r="BP58" s="167" t="str">
        <f>IF(BR58="-","-",BR58&amp;REPT(IF($R58="N","　",IF($R58="9","0"," ")),$Z58-LENB(BR58)))</f>
        <v>A2</v>
      </c>
      <c r="BQ58" s="174" t="str">
        <f t="shared" si="213"/>
        <v>NG</v>
      </c>
      <c r="BR58" s="162" t="s">
        <v>296</v>
      </c>
      <c r="BS58" s="276" t="str">
        <f>IF(OR(BO$8="判定対象外",BR$8="判定対象外",BR58="-"),"-",IF(BO58=BR58,"OK","NG"))</f>
        <v>NG</v>
      </c>
      <c r="BT58" s="160"/>
      <c r="BU58" s="162"/>
      <c r="BV58" s="167" t="str">
        <f t="shared" si="93"/>
        <v>B1</v>
      </c>
      <c r="BW58" s="174" t="str">
        <f t="shared" si="8"/>
        <v>NG</v>
      </c>
      <c r="BX58" s="162" t="s">
        <v>407</v>
      </c>
      <c r="BY58" s="276" t="str">
        <f>IF(OR(BU$8="判定対象外",BX$8="判定対象外",BX58="-"),"-",IF(BU58=BX58,"OK","NG"))</f>
        <v>NG</v>
      </c>
      <c r="BZ58" s="160"/>
      <c r="CA58" s="162"/>
      <c r="CB58" s="167" t="str">
        <f t="shared" si="94"/>
        <v>C1</v>
      </c>
      <c r="CC58" s="174" t="str">
        <f t="shared" si="9"/>
        <v>NG</v>
      </c>
      <c r="CD58" s="162" t="s">
        <v>410</v>
      </c>
      <c r="CE58" s="276" t="str">
        <f>IF(OR(CA$8="判定対象外",CD$8="判定対象外",CD58="-"),"-",IF(CA58=CD58,"OK","NG"))</f>
        <v>NG</v>
      </c>
      <c r="CF58" s="160"/>
      <c r="CG58" s="162"/>
      <c r="CH58" s="167" t="str">
        <f t="shared" si="95"/>
        <v>D1</v>
      </c>
      <c r="CI58" s="174" t="str">
        <f t="shared" si="10"/>
        <v>NG</v>
      </c>
      <c r="CJ58" s="162" t="s">
        <v>413</v>
      </c>
      <c r="CK58" s="276" t="str">
        <f>IF(OR(CG$8="判定対象外",CJ$8="判定対象外",CJ58="-"),"-",IF(CG58=CJ58,"OK","NG"))</f>
        <v>NG</v>
      </c>
      <c r="CL58" s="160"/>
      <c r="CM58" s="162"/>
      <c r="CN58" s="167" t="str">
        <f t="shared" si="96"/>
        <v>F1</v>
      </c>
      <c r="CO58" s="174" t="str">
        <f t="shared" si="11"/>
        <v>NG</v>
      </c>
      <c r="CP58" s="162" t="s">
        <v>415</v>
      </c>
      <c r="CQ58" s="276" t="str">
        <f>IF(OR(CM$8="判定対象外",CP$8="判定対象外",CP58="-"),"-",IF(CM58=CP58,"OK","NG"))</f>
        <v>NG</v>
      </c>
      <c r="CR58" s="160"/>
      <c r="CS58" s="162"/>
      <c r="CT58" s="167" t="str">
        <f t="shared" si="97"/>
        <v>G1</v>
      </c>
      <c r="CU58" s="174" t="str">
        <f t="shared" si="12"/>
        <v>NG</v>
      </c>
      <c r="CV58" s="162" t="s">
        <v>418</v>
      </c>
      <c r="CW58" s="276" t="str">
        <f>IF(OR(CS$8="判定対象外",CV$8="判定対象外",CV58="-"),"-",IF(CS58=CV58,"OK","NG"))</f>
        <v>NG</v>
      </c>
      <c r="CX58" s="160"/>
      <c r="CY58" s="162"/>
      <c r="CZ58" s="167" t="str">
        <f t="shared" si="98"/>
        <v>H1</v>
      </c>
      <c r="DA58" s="174" t="str">
        <f t="shared" si="13"/>
        <v>NG</v>
      </c>
      <c r="DB58" s="162" t="s">
        <v>421</v>
      </c>
      <c r="DC58" s="276" t="str">
        <f>IF(OR(CY$8="判定対象外",DB$8="判定対象外",DB58="-"),"-",IF(CY58=DB58,"OK","NG"))</f>
        <v>NG</v>
      </c>
      <c r="DD58" s="160"/>
      <c r="DE58" s="162"/>
      <c r="DF58" s="167" t="str">
        <f t="shared" si="99"/>
        <v>K1</v>
      </c>
      <c r="DG58" s="174" t="str">
        <f t="shared" si="14"/>
        <v>NG</v>
      </c>
      <c r="DH58" s="162" t="s">
        <v>423</v>
      </c>
      <c r="DI58" s="276" t="str">
        <f>IF(OR(DE$8="判定対象外",DH$8="判定対象外",DH58="-"),"-",IF(DE58=DH58,"OK","NG"))</f>
        <v>NG</v>
      </c>
      <c r="DJ58" s="160"/>
      <c r="DK58" s="162"/>
      <c r="DL58" s="204" t="s">
        <v>455</v>
      </c>
      <c r="DM58" s="174" t="str">
        <f t="shared" si="214"/>
        <v>NG</v>
      </c>
      <c r="DN58" s="162" t="s">
        <v>298</v>
      </c>
      <c r="DO58" s="276" t="str">
        <f>IF(OR(DK$8="判定対象外",DN$8="判定対象外",DN58="-"),"-",IF(DK58=DN58,"OK","NG"))</f>
        <v>NG</v>
      </c>
      <c r="DP58" s="160"/>
      <c r="DQ58" s="162"/>
      <c r="DR58" s="203" t="str">
        <f t="shared" si="196"/>
        <v>Z2</v>
      </c>
      <c r="DS58" s="174" t="str">
        <f t="shared" si="215"/>
        <v>NG</v>
      </c>
      <c r="DT58" s="162" t="s">
        <v>458</v>
      </c>
      <c r="DU58" s="276" t="str">
        <f>IF(OR(DQ$8="判定対象外",DT$8="判定対象外",DT58="-"),"-",IF(DQ58=DT58,"OK","NG"))</f>
        <v>NG</v>
      </c>
      <c r="DV58" s="160"/>
      <c r="DW58" s="162"/>
      <c r="DX58" s="203" t="str">
        <f t="shared" si="197"/>
        <v>C2</v>
      </c>
      <c r="DY58" s="174" t="str">
        <f t="shared" si="216"/>
        <v>NG</v>
      </c>
      <c r="DZ58" s="162" t="s">
        <v>431</v>
      </c>
      <c r="EA58" s="276" t="str">
        <f>IF(OR(DW$8="判定対象外",DZ$8="判定対象外",DZ58="-"),"-",IF(DW58=DZ58,"OK","NG"))</f>
        <v>NG</v>
      </c>
      <c r="EB58" s="160"/>
      <c r="EC58" s="162"/>
      <c r="ED58" s="203" t="str">
        <f t="shared" si="198"/>
        <v>D2</v>
      </c>
      <c r="EE58" s="174" t="str">
        <f t="shared" si="217"/>
        <v>NG</v>
      </c>
      <c r="EF58" s="162" t="s">
        <v>436</v>
      </c>
      <c r="EG58" s="276" t="str">
        <f>IF(OR(EC$8="判定対象外",EF$8="判定対象外",EF58="-"),"-",IF(EC58=EF58,"OK","NG"))</f>
        <v>NG</v>
      </c>
      <c r="EH58" s="160"/>
      <c r="EI58" s="162"/>
      <c r="EJ58" s="203" t="str">
        <f t="shared" si="199"/>
        <v>F2</v>
      </c>
      <c r="EK58" s="174" t="str">
        <f t="shared" si="218"/>
        <v>NG</v>
      </c>
      <c r="EL58" s="162" t="s">
        <v>438</v>
      </c>
      <c r="EM58" s="276" t="str">
        <f>IF(OR(EI$8="判定対象外",EL$8="判定対象外",EL58="-"),"-",IF(EI58=EL58,"OK","NG"))</f>
        <v>NG</v>
      </c>
      <c r="EN58" s="160"/>
      <c r="EO58" s="162"/>
      <c r="EP58" s="203" t="str">
        <f t="shared" si="200"/>
        <v>G2</v>
      </c>
      <c r="EQ58" s="174" t="str">
        <f t="shared" si="219"/>
        <v>NG</v>
      </c>
      <c r="ER58" s="162" t="s">
        <v>439</v>
      </c>
      <c r="ES58" s="276" t="str">
        <f>IF(OR(EO$8="判定対象外",ER$8="判定対象外",ER58="-"),"-",IF(EO58=ER58,"OK","NG"))</f>
        <v>NG</v>
      </c>
      <c r="ET58" s="160"/>
      <c r="EU58" s="162"/>
      <c r="EV58" s="203" t="str">
        <f t="shared" si="201"/>
        <v>H2</v>
      </c>
      <c r="EW58" s="174" t="str">
        <f t="shared" si="220"/>
        <v>NG</v>
      </c>
      <c r="EX58" s="162" t="s">
        <v>444</v>
      </c>
      <c r="EY58" s="276" t="str">
        <f>IF(OR(EU$8="判定対象外",EX$8="判定対象外",EX58="-"),"-",IF(EU58=EX58,"OK","NG"))</f>
        <v>NG</v>
      </c>
      <c r="EZ58" s="160"/>
      <c r="FA58" s="162"/>
      <c r="FB58" s="203" t="str">
        <f t="shared" si="202"/>
        <v>K2</v>
      </c>
      <c r="FC58" s="174" t="str">
        <f t="shared" si="221"/>
        <v>NG</v>
      </c>
      <c r="FD58" s="162" t="s">
        <v>300</v>
      </c>
      <c r="FE58" s="276" t="str">
        <f>IF(OR(FA$8="判定対象外",FD$8="判定対象外",FD58="-"),"-",IF(FA58=FD58,"OK","NG"))</f>
        <v>NG</v>
      </c>
      <c r="FF58" s="160"/>
      <c r="FG58" s="162"/>
      <c r="FH58" s="167" t="str">
        <f t="shared" si="101"/>
        <v>E1</v>
      </c>
      <c r="FI58" s="174" t="str">
        <f t="shared" si="23"/>
        <v>NG</v>
      </c>
      <c r="FJ58" s="204" t="s">
        <v>426</v>
      </c>
      <c r="FK58" s="276" t="str">
        <f>IF(OR(FG$8="判定対象外",FJ$8="判定対象外",FJ58="-"),"-",IF(FG58=FJ58,"OK","NG"))</f>
        <v>NG</v>
      </c>
      <c r="FL58" s="160"/>
      <c r="FM58" s="162"/>
      <c r="FN58" s="167" t="str">
        <f t="shared" si="102"/>
        <v>E1</v>
      </c>
      <c r="FO58" s="174" t="str">
        <f t="shared" si="24"/>
        <v>NG</v>
      </c>
      <c r="FP58" s="204" t="s">
        <v>426</v>
      </c>
      <c r="FQ58" s="276" t="str">
        <f>IF(OR(FM$8="判定対象外",FP$8="判定対象外",FP58="-"),"-",IF(FM58=FP58,"OK","NG"))</f>
        <v>NG</v>
      </c>
      <c r="FR58" s="160"/>
      <c r="FS58" s="162"/>
      <c r="FT58" s="167" t="str">
        <f t="shared" si="103"/>
        <v>J1</v>
      </c>
      <c r="FU58" s="174" t="str">
        <f t="shared" si="25"/>
        <v>NG</v>
      </c>
      <c r="FV58" s="204" t="s">
        <v>424</v>
      </c>
      <c r="FW58" s="276" t="str">
        <f>IF(OR(FS$8="判定対象外",FV$8="判定対象外",FV58="-"),"-",IF(FS58=FV58,"OK","NG"))</f>
        <v>NG</v>
      </c>
      <c r="FX58" s="160"/>
      <c r="FY58" s="162"/>
      <c r="FZ58" s="167" t="str">
        <f t="shared" si="104"/>
        <v>J1</v>
      </c>
      <c r="GA58" s="174" t="str">
        <f t="shared" si="26"/>
        <v>NG</v>
      </c>
      <c r="GB58" s="204" t="s">
        <v>424</v>
      </c>
      <c r="GC58" s="276" t="str">
        <f>IF(OR(FY$8="判定対象外",GB$8="判定対象外",GB58="-"),"-",IF(FY58=GB58,"OK","NG"))</f>
        <v>NG</v>
      </c>
    </row>
    <row r="59" spans="2:185" s="52" customFormat="1" ht="25.5">
      <c r="B59" s="216">
        <f t="shared" si="153"/>
        <v>52</v>
      </c>
      <c r="C59" s="37"/>
      <c r="D59" s="37"/>
      <c r="E59" s="25"/>
      <c r="F59" s="184" t="s">
        <v>344</v>
      </c>
      <c r="G59" s="27"/>
      <c r="H59" s="28"/>
      <c r="I59" s="42"/>
      <c r="J59" s="42"/>
      <c r="K59" s="42"/>
      <c r="L59" s="42"/>
      <c r="M59" s="63" t="s">
        <v>345</v>
      </c>
      <c r="N59" s="39"/>
      <c r="O59" s="143"/>
      <c r="P59" s="45">
        <f t="shared" si="192"/>
        <v>35</v>
      </c>
      <c r="Q59" s="46">
        <v>7</v>
      </c>
      <c r="R59" s="41" t="str">
        <f t="shared" si="193"/>
        <v>X</v>
      </c>
      <c r="S59" s="185" t="s">
        <v>240</v>
      </c>
      <c r="T59" s="43"/>
      <c r="U59" s="41" t="s">
        <v>80</v>
      </c>
      <c r="V59" s="44"/>
      <c r="W59" s="22">
        <v>3</v>
      </c>
      <c r="X59" s="47" t="s">
        <v>241</v>
      </c>
      <c r="Y59" s="47">
        <v>7</v>
      </c>
      <c r="Z59" s="47">
        <v>7</v>
      </c>
      <c r="AA59" s="42" t="s">
        <v>81</v>
      </c>
      <c r="AB59" s="42" t="s">
        <v>80</v>
      </c>
      <c r="AC59" s="219"/>
      <c r="AD59" s="160"/>
      <c r="AE59" s="141"/>
      <c r="AF59" s="203" t="str">
        <f t="shared" si="211"/>
        <v xml:space="preserve">       </v>
      </c>
      <c r="AG59" s="174" t="str">
        <f t="shared" si="1"/>
        <v>NG</v>
      </c>
      <c r="AH59" s="141"/>
      <c r="AI59" s="172" t="s">
        <v>71</v>
      </c>
      <c r="AJ59" s="160"/>
      <c r="AK59" s="141"/>
      <c r="AL59" s="203" t="str">
        <f t="shared" si="212"/>
        <v xml:space="preserve">       </v>
      </c>
      <c r="AM59" s="174" t="str">
        <f t="shared" si="195"/>
        <v>NG</v>
      </c>
      <c r="AN59" s="141"/>
      <c r="AO59" s="172" t="s">
        <v>71</v>
      </c>
      <c r="AP59" s="160"/>
      <c r="AQ59" s="141"/>
      <c r="AR59" s="203" t="str">
        <f t="shared" si="157"/>
        <v xml:space="preserve">       </v>
      </c>
      <c r="AS59" s="174" t="str">
        <f t="shared" si="158"/>
        <v>NG</v>
      </c>
      <c r="AT59" s="141"/>
      <c r="AU59" s="172" t="s">
        <v>71</v>
      </c>
      <c r="AV59" s="160"/>
      <c r="AW59" s="141"/>
      <c r="AX59" s="203" t="str">
        <f t="shared" si="160"/>
        <v xml:space="preserve">       </v>
      </c>
      <c r="AY59" s="174" t="str">
        <f t="shared" si="161"/>
        <v>NG</v>
      </c>
      <c r="AZ59" s="141"/>
      <c r="BA59" s="172" t="s">
        <v>71</v>
      </c>
      <c r="BB59" s="160"/>
      <c r="BC59" s="141"/>
      <c r="BD59" s="203" t="str">
        <f t="shared" si="163"/>
        <v xml:space="preserve">       </v>
      </c>
      <c r="BE59" s="174" t="str">
        <f t="shared" si="164"/>
        <v>NG</v>
      </c>
      <c r="BF59" s="141"/>
      <c r="BG59" s="172" t="s">
        <v>71</v>
      </c>
      <c r="BH59" s="160"/>
      <c r="BI59" s="162"/>
      <c r="BJ59" s="203" t="str">
        <f t="shared" ref="BJ59:BJ64" si="222">IF(BL59="-","-",BL59&amp;REPT(IF($R59="N","　",IF($R59="9","0"," ")),$Z59-LENB(BL59)))</f>
        <v xml:space="preserve">       </v>
      </c>
      <c r="BK59" s="174" t="s">
        <v>71</v>
      </c>
      <c r="BL59" s="141"/>
      <c r="BM59" s="172" t="s">
        <v>71</v>
      </c>
      <c r="BN59" s="160"/>
      <c r="BO59" s="162"/>
      <c r="BP59" s="204" t="s">
        <v>429</v>
      </c>
      <c r="BQ59" s="174" t="str">
        <f t="shared" si="213"/>
        <v>NG</v>
      </c>
      <c r="BR59" s="162"/>
      <c r="BS59" s="172" t="s">
        <v>71</v>
      </c>
      <c r="BT59" s="160"/>
      <c r="BU59" s="141"/>
      <c r="BV59" s="203" t="str">
        <f t="shared" si="93"/>
        <v xml:space="preserve">       </v>
      </c>
      <c r="BW59" s="174" t="str">
        <f t="shared" si="8"/>
        <v>NG</v>
      </c>
      <c r="BX59" s="141"/>
      <c r="BY59" s="172" t="s">
        <v>71</v>
      </c>
      <c r="BZ59" s="160"/>
      <c r="CA59" s="141"/>
      <c r="CB59" s="203" t="str">
        <f t="shared" si="94"/>
        <v xml:space="preserve">       </v>
      </c>
      <c r="CC59" s="174" t="str">
        <f t="shared" si="9"/>
        <v>NG</v>
      </c>
      <c r="CD59" s="141"/>
      <c r="CE59" s="172" t="s">
        <v>71</v>
      </c>
      <c r="CF59" s="160"/>
      <c r="CG59" s="141"/>
      <c r="CH59" s="203" t="str">
        <f t="shared" si="95"/>
        <v xml:space="preserve">       </v>
      </c>
      <c r="CI59" s="174" t="str">
        <f t="shared" si="10"/>
        <v>NG</v>
      </c>
      <c r="CJ59" s="141"/>
      <c r="CK59" s="172" t="s">
        <v>71</v>
      </c>
      <c r="CL59" s="160"/>
      <c r="CM59" s="141"/>
      <c r="CN59" s="203" t="str">
        <f t="shared" si="96"/>
        <v xml:space="preserve">       </v>
      </c>
      <c r="CO59" s="174" t="str">
        <f t="shared" si="11"/>
        <v>NG</v>
      </c>
      <c r="CP59" s="141"/>
      <c r="CQ59" s="172" t="s">
        <v>71</v>
      </c>
      <c r="CR59" s="160"/>
      <c r="CS59" s="141"/>
      <c r="CT59" s="203" t="str">
        <f t="shared" si="97"/>
        <v xml:space="preserve">       </v>
      </c>
      <c r="CU59" s="174" t="str">
        <f t="shared" si="12"/>
        <v>NG</v>
      </c>
      <c r="CV59" s="141"/>
      <c r="CW59" s="172" t="s">
        <v>71</v>
      </c>
      <c r="CX59" s="160"/>
      <c r="CY59" s="141"/>
      <c r="CZ59" s="203" t="str">
        <f t="shared" si="98"/>
        <v xml:space="preserve">       </v>
      </c>
      <c r="DA59" s="174" t="str">
        <f t="shared" si="13"/>
        <v>NG</v>
      </c>
      <c r="DB59" s="141"/>
      <c r="DC59" s="172" t="s">
        <v>71</v>
      </c>
      <c r="DD59" s="160"/>
      <c r="DE59" s="141"/>
      <c r="DF59" s="203" t="str">
        <f t="shared" si="99"/>
        <v xml:space="preserve">       </v>
      </c>
      <c r="DG59" s="174" t="str">
        <f t="shared" si="14"/>
        <v>NG</v>
      </c>
      <c r="DH59" s="141"/>
      <c r="DI59" s="172" t="s">
        <v>71</v>
      </c>
      <c r="DJ59" s="160"/>
      <c r="DK59" s="162"/>
      <c r="DL59" s="203"/>
      <c r="DM59" s="174" t="str">
        <f t="shared" si="214"/>
        <v>OK</v>
      </c>
      <c r="DN59" s="141"/>
      <c r="DO59" s="172" t="s">
        <v>71</v>
      </c>
      <c r="DP59" s="160"/>
      <c r="DQ59" s="162"/>
      <c r="DR59" s="203" t="str">
        <f t="shared" si="196"/>
        <v xml:space="preserve">       </v>
      </c>
      <c r="DS59" s="174" t="str">
        <f t="shared" si="215"/>
        <v>NG</v>
      </c>
      <c r="DT59" s="141"/>
      <c r="DU59" s="172" t="s">
        <v>71</v>
      </c>
      <c r="DV59" s="160"/>
      <c r="DW59" s="162"/>
      <c r="DX59" s="203" t="str">
        <f t="shared" si="197"/>
        <v xml:space="preserve">       </v>
      </c>
      <c r="DY59" s="174" t="str">
        <f t="shared" si="216"/>
        <v>NG</v>
      </c>
      <c r="DZ59" s="141"/>
      <c r="EA59" s="172" t="s">
        <v>71</v>
      </c>
      <c r="EB59" s="160"/>
      <c r="EC59" s="162"/>
      <c r="ED59" s="203" t="str">
        <f t="shared" si="198"/>
        <v xml:space="preserve">       </v>
      </c>
      <c r="EE59" s="174" t="str">
        <f t="shared" si="217"/>
        <v>NG</v>
      </c>
      <c r="EF59" s="141"/>
      <c r="EG59" s="172" t="s">
        <v>71</v>
      </c>
      <c r="EH59" s="160"/>
      <c r="EI59" s="162"/>
      <c r="EJ59" s="203" t="str">
        <f t="shared" si="199"/>
        <v xml:space="preserve">       </v>
      </c>
      <c r="EK59" s="174" t="str">
        <f t="shared" si="218"/>
        <v>NG</v>
      </c>
      <c r="EL59" s="141"/>
      <c r="EM59" s="172" t="s">
        <v>71</v>
      </c>
      <c r="EN59" s="160"/>
      <c r="EO59" s="162"/>
      <c r="EP59" s="203" t="str">
        <f t="shared" si="200"/>
        <v xml:space="preserve">       </v>
      </c>
      <c r="EQ59" s="174" t="str">
        <f t="shared" si="219"/>
        <v>NG</v>
      </c>
      <c r="ER59" s="141"/>
      <c r="ES59" s="172" t="s">
        <v>71</v>
      </c>
      <c r="ET59" s="160"/>
      <c r="EU59" s="162"/>
      <c r="EV59" s="203" t="str">
        <f t="shared" si="201"/>
        <v xml:space="preserve">       </v>
      </c>
      <c r="EW59" s="174" t="str">
        <f t="shared" si="220"/>
        <v>NG</v>
      </c>
      <c r="EX59" s="141"/>
      <c r="EY59" s="172" t="s">
        <v>71</v>
      </c>
      <c r="EZ59" s="160"/>
      <c r="FA59" s="162"/>
      <c r="FB59" s="203" t="str">
        <f t="shared" si="202"/>
        <v xml:space="preserve">       </v>
      </c>
      <c r="FC59" s="174" t="str">
        <f t="shared" si="221"/>
        <v>NG</v>
      </c>
      <c r="FD59" s="141"/>
      <c r="FE59" s="172" t="s">
        <v>71</v>
      </c>
      <c r="FF59" s="160"/>
      <c r="FG59" s="141"/>
      <c r="FH59" s="203" t="str">
        <f t="shared" si="101"/>
        <v xml:space="preserve">       </v>
      </c>
      <c r="FI59" s="174" t="str">
        <f t="shared" si="23"/>
        <v>NG</v>
      </c>
      <c r="FJ59" s="203"/>
      <c r="FK59" s="172" t="s">
        <v>71</v>
      </c>
      <c r="FL59" s="160"/>
      <c r="FM59" s="141"/>
      <c r="FN59" s="203" t="str">
        <f t="shared" si="102"/>
        <v xml:space="preserve">       </v>
      </c>
      <c r="FO59" s="174" t="str">
        <f t="shared" si="24"/>
        <v>NG</v>
      </c>
      <c r="FP59" s="203"/>
      <c r="FQ59" s="172" t="s">
        <v>71</v>
      </c>
      <c r="FR59" s="160"/>
      <c r="FS59" s="141"/>
      <c r="FT59" s="203" t="str">
        <f t="shared" si="103"/>
        <v xml:space="preserve">       </v>
      </c>
      <c r="FU59" s="174" t="str">
        <f t="shared" si="25"/>
        <v>NG</v>
      </c>
      <c r="FV59" s="203"/>
      <c r="FW59" s="172" t="s">
        <v>71</v>
      </c>
      <c r="FX59" s="160"/>
      <c r="FY59" s="141"/>
      <c r="FZ59" s="203" t="str">
        <f t="shared" si="104"/>
        <v xml:space="preserve">       </v>
      </c>
      <c r="GA59" s="174" t="str">
        <f t="shared" si="26"/>
        <v>NG</v>
      </c>
      <c r="GB59" s="203"/>
      <c r="GC59" s="172" t="s">
        <v>71</v>
      </c>
    </row>
    <row r="60" spans="2:185" s="237" customFormat="1" ht="25.5">
      <c r="B60" s="216">
        <f t="shared" si="153"/>
        <v>53</v>
      </c>
      <c r="C60" s="220"/>
      <c r="D60" s="220"/>
      <c r="E60" s="221"/>
      <c r="F60" s="222" t="s">
        <v>346</v>
      </c>
      <c r="G60" s="223"/>
      <c r="H60" s="224"/>
      <c r="I60" s="225"/>
      <c r="J60" s="225"/>
      <c r="K60" s="226"/>
      <c r="L60" s="226"/>
      <c r="M60" s="227" t="s">
        <v>345</v>
      </c>
      <c r="N60" s="228"/>
      <c r="O60" s="229"/>
      <c r="P60" s="45">
        <f t="shared" ref="P60:P66" si="223">P59+1</f>
        <v>36</v>
      </c>
      <c r="Q60" s="230">
        <v>10</v>
      </c>
      <c r="R60" s="41" t="str">
        <f>IF(AA60="M","NX",AA60)</f>
        <v>X</v>
      </c>
      <c r="S60" s="185" t="s">
        <v>242</v>
      </c>
      <c r="T60" s="231"/>
      <c r="U60" s="41" t="s">
        <v>80</v>
      </c>
      <c r="V60" s="229"/>
      <c r="W60" s="232">
        <v>3</v>
      </c>
      <c r="X60" s="194" t="s">
        <v>243</v>
      </c>
      <c r="Y60" s="194">
        <v>10</v>
      </c>
      <c r="Z60" s="194">
        <v>10</v>
      </c>
      <c r="AA60" s="225" t="s">
        <v>163</v>
      </c>
      <c r="AB60" s="225" t="s">
        <v>57</v>
      </c>
      <c r="AC60" s="219"/>
      <c r="AD60" s="233"/>
      <c r="AE60" s="268"/>
      <c r="AF60" s="235" t="str">
        <f t="shared" si="211"/>
        <v xml:space="preserve">          </v>
      </c>
      <c r="AG60" s="174" t="str">
        <f t="shared" si="1"/>
        <v>NG</v>
      </c>
      <c r="AH60" s="268"/>
      <c r="AI60" s="172" t="s">
        <v>71</v>
      </c>
      <c r="AJ60" s="233"/>
      <c r="AK60" s="268"/>
      <c r="AL60" s="235" t="str">
        <f t="shared" si="212"/>
        <v xml:space="preserve">          </v>
      </c>
      <c r="AM60" s="174" t="str">
        <f t="shared" si="195"/>
        <v>NG</v>
      </c>
      <c r="AN60" s="268"/>
      <c r="AO60" s="172" t="s">
        <v>71</v>
      </c>
      <c r="AP60" s="233"/>
      <c r="AQ60" s="268"/>
      <c r="AR60" s="235" t="str">
        <f t="shared" si="157"/>
        <v xml:space="preserve">          </v>
      </c>
      <c r="AS60" s="174" t="str">
        <f t="shared" si="158"/>
        <v>NG</v>
      </c>
      <c r="AT60" s="268"/>
      <c r="AU60" s="172" t="s">
        <v>71</v>
      </c>
      <c r="AV60" s="233"/>
      <c r="AW60" s="268"/>
      <c r="AX60" s="235" t="str">
        <f t="shared" si="160"/>
        <v xml:space="preserve">          </v>
      </c>
      <c r="AY60" s="174" t="str">
        <f t="shared" si="161"/>
        <v>NG</v>
      </c>
      <c r="AZ60" s="268"/>
      <c r="BA60" s="172" t="s">
        <v>71</v>
      </c>
      <c r="BB60" s="233"/>
      <c r="BC60" s="268"/>
      <c r="BD60" s="235" t="str">
        <f t="shared" si="163"/>
        <v xml:space="preserve">          </v>
      </c>
      <c r="BE60" s="174" t="str">
        <f t="shared" si="164"/>
        <v>NG</v>
      </c>
      <c r="BF60" s="268"/>
      <c r="BG60" s="172" t="s">
        <v>71</v>
      </c>
      <c r="BH60" s="233"/>
      <c r="BI60" s="297"/>
      <c r="BJ60" s="235" t="str">
        <f t="shared" si="222"/>
        <v xml:space="preserve">          </v>
      </c>
      <c r="BK60" s="174" t="s">
        <v>71</v>
      </c>
      <c r="BL60" s="268"/>
      <c r="BM60" s="172" t="s">
        <v>71</v>
      </c>
      <c r="BN60" s="233"/>
      <c r="BO60" s="297"/>
      <c r="BP60" s="235" t="s">
        <v>430</v>
      </c>
      <c r="BQ60" s="174" t="str">
        <f t="shared" si="213"/>
        <v>NG</v>
      </c>
      <c r="BR60" s="297"/>
      <c r="BS60" s="172" t="s">
        <v>71</v>
      </c>
      <c r="BT60" s="233"/>
      <c r="BU60" s="268"/>
      <c r="BV60" s="235" t="str">
        <f t="shared" si="93"/>
        <v xml:space="preserve">          </v>
      </c>
      <c r="BW60" s="174" t="str">
        <f t="shared" si="8"/>
        <v>NG</v>
      </c>
      <c r="BX60" s="268"/>
      <c r="BY60" s="172" t="s">
        <v>71</v>
      </c>
      <c r="BZ60" s="233"/>
      <c r="CA60" s="268"/>
      <c r="CB60" s="235" t="str">
        <f t="shared" si="94"/>
        <v xml:space="preserve">          </v>
      </c>
      <c r="CC60" s="174" t="str">
        <f t="shared" si="9"/>
        <v>NG</v>
      </c>
      <c r="CD60" s="268"/>
      <c r="CE60" s="172" t="s">
        <v>71</v>
      </c>
      <c r="CF60" s="233"/>
      <c r="CG60" s="268"/>
      <c r="CH60" s="235" t="str">
        <f t="shared" si="95"/>
        <v xml:space="preserve">          </v>
      </c>
      <c r="CI60" s="174" t="str">
        <f t="shared" si="10"/>
        <v>NG</v>
      </c>
      <c r="CJ60" s="268"/>
      <c r="CK60" s="172" t="s">
        <v>71</v>
      </c>
      <c r="CL60" s="233"/>
      <c r="CM60" s="268"/>
      <c r="CN60" s="235" t="str">
        <f t="shared" si="96"/>
        <v xml:space="preserve">          </v>
      </c>
      <c r="CO60" s="174" t="str">
        <f t="shared" si="11"/>
        <v>NG</v>
      </c>
      <c r="CP60" s="268"/>
      <c r="CQ60" s="172" t="s">
        <v>71</v>
      </c>
      <c r="CR60" s="233"/>
      <c r="CS60" s="268"/>
      <c r="CT60" s="235" t="str">
        <f t="shared" si="97"/>
        <v xml:space="preserve">          </v>
      </c>
      <c r="CU60" s="174" t="str">
        <f t="shared" si="12"/>
        <v>NG</v>
      </c>
      <c r="CV60" s="268"/>
      <c r="CW60" s="172" t="s">
        <v>71</v>
      </c>
      <c r="CX60" s="233"/>
      <c r="CY60" s="268"/>
      <c r="CZ60" s="235" t="str">
        <f t="shared" si="98"/>
        <v xml:space="preserve">          </v>
      </c>
      <c r="DA60" s="174" t="str">
        <f t="shared" si="13"/>
        <v>NG</v>
      </c>
      <c r="DB60" s="268"/>
      <c r="DC60" s="172" t="s">
        <v>71</v>
      </c>
      <c r="DD60" s="233"/>
      <c r="DE60" s="268"/>
      <c r="DF60" s="235" t="str">
        <f t="shared" si="99"/>
        <v xml:space="preserve">          </v>
      </c>
      <c r="DG60" s="174" t="str">
        <f t="shared" si="14"/>
        <v>NG</v>
      </c>
      <c r="DH60" s="268"/>
      <c r="DI60" s="172" t="s">
        <v>71</v>
      </c>
      <c r="DJ60" s="233"/>
      <c r="DK60" s="297"/>
      <c r="DL60" s="271"/>
      <c r="DM60" s="174" t="str">
        <f t="shared" si="214"/>
        <v>OK</v>
      </c>
      <c r="DN60" s="268"/>
      <c r="DO60" s="172" t="s">
        <v>71</v>
      </c>
      <c r="DP60" s="233"/>
      <c r="DQ60" s="297"/>
      <c r="DR60" s="203" t="str">
        <f t="shared" si="196"/>
        <v xml:space="preserve">          </v>
      </c>
      <c r="DS60" s="174" t="str">
        <f t="shared" si="215"/>
        <v>NG</v>
      </c>
      <c r="DT60" s="268"/>
      <c r="DU60" s="172" t="s">
        <v>71</v>
      </c>
      <c r="DV60" s="233"/>
      <c r="DW60" s="297"/>
      <c r="DX60" s="203" t="str">
        <f t="shared" si="197"/>
        <v xml:space="preserve">          </v>
      </c>
      <c r="DY60" s="174" t="str">
        <f t="shared" si="216"/>
        <v>NG</v>
      </c>
      <c r="DZ60" s="268"/>
      <c r="EA60" s="172" t="s">
        <v>71</v>
      </c>
      <c r="EB60" s="233"/>
      <c r="EC60" s="297"/>
      <c r="ED60" s="203" t="str">
        <f t="shared" si="198"/>
        <v xml:space="preserve">          </v>
      </c>
      <c r="EE60" s="174" t="str">
        <f t="shared" si="217"/>
        <v>NG</v>
      </c>
      <c r="EF60" s="268"/>
      <c r="EG60" s="172" t="s">
        <v>71</v>
      </c>
      <c r="EH60" s="233"/>
      <c r="EI60" s="297"/>
      <c r="EJ60" s="203" t="str">
        <f t="shared" si="199"/>
        <v xml:space="preserve">          </v>
      </c>
      <c r="EK60" s="174" t="str">
        <f t="shared" si="218"/>
        <v>NG</v>
      </c>
      <c r="EL60" s="268"/>
      <c r="EM60" s="172" t="s">
        <v>71</v>
      </c>
      <c r="EN60" s="233"/>
      <c r="EO60" s="297"/>
      <c r="EP60" s="203" t="str">
        <f t="shared" si="200"/>
        <v xml:space="preserve">          </v>
      </c>
      <c r="EQ60" s="174" t="str">
        <f t="shared" si="219"/>
        <v>NG</v>
      </c>
      <c r="ER60" s="268"/>
      <c r="ES60" s="172" t="s">
        <v>71</v>
      </c>
      <c r="ET60" s="233"/>
      <c r="EU60" s="297"/>
      <c r="EV60" s="203" t="str">
        <f t="shared" si="201"/>
        <v xml:space="preserve">          </v>
      </c>
      <c r="EW60" s="174" t="str">
        <f t="shared" si="220"/>
        <v>NG</v>
      </c>
      <c r="EX60" s="268"/>
      <c r="EY60" s="172" t="s">
        <v>71</v>
      </c>
      <c r="EZ60" s="233"/>
      <c r="FA60" s="297"/>
      <c r="FB60" s="203" t="str">
        <f t="shared" si="202"/>
        <v xml:space="preserve">          </v>
      </c>
      <c r="FC60" s="174" t="str">
        <f t="shared" si="221"/>
        <v>NG</v>
      </c>
      <c r="FD60" s="268"/>
      <c r="FE60" s="172" t="s">
        <v>71</v>
      </c>
      <c r="FF60" s="233"/>
      <c r="FG60" s="268"/>
      <c r="FH60" s="235" t="str">
        <f t="shared" si="101"/>
        <v xml:space="preserve">          </v>
      </c>
      <c r="FI60" s="174" t="str">
        <f t="shared" si="23"/>
        <v>NG</v>
      </c>
      <c r="FJ60" s="271"/>
      <c r="FK60" s="172" t="s">
        <v>71</v>
      </c>
      <c r="FL60" s="233"/>
      <c r="FM60" s="268"/>
      <c r="FN60" s="235" t="str">
        <f t="shared" si="102"/>
        <v xml:space="preserve">          </v>
      </c>
      <c r="FO60" s="174" t="str">
        <f t="shared" si="24"/>
        <v>NG</v>
      </c>
      <c r="FP60" s="271"/>
      <c r="FQ60" s="172" t="s">
        <v>71</v>
      </c>
      <c r="FR60" s="233"/>
      <c r="FS60" s="268"/>
      <c r="FT60" s="235" t="str">
        <f t="shared" si="103"/>
        <v xml:space="preserve">          </v>
      </c>
      <c r="FU60" s="174" t="str">
        <f t="shared" si="25"/>
        <v>NG</v>
      </c>
      <c r="FV60" s="271"/>
      <c r="FW60" s="172" t="s">
        <v>71</v>
      </c>
      <c r="FX60" s="233"/>
      <c r="FY60" s="268"/>
      <c r="FZ60" s="235" t="str">
        <f t="shared" si="104"/>
        <v xml:space="preserve">          </v>
      </c>
      <c r="GA60" s="174" t="str">
        <f t="shared" si="26"/>
        <v>NG</v>
      </c>
      <c r="GB60" s="271"/>
      <c r="GC60" s="172" t="s">
        <v>71</v>
      </c>
    </row>
    <row r="61" spans="2:185" s="237" customFormat="1" ht="25.5">
      <c r="B61" s="216">
        <f t="shared" si="153"/>
        <v>54</v>
      </c>
      <c r="C61" s="220"/>
      <c r="D61" s="220"/>
      <c r="E61" s="220"/>
      <c r="F61" s="238" t="s">
        <v>244</v>
      </c>
      <c r="G61" s="168"/>
      <c r="H61" s="239"/>
      <c r="I61" s="225"/>
      <c r="J61" s="225"/>
      <c r="K61" s="226"/>
      <c r="L61" s="226"/>
      <c r="M61" s="227" t="s">
        <v>345</v>
      </c>
      <c r="N61" s="228"/>
      <c r="O61" s="229"/>
      <c r="P61" s="45">
        <f t="shared" si="223"/>
        <v>37</v>
      </c>
      <c r="Q61" s="230">
        <v>3</v>
      </c>
      <c r="R61" s="41" t="str">
        <f>IF(AA61="M","NX",AA61)</f>
        <v>X</v>
      </c>
      <c r="S61" s="185" t="s">
        <v>245</v>
      </c>
      <c r="T61" s="231"/>
      <c r="U61" s="41" t="s">
        <v>80</v>
      </c>
      <c r="V61" s="229"/>
      <c r="W61" s="232">
        <v>3</v>
      </c>
      <c r="X61" s="194" t="s">
        <v>246</v>
      </c>
      <c r="Y61" s="194">
        <v>3</v>
      </c>
      <c r="Z61" s="194">
        <v>3</v>
      </c>
      <c r="AA61" s="225" t="s">
        <v>163</v>
      </c>
      <c r="AB61" s="225" t="s">
        <v>57</v>
      </c>
      <c r="AC61" s="219"/>
      <c r="AD61" s="233"/>
      <c r="AE61" s="268"/>
      <c r="AF61" s="235" t="str">
        <f t="shared" si="211"/>
        <v xml:space="preserve">   </v>
      </c>
      <c r="AG61" s="174" t="str">
        <f t="shared" si="1"/>
        <v>NG</v>
      </c>
      <c r="AH61" s="268"/>
      <c r="AI61" s="172" t="s">
        <v>71</v>
      </c>
      <c r="AJ61" s="233"/>
      <c r="AK61" s="268"/>
      <c r="AL61" s="235" t="str">
        <f t="shared" si="212"/>
        <v xml:space="preserve">   </v>
      </c>
      <c r="AM61" s="174" t="str">
        <f t="shared" si="195"/>
        <v>NG</v>
      </c>
      <c r="AN61" s="268"/>
      <c r="AO61" s="172" t="s">
        <v>71</v>
      </c>
      <c r="AP61" s="233"/>
      <c r="AQ61" s="268"/>
      <c r="AR61" s="235" t="str">
        <f t="shared" si="157"/>
        <v xml:space="preserve">   </v>
      </c>
      <c r="AS61" s="174" t="str">
        <f t="shared" si="158"/>
        <v>NG</v>
      </c>
      <c r="AT61" s="268"/>
      <c r="AU61" s="172" t="s">
        <v>71</v>
      </c>
      <c r="AV61" s="233"/>
      <c r="AW61" s="268"/>
      <c r="AX61" s="235" t="str">
        <f t="shared" si="160"/>
        <v xml:space="preserve">   </v>
      </c>
      <c r="AY61" s="174" t="str">
        <f t="shared" si="161"/>
        <v>NG</v>
      </c>
      <c r="AZ61" s="268"/>
      <c r="BA61" s="172" t="s">
        <v>71</v>
      </c>
      <c r="BB61" s="233"/>
      <c r="BC61" s="268"/>
      <c r="BD61" s="235" t="str">
        <f t="shared" si="163"/>
        <v xml:space="preserve">   </v>
      </c>
      <c r="BE61" s="174" t="str">
        <f t="shared" si="164"/>
        <v>NG</v>
      </c>
      <c r="BF61" s="268"/>
      <c r="BG61" s="172" t="s">
        <v>71</v>
      </c>
      <c r="BH61" s="233"/>
      <c r="BI61" s="297"/>
      <c r="BJ61" s="235" t="str">
        <f t="shared" si="222"/>
        <v xml:space="preserve">   </v>
      </c>
      <c r="BK61" s="174" t="s">
        <v>71</v>
      </c>
      <c r="BL61" s="268"/>
      <c r="BM61" s="172" t="s">
        <v>71</v>
      </c>
      <c r="BN61" s="233"/>
      <c r="BO61" s="297"/>
      <c r="BP61" s="297" t="s">
        <v>487</v>
      </c>
      <c r="BQ61" s="174" t="str">
        <f t="shared" si="213"/>
        <v>NG</v>
      </c>
      <c r="BR61" s="297"/>
      <c r="BS61" s="172" t="s">
        <v>71</v>
      </c>
      <c r="BT61" s="233"/>
      <c r="BU61" s="268"/>
      <c r="BV61" s="235" t="str">
        <f t="shared" si="93"/>
        <v xml:space="preserve">   </v>
      </c>
      <c r="BW61" s="174" t="str">
        <f t="shared" si="8"/>
        <v>NG</v>
      </c>
      <c r="BX61" s="268"/>
      <c r="BY61" s="172" t="s">
        <v>71</v>
      </c>
      <c r="BZ61" s="233"/>
      <c r="CA61" s="268"/>
      <c r="CB61" s="235" t="str">
        <f t="shared" si="94"/>
        <v xml:space="preserve">   </v>
      </c>
      <c r="CC61" s="174" t="str">
        <f t="shared" si="9"/>
        <v>NG</v>
      </c>
      <c r="CD61" s="268"/>
      <c r="CE61" s="172" t="s">
        <v>71</v>
      </c>
      <c r="CF61" s="233"/>
      <c r="CG61" s="268"/>
      <c r="CH61" s="235" t="str">
        <f t="shared" si="95"/>
        <v xml:space="preserve">   </v>
      </c>
      <c r="CI61" s="174" t="str">
        <f t="shared" si="10"/>
        <v>NG</v>
      </c>
      <c r="CJ61" s="268"/>
      <c r="CK61" s="172" t="s">
        <v>71</v>
      </c>
      <c r="CL61" s="233"/>
      <c r="CM61" s="268"/>
      <c r="CN61" s="235" t="str">
        <f t="shared" si="96"/>
        <v xml:space="preserve">   </v>
      </c>
      <c r="CO61" s="174" t="str">
        <f t="shared" si="11"/>
        <v>NG</v>
      </c>
      <c r="CP61" s="268"/>
      <c r="CQ61" s="172" t="s">
        <v>71</v>
      </c>
      <c r="CR61" s="233"/>
      <c r="CS61" s="268"/>
      <c r="CT61" s="235" t="str">
        <f t="shared" si="97"/>
        <v xml:space="preserve">   </v>
      </c>
      <c r="CU61" s="174" t="str">
        <f t="shared" si="12"/>
        <v>NG</v>
      </c>
      <c r="CV61" s="268"/>
      <c r="CW61" s="172" t="s">
        <v>71</v>
      </c>
      <c r="CX61" s="233"/>
      <c r="CY61" s="268"/>
      <c r="CZ61" s="235" t="str">
        <f t="shared" si="98"/>
        <v xml:space="preserve">   </v>
      </c>
      <c r="DA61" s="174" t="str">
        <f t="shared" si="13"/>
        <v>NG</v>
      </c>
      <c r="DB61" s="268"/>
      <c r="DC61" s="172" t="s">
        <v>71</v>
      </c>
      <c r="DD61" s="233"/>
      <c r="DE61" s="268"/>
      <c r="DF61" s="235" t="str">
        <f t="shared" si="99"/>
        <v xml:space="preserve">   </v>
      </c>
      <c r="DG61" s="174" t="str">
        <f t="shared" si="14"/>
        <v>NG</v>
      </c>
      <c r="DH61" s="268"/>
      <c r="DI61" s="172" t="s">
        <v>71</v>
      </c>
      <c r="DJ61" s="233"/>
      <c r="DK61" s="297"/>
      <c r="DL61" s="271"/>
      <c r="DM61" s="174" t="str">
        <f t="shared" si="214"/>
        <v>OK</v>
      </c>
      <c r="DN61" s="268"/>
      <c r="DO61" s="172" t="s">
        <v>71</v>
      </c>
      <c r="DP61" s="233"/>
      <c r="DQ61" s="297"/>
      <c r="DR61" s="203" t="str">
        <f t="shared" si="196"/>
        <v xml:space="preserve">   </v>
      </c>
      <c r="DS61" s="174" t="str">
        <f t="shared" si="215"/>
        <v>NG</v>
      </c>
      <c r="DT61" s="268"/>
      <c r="DU61" s="172" t="s">
        <v>71</v>
      </c>
      <c r="DV61" s="233"/>
      <c r="DW61" s="297"/>
      <c r="DX61" s="203" t="str">
        <f t="shared" si="197"/>
        <v xml:space="preserve">   </v>
      </c>
      <c r="DY61" s="174" t="str">
        <f t="shared" si="216"/>
        <v>NG</v>
      </c>
      <c r="DZ61" s="268"/>
      <c r="EA61" s="172" t="s">
        <v>71</v>
      </c>
      <c r="EB61" s="233"/>
      <c r="EC61" s="297"/>
      <c r="ED61" s="203" t="str">
        <f t="shared" si="198"/>
        <v xml:space="preserve">   </v>
      </c>
      <c r="EE61" s="174" t="str">
        <f t="shared" si="217"/>
        <v>NG</v>
      </c>
      <c r="EF61" s="268"/>
      <c r="EG61" s="172" t="s">
        <v>71</v>
      </c>
      <c r="EH61" s="233"/>
      <c r="EI61" s="297"/>
      <c r="EJ61" s="203" t="str">
        <f t="shared" si="199"/>
        <v xml:space="preserve">   </v>
      </c>
      <c r="EK61" s="174" t="str">
        <f t="shared" si="218"/>
        <v>NG</v>
      </c>
      <c r="EL61" s="268"/>
      <c r="EM61" s="172" t="s">
        <v>71</v>
      </c>
      <c r="EN61" s="233"/>
      <c r="EO61" s="297"/>
      <c r="EP61" s="203" t="str">
        <f t="shared" si="200"/>
        <v xml:space="preserve">   </v>
      </c>
      <c r="EQ61" s="174" t="str">
        <f t="shared" si="219"/>
        <v>NG</v>
      </c>
      <c r="ER61" s="268"/>
      <c r="ES61" s="172" t="s">
        <v>71</v>
      </c>
      <c r="ET61" s="233"/>
      <c r="EU61" s="297"/>
      <c r="EV61" s="203" t="str">
        <f t="shared" si="201"/>
        <v xml:space="preserve">   </v>
      </c>
      <c r="EW61" s="174" t="str">
        <f t="shared" si="220"/>
        <v>NG</v>
      </c>
      <c r="EX61" s="268"/>
      <c r="EY61" s="172" t="s">
        <v>71</v>
      </c>
      <c r="EZ61" s="233"/>
      <c r="FA61" s="297"/>
      <c r="FB61" s="203" t="str">
        <f t="shared" si="202"/>
        <v xml:space="preserve">   </v>
      </c>
      <c r="FC61" s="174" t="str">
        <f t="shared" si="221"/>
        <v>NG</v>
      </c>
      <c r="FD61" s="268"/>
      <c r="FE61" s="172" t="s">
        <v>71</v>
      </c>
      <c r="FF61" s="233"/>
      <c r="FG61" s="268"/>
      <c r="FH61" s="235" t="str">
        <f t="shared" si="101"/>
        <v xml:space="preserve">   </v>
      </c>
      <c r="FI61" s="174" t="str">
        <f t="shared" si="23"/>
        <v>NG</v>
      </c>
      <c r="FJ61" s="271"/>
      <c r="FK61" s="172" t="s">
        <v>71</v>
      </c>
      <c r="FL61" s="233"/>
      <c r="FM61" s="268"/>
      <c r="FN61" s="235" t="str">
        <f t="shared" si="102"/>
        <v xml:space="preserve">   </v>
      </c>
      <c r="FO61" s="174" t="str">
        <f t="shared" si="24"/>
        <v>NG</v>
      </c>
      <c r="FP61" s="271"/>
      <c r="FQ61" s="172" t="s">
        <v>71</v>
      </c>
      <c r="FR61" s="233"/>
      <c r="FS61" s="268"/>
      <c r="FT61" s="235" t="str">
        <f t="shared" si="103"/>
        <v xml:space="preserve">   </v>
      </c>
      <c r="FU61" s="174" t="str">
        <f t="shared" si="25"/>
        <v>NG</v>
      </c>
      <c r="FV61" s="271"/>
      <c r="FW61" s="172" t="s">
        <v>71</v>
      </c>
      <c r="FX61" s="233"/>
      <c r="FY61" s="268"/>
      <c r="FZ61" s="235" t="str">
        <f t="shared" si="104"/>
        <v xml:space="preserve">   </v>
      </c>
      <c r="GA61" s="174" t="str">
        <f t="shared" si="26"/>
        <v>NG</v>
      </c>
      <c r="GB61" s="271"/>
      <c r="GC61" s="172" t="s">
        <v>71</v>
      </c>
    </row>
    <row r="62" spans="2:185" s="237" customFormat="1" ht="25.5">
      <c r="B62" s="216">
        <f t="shared" si="153"/>
        <v>55</v>
      </c>
      <c r="C62" s="220"/>
      <c r="D62" s="220"/>
      <c r="E62" s="220"/>
      <c r="F62" s="238" t="s">
        <v>347</v>
      </c>
      <c r="G62" s="168"/>
      <c r="H62" s="239"/>
      <c r="I62" s="225"/>
      <c r="J62" s="225"/>
      <c r="K62" s="226"/>
      <c r="L62" s="226"/>
      <c r="M62" s="227" t="s">
        <v>345</v>
      </c>
      <c r="N62" s="228"/>
      <c r="O62" s="229"/>
      <c r="P62" s="45">
        <f t="shared" si="223"/>
        <v>38</v>
      </c>
      <c r="Q62" s="230">
        <v>2</v>
      </c>
      <c r="R62" s="41" t="str">
        <f>IF(AA62="M","NX",AA62)</f>
        <v>X</v>
      </c>
      <c r="S62" s="185" t="s">
        <v>247</v>
      </c>
      <c r="T62" s="231"/>
      <c r="U62" s="41" t="s">
        <v>80</v>
      </c>
      <c r="V62" s="229"/>
      <c r="W62" s="232">
        <v>3</v>
      </c>
      <c r="X62" s="194" t="s">
        <v>248</v>
      </c>
      <c r="Y62" s="194">
        <v>2</v>
      </c>
      <c r="Z62" s="194">
        <v>2</v>
      </c>
      <c r="AA62" s="225" t="s">
        <v>163</v>
      </c>
      <c r="AB62" s="225" t="s">
        <v>57</v>
      </c>
      <c r="AC62" s="219"/>
      <c r="AD62" s="233"/>
      <c r="AE62" s="268"/>
      <c r="AF62" s="235" t="str">
        <f t="shared" si="211"/>
        <v xml:space="preserve">  </v>
      </c>
      <c r="AG62" s="174" t="str">
        <f t="shared" si="1"/>
        <v>NG</v>
      </c>
      <c r="AH62" s="268"/>
      <c r="AI62" s="172" t="s">
        <v>71</v>
      </c>
      <c r="AJ62" s="233"/>
      <c r="AK62" s="268"/>
      <c r="AL62" s="235" t="str">
        <f t="shared" si="212"/>
        <v xml:space="preserve">  </v>
      </c>
      <c r="AM62" s="174" t="str">
        <f t="shared" si="195"/>
        <v>NG</v>
      </c>
      <c r="AN62" s="268"/>
      <c r="AO62" s="172" t="s">
        <v>71</v>
      </c>
      <c r="AP62" s="233"/>
      <c r="AQ62" s="268"/>
      <c r="AR62" s="235" t="str">
        <f t="shared" si="157"/>
        <v xml:space="preserve">  </v>
      </c>
      <c r="AS62" s="174" t="str">
        <f t="shared" si="158"/>
        <v>NG</v>
      </c>
      <c r="AT62" s="268"/>
      <c r="AU62" s="172" t="s">
        <v>71</v>
      </c>
      <c r="AV62" s="233"/>
      <c r="AW62" s="268"/>
      <c r="AX62" s="235" t="str">
        <f t="shared" si="160"/>
        <v xml:space="preserve">  </v>
      </c>
      <c r="AY62" s="174" t="str">
        <f t="shared" si="161"/>
        <v>NG</v>
      </c>
      <c r="AZ62" s="268"/>
      <c r="BA62" s="172" t="s">
        <v>71</v>
      </c>
      <c r="BB62" s="233"/>
      <c r="BC62" s="268"/>
      <c r="BD62" s="235" t="str">
        <f t="shared" si="163"/>
        <v xml:space="preserve">  </v>
      </c>
      <c r="BE62" s="174" t="str">
        <f t="shared" si="164"/>
        <v>NG</v>
      </c>
      <c r="BF62" s="268"/>
      <c r="BG62" s="172" t="s">
        <v>71</v>
      </c>
      <c r="BH62" s="233"/>
      <c r="BI62" s="297"/>
      <c r="BJ62" s="235" t="str">
        <f t="shared" si="222"/>
        <v xml:space="preserve">  </v>
      </c>
      <c r="BK62" s="174" t="s">
        <v>71</v>
      </c>
      <c r="BL62" s="268"/>
      <c r="BM62" s="172" t="s">
        <v>71</v>
      </c>
      <c r="BN62" s="233"/>
      <c r="BO62" s="297"/>
      <c r="BP62" s="298" t="s">
        <v>302</v>
      </c>
      <c r="BQ62" s="174" t="str">
        <f t="shared" si="213"/>
        <v>NG</v>
      </c>
      <c r="BR62" s="297"/>
      <c r="BS62" s="172" t="s">
        <v>71</v>
      </c>
      <c r="BT62" s="233"/>
      <c r="BU62" s="268"/>
      <c r="BV62" s="235" t="str">
        <f t="shared" si="93"/>
        <v xml:space="preserve">  </v>
      </c>
      <c r="BW62" s="174" t="str">
        <f t="shared" si="8"/>
        <v>NG</v>
      </c>
      <c r="BX62" s="268"/>
      <c r="BY62" s="172" t="s">
        <v>71</v>
      </c>
      <c r="BZ62" s="233"/>
      <c r="CA62" s="268"/>
      <c r="CB62" s="235" t="str">
        <f t="shared" si="94"/>
        <v xml:space="preserve">  </v>
      </c>
      <c r="CC62" s="174" t="str">
        <f t="shared" si="9"/>
        <v>NG</v>
      </c>
      <c r="CD62" s="268"/>
      <c r="CE62" s="172" t="s">
        <v>71</v>
      </c>
      <c r="CF62" s="233"/>
      <c r="CG62" s="268"/>
      <c r="CH62" s="235" t="str">
        <f t="shared" si="95"/>
        <v xml:space="preserve">  </v>
      </c>
      <c r="CI62" s="174" t="str">
        <f t="shared" si="10"/>
        <v>NG</v>
      </c>
      <c r="CJ62" s="268"/>
      <c r="CK62" s="172" t="s">
        <v>71</v>
      </c>
      <c r="CL62" s="233"/>
      <c r="CM62" s="268"/>
      <c r="CN62" s="235" t="str">
        <f t="shared" si="96"/>
        <v xml:space="preserve">  </v>
      </c>
      <c r="CO62" s="174" t="str">
        <f t="shared" si="11"/>
        <v>NG</v>
      </c>
      <c r="CP62" s="268"/>
      <c r="CQ62" s="172" t="s">
        <v>71</v>
      </c>
      <c r="CR62" s="233"/>
      <c r="CS62" s="268"/>
      <c r="CT62" s="235" t="str">
        <f t="shared" si="97"/>
        <v xml:space="preserve">  </v>
      </c>
      <c r="CU62" s="174" t="str">
        <f t="shared" si="12"/>
        <v>NG</v>
      </c>
      <c r="CV62" s="268"/>
      <c r="CW62" s="172" t="s">
        <v>71</v>
      </c>
      <c r="CX62" s="233"/>
      <c r="CY62" s="268"/>
      <c r="CZ62" s="235" t="str">
        <f t="shared" si="98"/>
        <v xml:space="preserve">  </v>
      </c>
      <c r="DA62" s="174" t="str">
        <f t="shared" si="13"/>
        <v>NG</v>
      </c>
      <c r="DB62" s="268"/>
      <c r="DC62" s="172" t="s">
        <v>71</v>
      </c>
      <c r="DD62" s="233"/>
      <c r="DE62" s="268"/>
      <c r="DF62" s="235" t="str">
        <f t="shared" si="99"/>
        <v xml:space="preserve">  </v>
      </c>
      <c r="DG62" s="174" t="str">
        <f t="shared" si="14"/>
        <v>NG</v>
      </c>
      <c r="DH62" s="268"/>
      <c r="DI62" s="172" t="s">
        <v>71</v>
      </c>
      <c r="DJ62" s="233"/>
      <c r="DK62" s="297"/>
      <c r="DL62" s="271"/>
      <c r="DM62" s="174" t="str">
        <f t="shared" si="214"/>
        <v>OK</v>
      </c>
      <c r="DN62" s="268"/>
      <c r="DO62" s="172" t="s">
        <v>71</v>
      </c>
      <c r="DP62" s="233"/>
      <c r="DQ62" s="297"/>
      <c r="DR62" s="203" t="str">
        <f t="shared" si="196"/>
        <v xml:space="preserve">  </v>
      </c>
      <c r="DS62" s="174" t="str">
        <f t="shared" si="215"/>
        <v>NG</v>
      </c>
      <c r="DT62" s="268"/>
      <c r="DU62" s="172" t="s">
        <v>71</v>
      </c>
      <c r="DV62" s="233"/>
      <c r="DW62" s="297"/>
      <c r="DX62" s="203" t="str">
        <f t="shared" si="197"/>
        <v xml:space="preserve">  </v>
      </c>
      <c r="DY62" s="174" t="str">
        <f t="shared" si="216"/>
        <v>NG</v>
      </c>
      <c r="DZ62" s="268"/>
      <c r="EA62" s="172" t="s">
        <v>71</v>
      </c>
      <c r="EB62" s="233"/>
      <c r="EC62" s="297"/>
      <c r="ED62" s="203" t="str">
        <f t="shared" si="198"/>
        <v xml:space="preserve">  </v>
      </c>
      <c r="EE62" s="174" t="str">
        <f t="shared" si="217"/>
        <v>NG</v>
      </c>
      <c r="EF62" s="268"/>
      <c r="EG62" s="172" t="s">
        <v>71</v>
      </c>
      <c r="EH62" s="233"/>
      <c r="EI62" s="297"/>
      <c r="EJ62" s="203" t="str">
        <f t="shared" si="199"/>
        <v xml:space="preserve">  </v>
      </c>
      <c r="EK62" s="174" t="str">
        <f t="shared" si="218"/>
        <v>NG</v>
      </c>
      <c r="EL62" s="268"/>
      <c r="EM62" s="172" t="s">
        <v>71</v>
      </c>
      <c r="EN62" s="233"/>
      <c r="EO62" s="297"/>
      <c r="EP62" s="203" t="str">
        <f t="shared" si="200"/>
        <v xml:space="preserve">  </v>
      </c>
      <c r="EQ62" s="174" t="str">
        <f t="shared" si="219"/>
        <v>NG</v>
      </c>
      <c r="ER62" s="268"/>
      <c r="ES62" s="172" t="s">
        <v>71</v>
      </c>
      <c r="ET62" s="233"/>
      <c r="EU62" s="297"/>
      <c r="EV62" s="203" t="str">
        <f t="shared" si="201"/>
        <v xml:space="preserve">  </v>
      </c>
      <c r="EW62" s="174" t="str">
        <f t="shared" si="220"/>
        <v>NG</v>
      </c>
      <c r="EX62" s="268"/>
      <c r="EY62" s="172" t="s">
        <v>71</v>
      </c>
      <c r="EZ62" s="233"/>
      <c r="FA62" s="297"/>
      <c r="FB62" s="203" t="str">
        <f t="shared" si="202"/>
        <v xml:space="preserve">  </v>
      </c>
      <c r="FC62" s="174" t="str">
        <f t="shared" si="221"/>
        <v>NG</v>
      </c>
      <c r="FD62" s="268"/>
      <c r="FE62" s="172" t="s">
        <v>71</v>
      </c>
      <c r="FF62" s="233"/>
      <c r="FG62" s="268"/>
      <c r="FH62" s="235" t="str">
        <f t="shared" si="101"/>
        <v xml:space="preserve">  </v>
      </c>
      <c r="FI62" s="174" t="str">
        <f t="shared" si="23"/>
        <v>NG</v>
      </c>
      <c r="FJ62" s="271"/>
      <c r="FK62" s="172" t="s">
        <v>71</v>
      </c>
      <c r="FL62" s="233"/>
      <c r="FM62" s="268"/>
      <c r="FN62" s="235" t="str">
        <f t="shared" si="102"/>
        <v xml:space="preserve">  </v>
      </c>
      <c r="FO62" s="174" t="str">
        <f t="shared" si="24"/>
        <v>NG</v>
      </c>
      <c r="FP62" s="271"/>
      <c r="FQ62" s="172" t="s">
        <v>71</v>
      </c>
      <c r="FR62" s="233"/>
      <c r="FS62" s="268"/>
      <c r="FT62" s="235" t="str">
        <f t="shared" si="103"/>
        <v xml:space="preserve">  </v>
      </c>
      <c r="FU62" s="174" t="str">
        <f t="shared" si="25"/>
        <v>NG</v>
      </c>
      <c r="FV62" s="271"/>
      <c r="FW62" s="172" t="s">
        <v>71</v>
      </c>
      <c r="FX62" s="233"/>
      <c r="FY62" s="268"/>
      <c r="FZ62" s="235" t="str">
        <f t="shared" si="104"/>
        <v xml:space="preserve">  </v>
      </c>
      <c r="GA62" s="174" t="str">
        <f t="shared" si="26"/>
        <v>NG</v>
      </c>
      <c r="GB62" s="271"/>
      <c r="GC62" s="172" t="s">
        <v>71</v>
      </c>
    </row>
    <row r="63" spans="2:185" s="237" customFormat="1" ht="51.75" customHeight="1">
      <c r="B63" s="216">
        <f t="shared" si="153"/>
        <v>56</v>
      </c>
      <c r="C63" s="220"/>
      <c r="D63" s="220"/>
      <c r="E63" s="220"/>
      <c r="F63" s="240" t="s">
        <v>348</v>
      </c>
      <c r="G63" s="241"/>
      <c r="H63" s="242"/>
      <c r="I63" s="225"/>
      <c r="J63" s="225"/>
      <c r="K63" s="226"/>
      <c r="L63" s="226"/>
      <c r="M63" s="227" t="s">
        <v>349</v>
      </c>
      <c r="N63" s="228"/>
      <c r="O63" s="229"/>
      <c r="P63" s="45">
        <f t="shared" si="223"/>
        <v>39</v>
      </c>
      <c r="Q63" s="230">
        <v>5</v>
      </c>
      <c r="R63" s="41" t="str">
        <f>IF(AA63="M","NX",AA63)</f>
        <v>X</v>
      </c>
      <c r="S63" s="185" t="s">
        <v>249</v>
      </c>
      <c r="T63" s="231"/>
      <c r="U63" s="41" t="s">
        <v>80</v>
      </c>
      <c r="V63" s="229"/>
      <c r="W63" s="232">
        <v>3</v>
      </c>
      <c r="X63" s="194" t="s">
        <v>250</v>
      </c>
      <c r="Y63" s="194">
        <v>5</v>
      </c>
      <c r="Z63" s="194">
        <v>5</v>
      </c>
      <c r="AA63" s="225" t="s">
        <v>163</v>
      </c>
      <c r="AB63" s="225" t="s">
        <v>57</v>
      </c>
      <c r="AC63" s="243"/>
      <c r="AD63" s="233"/>
      <c r="AE63" s="268"/>
      <c r="AF63" s="235" t="str">
        <f t="shared" si="211"/>
        <v xml:space="preserve">     </v>
      </c>
      <c r="AG63" s="174" t="str">
        <f t="shared" si="1"/>
        <v>NG</v>
      </c>
      <c r="AH63" s="297"/>
      <c r="AI63" s="276" t="str">
        <f>IF(OR(AE$8="判定対象外",AH$8="判定対象外",AH63="-"),"-",IF(AE63=AH63,"OK","NG"))</f>
        <v>OK</v>
      </c>
      <c r="AJ63" s="233"/>
      <c r="AK63" s="268"/>
      <c r="AL63" s="235" t="str">
        <f t="shared" si="212"/>
        <v xml:space="preserve">     </v>
      </c>
      <c r="AM63" s="174" t="str">
        <f t="shared" si="195"/>
        <v>NG</v>
      </c>
      <c r="AN63" s="297"/>
      <c r="AO63" s="276" t="str">
        <f>IF(OR(AK$8="判定対象外",AN$8="判定対象外",AN63="-"),"-",IF(AK63=AN63,"OK","NG"))</f>
        <v>OK</v>
      </c>
      <c r="AP63" s="233"/>
      <c r="AQ63" s="268"/>
      <c r="AR63" s="235" t="str">
        <f t="shared" si="157"/>
        <v xml:space="preserve">     </v>
      </c>
      <c r="AS63" s="174" t="str">
        <f t="shared" si="158"/>
        <v>NG</v>
      </c>
      <c r="AT63" s="268"/>
      <c r="AU63" s="276" t="str">
        <f>IF(OR(AQ$8="判定対象外",AT$8="判定対象外",AT63="-"),"-",IF(AQ63=AT63,"OK","NG"))</f>
        <v>OK</v>
      </c>
      <c r="AV63" s="233"/>
      <c r="AW63" s="297"/>
      <c r="AX63" s="235" t="str">
        <f t="shared" si="160"/>
        <v xml:space="preserve">     </v>
      </c>
      <c r="AY63" s="174" t="str">
        <f t="shared" si="161"/>
        <v>NG</v>
      </c>
      <c r="AZ63" s="268"/>
      <c r="BA63" s="276" t="str">
        <f>IF(OR(AW$8="判定対象外",AZ$8="判定対象外",AZ63="-"),"-",IF(AW63=AZ63,"OK","NG"))</f>
        <v>OK</v>
      </c>
      <c r="BB63" s="233"/>
      <c r="BC63" s="297"/>
      <c r="BD63" s="235" t="str">
        <f t="shared" si="163"/>
        <v xml:space="preserve">     </v>
      </c>
      <c r="BE63" s="174" t="str">
        <f t="shared" si="164"/>
        <v>NG</v>
      </c>
      <c r="BF63" s="268"/>
      <c r="BG63" s="172" t="s">
        <v>71</v>
      </c>
      <c r="BH63" s="233"/>
      <c r="BI63" s="297"/>
      <c r="BJ63" s="235" t="str">
        <f t="shared" si="222"/>
        <v xml:space="preserve">     </v>
      </c>
      <c r="BK63" s="174" t="str">
        <f>IF(OR(BI$8="判定対象外",BJ$8="判定対象外",BJ63="-"),"-",IF(BI63=BJ63,"OK","NG"))</f>
        <v>NG</v>
      </c>
      <c r="BL63" s="268"/>
      <c r="BM63" s="172" t="s">
        <v>71</v>
      </c>
      <c r="BN63" s="233"/>
      <c r="BO63" s="297"/>
      <c r="BP63" s="235" t="str">
        <f>IF(BR63="-","-",BR63&amp;REPT(IF($R63="N","　",IF($R63="9","0"," ")),$Z63-LENB(BR63)))</f>
        <v xml:space="preserve">     </v>
      </c>
      <c r="BQ63" s="174" t="s">
        <v>71</v>
      </c>
      <c r="BR63" s="268"/>
      <c r="BS63" s="172" t="s">
        <v>71</v>
      </c>
      <c r="BT63" s="233"/>
      <c r="BU63" s="268"/>
      <c r="BV63" s="235" t="str">
        <f t="shared" si="93"/>
        <v xml:space="preserve">     </v>
      </c>
      <c r="BW63" s="174" t="str">
        <f t="shared" si="8"/>
        <v>NG</v>
      </c>
      <c r="BX63" s="297"/>
      <c r="BY63" s="276" t="str">
        <f>IF(OR(BU$8="判定対象外",BX$8="判定対象外",BX63="-"),"-",IF(BU63=BX63,"OK","NG"))</f>
        <v>OK</v>
      </c>
      <c r="BZ63" s="233"/>
      <c r="CA63" s="297"/>
      <c r="CB63" s="235" t="str">
        <f t="shared" si="94"/>
        <v>03902</v>
      </c>
      <c r="CC63" s="174" t="str">
        <f t="shared" si="9"/>
        <v>NG</v>
      </c>
      <c r="CD63" s="297" t="s">
        <v>432</v>
      </c>
      <c r="CE63" s="276" t="str">
        <f>IF(OR(CA$8="判定対象外",CD$8="判定対象外",CD63="-"),"-",IF(CA63=CD63,"OK","NG"))</f>
        <v>NG</v>
      </c>
      <c r="CF63" s="233"/>
      <c r="CG63" s="297"/>
      <c r="CH63" s="235" t="str">
        <f t="shared" si="95"/>
        <v>03901</v>
      </c>
      <c r="CI63" s="174" t="str">
        <f t="shared" si="10"/>
        <v>NG</v>
      </c>
      <c r="CJ63" s="297" t="s">
        <v>453</v>
      </c>
      <c r="CK63" s="276" t="str">
        <f>IF(OR(CG$8="判定対象外",CJ$8="判定対象外",CJ63="-"),"-",IF(CG63=CJ63,"OK","NG"))</f>
        <v>NG</v>
      </c>
      <c r="CL63" s="233"/>
      <c r="CM63" s="297"/>
      <c r="CN63" s="235" t="str">
        <f t="shared" si="96"/>
        <v>03903</v>
      </c>
      <c r="CO63" s="174" t="str">
        <f t="shared" si="11"/>
        <v>NG</v>
      </c>
      <c r="CP63" s="297" t="s">
        <v>449</v>
      </c>
      <c r="CQ63" s="276" t="str">
        <f>IF(OR(CM$8="判定対象外",CP$8="判定対象外",CP63="-"),"-",IF(CM63=CP63,"OK","NG"))</f>
        <v>NG</v>
      </c>
      <c r="CR63" s="233"/>
      <c r="CS63" s="297"/>
      <c r="CT63" s="235" t="str">
        <f t="shared" si="97"/>
        <v>03904</v>
      </c>
      <c r="CU63" s="174" t="str">
        <f t="shared" si="12"/>
        <v>NG</v>
      </c>
      <c r="CV63" s="297" t="s">
        <v>441</v>
      </c>
      <c r="CW63" s="276" t="str">
        <f>IF(OR(CS$8="判定対象外",CV$8="判定対象外",CV63="-"),"-",IF(CS63=CV63,"OK","NG"))</f>
        <v>NG</v>
      </c>
      <c r="CX63" s="233"/>
      <c r="CY63" s="297"/>
      <c r="CZ63" s="235" t="str">
        <f t="shared" si="98"/>
        <v>03900</v>
      </c>
      <c r="DA63" s="174" t="str">
        <f t="shared" si="13"/>
        <v>NG</v>
      </c>
      <c r="DB63" s="297" t="s">
        <v>446</v>
      </c>
      <c r="DC63" s="276" t="str">
        <f>IF(OR(CY$8="判定対象外",DB$8="判定対象外",DB63="-"),"-",IF(CY63=DB63,"OK","NG"))</f>
        <v>NG</v>
      </c>
      <c r="DD63" s="233"/>
      <c r="DE63" s="297"/>
      <c r="DF63" s="235" t="str">
        <f t="shared" si="99"/>
        <v>03960</v>
      </c>
      <c r="DG63" s="174" t="str">
        <f t="shared" si="14"/>
        <v>NG</v>
      </c>
      <c r="DH63" s="297" t="s">
        <v>447</v>
      </c>
      <c r="DI63" s="276" t="str">
        <f>IF(OR(DE$8="判定対象外",DH$8="判定対象外",DH63="-"),"-",IF(DE63=DH63,"OK","NG"))</f>
        <v>NG</v>
      </c>
      <c r="DJ63" s="233"/>
      <c r="DK63" s="297"/>
      <c r="DL63" s="273"/>
      <c r="DM63" s="174" t="str">
        <f t="shared" si="214"/>
        <v>OK</v>
      </c>
      <c r="DN63" s="268"/>
      <c r="DO63" s="172" t="s">
        <v>71</v>
      </c>
      <c r="DP63" s="233"/>
      <c r="DQ63" s="297"/>
      <c r="DR63" s="203" t="str">
        <f t="shared" si="196"/>
        <v xml:space="preserve">     </v>
      </c>
      <c r="DS63" s="174" t="str">
        <f t="shared" si="215"/>
        <v>NG</v>
      </c>
      <c r="DT63" s="268"/>
      <c r="DU63" s="172" t="s">
        <v>71</v>
      </c>
      <c r="DV63" s="233"/>
      <c r="DW63" s="297"/>
      <c r="DX63" s="203" t="str">
        <f t="shared" si="197"/>
        <v>03902</v>
      </c>
      <c r="DY63" s="174" t="str">
        <f t="shared" si="216"/>
        <v>NG</v>
      </c>
      <c r="DZ63" s="302" t="s">
        <v>525</v>
      </c>
      <c r="EA63" s="172" t="s">
        <v>71</v>
      </c>
      <c r="EB63" s="233"/>
      <c r="EC63" s="297"/>
      <c r="ED63" s="203" t="str">
        <f t="shared" si="198"/>
        <v>03901</v>
      </c>
      <c r="EE63" s="174" t="str">
        <f t="shared" si="217"/>
        <v>NG</v>
      </c>
      <c r="EF63" s="302" t="s">
        <v>524</v>
      </c>
      <c r="EG63" s="172" t="s">
        <v>71</v>
      </c>
      <c r="EH63" s="233"/>
      <c r="EI63" s="297"/>
      <c r="EJ63" s="203" t="str">
        <f t="shared" si="199"/>
        <v>03903</v>
      </c>
      <c r="EK63" s="174" t="str">
        <f t="shared" si="218"/>
        <v>NG</v>
      </c>
      <c r="EL63" s="302" t="s">
        <v>528</v>
      </c>
      <c r="EM63" s="172" t="s">
        <v>71</v>
      </c>
      <c r="EN63" s="233"/>
      <c r="EO63" s="297"/>
      <c r="EP63" s="203" t="str">
        <f t="shared" si="200"/>
        <v>03904</v>
      </c>
      <c r="EQ63" s="174" t="str">
        <f t="shared" si="219"/>
        <v>NG</v>
      </c>
      <c r="ER63" s="302" t="s">
        <v>529</v>
      </c>
      <c r="ES63" s="172" t="s">
        <v>71</v>
      </c>
      <c r="ET63" s="233"/>
      <c r="EU63" s="297"/>
      <c r="EV63" s="203" t="str">
        <f t="shared" si="201"/>
        <v>03900</v>
      </c>
      <c r="EW63" s="174" t="str">
        <f t="shared" si="220"/>
        <v>NG</v>
      </c>
      <c r="EX63" s="302" t="s">
        <v>530</v>
      </c>
      <c r="EY63" s="172" t="s">
        <v>71</v>
      </c>
      <c r="EZ63" s="233"/>
      <c r="FA63" s="297"/>
      <c r="FB63" s="203" t="str">
        <f t="shared" si="202"/>
        <v>03960</v>
      </c>
      <c r="FC63" s="174" t="str">
        <f t="shared" si="221"/>
        <v>NG</v>
      </c>
      <c r="FD63" s="302" t="s">
        <v>535</v>
      </c>
      <c r="FE63" s="172" t="s">
        <v>71</v>
      </c>
      <c r="FF63" s="233"/>
      <c r="FG63" s="297"/>
      <c r="FH63" s="235" t="str">
        <f t="shared" si="101"/>
        <v>04990</v>
      </c>
      <c r="FI63" s="174" t="str">
        <f t="shared" si="23"/>
        <v>NG</v>
      </c>
      <c r="FJ63" s="298" t="s">
        <v>473</v>
      </c>
      <c r="FK63" s="276" t="str">
        <f>IF(OR(FG$8="判定対象外",FJ$8="判定対象外",FJ63="-"),"-",IF(FG63=FJ63,"OK","NG"))</f>
        <v>NG</v>
      </c>
      <c r="FL63" s="233"/>
      <c r="FM63" s="297"/>
      <c r="FN63" s="235" t="str">
        <f t="shared" si="102"/>
        <v>04990</v>
      </c>
      <c r="FO63" s="174" t="str">
        <f t="shared" si="24"/>
        <v>NG</v>
      </c>
      <c r="FP63" s="298" t="s">
        <v>473</v>
      </c>
      <c r="FQ63" s="276" t="str">
        <f>IF(OR(FM$8="判定対象外",FP$8="判定対象外",FP63="-"),"-",IF(FM63=FP63,"OK","NG"))</f>
        <v>NG</v>
      </c>
      <c r="FR63" s="233"/>
      <c r="FS63" s="297"/>
      <c r="FT63" s="235" t="str">
        <f t="shared" si="103"/>
        <v xml:space="preserve">     </v>
      </c>
      <c r="FU63" s="174" t="str">
        <f t="shared" si="25"/>
        <v>NG</v>
      </c>
      <c r="FV63" s="273"/>
      <c r="FW63" s="276" t="str">
        <f>IF(OR(FS$8="判定対象外",FV$8="判定対象外",FV63="-"),"-",IF(FS63=FV63,"OK","NG"))</f>
        <v>OK</v>
      </c>
      <c r="FX63" s="233"/>
      <c r="FY63" s="297"/>
      <c r="FZ63" s="235" t="str">
        <f t="shared" si="104"/>
        <v xml:space="preserve">     </v>
      </c>
      <c r="GA63" s="174" t="str">
        <f t="shared" si="26"/>
        <v>NG</v>
      </c>
      <c r="GB63" s="273"/>
      <c r="GC63" s="276" t="str">
        <f>IF(OR(FY$8="判定対象外",GB$8="判定対象外",GB63="-"),"-",IF(FY63=GB63,"OK","NG"))</f>
        <v>OK</v>
      </c>
    </row>
    <row r="64" spans="2:185" s="237" customFormat="1" ht="51.75" customHeight="1">
      <c r="B64" s="216">
        <f t="shared" si="153"/>
        <v>57</v>
      </c>
      <c r="C64" s="220"/>
      <c r="D64" s="220"/>
      <c r="E64" s="220"/>
      <c r="F64" s="240" t="s">
        <v>350</v>
      </c>
      <c r="G64" s="241"/>
      <c r="H64" s="242"/>
      <c r="I64" s="225"/>
      <c r="J64" s="225"/>
      <c r="K64" s="226"/>
      <c r="L64" s="226"/>
      <c r="M64" s="227" t="s">
        <v>351</v>
      </c>
      <c r="N64" s="228"/>
      <c r="O64" s="229"/>
      <c r="P64" s="45">
        <f t="shared" si="223"/>
        <v>40</v>
      </c>
      <c r="Q64" s="230">
        <v>64</v>
      </c>
      <c r="R64" s="41" t="str">
        <f>IF(AA64="M","NX",AA64)</f>
        <v>NX</v>
      </c>
      <c r="S64" s="185" t="s">
        <v>251</v>
      </c>
      <c r="T64" s="231"/>
      <c r="U64" s="41" t="s">
        <v>80</v>
      </c>
      <c r="V64" s="229" t="s">
        <v>252</v>
      </c>
      <c r="W64" s="232">
        <v>3</v>
      </c>
      <c r="X64" s="194" t="s">
        <v>253</v>
      </c>
      <c r="Y64" s="194">
        <v>1</v>
      </c>
      <c r="Z64" s="194">
        <v>64</v>
      </c>
      <c r="AA64" s="225" t="s">
        <v>101</v>
      </c>
      <c r="AB64" s="225" t="s">
        <v>57</v>
      </c>
      <c r="AC64" s="243" t="s">
        <v>252</v>
      </c>
      <c r="AD64" s="233"/>
      <c r="AE64" s="268"/>
      <c r="AF64" s="235" t="str">
        <f t="shared" si="211"/>
        <v xml:space="preserve">                                                                </v>
      </c>
      <c r="AG64" s="174" t="str">
        <f t="shared" si="1"/>
        <v>NG</v>
      </c>
      <c r="AH64" s="297"/>
      <c r="AI64" s="276" t="str">
        <f>IF(OR(AE$8="判定対象外",AH$8="判定対象外",AH64="-"),"-",IF(AE64=AH64,"OK","NG"))</f>
        <v>OK</v>
      </c>
      <c r="AJ64" s="233"/>
      <c r="AK64" s="268"/>
      <c r="AL64" s="235" t="str">
        <f t="shared" si="212"/>
        <v xml:space="preserve">                                                                </v>
      </c>
      <c r="AM64" s="174" t="str">
        <f t="shared" si="195"/>
        <v>NG</v>
      </c>
      <c r="AN64" s="297"/>
      <c r="AO64" s="276" t="str">
        <f>IF(OR(AK$8="判定対象外",AN$8="判定対象外",AN64="-"),"-",IF(AK64=AN64,"OK","NG"))</f>
        <v>OK</v>
      </c>
      <c r="AP64" s="233"/>
      <c r="AQ64" s="268"/>
      <c r="AR64" s="235" t="str">
        <f t="shared" si="157"/>
        <v xml:space="preserve">                                                                </v>
      </c>
      <c r="AS64" s="174" t="str">
        <f t="shared" si="158"/>
        <v>NG</v>
      </c>
      <c r="AT64" s="268"/>
      <c r="AU64" s="276" t="str">
        <f>IF(OR(AQ$8="判定対象外",AT$8="判定対象外",AT64="-"),"-",IF(AQ64=AT64,"OK","NG"))</f>
        <v>OK</v>
      </c>
      <c r="AV64" s="233"/>
      <c r="AW64" s="297"/>
      <c r="AX64" s="235" t="str">
        <f t="shared" si="160"/>
        <v xml:space="preserve">                                                                </v>
      </c>
      <c r="AY64" s="174" t="str">
        <f t="shared" si="161"/>
        <v>NG</v>
      </c>
      <c r="AZ64" s="268"/>
      <c r="BA64" s="276" t="str">
        <f>IF(OR(AW$8="判定対象外",AZ$8="判定対象外",AZ64="-"),"-",IF(AW64=AZ64,"OK","NG"))</f>
        <v>OK</v>
      </c>
      <c r="BB64" s="233"/>
      <c r="BC64" s="297"/>
      <c r="BD64" s="235" t="str">
        <f t="shared" si="163"/>
        <v xml:space="preserve">                                                                </v>
      </c>
      <c r="BE64" s="174" t="str">
        <f t="shared" si="164"/>
        <v>NG</v>
      </c>
      <c r="BF64" s="268"/>
      <c r="BG64" s="172" t="s">
        <v>71</v>
      </c>
      <c r="BH64" s="233"/>
      <c r="BI64" s="297"/>
      <c r="BJ64" s="235" t="str">
        <f t="shared" si="222"/>
        <v xml:space="preserve">                                                                </v>
      </c>
      <c r="BK64" s="174" t="str">
        <f>IF(OR(BI$8="判定対象外",BJ$8="判定対象外",BJ64="-"),"-",IF(BI64=BJ64,"OK","NG"))</f>
        <v>NG</v>
      </c>
      <c r="BL64" s="268"/>
      <c r="BM64" s="172" t="s">
        <v>71</v>
      </c>
      <c r="BN64" s="233"/>
      <c r="BO64" s="297"/>
      <c r="BP64" s="235" t="str">
        <f>IF(BR64="-","-",BR64&amp;REPT(IF($R64="N","　",IF($R64="9","0"," ")),$Z64-LENB(BR64)))</f>
        <v xml:space="preserve">                                                                </v>
      </c>
      <c r="BQ64" s="174" t="s">
        <v>71</v>
      </c>
      <c r="BR64" s="268"/>
      <c r="BS64" s="172" t="s">
        <v>71</v>
      </c>
      <c r="BT64" s="233"/>
      <c r="BU64" s="268"/>
      <c r="BV64" s="235" t="str">
        <f t="shared" si="93"/>
        <v xml:space="preserve">                                                                </v>
      </c>
      <c r="BW64" s="174" t="str">
        <f t="shared" si="8"/>
        <v>NG</v>
      </c>
      <c r="BX64" s="297"/>
      <c r="BY64" s="276" t="str">
        <f>IF(OR(BU$8="判定対象外",BX$8="判定対象外",BX64="-"),"-",IF(BU64=BX64,"OK","NG"))</f>
        <v>OK</v>
      </c>
      <c r="BZ64" s="233"/>
      <c r="CA64" s="297"/>
      <c r="CB64" s="235" t="str">
        <f t="shared" si="94"/>
        <v xml:space="preserve">株式会社ケイ・オプティコム                                      </v>
      </c>
      <c r="CC64" s="174" t="str">
        <f t="shared" si="9"/>
        <v>NG</v>
      </c>
      <c r="CD64" s="297" t="s">
        <v>433</v>
      </c>
      <c r="CE64" s="276" t="str">
        <f>IF(OR(CA$8="判定対象外",CD$8="判定対象外",CD64="-"),"-",IF(CA64=CD64,"OK","NG"))</f>
        <v>NG</v>
      </c>
      <c r="CF64" s="233"/>
      <c r="CG64" s="297"/>
      <c r="CH64" s="235" t="str">
        <f t="shared" si="95"/>
        <v xml:space="preserve">中部テレコミュニケーション株式会社                              </v>
      </c>
      <c r="CI64" s="174" t="str">
        <f t="shared" si="10"/>
        <v>NG</v>
      </c>
      <c r="CJ64" s="297" t="s">
        <v>452</v>
      </c>
      <c r="CK64" s="276" t="str">
        <f>IF(OR(CG$8="判定対象外",CJ$8="判定対象外",CJ64="-"),"-",IF(CG64=CJ64,"OK","NG"))</f>
        <v>NG</v>
      </c>
      <c r="CL64" s="233"/>
      <c r="CM64" s="297"/>
      <c r="CN64" s="235" t="str">
        <f t="shared" si="96"/>
        <v xml:space="preserve">株式会社ＳＴＮｅｔ                                              </v>
      </c>
      <c r="CO64" s="174" t="str">
        <f t="shared" si="11"/>
        <v>NG</v>
      </c>
      <c r="CP64" s="299" t="s">
        <v>454</v>
      </c>
      <c r="CQ64" s="276" t="str">
        <f>IF(OR(CM$8="判定対象外",CP$8="判定対象外",CP64="-"),"-",IF(CM64=CP64,"OK","NG"))</f>
        <v>NG</v>
      </c>
      <c r="CR64" s="233"/>
      <c r="CS64" s="297"/>
      <c r="CT64" s="235" t="str">
        <f t="shared" si="97"/>
        <v xml:space="preserve">株式会社エネルギア・コミュニケーションズ                        </v>
      </c>
      <c r="CU64" s="174" t="str">
        <f t="shared" si="12"/>
        <v>NG</v>
      </c>
      <c r="CV64" s="297" t="s">
        <v>440</v>
      </c>
      <c r="CW64" s="276" t="str">
        <f>IF(OR(CS$8="判定対象外",CV$8="判定対象外",CV64="-"),"-",IF(CS64=CV64,"OK","NG"))</f>
        <v>NG</v>
      </c>
      <c r="CX64" s="233"/>
      <c r="CY64" s="297"/>
      <c r="CZ64" s="235" t="str">
        <f t="shared" si="98"/>
        <v xml:space="preserve">ＱＴＮｅｔ（ＢＢＩＱ）                                          </v>
      </c>
      <c r="DA64" s="174" t="str">
        <f t="shared" si="13"/>
        <v>NG</v>
      </c>
      <c r="DB64" s="297" t="s">
        <v>445</v>
      </c>
      <c r="DC64" s="276" t="str">
        <f>IF(OR(CY$8="判定対象外",DB$8="判定対象外",DB64="-"),"-",IF(CY64=DB64,"OK","NG"))</f>
        <v>NG</v>
      </c>
      <c r="DD64" s="233"/>
      <c r="DE64" s="297"/>
      <c r="DF64" s="235" t="str">
        <f t="shared" si="99"/>
        <v xml:space="preserve">日本ネットワークイネイブラー株式会社                            </v>
      </c>
      <c r="DG64" s="174" t="str">
        <f t="shared" si="14"/>
        <v>NG</v>
      </c>
      <c r="DH64" s="297" t="s">
        <v>448</v>
      </c>
      <c r="DI64" s="276" t="str">
        <f>IF(OR(DE$8="判定対象外",DH$8="判定対象外",DH64="-"),"-",IF(DE64=DH64,"OK","NG"))</f>
        <v>NG</v>
      </c>
      <c r="DJ64" s="233"/>
      <c r="DK64" s="297"/>
      <c r="DL64" s="273"/>
      <c r="DM64" s="174" t="str">
        <f t="shared" si="214"/>
        <v>OK</v>
      </c>
      <c r="DN64" s="268"/>
      <c r="DO64" s="172" t="s">
        <v>71</v>
      </c>
      <c r="DP64" s="233"/>
      <c r="DQ64" s="297"/>
      <c r="DR64" s="203" t="str">
        <f t="shared" si="196"/>
        <v xml:space="preserve">                                                                </v>
      </c>
      <c r="DS64" s="174" t="str">
        <f t="shared" si="215"/>
        <v>NG</v>
      </c>
      <c r="DT64" s="268"/>
      <c r="DU64" s="172" t="s">
        <v>71</v>
      </c>
      <c r="DV64" s="233"/>
      <c r="DW64" s="297"/>
      <c r="DX64" s="203" t="str">
        <f t="shared" si="197"/>
        <v xml:space="preserve">株式会社ケイ・オプティコム                                      </v>
      </c>
      <c r="DY64" s="174" t="str">
        <f t="shared" si="216"/>
        <v>NG</v>
      </c>
      <c r="DZ64" s="268" t="s">
        <v>433</v>
      </c>
      <c r="EA64" s="172" t="s">
        <v>71</v>
      </c>
      <c r="EB64" s="233"/>
      <c r="EC64" s="297"/>
      <c r="ED64" s="203" t="str">
        <f t="shared" si="198"/>
        <v xml:space="preserve">中部テレコミュニケーション株式会社                              </v>
      </c>
      <c r="EE64" s="174" t="str">
        <f t="shared" si="217"/>
        <v>NG</v>
      </c>
      <c r="EF64" s="268" t="s">
        <v>452</v>
      </c>
      <c r="EG64" s="172" t="s">
        <v>71</v>
      </c>
      <c r="EH64" s="233"/>
      <c r="EI64" s="297"/>
      <c r="EJ64" s="203" t="str">
        <f t="shared" si="199"/>
        <v xml:space="preserve">株式会社ＳＴＮｅｔ                                              </v>
      </c>
      <c r="EK64" s="174" t="str">
        <f t="shared" si="218"/>
        <v>NG</v>
      </c>
      <c r="EL64" s="268" t="s">
        <v>450</v>
      </c>
      <c r="EM64" s="172" t="s">
        <v>71</v>
      </c>
      <c r="EN64" s="233"/>
      <c r="EO64" s="297"/>
      <c r="EP64" s="203" t="str">
        <f t="shared" si="200"/>
        <v xml:space="preserve">株式会社エネルギア・コミュニケーションズ                        </v>
      </c>
      <c r="EQ64" s="174" t="str">
        <f t="shared" si="219"/>
        <v>NG</v>
      </c>
      <c r="ER64" s="268" t="s">
        <v>440</v>
      </c>
      <c r="ES64" s="172" t="s">
        <v>71</v>
      </c>
      <c r="ET64" s="233"/>
      <c r="EU64" s="297"/>
      <c r="EV64" s="203" t="str">
        <f t="shared" si="201"/>
        <v xml:space="preserve">ＱＴＮｅｔ（ＢＢＩＱ）                                          </v>
      </c>
      <c r="EW64" s="174" t="str">
        <f t="shared" si="220"/>
        <v>NG</v>
      </c>
      <c r="EX64" s="268" t="s">
        <v>445</v>
      </c>
      <c r="EY64" s="172" t="s">
        <v>71</v>
      </c>
      <c r="EZ64" s="233"/>
      <c r="FA64" s="297"/>
      <c r="FB64" s="203" t="str">
        <f t="shared" si="202"/>
        <v xml:space="preserve">日本ネットワークイネイブラー株式会社                            </v>
      </c>
      <c r="FC64" s="174" t="str">
        <f t="shared" si="221"/>
        <v>NG</v>
      </c>
      <c r="FD64" s="268" t="s">
        <v>448</v>
      </c>
      <c r="FE64" s="172" t="s">
        <v>71</v>
      </c>
      <c r="FF64" s="233"/>
      <c r="FG64" s="297"/>
      <c r="FH64" s="235" t="str">
        <f t="shared" si="101"/>
        <v xml:space="preserve">Ｗｉｍａｘ                                                      </v>
      </c>
      <c r="FI64" s="174" t="str">
        <f t="shared" si="23"/>
        <v>NG</v>
      </c>
      <c r="FJ64" s="273" t="s">
        <v>472</v>
      </c>
      <c r="FK64" s="276" t="str">
        <f>IF(OR(FG$8="判定対象外",FJ$8="判定対象外",FJ64="-"),"-",IF(FG64=FJ64,"OK","NG"))</f>
        <v>NG</v>
      </c>
      <c r="FL64" s="233"/>
      <c r="FM64" s="297"/>
      <c r="FN64" s="235" t="str">
        <f t="shared" si="102"/>
        <v xml:space="preserve">Ｗｉｍａｘ                                                      </v>
      </c>
      <c r="FO64" s="174" t="str">
        <f t="shared" si="24"/>
        <v>NG</v>
      </c>
      <c r="FP64" s="273" t="s">
        <v>472</v>
      </c>
      <c r="FQ64" s="276" t="str">
        <f>IF(OR(FM$8="判定対象外",FP$8="判定対象外",FP64="-"),"-",IF(FM64=FP64,"OK","NG"))</f>
        <v>NG</v>
      </c>
      <c r="FR64" s="233"/>
      <c r="FS64" s="297"/>
      <c r="FT64" s="235" t="str">
        <f t="shared" si="103"/>
        <v xml:space="preserve">                                                                </v>
      </c>
      <c r="FU64" s="174" t="str">
        <f t="shared" si="25"/>
        <v>NG</v>
      </c>
      <c r="FV64" s="273"/>
      <c r="FW64" s="276" t="str">
        <f>IF(OR(FS$8="判定対象外",FV$8="判定対象外",FV64="-"),"-",IF(FS64=FV64,"OK","NG"))</f>
        <v>OK</v>
      </c>
      <c r="FX64" s="233"/>
      <c r="FY64" s="297"/>
      <c r="FZ64" s="235" t="str">
        <f t="shared" si="104"/>
        <v xml:space="preserve">                                                                </v>
      </c>
      <c r="GA64" s="174" t="str">
        <f t="shared" si="26"/>
        <v>NG</v>
      </c>
      <c r="GB64" s="273"/>
      <c r="GC64" s="276" t="str">
        <f>IF(OR(FY$8="判定対象外",GB$8="判定対象外",GB64="-"),"-",IF(FY64=GB64,"OK","NG"))</f>
        <v>OK</v>
      </c>
    </row>
    <row r="65" spans="1:185" s="237" customFormat="1" ht="92.25" customHeight="1">
      <c r="B65" s="216">
        <f t="shared" si="153"/>
        <v>58</v>
      </c>
      <c r="C65" s="220"/>
      <c r="D65" s="220"/>
      <c r="E65" s="220"/>
      <c r="F65" s="238" t="s">
        <v>352</v>
      </c>
      <c r="G65" s="168"/>
      <c r="H65" s="239"/>
      <c r="I65" s="225"/>
      <c r="J65" s="225"/>
      <c r="K65" s="226"/>
      <c r="L65" s="226"/>
      <c r="M65" s="279" t="s">
        <v>353</v>
      </c>
      <c r="N65" s="228"/>
      <c r="O65" s="229"/>
      <c r="P65" s="45">
        <f t="shared" si="223"/>
        <v>41</v>
      </c>
      <c r="Q65" s="230">
        <v>7</v>
      </c>
      <c r="R65" s="41" t="s">
        <v>81</v>
      </c>
      <c r="S65" s="185" t="s">
        <v>254</v>
      </c>
      <c r="T65" s="231"/>
      <c r="U65" s="41" t="s">
        <v>80</v>
      </c>
      <c r="V65" s="229"/>
      <c r="W65" s="232">
        <v>3</v>
      </c>
      <c r="X65" s="194" t="s">
        <v>255</v>
      </c>
      <c r="Y65" s="194">
        <v>7</v>
      </c>
      <c r="Z65" s="194">
        <v>7</v>
      </c>
      <c r="AA65" s="225" t="s">
        <v>81</v>
      </c>
      <c r="AB65" s="225" t="s">
        <v>57</v>
      </c>
      <c r="AC65" s="243"/>
      <c r="AD65" s="233"/>
      <c r="AE65" s="268"/>
      <c r="AF65" s="235" t="str">
        <f t="shared" si="211"/>
        <v xml:space="preserve">       </v>
      </c>
      <c r="AG65" s="174" t="str">
        <f t="shared" si="1"/>
        <v>NG</v>
      </c>
      <c r="AH65" s="297"/>
      <c r="AI65" s="276" t="str">
        <f>IF(OR(AE$8="判定対象外",AH$8="判定対象外",AH65="-"),"-",IF(AE65=AH65,"OK","NG"))</f>
        <v>OK</v>
      </c>
      <c r="AJ65" s="233"/>
      <c r="AK65" s="268"/>
      <c r="AL65" s="235" t="str">
        <f t="shared" si="212"/>
        <v xml:space="preserve">       </v>
      </c>
      <c r="AM65" s="174" t="str">
        <f t="shared" si="195"/>
        <v>NG</v>
      </c>
      <c r="AN65" s="297"/>
      <c r="AO65" s="276" t="str">
        <f>IF(OR(AK$8="判定対象外",AN$8="判定対象外",AN65="-"),"-",IF(AK65=AN65,"OK","NG"))</f>
        <v>OK</v>
      </c>
      <c r="AP65" s="233"/>
      <c r="AQ65" s="268"/>
      <c r="AR65" s="235" t="str">
        <f t="shared" si="157"/>
        <v xml:space="preserve">       </v>
      </c>
      <c r="AS65" s="174" t="str">
        <f t="shared" si="158"/>
        <v>NG</v>
      </c>
      <c r="AT65" s="268"/>
      <c r="AU65" s="276" t="str">
        <f>IF(OR(AQ$8="判定対象外",AT$8="判定対象外",AT65="-"),"-",IF(AQ65=AT65,"OK","NG"))</f>
        <v>OK</v>
      </c>
      <c r="AV65" s="233"/>
      <c r="AW65" s="297"/>
      <c r="AX65" s="235" t="str">
        <f t="shared" si="160"/>
        <v>1234567</v>
      </c>
      <c r="AY65" s="174" t="str">
        <f t="shared" si="161"/>
        <v>NG</v>
      </c>
      <c r="AZ65" s="297" t="s">
        <v>478</v>
      </c>
      <c r="BA65" s="276" t="str">
        <f>IF(OR(AW$8="判定対象外",AZ$8="判定対象外",AZ65="-"),"-",IF(AW65=AZ65,"OK","NG"))</f>
        <v>NG</v>
      </c>
      <c r="BB65" s="233"/>
      <c r="BC65" s="297"/>
      <c r="BD65" s="235" t="str">
        <f t="shared" si="163"/>
        <v xml:space="preserve">       </v>
      </c>
      <c r="BE65" s="174" t="str">
        <f t="shared" si="164"/>
        <v>NG</v>
      </c>
      <c r="BF65" s="297"/>
      <c r="BG65" s="172" t="s">
        <v>71</v>
      </c>
      <c r="BH65" s="233"/>
      <c r="BI65" s="297"/>
      <c r="BJ65" s="235">
        <v>1234567</v>
      </c>
      <c r="BK65" s="174" t="str">
        <f>IF(OR(BI$8="判定対象外",BJ$8="判定対象外",BJ65="-"),"-",IF(BI65=BJ65,"OK","NG"))</f>
        <v>NG</v>
      </c>
      <c r="BL65" s="297"/>
      <c r="BM65" s="172" t="s">
        <v>71</v>
      </c>
      <c r="BN65" s="233"/>
      <c r="BO65" s="297"/>
      <c r="BP65" s="235" t="str">
        <f>IF(BR65="-","-",BR65&amp;REPT(IF($R65="N","　",IF($R65="9","0"," ")),$Z65-LENB(BR65)))</f>
        <v xml:space="preserve">       </v>
      </c>
      <c r="BQ65" s="174" t="s">
        <v>71</v>
      </c>
      <c r="BR65" s="268"/>
      <c r="BS65" s="172" t="s">
        <v>71</v>
      </c>
      <c r="BT65" s="233"/>
      <c r="BU65" s="268"/>
      <c r="BV65" s="235" t="str">
        <f t="shared" si="93"/>
        <v xml:space="preserve">       </v>
      </c>
      <c r="BW65" s="174" t="str">
        <f t="shared" si="8"/>
        <v>NG</v>
      </c>
      <c r="BX65" s="268"/>
      <c r="BY65" s="276" t="str">
        <f>IF(OR(BU$8="判定対象外",BX$8="判定対象外",BX65="-"),"-",IF(BU65=BX65,"OK","NG"))</f>
        <v>OK</v>
      </c>
      <c r="BZ65" s="233"/>
      <c r="CA65" s="268"/>
      <c r="CB65" s="235" t="str">
        <f t="shared" si="94"/>
        <v xml:space="preserve">       </v>
      </c>
      <c r="CC65" s="174" t="str">
        <f t="shared" si="9"/>
        <v>NG</v>
      </c>
      <c r="CD65" s="268"/>
      <c r="CE65" s="276" t="str">
        <f>IF(OR(CA$8="判定対象外",CD$8="判定対象外",CD65="-"),"-",IF(CA65=CD65,"OK","NG"))</f>
        <v>OK</v>
      </c>
      <c r="CF65" s="233"/>
      <c r="CG65" s="268"/>
      <c r="CH65" s="235" t="str">
        <f t="shared" si="95"/>
        <v xml:space="preserve">       </v>
      </c>
      <c r="CI65" s="174" t="str">
        <f t="shared" si="10"/>
        <v>NG</v>
      </c>
      <c r="CJ65" s="268"/>
      <c r="CK65" s="276" t="str">
        <f>IF(OR(CG$8="判定対象外",CJ$8="判定対象外",CJ65="-"),"-",IF(CG65=CJ65,"OK","NG"))</f>
        <v>OK</v>
      </c>
      <c r="CL65" s="233"/>
      <c r="CM65" s="268"/>
      <c r="CN65" s="235" t="str">
        <f t="shared" si="96"/>
        <v xml:space="preserve">       </v>
      </c>
      <c r="CO65" s="174" t="str">
        <f t="shared" si="11"/>
        <v>NG</v>
      </c>
      <c r="CP65" s="268"/>
      <c r="CQ65" s="276" t="str">
        <f>IF(OR(CM$8="判定対象外",CP$8="判定対象外",CP65="-"),"-",IF(CM65=CP65,"OK","NG"))</f>
        <v>OK</v>
      </c>
      <c r="CR65" s="233"/>
      <c r="CS65" s="268"/>
      <c r="CT65" s="235" t="str">
        <f t="shared" si="97"/>
        <v xml:space="preserve">       </v>
      </c>
      <c r="CU65" s="174" t="str">
        <f t="shared" si="12"/>
        <v>NG</v>
      </c>
      <c r="CV65" s="268"/>
      <c r="CW65" s="276" t="str">
        <f>IF(OR(CS$8="判定対象外",CV$8="判定対象外",CV65="-"),"-",IF(CS65=CV65,"OK","NG"))</f>
        <v>OK</v>
      </c>
      <c r="CX65" s="233"/>
      <c r="CY65" s="268"/>
      <c r="CZ65" s="235" t="str">
        <f t="shared" si="98"/>
        <v xml:space="preserve">       </v>
      </c>
      <c r="DA65" s="174" t="str">
        <f t="shared" si="13"/>
        <v>NG</v>
      </c>
      <c r="DB65" s="268"/>
      <c r="DC65" s="276" t="str">
        <f>IF(OR(CY$8="判定対象外",DB$8="判定対象外",DB65="-"),"-",IF(CY65=DB65,"OK","NG"))</f>
        <v>OK</v>
      </c>
      <c r="DD65" s="233"/>
      <c r="DE65" s="268"/>
      <c r="DF65" s="235" t="str">
        <f t="shared" si="99"/>
        <v xml:space="preserve">       </v>
      </c>
      <c r="DG65" s="174" t="str">
        <f t="shared" si="14"/>
        <v>NG</v>
      </c>
      <c r="DH65" s="268"/>
      <c r="DI65" s="276" t="str">
        <f>IF(OR(DE$8="判定対象外",DH$8="判定対象外",DH65="-"),"-",IF(DE65=DH65,"OK","NG"))</f>
        <v>OK</v>
      </c>
      <c r="DJ65" s="233"/>
      <c r="DK65" s="297"/>
      <c r="DL65" s="271"/>
      <c r="DM65" s="174" t="str">
        <f t="shared" si="214"/>
        <v>OK</v>
      </c>
      <c r="DN65" s="268"/>
      <c r="DO65" s="172" t="s">
        <v>71</v>
      </c>
      <c r="DP65" s="233"/>
      <c r="DQ65" s="297"/>
      <c r="DR65" s="203" t="str">
        <f t="shared" si="196"/>
        <v xml:space="preserve">       </v>
      </c>
      <c r="DS65" s="174" t="str">
        <f t="shared" si="215"/>
        <v>NG</v>
      </c>
      <c r="DT65" s="268"/>
      <c r="DU65" s="172" t="s">
        <v>71</v>
      </c>
      <c r="DV65" s="233"/>
      <c r="DW65" s="297"/>
      <c r="DX65" s="203" t="str">
        <f t="shared" si="197"/>
        <v xml:space="preserve">       </v>
      </c>
      <c r="DY65" s="174" t="str">
        <f t="shared" si="216"/>
        <v>NG</v>
      </c>
      <c r="DZ65" s="268"/>
      <c r="EA65" s="172" t="s">
        <v>71</v>
      </c>
      <c r="EB65" s="233"/>
      <c r="EC65" s="297"/>
      <c r="ED65" s="203" t="str">
        <f t="shared" si="198"/>
        <v xml:space="preserve">       </v>
      </c>
      <c r="EE65" s="174" t="str">
        <f t="shared" si="217"/>
        <v>NG</v>
      </c>
      <c r="EF65" s="268"/>
      <c r="EG65" s="172" t="s">
        <v>71</v>
      </c>
      <c r="EH65" s="233"/>
      <c r="EI65" s="297"/>
      <c r="EJ65" s="203" t="str">
        <f t="shared" si="199"/>
        <v xml:space="preserve">       </v>
      </c>
      <c r="EK65" s="174" t="str">
        <f t="shared" si="218"/>
        <v>NG</v>
      </c>
      <c r="EL65" s="268"/>
      <c r="EM65" s="172" t="s">
        <v>71</v>
      </c>
      <c r="EN65" s="233"/>
      <c r="EO65" s="297"/>
      <c r="EP65" s="203" t="str">
        <f t="shared" si="200"/>
        <v xml:space="preserve">       </v>
      </c>
      <c r="EQ65" s="174" t="str">
        <f t="shared" si="219"/>
        <v>NG</v>
      </c>
      <c r="ER65" s="268"/>
      <c r="ES65" s="172" t="s">
        <v>71</v>
      </c>
      <c r="ET65" s="233"/>
      <c r="EU65" s="297"/>
      <c r="EV65" s="203" t="str">
        <f t="shared" si="201"/>
        <v xml:space="preserve">       </v>
      </c>
      <c r="EW65" s="174" t="str">
        <f t="shared" si="220"/>
        <v>NG</v>
      </c>
      <c r="EX65" s="268"/>
      <c r="EY65" s="172" t="s">
        <v>71</v>
      </c>
      <c r="EZ65" s="233"/>
      <c r="FA65" s="297"/>
      <c r="FB65" s="203" t="str">
        <f t="shared" si="202"/>
        <v xml:space="preserve">       </v>
      </c>
      <c r="FC65" s="174" t="str">
        <f t="shared" si="221"/>
        <v>NG</v>
      </c>
      <c r="FD65" s="268"/>
      <c r="FE65" s="172" t="s">
        <v>71</v>
      </c>
      <c r="FF65" s="233"/>
      <c r="FG65" s="268"/>
      <c r="FH65" s="235" t="str">
        <f t="shared" si="101"/>
        <v xml:space="preserve">       </v>
      </c>
      <c r="FI65" s="174" t="str">
        <f t="shared" si="23"/>
        <v>NG</v>
      </c>
      <c r="FJ65" s="271"/>
      <c r="FK65" s="276" t="str">
        <f>IF(OR(FG$8="判定対象外",FJ$8="判定対象外",FJ65="-"),"-",IF(FG65=FJ65,"OK","NG"))</f>
        <v>OK</v>
      </c>
      <c r="FL65" s="233"/>
      <c r="FM65" s="268"/>
      <c r="FN65" s="235" t="str">
        <f t="shared" si="102"/>
        <v xml:space="preserve">       </v>
      </c>
      <c r="FO65" s="174" t="str">
        <f t="shared" si="24"/>
        <v>NG</v>
      </c>
      <c r="FP65" s="271"/>
      <c r="FQ65" s="276" t="str">
        <f>IF(OR(FM$8="判定対象外",FP$8="判定対象外",FP65="-"),"-",IF(FM65=FP65,"OK","NG"))</f>
        <v>OK</v>
      </c>
      <c r="FR65" s="233"/>
      <c r="FS65" s="268"/>
      <c r="FT65" s="235" t="str">
        <f t="shared" si="103"/>
        <v xml:space="preserve">       </v>
      </c>
      <c r="FU65" s="174" t="str">
        <f t="shared" si="25"/>
        <v>NG</v>
      </c>
      <c r="FV65" s="271"/>
      <c r="FW65" s="276" t="str">
        <f>IF(OR(FS$8="判定対象外",FV$8="判定対象外",FV65="-"),"-",IF(FS65=FV65,"OK","NG"))</f>
        <v>OK</v>
      </c>
      <c r="FX65" s="233"/>
      <c r="FY65" s="268"/>
      <c r="FZ65" s="235" t="str">
        <f t="shared" si="104"/>
        <v xml:space="preserve">       </v>
      </c>
      <c r="GA65" s="174" t="str">
        <f t="shared" si="26"/>
        <v>NG</v>
      </c>
      <c r="GB65" s="271"/>
      <c r="GC65" s="276" t="str">
        <f>IF(OR(FY$8="判定対象外",GB$8="判定対象外",GB65="-"),"-",IF(FY65=GB65,"OK","NG"))</f>
        <v>OK</v>
      </c>
    </row>
    <row r="66" spans="1:185" s="237" customFormat="1" ht="127.9" thickBot="1">
      <c r="A66" s="244"/>
      <c r="B66" s="286">
        <f t="shared" si="153"/>
        <v>59</v>
      </c>
      <c r="C66" s="245"/>
      <c r="D66" s="245"/>
      <c r="E66" s="245"/>
      <c r="F66" s="287" t="s">
        <v>354</v>
      </c>
      <c r="G66" s="288"/>
      <c r="H66" s="289"/>
      <c r="I66" s="290"/>
      <c r="J66" s="290"/>
      <c r="K66" s="290"/>
      <c r="L66" s="290"/>
      <c r="M66" s="291" t="s">
        <v>355</v>
      </c>
      <c r="N66" s="280"/>
      <c r="O66" s="258"/>
      <c r="P66" s="71">
        <f t="shared" si="223"/>
        <v>42</v>
      </c>
      <c r="Q66" s="74">
        <v>1</v>
      </c>
      <c r="R66" s="73">
        <v>9</v>
      </c>
      <c r="S66" s="74" t="s">
        <v>256</v>
      </c>
      <c r="T66" s="74"/>
      <c r="U66" s="73" t="s">
        <v>257</v>
      </c>
      <c r="V66" s="246"/>
      <c r="W66" s="76" t="str">
        <f>IF(C66&lt;&gt;"","0",IF(D66&lt;&gt;"","1",IF(E66&lt;&gt;"","2",IF(F66&lt;&gt;"","3",IF(G66&lt;&gt;"","4",IF(H66&lt;&gt;"","5"))))))</f>
        <v>3</v>
      </c>
      <c r="X66" s="77" t="s">
        <v>259</v>
      </c>
      <c r="Y66" s="77">
        <v>1</v>
      </c>
      <c r="Z66" s="77">
        <v>1</v>
      </c>
      <c r="AA66" s="247">
        <v>9</v>
      </c>
      <c r="AB66" s="68" t="s">
        <v>257</v>
      </c>
      <c r="AC66" s="248"/>
      <c r="AD66" s="249"/>
      <c r="AE66" s="300"/>
      <c r="AF66" s="253" t="str">
        <f t="shared" si="211"/>
        <v>5</v>
      </c>
      <c r="AG66" s="177" t="str">
        <f t="shared" si="1"/>
        <v>NG</v>
      </c>
      <c r="AH66" s="300" t="s">
        <v>408</v>
      </c>
      <c r="AI66" s="270" t="str">
        <f>IF(OR(AE$8="判定対象外",AH$8="判定対象外",AH66="-"),"-",IF(AE66=AH66,"OK","NG"))</f>
        <v>NG</v>
      </c>
      <c r="AJ66" s="249"/>
      <c r="AK66" s="300"/>
      <c r="AL66" s="253" t="str">
        <f t="shared" si="212"/>
        <v>5</v>
      </c>
      <c r="AM66" s="177" t="str">
        <f t="shared" si="195"/>
        <v>NG</v>
      </c>
      <c r="AN66" s="300" t="s">
        <v>408</v>
      </c>
      <c r="AO66" s="270" t="str">
        <f>IF(OR(AK$8="判定対象外",AN$8="判定対象外",AN66="-"),"-",IF(AK66=AN66,"OK","NG"))</f>
        <v>NG</v>
      </c>
      <c r="AP66" s="249"/>
      <c r="AQ66" s="300"/>
      <c r="AR66" s="253" t="str">
        <f t="shared" si="157"/>
        <v>5</v>
      </c>
      <c r="AS66" s="177" t="str">
        <f t="shared" si="158"/>
        <v>NG</v>
      </c>
      <c r="AT66" s="300" t="s">
        <v>477</v>
      </c>
      <c r="AU66" s="270" t="str">
        <f>IF(OR(AQ$8="判定対象外",AT$8="判定対象外",AT66="-"),"-",IF(AQ66=AT66,"OK","NG"))</f>
        <v>NG</v>
      </c>
      <c r="AV66" s="249"/>
      <c r="AW66" s="300"/>
      <c r="AX66" s="265" t="str">
        <f t="shared" si="160"/>
        <v>5</v>
      </c>
      <c r="AY66" s="177" t="str">
        <f t="shared" si="161"/>
        <v>NG</v>
      </c>
      <c r="AZ66" s="300" t="s">
        <v>477</v>
      </c>
      <c r="BA66" s="270" t="str">
        <f>IF(OR(AW$8="判定対象外",AZ$8="判定対象外",AZ66="-"),"-",IF(AW66=AZ66,"OK","NG"))</f>
        <v>NG</v>
      </c>
      <c r="BB66" s="249"/>
      <c r="BC66" s="300"/>
      <c r="BD66" s="265" t="str">
        <f t="shared" si="163"/>
        <v xml:space="preserve"> </v>
      </c>
      <c r="BE66" s="177" t="str">
        <f t="shared" si="164"/>
        <v>NG</v>
      </c>
      <c r="BF66" s="300"/>
      <c r="BG66" s="172" t="s">
        <v>71</v>
      </c>
      <c r="BH66" s="249"/>
      <c r="BI66" s="300"/>
      <c r="BJ66" s="265">
        <v>5</v>
      </c>
      <c r="BK66" s="174" t="str">
        <f>IF(OR(BI$8="判定対象外",BJ$8="判定対象外",BJ66="-"),"-",IF(BI66=BJ66,"OK","NG"))</f>
        <v>NG</v>
      </c>
      <c r="BL66" s="300"/>
      <c r="BM66" s="270" t="s">
        <v>71</v>
      </c>
      <c r="BN66" s="249"/>
      <c r="BO66" s="300"/>
      <c r="BP66" s="253">
        <v>5</v>
      </c>
      <c r="BQ66" s="177" t="str">
        <f>IF(OR(BO$8="判定対象外",BP$8="判定対象外",BP66="-"),"-",IF(BO66=BP66,"OK","NG"))</f>
        <v>NG</v>
      </c>
      <c r="BR66" s="300"/>
      <c r="BS66" s="270" t="s">
        <v>71</v>
      </c>
      <c r="BT66" s="249"/>
      <c r="BU66" s="300"/>
      <c r="BV66" s="253" t="str">
        <f t="shared" si="93"/>
        <v>5</v>
      </c>
      <c r="BW66" s="177" t="str">
        <f t="shared" si="8"/>
        <v>NG</v>
      </c>
      <c r="BX66" s="300" t="s">
        <v>477</v>
      </c>
      <c r="BY66" s="276" t="str">
        <f>IF(OR(BU$8="判定対象外",BX$8="判定対象外",BX66="-"),"-",IF(BU66=BX66,"OK","NG"))</f>
        <v>NG</v>
      </c>
      <c r="BZ66" s="249"/>
      <c r="CA66" s="300"/>
      <c r="CB66" s="253" t="str">
        <f t="shared" si="94"/>
        <v>1</v>
      </c>
      <c r="CC66" s="177" t="str">
        <f t="shared" si="9"/>
        <v>NG</v>
      </c>
      <c r="CD66" s="300" t="s">
        <v>313</v>
      </c>
      <c r="CE66" s="276" t="str">
        <f>IF(OR(CA$8="判定対象外",CD$8="判定対象外",CD66="-"),"-",IF(CA66=CD66,"OK","NG"))</f>
        <v>NG</v>
      </c>
      <c r="CF66" s="249"/>
      <c r="CG66" s="300"/>
      <c r="CH66" s="253" t="str">
        <f t="shared" si="95"/>
        <v>1</v>
      </c>
      <c r="CI66" s="177" t="str">
        <f t="shared" si="10"/>
        <v>NG</v>
      </c>
      <c r="CJ66" s="300" t="s">
        <v>313</v>
      </c>
      <c r="CK66" s="270" t="str">
        <f>IF(OR(CG$8="判定対象外",CJ$8="判定対象外",CJ66="-"),"-",IF(CG66=CJ66,"OK","NG"))</f>
        <v>NG</v>
      </c>
      <c r="CL66" s="249"/>
      <c r="CM66" s="300"/>
      <c r="CN66" s="253" t="str">
        <f t="shared" si="96"/>
        <v>1</v>
      </c>
      <c r="CO66" s="177" t="str">
        <f t="shared" si="11"/>
        <v>NG</v>
      </c>
      <c r="CP66" s="300" t="s">
        <v>313</v>
      </c>
      <c r="CQ66" s="270" t="str">
        <f>IF(OR(CM$8="判定対象外",CP$8="判定対象外",CP66="-"),"-",IF(CM66=CP66,"OK","NG"))</f>
        <v>NG</v>
      </c>
      <c r="CR66" s="249"/>
      <c r="CS66" s="300"/>
      <c r="CT66" s="253" t="str">
        <f t="shared" si="97"/>
        <v>1</v>
      </c>
      <c r="CU66" s="177" t="str">
        <f t="shared" si="12"/>
        <v>NG</v>
      </c>
      <c r="CV66" s="300" t="s">
        <v>313</v>
      </c>
      <c r="CW66" s="270" t="str">
        <f>IF(OR(CS$8="判定対象外",CV$8="判定対象外",CV66="-"),"-",IF(CS66=CV66,"OK","NG"))</f>
        <v>NG</v>
      </c>
      <c r="CX66" s="249"/>
      <c r="CY66" s="300"/>
      <c r="CZ66" s="253" t="str">
        <f t="shared" si="98"/>
        <v>1</v>
      </c>
      <c r="DA66" s="177" t="str">
        <f t="shared" si="13"/>
        <v>NG</v>
      </c>
      <c r="DB66" s="300" t="s">
        <v>313</v>
      </c>
      <c r="DC66" s="270" t="str">
        <f>IF(OR(CY$8="判定対象外",DB$8="判定対象外",DB66="-"),"-",IF(CY66=DB66,"OK","NG"))</f>
        <v>NG</v>
      </c>
      <c r="DD66" s="249"/>
      <c r="DE66" s="300"/>
      <c r="DF66" s="253" t="str">
        <f t="shared" si="99"/>
        <v>1</v>
      </c>
      <c r="DG66" s="177" t="str">
        <f t="shared" si="14"/>
        <v>NG</v>
      </c>
      <c r="DH66" s="300" t="s">
        <v>313</v>
      </c>
      <c r="DI66" s="270" t="str">
        <f>IF(OR(DE$8="判定対象外",DH$8="判定対象外",DH66="-"),"-",IF(DE66=DH66,"OK","NG"))</f>
        <v>NG</v>
      </c>
      <c r="DJ66" s="249"/>
      <c r="DK66" s="300"/>
      <c r="DL66" s="272">
        <v>5</v>
      </c>
      <c r="DM66" s="177" t="str">
        <f t="shared" si="214"/>
        <v>NG</v>
      </c>
      <c r="DN66" s="275"/>
      <c r="DO66" s="270" t="s">
        <v>71</v>
      </c>
      <c r="DP66" s="249"/>
      <c r="DQ66" s="300"/>
      <c r="DR66" s="306" t="str">
        <f t="shared" ref="DR66:DR84" si="224">IF(DT66="-","-",DT66&amp;REPT(IF($R66="N","　",IF($R66="9","0"," ")),$Z66-LENB(DT66)))</f>
        <v xml:space="preserve"> </v>
      </c>
      <c r="DS66" s="177" t="str">
        <f t="shared" si="215"/>
        <v>NG</v>
      </c>
      <c r="DT66" s="275"/>
      <c r="DU66" s="270" t="s">
        <v>71</v>
      </c>
      <c r="DV66" s="249"/>
      <c r="DW66" s="300"/>
      <c r="DX66" s="306" t="str">
        <f t="shared" ref="DX66:DX84" si="225">IF(DZ66="-","-",DZ66&amp;REPT(IF($R66="N","　",IF($R66="9","0"," ")),$Z66-LENB(DZ66)))</f>
        <v>1</v>
      </c>
      <c r="DY66" s="177" t="str">
        <f t="shared" si="216"/>
        <v>NG</v>
      </c>
      <c r="DZ66" s="275">
        <v>1</v>
      </c>
      <c r="EA66" s="270" t="s">
        <v>71</v>
      </c>
      <c r="EB66" s="249"/>
      <c r="EC66" s="300"/>
      <c r="ED66" s="306" t="str">
        <f t="shared" ref="ED66:ED84" si="226">IF(EF66="-","-",EF66&amp;REPT(IF($R66="N","　",IF($R66="9","0"," ")),$Z66-LENB(EF66)))</f>
        <v>1</v>
      </c>
      <c r="EE66" s="177" t="str">
        <f t="shared" si="217"/>
        <v>NG</v>
      </c>
      <c r="EF66" s="275">
        <v>1</v>
      </c>
      <c r="EG66" s="270" t="s">
        <v>71</v>
      </c>
      <c r="EH66" s="249"/>
      <c r="EI66" s="300"/>
      <c r="EJ66" s="306" t="str">
        <f t="shared" ref="EJ66:EJ84" si="227">IF(EL66="-","-",EL66&amp;REPT(IF($R66="N","　",IF($R66="9","0"," ")),$Z66-LENB(EL66)))</f>
        <v>1</v>
      </c>
      <c r="EK66" s="177" t="str">
        <f t="shared" si="218"/>
        <v>NG</v>
      </c>
      <c r="EL66" s="275">
        <v>1</v>
      </c>
      <c r="EM66" s="270" t="s">
        <v>71</v>
      </c>
      <c r="EN66" s="249"/>
      <c r="EO66" s="300"/>
      <c r="EP66" s="306" t="str">
        <f t="shared" ref="EP66:EP84" si="228">IF(ER66="-","-",ER66&amp;REPT(IF($R66="N","　",IF($R66="9","0"," ")),$Z66-LENB(ER66)))</f>
        <v>1</v>
      </c>
      <c r="EQ66" s="177" t="str">
        <f t="shared" si="219"/>
        <v>NG</v>
      </c>
      <c r="ER66" s="275">
        <v>1</v>
      </c>
      <c r="ES66" s="270" t="s">
        <v>71</v>
      </c>
      <c r="ET66" s="249"/>
      <c r="EU66" s="300"/>
      <c r="EV66" s="306" t="str">
        <f t="shared" ref="EV66:EV84" si="229">IF(EX66="-","-",EX66&amp;REPT(IF($R66="N","　",IF($R66="9","0"," ")),$Z66-LENB(EX66)))</f>
        <v>1</v>
      </c>
      <c r="EW66" s="177" t="str">
        <f t="shared" si="220"/>
        <v>NG</v>
      </c>
      <c r="EX66" s="275">
        <v>1</v>
      </c>
      <c r="EY66" s="270" t="s">
        <v>71</v>
      </c>
      <c r="EZ66" s="249"/>
      <c r="FA66" s="300"/>
      <c r="FB66" s="306" t="str">
        <f t="shared" ref="FB66:FB84" si="230">IF(FD66="-","-",FD66&amp;REPT(IF($R66="N","　",IF($R66="9","0"," ")),$Z66-LENB(FD66)))</f>
        <v>1</v>
      </c>
      <c r="FC66" s="177" t="str">
        <f t="shared" si="221"/>
        <v>NG</v>
      </c>
      <c r="FD66" s="275">
        <v>1</v>
      </c>
      <c r="FE66" s="270" t="s">
        <v>71</v>
      </c>
      <c r="FF66" s="249"/>
      <c r="FG66" s="300"/>
      <c r="FH66" s="253" t="str">
        <f t="shared" si="101"/>
        <v>1</v>
      </c>
      <c r="FI66" s="177" t="str">
        <f t="shared" si="23"/>
        <v>NG</v>
      </c>
      <c r="FJ66" s="301" t="s">
        <v>476</v>
      </c>
      <c r="FK66" s="270" t="str">
        <f>IF(OR(FG$8="判定対象外",FJ$8="判定対象外",FJ66="-"),"-",IF(FG66=FJ66,"OK","NG"))</f>
        <v>NG</v>
      </c>
      <c r="FL66" s="249"/>
      <c r="FM66" s="300"/>
      <c r="FN66" s="253" t="str">
        <f t="shared" si="102"/>
        <v>1</v>
      </c>
      <c r="FO66" s="177" t="str">
        <f t="shared" si="24"/>
        <v>NG</v>
      </c>
      <c r="FP66" s="301" t="s">
        <v>476</v>
      </c>
      <c r="FQ66" s="270" t="str">
        <f>IF(OR(FM$8="判定対象外",FP$8="判定対象外",FP66="-"),"-",IF(FM66=FP66,"OK","NG"))</f>
        <v>NG</v>
      </c>
      <c r="FR66" s="249"/>
      <c r="FS66" s="300"/>
      <c r="FT66" s="253" t="str">
        <f t="shared" si="103"/>
        <v>5</v>
      </c>
      <c r="FU66" s="177" t="str">
        <f t="shared" si="25"/>
        <v>NG</v>
      </c>
      <c r="FV66" s="301" t="s">
        <v>477</v>
      </c>
      <c r="FW66" s="270" t="str">
        <f>IF(OR(FS$8="判定対象外",FV$8="判定対象外",FV66="-"),"-",IF(FS66=FV66,"OK","NG"))</f>
        <v>NG</v>
      </c>
      <c r="FX66" s="249"/>
      <c r="FY66" s="300"/>
      <c r="FZ66" s="253" t="str">
        <f t="shared" si="104"/>
        <v>5</v>
      </c>
      <c r="GA66" s="177" t="str">
        <f t="shared" si="26"/>
        <v>NG</v>
      </c>
      <c r="GB66" s="301" t="s">
        <v>477</v>
      </c>
      <c r="GC66" s="270" t="str">
        <f>IF(OR(FY$8="判定対象外",GB$8="判定対象外",GB66="-"),"-",IF(FY66=GB66,"OK","NG"))</f>
        <v>NG</v>
      </c>
    </row>
    <row r="67" spans="1:185" s="52" customFormat="1" ht="18.75" customHeight="1" thickTop="1">
      <c r="B67" s="48">
        <f t="shared" si="153"/>
        <v>60</v>
      </c>
      <c r="C67" s="37"/>
      <c r="D67" s="37"/>
      <c r="E67" s="26" t="s">
        <v>315</v>
      </c>
      <c r="F67" s="254"/>
      <c r="G67" s="254"/>
      <c r="H67" s="28"/>
      <c r="I67" s="42" t="s">
        <v>1</v>
      </c>
      <c r="J67" s="42" t="s">
        <v>316</v>
      </c>
      <c r="K67" s="42"/>
      <c r="L67" s="42"/>
      <c r="M67" s="47" t="s">
        <v>317</v>
      </c>
      <c r="N67" s="281"/>
      <c r="O67" s="282"/>
      <c r="P67" s="20"/>
      <c r="Q67" s="21"/>
      <c r="R67" s="16"/>
      <c r="S67" s="283"/>
      <c r="T67" s="281"/>
      <c r="U67" s="16"/>
      <c r="V67" s="207"/>
      <c r="W67" s="260" t="str">
        <f>IF(C67&lt;&gt;"","0",IF(D67&lt;&gt;"","1",IF(E67&lt;&gt;"","2",IF(F67&lt;&gt;"","3",IF(G67&lt;&gt;"","4",IF(H67&lt;&gt;"","5"))))))</f>
        <v>2</v>
      </c>
      <c r="X67" s="35" t="s">
        <v>187</v>
      </c>
      <c r="Y67" s="47"/>
      <c r="Z67" s="47"/>
      <c r="AA67" s="42"/>
      <c r="AB67" s="42" t="s">
        <v>257</v>
      </c>
      <c r="AC67" s="251"/>
      <c r="AD67" s="160"/>
      <c r="AE67" s="141"/>
      <c r="AF67" s="252" t="str">
        <f t="shared" si="211"/>
        <v/>
      </c>
      <c r="AG67" s="174" t="str">
        <f t="shared" si="1"/>
        <v>OK</v>
      </c>
      <c r="AH67" s="138"/>
      <c r="AI67" s="278" t="s">
        <v>71</v>
      </c>
      <c r="AJ67" s="160"/>
      <c r="AK67" s="141"/>
      <c r="AL67" s="252" t="str">
        <f t="shared" ref="AL67:AL77" si="231">IF(AN67="-","-",AN67&amp;REPT(IF($R67="N","　",IF($R67="9","0"," ")),$Z67-LENB(AN67)))</f>
        <v/>
      </c>
      <c r="AM67" s="174" t="str">
        <f t="shared" si="155"/>
        <v>OK</v>
      </c>
      <c r="AN67" s="138"/>
      <c r="AO67" s="278" t="s">
        <v>71</v>
      </c>
      <c r="AP67" s="160"/>
      <c r="AQ67" s="141"/>
      <c r="AR67" s="252" t="str">
        <f t="shared" si="157"/>
        <v/>
      </c>
      <c r="AS67" s="174" t="str">
        <f t="shared" si="158"/>
        <v>OK</v>
      </c>
      <c r="AT67" s="138"/>
      <c r="AU67" s="276" t="s">
        <v>71</v>
      </c>
      <c r="AV67" s="160"/>
      <c r="AW67" s="141"/>
      <c r="AX67" s="252" t="str">
        <f t="shared" si="160"/>
        <v/>
      </c>
      <c r="AY67" s="174" t="str">
        <f t="shared" si="161"/>
        <v>OK</v>
      </c>
      <c r="AZ67" s="138"/>
      <c r="BA67" s="278" t="s">
        <v>71</v>
      </c>
      <c r="BB67" s="160"/>
      <c r="BC67" s="141"/>
      <c r="BD67" s="252" t="str">
        <f t="shared" si="163"/>
        <v/>
      </c>
      <c r="BE67" s="174" t="str">
        <f t="shared" si="164"/>
        <v>OK</v>
      </c>
      <c r="BF67" s="138"/>
      <c r="BG67" s="278" t="s">
        <v>71</v>
      </c>
      <c r="BH67" s="160"/>
      <c r="BI67" s="141"/>
      <c r="BJ67" s="252" t="str">
        <f t="shared" si="91"/>
        <v/>
      </c>
      <c r="BK67" s="174" t="str">
        <f t="shared" si="6"/>
        <v>OK</v>
      </c>
      <c r="BL67" s="138"/>
      <c r="BM67" s="278" t="s">
        <v>71</v>
      </c>
      <c r="BN67" s="160"/>
      <c r="BO67" s="141"/>
      <c r="BP67" s="252" t="str">
        <f t="shared" si="92"/>
        <v/>
      </c>
      <c r="BQ67" s="174" t="str">
        <f t="shared" si="7"/>
        <v>OK</v>
      </c>
      <c r="BR67" s="138"/>
      <c r="BS67" s="278" t="s">
        <v>71</v>
      </c>
      <c r="BT67" s="160"/>
      <c r="BU67" s="141"/>
      <c r="BV67" s="252" t="str">
        <f t="shared" si="93"/>
        <v/>
      </c>
      <c r="BW67" s="174" t="str">
        <f t="shared" si="8"/>
        <v>OK</v>
      </c>
      <c r="BX67" s="138"/>
      <c r="BY67" s="278" t="s">
        <v>71</v>
      </c>
      <c r="BZ67" s="160"/>
      <c r="CA67" s="141"/>
      <c r="CB67" s="252" t="str">
        <f t="shared" si="94"/>
        <v/>
      </c>
      <c r="CC67" s="174" t="str">
        <f t="shared" si="9"/>
        <v>OK</v>
      </c>
      <c r="CD67" s="138"/>
      <c r="CE67" s="278" t="s">
        <v>71</v>
      </c>
      <c r="CF67" s="160"/>
      <c r="CG67" s="141"/>
      <c r="CH67" s="252" t="str">
        <f t="shared" si="95"/>
        <v/>
      </c>
      <c r="CI67" s="174" t="str">
        <f t="shared" si="10"/>
        <v>OK</v>
      </c>
      <c r="CJ67" s="138"/>
      <c r="CK67" s="278" t="s">
        <v>71</v>
      </c>
      <c r="CL67" s="160"/>
      <c r="CM67" s="141"/>
      <c r="CN67" s="252" t="str">
        <f t="shared" si="96"/>
        <v/>
      </c>
      <c r="CO67" s="174" t="str">
        <f t="shared" si="11"/>
        <v>OK</v>
      </c>
      <c r="CP67" s="138"/>
      <c r="CQ67" s="278" t="s">
        <v>71</v>
      </c>
      <c r="CR67" s="160"/>
      <c r="CS67" s="141"/>
      <c r="CT67" s="252" t="str">
        <f t="shared" si="97"/>
        <v/>
      </c>
      <c r="CU67" s="174" t="str">
        <f t="shared" si="12"/>
        <v>OK</v>
      </c>
      <c r="CV67" s="138"/>
      <c r="CW67" s="278" t="s">
        <v>71</v>
      </c>
      <c r="CX67" s="160"/>
      <c r="CY67" s="141"/>
      <c r="CZ67" s="252" t="str">
        <f t="shared" si="98"/>
        <v/>
      </c>
      <c r="DA67" s="174" t="str">
        <f t="shared" si="13"/>
        <v>OK</v>
      </c>
      <c r="DB67" s="138"/>
      <c r="DC67" s="278" t="s">
        <v>71</v>
      </c>
      <c r="DD67" s="160"/>
      <c r="DE67" s="141"/>
      <c r="DF67" s="252" t="str">
        <f t="shared" si="99"/>
        <v/>
      </c>
      <c r="DG67" s="174" t="str">
        <f t="shared" si="14"/>
        <v>OK</v>
      </c>
      <c r="DH67" s="138"/>
      <c r="DI67" s="278" t="s">
        <v>71</v>
      </c>
      <c r="DJ67" s="160"/>
      <c r="DK67" s="141"/>
      <c r="DL67" s="252" t="str">
        <f t="shared" si="100"/>
        <v/>
      </c>
      <c r="DM67" s="174" t="str">
        <f t="shared" si="15"/>
        <v>OK</v>
      </c>
      <c r="DN67" s="138"/>
      <c r="DO67" s="278" t="s">
        <v>71</v>
      </c>
      <c r="DP67" s="160"/>
      <c r="DQ67" s="141"/>
      <c r="DR67" s="252" t="str">
        <f t="shared" si="224"/>
        <v/>
      </c>
      <c r="DS67" s="174" t="str">
        <f t="shared" si="215"/>
        <v>OK</v>
      </c>
      <c r="DT67" s="138"/>
      <c r="DU67" s="278" t="s">
        <v>71</v>
      </c>
      <c r="DV67" s="160"/>
      <c r="DW67" s="141"/>
      <c r="DX67" s="252" t="str">
        <f t="shared" si="225"/>
        <v/>
      </c>
      <c r="DY67" s="174" t="str">
        <f t="shared" si="216"/>
        <v>OK</v>
      </c>
      <c r="DZ67" s="138"/>
      <c r="EA67" s="278" t="s">
        <v>71</v>
      </c>
      <c r="EB67" s="160"/>
      <c r="EC67" s="141"/>
      <c r="ED67" s="252" t="str">
        <f t="shared" si="226"/>
        <v/>
      </c>
      <c r="EE67" s="174" t="str">
        <f t="shared" si="217"/>
        <v>OK</v>
      </c>
      <c r="EF67" s="138"/>
      <c r="EG67" s="278" t="s">
        <v>71</v>
      </c>
      <c r="EH67" s="160"/>
      <c r="EI67" s="141"/>
      <c r="EJ67" s="252" t="str">
        <f t="shared" si="227"/>
        <v/>
      </c>
      <c r="EK67" s="174" t="str">
        <f t="shared" si="218"/>
        <v>OK</v>
      </c>
      <c r="EL67" s="138"/>
      <c r="EM67" s="278" t="s">
        <v>71</v>
      </c>
      <c r="EN67" s="160"/>
      <c r="EO67" s="141"/>
      <c r="EP67" s="252" t="str">
        <f t="shared" si="228"/>
        <v/>
      </c>
      <c r="EQ67" s="174" t="str">
        <f t="shared" si="219"/>
        <v>OK</v>
      </c>
      <c r="ER67" s="138"/>
      <c r="ES67" s="278" t="s">
        <v>71</v>
      </c>
      <c r="ET67" s="160"/>
      <c r="EU67" s="141"/>
      <c r="EV67" s="252" t="str">
        <f t="shared" si="229"/>
        <v/>
      </c>
      <c r="EW67" s="174" t="str">
        <f t="shared" si="220"/>
        <v>OK</v>
      </c>
      <c r="EX67" s="138"/>
      <c r="EY67" s="278" t="s">
        <v>71</v>
      </c>
      <c r="EZ67" s="160"/>
      <c r="FA67" s="141"/>
      <c r="FB67" s="252" t="str">
        <f t="shared" si="230"/>
        <v/>
      </c>
      <c r="FC67" s="174" t="str">
        <f t="shared" si="221"/>
        <v>OK</v>
      </c>
      <c r="FD67" s="138"/>
      <c r="FE67" s="278" t="s">
        <v>71</v>
      </c>
      <c r="FF67" s="160"/>
      <c r="FG67" s="141"/>
      <c r="FH67" s="252" t="str">
        <f t="shared" ref="FH67:FH84" si="232">IF(FJ67="-","-",FJ67&amp;REPT(IF($R67="N","　",IF($R67="9","0"," ")),$Z67-LENB(FJ67)))</f>
        <v/>
      </c>
      <c r="FI67" s="174" t="str">
        <f t="shared" ref="FI67:FI120" si="233">IF(OR(FG$8="判定対象外",FH$8="判定対象外",FH67="-"),"-",IF(FG67=FH67,"OK","NG"))</f>
        <v>OK</v>
      </c>
      <c r="FJ67" s="138"/>
      <c r="FK67" s="278" t="s">
        <v>71</v>
      </c>
      <c r="FL67" s="160"/>
      <c r="FM67" s="141"/>
      <c r="FN67" s="252" t="str">
        <f t="shared" si="102"/>
        <v/>
      </c>
      <c r="FO67" s="174" t="str">
        <f t="shared" si="24"/>
        <v>OK</v>
      </c>
      <c r="FP67" s="138"/>
      <c r="FQ67" s="278" t="s">
        <v>71</v>
      </c>
      <c r="FR67" s="160"/>
      <c r="FS67" s="141"/>
      <c r="FT67" s="252" t="str">
        <f t="shared" si="103"/>
        <v/>
      </c>
      <c r="FU67" s="174" t="str">
        <f t="shared" si="25"/>
        <v>OK</v>
      </c>
      <c r="FV67" s="138"/>
      <c r="FW67" s="278" t="s">
        <v>71</v>
      </c>
      <c r="FX67" s="160"/>
      <c r="FY67" s="141"/>
      <c r="FZ67" s="252" t="str">
        <f t="shared" si="104"/>
        <v/>
      </c>
      <c r="GA67" s="174" t="str">
        <f t="shared" si="26"/>
        <v>OK</v>
      </c>
      <c r="GB67" s="138"/>
      <c r="GC67" s="278" t="s">
        <v>71</v>
      </c>
    </row>
    <row r="68" spans="1:185" s="52" customFormat="1" ht="63.75">
      <c r="B68" s="48">
        <f t="shared" si="153"/>
        <v>61</v>
      </c>
      <c r="C68" s="187"/>
      <c r="D68" s="37"/>
      <c r="E68" s="37"/>
      <c r="F68" s="188" t="s">
        <v>318</v>
      </c>
      <c r="G68" s="39"/>
      <c r="H68" s="40"/>
      <c r="I68" s="57"/>
      <c r="J68" s="57"/>
      <c r="K68" s="57"/>
      <c r="L68" s="42"/>
      <c r="M68" s="58" t="s">
        <v>319</v>
      </c>
      <c r="N68" s="47"/>
      <c r="O68" s="143"/>
      <c r="P68" s="45">
        <f>P66+1</f>
        <v>43</v>
      </c>
      <c r="Q68" s="200">
        <v>2</v>
      </c>
      <c r="R68" s="41" t="str">
        <f t="shared" ref="R68:R74" si="234">IF(AA68="M","NX",AA68)</f>
        <v>X</v>
      </c>
      <c r="S68" s="185" t="s">
        <v>99</v>
      </c>
      <c r="T68" s="43"/>
      <c r="U68" s="41" t="s">
        <v>80</v>
      </c>
      <c r="V68" s="212" t="s">
        <v>188</v>
      </c>
      <c r="W68" s="22" t="str">
        <f>IF(C68&lt;&gt;"","0",IF(D68&lt;&gt;"","1",IF(E68&lt;&gt;"","2",IF(F68&lt;&gt;"","3",IF(G68&lt;&gt;"","4",IF(H68&lt;&gt;"","5"))))))</f>
        <v>3</v>
      </c>
      <c r="X68" s="62" t="s">
        <v>189</v>
      </c>
      <c r="Y68" s="201">
        <v>2</v>
      </c>
      <c r="Z68" s="201">
        <v>2</v>
      </c>
      <c r="AA68" s="202" t="s">
        <v>163</v>
      </c>
      <c r="AB68" s="202" t="s">
        <v>57</v>
      </c>
      <c r="AC68" s="166"/>
      <c r="AD68" s="160"/>
      <c r="AE68" s="162"/>
      <c r="AF68" s="167" t="str">
        <f t="shared" si="211"/>
        <v xml:space="preserve">  </v>
      </c>
      <c r="AG68" s="174" t="str">
        <f t="shared" si="1"/>
        <v>NG</v>
      </c>
      <c r="AH68" s="162"/>
      <c r="AI68" s="172" t="s">
        <v>71</v>
      </c>
      <c r="AJ68" s="160"/>
      <c r="AK68" s="162"/>
      <c r="AL68" s="167" t="str">
        <f t="shared" si="231"/>
        <v xml:space="preserve">  </v>
      </c>
      <c r="AM68" s="174" t="str">
        <f t="shared" si="155"/>
        <v>NG</v>
      </c>
      <c r="AN68" s="162"/>
      <c r="AO68" s="172" t="s">
        <v>71</v>
      </c>
      <c r="AP68" s="160"/>
      <c r="AQ68" s="162"/>
      <c r="AR68" s="167" t="str">
        <f t="shared" si="157"/>
        <v xml:space="preserve">  </v>
      </c>
      <c r="AS68" s="174" t="str">
        <f t="shared" si="158"/>
        <v>NG</v>
      </c>
      <c r="AT68" s="162"/>
      <c r="AU68" s="172" t="s">
        <v>71</v>
      </c>
      <c r="AV68" s="160"/>
      <c r="AW68" s="162"/>
      <c r="AX68" s="167" t="str">
        <f t="shared" si="160"/>
        <v xml:space="preserve">  </v>
      </c>
      <c r="AY68" s="174" t="str">
        <f t="shared" si="161"/>
        <v>NG</v>
      </c>
      <c r="AZ68" s="162"/>
      <c r="BA68" s="172" t="s">
        <v>71</v>
      </c>
      <c r="BB68" s="160"/>
      <c r="BC68" s="162"/>
      <c r="BD68" s="167" t="str">
        <f t="shared" si="163"/>
        <v xml:space="preserve">  </v>
      </c>
      <c r="BE68" s="174" t="str">
        <f t="shared" si="164"/>
        <v>NG</v>
      </c>
      <c r="BF68" s="162"/>
      <c r="BG68" s="172" t="s">
        <v>71</v>
      </c>
      <c r="BH68" s="160"/>
      <c r="BI68" s="162"/>
      <c r="BJ68" s="167" t="str">
        <f t="shared" si="91"/>
        <v xml:space="preserve">  </v>
      </c>
      <c r="BK68" s="174" t="str">
        <f t="shared" si="6"/>
        <v>NG</v>
      </c>
      <c r="BL68" s="162"/>
      <c r="BM68" s="172" t="s">
        <v>71</v>
      </c>
      <c r="BN68" s="160"/>
      <c r="BO68" s="162"/>
      <c r="BP68" s="167" t="str">
        <f t="shared" si="92"/>
        <v xml:space="preserve">  </v>
      </c>
      <c r="BQ68" s="174" t="str">
        <f t="shared" si="7"/>
        <v>NG</v>
      </c>
      <c r="BR68" s="162"/>
      <c r="BS68" s="172" t="s">
        <v>71</v>
      </c>
      <c r="BT68" s="160"/>
      <c r="BU68" s="162"/>
      <c r="BV68" s="167" t="str">
        <f t="shared" si="93"/>
        <v xml:space="preserve">  </v>
      </c>
      <c r="BW68" s="174" t="str">
        <f t="shared" si="8"/>
        <v>NG</v>
      </c>
      <c r="BX68" s="162"/>
      <c r="BY68" s="172" t="s">
        <v>71</v>
      </c>
      <c r="BZ68" s="160"/>
      <c r="CA68" s="162"/>
      <c r="CB68" s="167" t="str">
        <f t="shared" si="94"/>
        <v xml:space="preserve">  </v>
      </c>
      <c r="CC68" s="174" t="str">
        <f t="shared" si="9"/>
        <v>NG</v>
      </c>
      <c r="CD68" s="162"/>
      <c r="CE68" s="172" t="s">
        <v>71</v>
      </c>
      <c r="CF68" s="160"/>
      <c r="CG68" s="162"/>
      <c r="CH68" s="167" t="str">
        <f t="shared" si="95"/>
        <v xml:space="preserve">  </v>
      </c>
      <c r="CI68" s="174" t="str">
        <f t="shared" si="10"/>
        <v>NG</v>
      </c>
      <c r="CJ68" s="162"/>
      <c r="CK68" s="172" t="s">
        <v>71</v>
      </c>
      <c r="CL68" s="160"/>
      <c r="CM68" s="162"/>
      <c r="CN68" s="167" t="str">
        <f t="shared" si="96"/>
        <v xml:space="preserve">  </v>
      </c>
      <c r="CO68" s="174" t="str">
        <f t="shared" si="11"/>
        <v>NG</v>
      </c>
      <c r="CP68" s="162"/>
      <c r="CQ68" s="172" t="s">
        <v>71</v>
      </c>
      <c r="CR68" s="160"/>
      <c r="CS68" s="162"/>
      <c r="CT68" s="167" t="str">
        <f t="shared" si="97"/>
        <v xml:space="preserve">  </v>
      </c>
      <c r="CU68" s="174" t="str">
        <f t="shared" si="12"/>
        <v>NG</v>
      </c>
      <c r="CV68" s="162"/>
      <c r="CW68" s="172" t="s">
        <v>71</v>
      </c>
      <c r="CX68" s="160"/>
      <c r="CY68" s="162"/>
      <c r="CZ68" s="167" t="str">
        <f t="shared" si="98"/>
        <v xml:space="preserve">  </v>
      </c>
      <c r="DA68" s="174" t="str">
        <f t="shared" si="13"/>
        <v>NG</v>
      </c>
      <c r="DB68" s="162"/>
      <c r="DC68" s="172" t="s">
        <v>71</v>
      </c>
      <c r="DD68" s="160"/>
      <c r="DE68" s="162"/>
      <c r="DF68" s="167" t="str">
        <f t="shared" si="99"/>
        <v xml:space="preserve">  </v>
      </c>
      <c r="DG68" s="174" t="str">
        <f t="shared" si="14"/>
        <v>NG</v>
      </c>
      <c r="DH68" s="162"/>
      <c r="DI68" s="172" t="s">
        <v>71</v>
      </c>
      <c r="DJ68" s="160"/>
      <c r="DK68" s="162"/>
      <c r="DL68" s="167" t="str">
        <f t="shared" si="100"/>
        <v xml:space="preserve">  </v>
      </c>
      <c r="DM68" s="174" t="str">
        <f t="shared" si="15"/>
        <v>NG</v>
      </c>
      <c r="DN68" s="162"/>
      <c r="DO68" s="172" t="s">
        <v>71</v>
      </c>
      <c r="DP68" s="160"/>
      <c r="DQ68" s="162"/>
      <c r="DR68" s="167" t="str">
        <f t="shared" si="224"/>
        <v xml:space="preserve">  </v>
      </c>
      <c r="DS68" s="174" t="str">
        <f t="shared" si="215"/>
        <v>NG</v>
      </c>
      <c r="DT68" s="162"/>
      <c r="DU68" s="172" t="s">
        <v>71</v>
      </c>
      <c r="DV68" s="160"/>
      <c r="DW68" s="162"/>
      <c r="DX68" s="167" t="str">
        <f t="shared" si="225"/>
        <v xml:space="preserve">  </v>
      </c>
      <c r="DY68" s="174" t="str">
        <f t="shared" si="216"/>
        <v>NG</v>
      </c>
      <c r="DZ68" s="162"/>
      <c r="EA68" s="172" t="s">
        <v>71</v>
      </c>
      <c r="EB68" s="160"/>
      <c r="EC68" s="162"/>
      <c r="ED68" s="167" t="str">
        <f t="shared" si="226"/>
        <v xml:space="preserve">  </v>
      </c>
      <c r="EE68" s="174" t="str">
        <f t="shared" si="217"/>
        <v>NG</v>
      </c>
      <c r="EF68" s="162"/>
      <c r="EG68" s="172" t="s">
        <v>71</v>
      </c>
      <c r="EH68" s="160"/>
      <c r="EI68" s="162"/>
      <c r="EJ68" s="167" t="str">
        <f t="shared" si="227"/>
        <v xml:space="preserve">  </v>
      </c>
      <c r="EK68" s="174" t="str">
        <f t="shared" si="218"/>
        <v>NG</v>
      </c>
      <c r="EL68" s="162"/>
      <c r="EM68" s="172" t="s">
        <v>71</v>
      </c>
      <c r="EN68" s="160"/>
      <c r="EO68" s="162"/>
      <c r="EP68" s="167" t="str">
        <f t="shared" si="228"/>
        <v xml:space="preserve">  </v>
      </c>
      <c r="EQ68" s="174" t="str">
        <f t="shared" si="219"/>
        <v>NG</v>
      </c>
      <c r="ER68" s="162"/>
      <c r="ES68" s="172" t="s">
        <v>71</v>
      </c>
      <c r="ET68" s="160"/>
      <c r="EU68" s="162"/>
      <c r="EV68" s="167" t="str">
        <f t="shared" si="229"/>
        <v xml:space="preserve">  </v>
      </c>
      <c r="EW68" s="174" t="str">
        <f t="shared" si="220"/>
        <v>NG</v>
      </c>
      <c r="EX68" s="162"/>
      <c r="EY68" s="172" t="s">
        <v>71</v>
      </c>
      <c r="EZ68" s="160"/>
      <c r="FA68" s="162"/>
      <c r="FB68" s="167" t="str">
        <f t="shared" si="230"/>
        <v xml:space="preserve">  </v>
      </c>
      <c r="FC68" s="174" t="str">
        <f t="shared" si="221"/>
        <v>NG</v>
      </c>
      <c r="FD68" s="162"/>
      <c r="FE68" s="172" t="s">
        <v>71</v>
      </c>
      <c r="FF68" s="160"/>
      <c r="FG68" s="162"/>
      <c r="FH68" s="167" t="str">
        <f t="shared" si="232"/>
        <v xml:space="preserve">  </v>
      </c>
      <c r="FI68" s="174" t="str">
        <f t="shared" si="233"/>
        <v>NG</v>
      </c>
      <c r="FJ68" s="162"/>
      <c r="FK68" s="172" t="s">
        <v>71</v>
      </c>
      <c r="FL68" s="160"/>
      <c r="FM68" s="162"/>
      <c r="FN68" s="167" t="str">
        <f t="shared" si="102"/>
        <v xml:space="preserve">  </v>
      </c>
      <c r="FO68" s="174" t="str">
        <f t="shared" si="24"/>
        <v>NG</v>
      </c>
      <c r="FP68" s="162"/>
      <c r="FQ68" s="172" t="s">
        <v>71</v>
      </c>
      <c r="FR68" s="160"/>
      <c r="FS68" s="162"/>
      <c r="FT68" s="167" t="str">
        <f t="shared" si="103"/>
        <v xml:space="preserve">  </v>
      </c>
      <c r="FU68" s="174" t="str">
        <f t="shared" si="25"/>
        <v>NG</v>
      </c>
      <c r="FV68" s="162"/>
      <c r="FW68" s="172" t="s">
        <v>71</v>
      </c>
      <c r="FX68" s="160"/>
      <c r="FY68" s="162"/>
      <c r="FZ68" s="167" t="str">
        <f t="shared" si="104"/>
        <v xml:space="preserve">  </v>
      </c>
      <c r="GA68" s="174" t="str">
        <f t="shared" si="26"/>
        <v>NG</v>
      </c>
      <c r="GB68" s="162"/>
      <c r="GC68" s="172" t="s">
        <v>71</v>
      </c>
    </row>
    <row r="69" spans="1:185" s="52" customFormat="1" ht="344.25">
      <c r="B69" s="48">
        <f t="shared" si="153"/>
        <v>62</v>
      </c>
      <c r="C69" s="37"/>
      <c r="D69" s="37"/>
      <c r="E69" s="37"/>
      <c r="F69" s="188" t="s">
        <v>320</v>
      </c>
      <c r="G69" s="39"/>
      <c r="H69" s="40"/>
      <c r="I69" s="42"/>
      <c r="J69" s="42" t="s">
        <v>316</v>
      </c>
      <c r="K69" s="42"/>
      <c r="L69" s="42"/>
      <c r="M69" s="189" t="s">
        <v>392</v>
      </c>
      <c r="N69" s="63"/>
      <c r="O69" s="143"/>
      <c r="P69" s="45">
        <f>P68+1</f>
        <v>44</v>
      </c>
      <c r="Q69" s="46">
        <v>2</v>
      </c>
      <c r="R69" s="41" t="str">
        <f t="shared" si="234"/>
        <v>X</v>
      </c>
      <c r="S69" s="185" t="s">
        <v>100</v>
      </c>
      <c r="T69" s="43"/>
      <c r="U69" s="41" t="s">
        <v>80</v>
      </c>
      <c r="V69" s="44"/>
      <c r="W69" s="22">
        <v>3</v>
      </c>
      <c r="X69" s="47" t="s">
        <v>162</v>
      </c>
      <c r="Y69" s="47">
        <v>2</v>
      </c>
      <c r="Z69" s="47">
        <v>2</v>
      </c>
      <c r="AA69" s="42" t="s">
        <v>163</v>
      </c>
      <c r="AB69" s="42" t="s">
        <v>57</v>
      </c>
      <c r="AC69" s="166"/>
      <c r="AD69" s="160"/>
      <c r="AE69" s="162"/>
      <c r="AF69" s="167" t="str">
        <f t="shared" si="211"/>
        <v xml:space="preserve">  </v>
      </c>
      <c r="AG69" s="174" t="str">
        <f t="shared" si="1"/>
        <v>NG</v>
      </c>
      <c r="AH69" s="162"/>
      <c r="AI69" s="276" t="str">
        <f>IF(OR(AE$8="判定対象外",AH$8="判定対象外",AH69="-"),"-",IF(AE69=AH69,"OK","NG"))</f>
        <v>OK</v>
      </c>
      <c r="AJ69" s="160"/>
      <c r="AK69" s="162"/>
      <c r="AL69" s="167" t="str">
        <f t="shared" si="231"/>
        <v xml:space="preserve">  </v>
      </c>
      <c r="AM69" s="174" t="str">
        <f t="shared" si="155"/>
        <v>NG</v>
      </c>
      <c r="AN69" s="162"/>
      <c r="AO69" s="276" t="str">
        <f>IF(OR(AK$8="判定対象外",AN$8="判定対象外",AN69="-"),"-",IF(AK69=AN69,"OK","NG"))</f>
        <v>OK</v>
      </c>
      <c r="AP69" s="160"/>
      <c r="AQ69" s="162"/>
      <c r="AR69" s="167" t="str">
        <f t="shared" si="157"/>
        <v xml:space="preserve">  </v>
      </c>
      <c r="AS69" s="174" t="str">
        <f t="shared" si="158"/>
        <v>NG</v>
      </c>
      <c r="AT69" s="162"/>
      <c r="AU69" s="276" t="str">
        <f>IF(OR(AQ$8="判定対象外",AT$8="判定対象外",AT69="-"),"-",IF(AQ69=AT69,"OK","NG"))</f>
        <v>OK</v>
      </c>
      <c r="AV69" s="160"/>
      <c r="AW69" s="162"/>
      <c r="AX69" s="167" t="str">
        <f t="shared" si="160"/>
        <v xml:space="preserve">  </v>
      </c>
      <c r="AY69" s="174" t="str">
        <f t="shared" si="161"/>
        <v>NG</v>
      </c>
      <c r="AZ69" s="162"/>
      <c r="BA69" s="276" t="str">
        <f>IF(OR(AW$8="判定対象外",AZ$8="判定対象外",AZ69="-"),"-",IF(AW69=AZ69,"OK","NG"))</f>
        <v>OK</v>
      </c>
      <c r="BB69" s="160"/>
      <c r="BC69" s="162"/>
      <c r="BD69" s="167" t="str">
        <f t="shared" si="163"/>
        <v xml:space="preserve">  </v>
      </c>
      <c r="BE69" s="174" t="str">
        <f t="shared" si="164"/>
        <v>NG</v>
      </c>
      <c r="BF69" s="162"/>
      <c r="BG69" s="276" t="str">
        <f>IF(OR(BC$8="判定対象外",BF$8="判定対象外",BF69="-"),"-",IF(BC69=BF69,"OK","NG"))</f>
        <v>OK</v>
      </c>
      <c r="BH69" s="160"/>
      <c r="BI69" s="162"/>
      <c r="BJ69" s="167" t="str">
        <f t="shared" si="91"/>
        <v xml:space="preserve">  </v>
      </c>
      <c r="BK69" s="174" t="str">
        <f t="shared" si="6"/>
        <v>NG</v>
      </c>
      <c r="BL69" s="162"/>
      <c r="BM69" s="276" t="str">
        <f>IF(OR(BI$8="判定対象外",BL$8="判定対象外",BL69="-"),"-",IF(BI69=BL69,"OK","NG"))</f>
        <v>OK</v>
      </c>
      <c r="BN69" s="160"/>
      <c r="BO69" s="162"/>
      <c r="BP69" s="167" t="str">
        <f t="shared" si="92"/>
        <v xml:space="preserve">  </v>
      </c>
      <c r="BQ69" s="174" t="str">
        <f t="shared" si="7"/>
        <v>NG</v>
      </c>
      <c r="BR69" s="162"/>
      <c r="BS69" s="276" t="str">
        <f>IF(OR(BO$8="判定対象外",BR$8="判定対象外",BR69="-"),"-",IF(BO69=BR69,"OK","NG"))</f>
        <v>OK</v>
      </c>
      <c r="BT69" s="160"/>
      <c r="BU69" s="162"/>
      <c r="BV69" s="167" t="str">
        <f t="shared" si="93"/>
        <v xml:space="preserve">  </v>
      </c>
      <c r="BW69" s="174" t="str">
        <f t="shared" si="8"/>
        <v>NG</v>
      </c>
      <c r="BX69" s="162"/>
      <c r="BY69" s="276" t="str">
        <f>IF(OR(BU$8="判定対象外",BX$8="判定対象外",BX69="-"),"-",IF(BU69=BX69,"OK","NG"))</f>
        <v>OK</v>
      </c>
      <c r="BZ69" s="160"/>
      <c r="CA69" s="162"/>
      <c r="CB69" s="167" t="str">
        <f t="shared" si="94"/>
        <v xml:space="preserve">  </v>
      </c>
      <c r="CC69" s="174" t="str">
        <f t="shared" si="9"/>
        <v>NG</v>
      </c>
      <c r="CD69" s="162"/>
      <c r="CE69" s="276" t="str">
        <f>IF(OR(CA$8="判定対象外",CD$8="判定対象外",CD69="-"),"-",IF(CA69=CD69,"OK","NG"))</f>
        <v>OK</v>
      </c>
      <c r="CF69" s="160"/>
      <c r="CG69" s="162"/>
      <c r="CH69" s="167" t="str">
        <f t="shared" si="95"/>
        <v xml:space="preserve">  </v>
      </c>
      <c r="CI69" s="174" t="str">
        <f t="shared" si="10"/>
        <v>NG</v>
      </c>
      <c r="CJ69" s="162"/>
      <c r="CK69" s="276" t="str">
        <f>IF(OR(CG$8="判定対象外",CJ$8="判定対象外",CJ69="-"),"-",IF(CG69=CJ69,"OK","NG"))</f>
        <v>OK</v>
      </c>
      <c r="CL69" s="160"/>
      <c r="CM69" s="162"/>
      <c r="CN69" s="167" t="str">
        <f t="shared" si="96"/>
        <v xml:space="preserve">  </v>
      </c>
      <c r="CO69" s="174" t="str">
        <f t="shared" si="11"/>
        <v>NG</v>
      </c>
      <c r="CP69" s="162"/>
      <c r="CQ69" s="276" t="str">
        <f>IF(OR(CM$8="判定対象外",CP$8="判定対象外",CP69="-"),"-",IF(CM69=CP69,"OK","NG"))</f>
        <v>OK</v>
      </c>
      <c r="CR69" s="160"/>
      <c r="CS69" s="162"/>
      <c r="CT69" s="167" t="str">
        <f t="shared" si="97"/>
        <v xml:space="preserve">  </v>
      </c>
      <c r="CU69" s="174" t="str">
        <f t="shared" si="12"/>
        <v>NG</v>
      </c>
      <c r="CV69" s="162"/>
      <c r="CW69" s="276" t="str">
        <f>IF(OR(CS$8="判定対象外",CV$8="判定対象外",CV69="-"),"-",IF(CS69=CV69,"OK","NG"))</f>
        <v>OK</v>
      </c>
      <c r="CX69" s="160"/>
      <c r="CY69" s="162"/>
      <c r="CZ69" s="167" t="str">
        <f t="shared" si="98"/>
        <v xml:space="preserve">  </v>
      </c>
      <c r="DA69" s="174" t="str">
        <f t="shared" si="13"/>
        <v>NG</v>
      </c>
      <c r="DB69" s="162"/>
      <c r="DC69" s="276" t="str">
        <f>IF(OR(CY$8="判定対象外",DB$8="判定対象外",DB69="-"),"-",IF(CY69=DB69,"OK","NG"))</f>
        <v>OK</v>
      </c>
      <c r="DD69" s="160"/>
      <c r="DE69" s="162"/>
      <c r="DF69" s="167" t="str">
        <f t="shared" si="99"/>
        <v xml:space="preserve">  </v>
      </c>
      <c r="DG69" s="174" t="str">
        <f t="shared" si="14"/>
        <v>NG</v>
      </c>
      <c r="DH69" s="162"/>
      <c r="DI69" s="276" t="str">
        <f>IF(OR(DE$8="判定対象外",DH$8="判定対象外",DH69="-"),"-",IF(DE69=DH69,"OK","NG"))</f>
        <v>OK</v>
      </c>
      <c r="DJ69" s="160"/>
      <c r="DK69" s="162"/>
      <c r="DL69" s="167" t="str">
        <f t="shared" si="100"/>
        <v xml:space="preserve">  </v>
      </c>
      <c r="DM69" s="174" t="str">
        <f t="shared" si="15"/>
        <v>NG</v>
      </c>
      <c r="DN69" s="162"/>
      <c r="DO69" s="276" t="str">
        <f>IF(OR(DK$8="判定対象外",DN$8="判定対象外",DN69="-"),"-",IF(DK69=DN69,"OK","NG"))</f>
        <v>OK</v>
      </c>
      <c r="DP69" s="160"/>
      <c r="DQ69" s="162"/>
      <c r="DR69" s="167" t="str">
        <f t="shared" si="224"/>
        <v xml:space="preserve">  </v>
      </c>
      <c r="DS69" s="174" t="str">
        <f t="shared" si="215"/>
        <v>NG</v>
      </c>
      <c r="DT69" s="162"/>
      <c r="DU69" s="276" t="str">
        <f>IF(OR(DQ$8="判定対象外",DT$8="判定対象外",DT69="-"),"-",IF(DQ69=DT69,"OK","NG"))</f>
        <v>OK</v>
      </c>
      <c r="DV69" s="160"/>
      <c r="DW69" s="162"/>
      <c r="DX69" s="167" t="str">
        <f t="shared" si="225"/>
        <v xml:space="preserve">  </v>
      </c>
      <c r="DY69" s="174" t="str">
        <f t="shared" si="216"/>
        <v>NG</v>
      </c>
      <c r="DZ69" s="162"/>
      <c r="EA69" s="276" t="str">
        <f>IF(OR(DW$8="判定対象外",DZ$8="判定対象外",DZ69="-"),"-",IF(DW69=DZ69,"OK","NG"))</f>
        <v>OK</v>
      </c>
      <c r="EB69" s="160"/>
      <c r="EC69" s="162"/>
      <c r="ED69" s="167" t="str">
        <f t="shared" si="226"/>
        <v xml:space="preserve">  </v>
      </c>
      <c r="EE69" s="174" t="str">
        <f t="shared" si="217"/>
        <v>NG</v>
      </c>
      <c r="EF69" s="162"/>
      <c r="EG69" s="276" t="str">
        <f>IF(OR(EC$8="判定対象外",EF$8="判定対象外",EF69="-"),"-",IF(EC69=EF69,"OK","NG"))</f>
        <v>OK</v>
      </c>
      <c r="EH69" s="160"/>
      <c r="EI69" s="162"/>
      <c r="EJ69" s="167" t="str">
        <f t="shared" si="227"/>
        <v xml:space="preserve">  </v>
      </c>
      <c r="EK69" s="174" t="str">
        <f t="shared" si="218"/>
        <v>NG</v>
      </c>
      <c r="EL69" s="162"/>
      <c r="EM69" s="276" t="str">
        <f>IF(OR(EI$8="判定対象外",EL$8="判定対象外",EL69="-"),"-",IF(EI69=EL69,"OK","NG"))</f>
        <v>OK</v>
      </c>
      <c r="EN69" s="160"/>
      <c r="EO69" s="162"/>
      <c r="EP69" s="167" t="str">
        <f t="shared" si="228"/>
        <v xml:space="preserve">  </v>
      </c>
      <c r="EQ69" s="174" t="str">
        <f t="shared" si="219"/>
        <v>NG</v>
      </c>
      <c r="ER69" s="162"/>
      <c r="ES69" s="276" t="str">
        <f>IF(OR(EO$8="判定対象外",ER$8="判定対象外",ER69="-"),"-",IF(EO69=ER69,"OK","NG"))</f>
        <v>OK</v>
      </c>
      <c r="ET69" s="160"/>
      <c r="EU69" s="162"/>
      <c r="EV69" s="167" t="str">
        <f t="shared" si="229"/>
        <v xml:space="preserve">  </v>
      </c>
      <c r="EW69" s="174" t="str">
        <f t="shared" si="220"/>
        <v>NG</v>
      </c>
      <c r="EX69" s="162"/>
      <c r="EY69" s="276" t="str">
        <f>IF(OR(EU$8="判定対象外",EX$8="判定対象外",EX69="-"),"-",IF(EU69=EX69,"OK","NG"))</f>
        <v>OK</v>
      </c>
      <c r="EZ69" s="160"/>
      <c r="FA69" s="162"/>
      <c r="FB69" s="167" t="str">
        <f t="shared" si="230"/>
        <v xml:space="preserve">  </v>
      </c>
      <c r="FC69" s="174" t="str">
        <f t="shared" si="221"/>
        <v>NG</v>
      </c>
      <c r="FD69" s="162"/>
      <c r="FE69" s="276" t="str">
        <f>IF(OR(FA$8="判定対象外",FD$8="判定対象外",FD69="-"),"-",IF(FA69=FD69,"OK","NG"))</f>
        <v>OK</v>
      </c>
      <c r="FF69" s="160"/>
      <c r="FG69" s="162"/>
      <c r="FH69" s="167" t="str">
        <f t="shared" si="232"/>
        <v xml:space="preserve">  </v>
      </c>
      <c r="FI69" s="174" t="str">
        <f t="shared" si="233"/>
        <v>NG</v>
      </c>
      <c r="FJ69" s="162"/>
      <c r="FK69" s="276" t="str">
        <f>IF(OR(FG$8="判定対象外",FJ$8="判定対象外",FJ69="-"),"-",IF(FG69=FJ69,"OK","NG"))</f>
        <v>OK</v>
      </c>
      <c r="FL69" s="160"/>
      <c r="FM69" s="162"/>
      <c r="FN69" s="167" t="str">
        <f t="shared" si="102"/>
        <v xml:space="preserve">  </v>
      </c>
      <c r="FO69" s="174" t="str">
        <f t="shared" si="24"/>
        <v>NG</v>
      </c>
      <c r="FP69" s="162"/>
      <c r="FQ69" s="276" t="str">
        <f>IF(OR(FM$8="判定対象外",FP$8="判定対象外",FP69="-"),"-",IF(FM69=FP69,"OK","NG"))</f>
        <v>OK</v>
      </c>
      <c r="FR69" s="160"/>
      <c r="FS69" s="162"/>
      <c r="FT69" s="167" t="str">
        <f t="shared" si="103"/>
        <v xml:space="preserve">  </v>
      </c>
      <c r="FU69" s="174" t="str">
        <f t="shared" si="25"/>
        <v>NG</v>
      </c>
      <c r="FV69" s="162"/>
      <c r="FW69" s="276" t="str">
        <f>IF(OR(FS$8="判定対象外",FV$8="判定対象外",FV69="-"),"-",IF(FS69=FV69,"OK","NG"))</f>
        <v>OK</v>
      </c>
      <c r="FX69" s="160"/>
      <c r="FY69" s="162"/>
      <c r="FZ69" s="167" t="str">
        <f t="shared" si="104"/>
        <v xml:space="preserve">  </v>
      </c>
      <c r="GA69" s="174" t="str">
        <f t="shared" si="26"/>
        <v>NG</v>
      </c>
      <c r="GB69" s="162"/>
      <c r="GC69" s="276" t="str">
        <f>IF(OR(FY$8="判定対象外",GB$8="判定対象外",GB69="-"),"-",IF(FY69=GB69,"OK","NG"))</f>
        <v>OK</v>
      </c>
    </row>
    <row r="70" spans="1:185" s="52" customFormat="1">
      <c r="B70" s="48">
        <f t="shared" si="153"/>
        <v>63</v>
      </c>
      <c r="C70" s="37"/>
      <c r="D70" s="37"/>
      <c r="E70" s="37"/>
      <c r="F70" s="49" t="s">
        <v>322</v>
      </c>
      <c r="G70" s="39"/>
      <c r="H70" s="40"/>
      <c r="I70" s="42"/>
      <c r="J70" s="42"/>
      <c r="K70" s="42"/>
      <c r="L70" s="42"/>
      <c r="M70" s="213" t="s">
        <v>323</v>
      </c>
      <c r="N70" s="63"/>
      <c r="O70" s="143"/>
      <c r="P70" s="45">
        <f t="shared" ref="P70:P96" si="235">P69+1</f>
        <v>45</v>
      </c>
      <c r="Q70" s="46">
        <v>2</v>
      </c>
      <c r="R70" s="41" t="str">
        <f t="shared" si="234"/>
        <v>X</v>
      </c>
      <c r="S70" s="185" t="s">
        <v>190</v>
      </c>
      <c r="T70" s="43"/>
      <c r="U70" s="41" t="s">
        <v>80</v>
      </c>
      <c r="V70" s="44"/>
      <c r="W70" s="22">
        <v>3</v>
      </c>
      <c r="X70" s="47" t="s">
        <v>191</v>
      </c>
      <c r="Y70" s="47">
        <v>2</v>
      </c>
      <c r="Z70" s="47">
        <v>2</v>
      </c>
      <c r="AA70" s="42" t="s">
        <v>163</v>
      </c>
      <c r="AB70" s="42" t="s">
        <v>57</v>
      </c>
      <c r="AC70" s="166"/>
      <c r="AD70" s="160"/>
      <c r="AE70" s="141"/>
      <c r="AF70" s="203" t="str">
        <f t="shared" si="211"/>
        <v xml:space="preserve">  </v>
      </c>
      <c r="AG70" s="174" t="str">
        <f t="shared" si="1"/>
        <v>NG</v>
      </c>
      <c r="AH70" s="141"/>
      <c r="AI70" s="172" t="s">
        <v>71</v>
      </c>
      <c r="AJ70" s="160"/>
      <c r="AK70" s="141"/>
      <c r="AL70" s="203" t="str">
        <f t="shared" si="231"/>
        <v xml:space="preserve">  </v>
      </c>
      <c r="AM70" s="174" t="str">
        <f t="shared" si="155"/>
        <v>NG</v>
      </c>
      <c r="AN70" s="141"/>
      <c r="AO70" s="172" t="s">
        <v>71</v>
      </c>
      <c r="AP70" s="160"/>
      <c r="AQ70" s="141"/>
      <c r="AR70" s="203" t="str">
        <f t="shared" si="157"/>
        <v xml:space="preserve">  </v>
      </c>
      <c r="AS70" s="174" t="str">
        <f t="shared" si="158"/>
        <v>NG</v>
      </c>
      <c r="AT70" s="141"/>
      <c r="AU70" s="172" t="s">
        <v>71</v>
      </c>
      <c r="AV70" s="160"/>
      <c r="AW70" s="141"/>
      <c r="AX70" s="203" t="str">
        <f t="shared" si="160"/>
        <v xml:space="preserve">  </v>
      </c>
      <c r="AY70" s="174" t="str">
        <f t="shared" si="161"/>
        <v>NG</v>
      </c>
      <c r="AZ70" s="141"/>
      <c r="BA70" s="172" t="s">
        <v>71</v>
      </c>
      <c r="BB70" s="160"/>
      <c r="BC70" s="141"/>
      <c r="BD70" s="203" t="str">
        <f t="shared" si="163"/>
        <v xml:space="preserve">  </v>
      </c>
      <c r="BE70" s="174" t="str">
        <f t="shared" si="164"/>
        <v>NG</v>
      </c>
      <c r="BF70" s="141"/>
      <c r="BG70" s="172" t="s">
        <v>71</v>
      </c>
      <c r="BH70" s="160"/>
      <c r="BI70" s="141"/>
      <c r="BJ70" s="203" t="str">
        <f t="shared" si="91"/>
        <v xml:space="preserve">  </v>
      </c>
      <c r="BK70" s="174" t="str">
        <f t="shared" si="6"/>
        <v>NG</v>
      </c>
      <c r="BL70" s="141"/>
      <c r="BM70" s="172" t="s">
        <v>71</v>
      </c>
      <c r="BN70" s="160"/>
      <c r="BO70" s="141"/>
      <c r="BP70" s="203" t="str">
        <f t="shared" si="92"/>
        <v xml:space="preserve">  </v>
      </c>
      <c r="BQ70" s="174" t="str">
        <f t="shared" si="7"/>
        <v>NG</v>
      </c>
      <c r="BR70" s="141"/>
      <c r="BS70" s="172" t="s">
        <v>71</v>
      </c>
      <c r="BT70" s="160"/>
      <c r="BU70" s="141"/>
      <c r="BV70" s="203" t="str">
        <f t="shared" si="93"/>
        <v xml:space="preserve">  </v>
      </c>
      <c r="BW70" s="174" t="str">
        <f t="shared" si="8"/>
        <v>NG</v>
      </c>
      <c r="BX70" s="141"/>
      <c r="BY70" s="172" t="s">
        <v>71</v>
      </c>
      <c r="BZ70" s="160"/>
      <c r="CA70" s="141"/>
      <c r="CB70" s="203" t="str">
        <f t="shared" si="94"/>
        <v xml:space="preserve">  </v>
      </c>
      <c r="CC70" s="174" t="str">
        <f t="shared" si="9"/>
        <v>NG</v>
      </c>
      <c r="CD70" s="141"/>
      <c r="CE70" s="172" t="s">
        <v>71</v>
      </c>
      <c r="CF70" s="160"/>
      <c r="CG70" s="141"/>
      <c r="CH70" s="203" t="str">
        <f t="shared" si="95"/>
        <v xml:space="preserve">  </v>
      </c>
      <c r="CI70" s="174" t="str">
        <f t="shared" si="10"/>
        <v>NG</v>
      </c>
      <c r="CJ70" s="141"/>
      <c r="CK70" s="172" t="s">
        <v>71</v>
      </c>
      <c r="CL70" s="160"/>
      <c r="CM70" s="141"/>
      <c r="CN70" s="203" t="str">
        <f t="shared" si="96"/>
        <v xml:space="preserve">  </v>
      </c>
      <c r="CO70" s="174" t="str">
        <f t="shared" si="11"/>
        <v>NG</v>
      </c>
      <c r="CP70" s="141"/>
      <c r="CQ70" s="172" t="s">
        <v>71</v>
      </c>
      <c r="CR70" s="160"/>
      <c r="CS70" s="141"/>
      <c r="CT70" s="203" t="str">
        <f t="shared" si="97"/>
        <v xml:space="preserve">  </v>
      </c>
      <c r="CU70" s="174" t="str">
        <f t="shared" si="12"/>
        <v>NG</v>
      </c>
      <c r="CV70" s="141"/>
      <c r="CW70" s="172" t="s">
        <v>71</v>
      </c>
      <c r="CX70" s="160"/>
      <c r="CY70" s="141"/>
      <c r="CZ70" s="203" t="str">
        <f t="shared" si="98"/>
        <v xml:space="preserve">  </v>
      </c>
      <c r="DA70" s="174" t="str">
        <f t="shared" si="13"/>
        <v>NG</v>
      </c>
      <c r="DB70" s="141"/>
      <c r="DC70" s="172" t="s">
        <v>71</v>
      </c>
      <c r="DD70" s="160"/>
      <c r="DE70" s="141"/>
      <c r="DF70" s="203" t="str">
        <f t="shared" si="99"/>
        <v xml:space="preserve">  </v>
      </c>
      <c r="DG70" s="174" t="str">
        <f t="shared" si="14"/>
        <v>NG</v>
      </c>
      <c r="DH70" s="141"/>
      <c r="DI70" s="172" t="s">
        <v>71</v>
      </c>
      <c r="DJ70" s="160"/>
      <c r="DK70" s="141"/>
      <c r="DL70" s="203" t="str">
        <f t="shared" si="100"/>
        <v xml:space="preserve">  </v>
      </c>
      <c r="DM70" s="174" t="str">
        <f t="shared" si="15"/>
        <v>NG</v>
      </c>
      <c r="DN70" s="141"/>
      <c r="DO70" s="172" t="s">
        <v>71</v>
      </c>
      <c r="DP70" s="160"/>
      <c r="DQ70" s="141"/>
      <c r="DR70" s="203" t="str">
        <f t="shared" si="224"/>
        <v xml:space="preserve">  </v>
      </c>
      <c r="DS70" s="174" t="str">
        <f t="shared" si="215"/>
        <v>NG</v>
      </c>
      <c r="DT70" s="141"/>
      <c r="DU70" s="172" t="s">
        <v>71</v>
      </c>
      <c r="DV70" s="160"/>
      <c r="DW70" s="141"/>
      <c r="DX70" s="203" t="str">
        <f t="shared" si="225"/>
        <v xml:space="preserve">  </v>
      </c>
      <c r="DY70" s="174" t="str">
        <f t="shared" si="216"/>
        <v>NG</v>
      </c>
      <c r="DZ70" s="141"/>
      <c r="EA70" s="172" t="s">
        <v>71</v>
      </c>
      <c r="EB70" s="160"/>
      <c r="EC70" s="141"/>
      <c r="ED70" s="203" t="str">
        <f t="shared" si="226"/>
        <v xml:space="preserve">  </v>
      </c>
      <c r="EE70" s="174" t="str">
        <f t="shared" si="217"/>
        <v>NG</v>
      </c>
      <c r="EF70" s="141"/>
      <c r="EG70" s="172" t="s">
        <v>71</v>
      </c>
      <c r="EH70" s="160"/>
      <c r="EI70" s="141"/>
      <c r="EJ70" s="203" t="str">
        <f t="shared" si="227"/>
        <v xml:space="preserve">  </v>
      </c>
      <c r="EK70" s="174" t="str">
        <f t="shared" si="218"/>
        <v>NG</v>
      </c>
      <c r="EL70" s="141"/>
      <c r="EM70" s="172" t="s">
        <v>71</v>
      </c>
      <c r="EN70" s="160"/>
      <c r="EO70" s="141"/>
      <c r="EP70" s="203" t="str">
        <f t="shared" si="228"/>
        <v xml:space="preserve">  </v>
      </c>
      <c r="EQ70" s="174" t="str">
        <f t="shared" si="219"/>
        <v>NG</v>
      </c>
      <c r="ER70" s="141"/>
      <c r="ES70" s="172" t="s">
        <v>71</v>
      </c>
      <c r="ET70" s="160"/>
      <c r="EU70" s="141"/>
      <c r="EV70" s="203" t="str">
        <f t="shared" si="229"/>
        <v xml:space="preserve">  </v>
      </c>
      <c r="EW70" s="174" t="str">
        <f t="shared" si="220"/>
        <v>NG</v>
      </c>
      <c r="EX70" s="141"/>
      <c r="EY70" s="172" t="s">
        <v>71</v>
      </c>
      <c r="EZ70" s="160"/>
      <c r="FA70" s="141"/>
      <c r="FB70" s="203" t="str">
        <f t="shared" si="230"/>
        <v xml:space="preserve">  </v>
      </c>
      <c r="FC70" s="174" t="str">
        <f t="shared" si="221"/>
        <v>NG</v>
      </c>
      <c r="FD70" s="141"/>
      <c r="FE70" s="172" t="s">
        <v>71</v>
      </c>
      <c r="FF70" s="160"/>
      <c r="FG70" s="141"/>
      <c r="FH70" s="203" t="str">
        <f t="shared" si="232"/>
        <v xml:space="preserve">  </v>
      </c>
      <c r="FI70" s="174" t="str">
        <f t="shared" si="233"/>
        <v>NG</v>
      </c>
      <c r="FJ70" s="141"/>
      <c r="FK70" s="172" t="s">
        <v>71</v>
      </c>
      <c r="FL70" s="160"/>
      <c r="FM70" s="141"/>
      <c r="FN70" s="203" t="str">
        <f t="shared" si="102"/>
        <v xml:space="preserve">  </v>
      </c>
      <c r="FO70" s="174" t="str">
        <f t="shared" si="24"/>
        <v>NG</v>
      </c>
      <c r="FP70" s="141"/>
      <c r="FQ70" s="172" t="s">
        <v>71</v>
      </c>
      <c r="FR70" s="160"/>
      <c r="FS70" s="141"/>
      <c r="FT70" s="203" t="str">
        <f t="shared" si="103"/>
        <v xml:space="preserve">  </v>
      </c>
      <c r="FU70" s="174" t="str">
        <f t="shared" si="25"/>
        <v>NG</v>
      </c>
      <c r="FV70" s="141"/>
      <c r="FW70" s="172" t="s">
        <v>71</v>
      </c>
      <c r="FX70" s="160"/>
      <c r="FY70" s="141"/>
      <c r="FZ70" s="203" t="str">
        <f t="shared" si="104"/>
        <v xml:space="preserve">  </v>
      </c>
      <c r="GA70" s="174" t="str">
        <f t="shared" si="26"/>
        <v>NG</v>
      </c>
      <c r="GB70" s="141"/>
      <c r="GC70" s="172" t="s">
        <v>71</v>
      </c>
    </row>
    <row r="71" spans="1:185" s="52" customFormat="1">
      <c r="B71" s="48">
        <f t="shared" si="153"/>
        <v>64</v>
      </c>
      <c r="C71" s="37"/>
      <c r="D71" s="37"/>
      <c r="E71" s="37"/>
      <c r="F71" s="49" t="s">
        <v>192</v>
      </c>
      <c r="G71" s="39"/>
      <c r="H71" s="40"/>
      <c r="I71" s="42"/>
      <c r="J71" s="42" t="s">
        <v>316</v>
      </c>
      <c r="K71" s="42"/>
      <c r="L71" s="42"/>
      <c r="M71" s="47" t="s">
        <v>324</v>
      </c>
      <c r="N71" s="47"/>
      <c r="O71" s="143"/>
      <c r="P71" s="45">
        <f t="shared" si="235"/>
        <v>46</v>
      </c>
      <c r="Q71" s="46">
        <v>255</v>
      </c>
      <c r="R71" s="41" t="str">
        <f t="shared" si="234"/>
        <v>NX</v>
      </c>
      <c r="S71" s="185" t="s">
        <v>193</v>
      </c>
      <c r="T71" s="43"/>
      <c r="U71" s="41" t="s">
        <v>80</v>
      </c>
      <c r="V71" s="44"/>
      <c r="W71" s="22">
        <v>3</v>
      </c>
      <c r="X71" s="47" t="s">
        <v>194</v>
      </c>
      <c r="Y71" s="47">
        <v>1</v>
      </c>
      <c r="Z71" s="47">
        <v>255</v>
      </c>
      <c r="AA71" s="42" t="s">
        <v>195</v>
      </c>
      <c r="AB71" s="42" t="s">
        <v>57</v>
      </c>
      <c r="AC71" s="166"/>
      <c r="AD71" s="160"/>
      <c r="AE71" s="162"/>
      <c r="AF71" s="204" t="str">
        <f t="shared" ref="AF71:AF84" si="236">IF(AH71="-","-",AH71&amp;REPT(IF($R71="N","　",IF($R71="9","0"," ")),$Z71-LENB(AH71)))</f>
        <v xml:space="preserve">                                                                                                                                                                                                                                                               </v>
      </c>
      <c r="AG71" s="174" t="str">
        <f t="shared" si="1"/>
        <v>NG</v>
      </c>
      <c r="AH71" s="162"/>
      <c r="AI71" s="276" t="str">
        <f>IF(OR(AE$8="判定対象外",AH$8="判定対象外",AH71="-"),"-",IF(AE71=AH71,"OK","NG"))</f>
        <v>OK</v>
      </c>
      <c r="AJ71" s="160"/>
      <c r="AK71" s="162"/>
      <c r="AL71" s="204" t="str">
        <f t="shared" si="231"/>
        <v xml:space="preserve">                                                                                                                                                                                                                                                               </v>
      </c>
      <c r="AM71" s="174" t="str">
        <f t="shared" si="155"/>
        <v>NG</v>
      </c>
      <c r="AN71" s="162"/>
      <c r="AO71" s="276" t="str">
        <f>IF(OR(AK$8="判定対象外",AN$8="判定対象外",AN71="-"),"-",IF(AK71=AN71,"OK","NG"))</f>
        <v>OK</v>
      </c>
      <c r="AP71" s="160"/>
      <c r="AQ71" s="162"/>
      <c r="AR71" s="204" t="str">
        <f t="shared" si="157"/>
        <v xml:space="preserve">                                                                                                                                                                                                                                                               </v>
      </c>
      <c r="AS71" s="174" t="str">
        <f t="shared" si="158"/>
        <v>NG</v>
      </c>
      <c r="AT71" s="162"/>
      <c r="AU71" s="276" t="str">
        <f>IF(OR(AQ$8="判定対象外",AT$8="判定対象外",AT71="-"),"-",IF(AQ71=AT71,"OK","NG"))</f>
        <v>OK</v>
      </c>
      <c r="AV71" s="160"/>
      <c r="AW71" s="162"/>
      <c r="AX71" s="204" t="str">
        <f t="shared" si="160"/>
        <v xml:space="preserve">                                                                                                                                                                                                                                                               </v>
      </c>
      <c r="AY71" s="174" t="str">
        <f t="shared" si="161"/>
        <v>NG</v>
      </c>
      <c r="AZ71" s="162"/>
      <c r="BA71" s="276" t="str">
        <f>IF(OR(AW$8="判定対象外",AZ$8="判定対象外",AZ71="-"),"-",IF(AW71=AZ71,"OK","NG"))</f>
        <v>OK</v>
      </c>
      <c r="BB71" s="160"/>
      <c r="BC71" s="162"/>
      <c r="BD71" s="204" t="str">
        <f t="shared" si="163"/>
        <v xml:space="preserve">                                                                                                                                                                                                                                                               </v>
      </c>
      <c r="BE71" s="174" t="str">
        <f t="shared" si="164"/>
        <v>NG</v>
      </c>
      <c r="BF71" s="162"/>
      <c r="BG71" s="276" t="str">
        <f>IF(OR(BC$8="判定対象外",BF$8="判定対象外",BF71="-"),"-",IF(BC71=BF71,"OK","NG"))</f>
        <v>OK</v>
      </c>
      <c r="BH71" s="160"/>
      <c r="BI71" s="162"/>
      <c r="BJ71" s="204" t="str">
        <f t="shared" si="91"/>
        <v xml:space="preserve">                                                                                                                                                                                                                                                               </v>
      </c>
      <c r="BK71" s="174" t="str">
        <f t="shared" si="6"/>
        <v>NG</v>
      </c>
      <c r="BL71" s="162"/>
      <c r="BM71" s="276" t="str">
        <f>IF(OR(BI$8="判定対象外",BL$8="判定対象外",BL71="-"),"-",IF(BI71=BL71,"OK","NG"))</f>
        <v>OK</v>
      </c>
      <c r="BN71" s="160"/>
      <c r="BO71" s="162"/>
      <c r="BP71" s="204" t="str">
        <f t="shared" si="92"/>
        <v xml:space="preserve">                                                                                                                                                                                                                                                               </v>
      </c>
      <c r="BQ71" s="174" t="str">
        <f t="shared" si="7"/>
        <v>NG</v>
      </c>
      <c r="BR71" s="162"/>
      <c r="BS71" s="276" t="str">
        <f>IF(OR(BO$8="判定対象外",BR$8="判定対象外",BR71="-"),"-",IF(BO71=BR71,"OK","NG"))</f>
        <v>OK</v>
      </c>
      <c r="BT71" s="160"/>
      <c r="BU71" s="162"/>
      <c r="BV71" s="204" t="str">
        <f t="shared" si="93"/>
        <v xml:space="preserve">                                                                                                                                                                                                                                                               </v>
      </c>
      <c r="BW71" s="174" t="str">
        <f t="shared" si="8"/>
        <v>NG</v>
      </c>
      <c r="BX71" s="162"/>
      <c r="BY71" s="276" t="str">
        <f>IF(OR(BU$8="判定対象外",BX$8="判定対象外",BX71="-"),"-",IF(BU71=BX71,"OK","NG"))</f>
        <v>OK</v>
      </c>
      <c r="BZ71" s="160"/>
      <c r="CA71" s="162"/>
      <c r="CB71" s="204" t="str">
        <f t="shared" si="94"/>
        <v xml:space="preserve">                                                                                                                                                                                                                                                               </v>
      </c>
      <c r="CC71" s="174" t="str">
        <f t="shared" si="9"/>
        <v>NG</v>
      </c>
      <c r="CD71" s="162"/>
      <c r="CE71" s="276" t="str">
        <f>IF(OR(CA$8="判定対象外",CD$8="判定対象外",CD71="-"),"-",IF(CA71=CD71,"OK","NG"))</f>
        <v>OK</v>
      </c>
      <c r="CF71" s="160"/>
      <c r="CG71" s="162"/>
      <c r="CH71" s="204" t="str">
        <f t="shared" si="95"/>
        <v xml:space="preserve">                                                                                                                                                                                                                                                               </v>
      </c>
      <c r="CI71" s="174" t="str">
        <f t="shared" si="10"/>
        <v>NG</v>
      </c>
      <c r="CJ71" s="162"/>
      <c r="CK71" s="276" t="str">
        <f>IF(OR(CG$8="判定対象外",CJ$8="判定対象外",CJ71="-"),"-",IF(CG71=CJ71,"OK","NG"))</f>
        <v>OK</v>
      </c>
      <c r="CL71" s="160"/>
      <c r="CM71" s="162"/>
      <c r="CN71" s="204" t="str">
        <f t="shared" si="96"/>
        <v xml:space="preserve">                                                                                                                                                                                                                                                               </v>
      </c>
      <c r="CO71" s="174" t="str">
        <f t="shared" si="11"/>
        <v>NG</v>
      </c>
      <c r="CP71" s="162"/>
      <c r="CQ71" s="276" t="str">
        <f>IF(OR(CM$8="判定対象外",CP$8="判定対象外",CP71="-"),"-",IF(CM71=CP71,"OK","NG"))</f>
        <v>OK</v>
      </c>
      <c r="CR71" s="160"/>
      <c r="CS71" s="162"/>
      <c r="CT71" s="204" t="str">
        <f t="shared" si="97"/>
        <v xml:space="preserve">                                                                                                                                                                                                                                                               </v>
      </c>
      <c r="CU71" s="174" t="str">
        <f t="shared" si="12"/>
        <v>NG</v>
      </c>
      <c r="CV71" s="162"/>
      <c r="CW71" s="276" t="str">
        <f>IF(OR(CS$8="判定対象外",CV$8="判定対象外",CV71="-"),"-",IF(CS71=CV71,"OK","NG"))</f>
        <v>OK</v>
      </c>
      <c r="CX71" s="160"/>
      <c r="CY71" s="162"/>
      <c r="CZ71" s="204" t="str">
        <f t="shared" si="98"/>
        <v xml:space="preserve">                                                                                                                                                                                                                                                               </v>
      </c>
      <c r="DA71" s="174" t="str">
        <f t="shared" si="13"/>
        <v>NG</v>
      </c>
      <c r="DB71" s="162"/>
      <c r="DC71" s="276" t="str">
        <f>IF(OR(CY$8="判定対象外",DB$8="判定対象外",DB71="-"),"-",IF(CY71=DB71,"OK","NG"))</f>
        <v>OK</v>
      </c>
      <c r="DD71" s="160"/>
      <c r="DE71" s="162"/>
      <c r="DF71" s="204" t="str">
        <f t="shared" si="99"/>
        <v xml:space="preserve">                                                                                                                                                                                                                                                               </v>
      </c>
      <c r="DG71" s="174" t="str">
        <f t="shared" si="14"/>
        <v>NG</v>
      </c>
      <c r="DH71" s="162"/>
      <c r="DI71" s="276" t="str">
        <f>IF(OR(DE$8="判定対象外",DH$8="判定対象外",DH71="-"),"-",IF(DE71=DH71,"OK","NG"))</f>
        <v>OK</v>
      </c>
      <c r="DJ71" s="160"/>
      <c r="DK71" s="162"/>
      <c r="DL71" s="204" t="str">
        <f t="shared" si="100"/>
        <v xml:space="preserve">                                                                                                                                                                                                                                                               </v>
      </c>
      <c r="DM71" s="174" t="str">
        <f t="shared" si="15"/>
        <v>NG</v>
      </c>
      <c r="DN71" s="162"/>
      <c r="DO71" s="276" t="str">
        <f>IF(OR(DK$8="判定対象外",DN$8="判定対象外",DN71="-"),"-",IF(DK71=DN71,"OK","NG"))</f>
        <v>OK</v>
      </c>
      <c r="DP71" s="160"/>
      <c r="DQ71" s="162"/>
      <c r="DR71" s="204" t="str">
        <f t="shared" si="224"/>
        <v xml:space="preserve">                                                                                                                                                                                                                                                               </v>
      </c>
      <c r="DS71" s="174" t="str">
        <f t="shared" si="215"/>
        <v>NG</v>
      </c>
      <c r="DT71" s="162"/>
      <c r="DU71" s="276" t="str">
        <f>IF(OR(DQ$8="判定対象外",DT$8="判定対象外",DT71="-"),"-",IF(DQ71=DT71,"OK","NG"))</f>
        <v>OK</v>
      </c>
      <c r="DV71" s="160"/>
      <c r="DW71" s="162"/>
      <c r="DX71" s="204" t="str">
        <f t="shared" si="225"/>
        <v xml:space="preserve">                                                                                                                                                                                                                                                               </v>
      </c>
      <c r="DY71" s="174" t="str">
        <f t="shared" si="216"/>
        <v>NG</v>
      </c>
      <c r="DZ71" s="162"/>
      <c r="EA71" s="276" t="str">
        <f>IF(OR(DW$8="判定対象外",DZ$8="判定対象外",DZ71="-"),"-",IF(DW71=DZ71,"OK","NG"))</f>
        <v>OK</v>
      </c>
      <c r="EB71" s="160"/>
      <c r="EC71" s="162"/>
      <c r="ED71" s="204" t="str">
        <f t="shared" si="226"/>
        <v xml:space="preserve">                                                                                                                                                                                                                                                               </v>
      </c>
      <c r="EE71" s="174" t="str">
        <f t="shared" si="217"/>
        <v>NG</v>
      </c>
      <c r="EF71" s="162"/>
      <c r="EG71" s="276" t="str">
        <f>IF(OR(EC$8="判定対象外",EF$8="判定対象外",EF71="-"),"-",IF(EC71=EF71,"OK","NG"))</f>
        <v>OK</v>
      </c>
      <c r="EH71" s="160"/>
      <c r="EI71" s="162"/>
      <c r="EJ71" s="204" t="str">
        <f t="shared" si="227"/>
        <v xml:space="preserve">                                                                                                                                                                                                                                                               </v>
      </c>
      <c r="EK71" s="174" t="str">
        <f t="shared" si="218"/>
        <v>NG</v>
      </c>
      <c r="EL71" s="162"/>
      <c r="EM71" s="276" t="str">
        <f>IF(OR(EI$8="判定対象外",EL$8="判定対象外",EL71="-"),"-",IF(EI71=EL71,"OK","NG"))</f>
        <v>OK</v>
      </c>
      <c r="EN71" s="160"/>
      <c r="EO71" s="162"/>
      <c r="EP71" s="204" t="str">
        <f t="shared" si="228"/>
        <v xml:space="preserve">                                                                                                                                                                                                                                                               </v>
      </c>
      <c r="EQ71" s="174" t="str">
        <f t="shared" si="219"/>
        <v>NG</v>
      </c>
      <c r="ER71" s="162"/>
      <c r="ES71" s="276" t="str">
        <f>IF(OR(EO$8="判定対象外",ER$8="判定対象外",ER71="-"),"-",IF(EO71=ER71,"OK","NG"))</f>
        <v>OK</v>
      </c>
      <c r="ET71" s="160"/>
      <c r="EU71" s="162"/>
      <c r="EV71" s="204" t="str">
        <f t="shared" si="229"/>
        <v xml:space="preserve">                                                                                                                                                                                                                                                               </v>
      </c>
      <c r="EW71" s="174" t="str">
        <f t="shared" si="220"/>
        <v>NG</v>
      </c>
      <c r="EX71" s="162"/>
      <c r="EY71" s="276" t="str">
        <f>IF(OR(EU$8="判定対象外",EX$8="判定対象外",EX71="-"),"-",IF(EU71=EX71,"OK","NG"))</f>
        <v>OK</v>
      </c>
      <c r="EZ71" s="160"/>
      <c r="FA71" s="162"/>
      <c r="FB71" s="204" t="str">
        <f t="shared" si="230"/>
        <v xml:space="preserve">                                                                                                                                                                                                                                                               </v>
      </c>
      <c r="FC71" s="174" t="str">
        <f t="shared" si="221"/>
        <v>NG</v>
      </c>
      <c r="FD71" s="162"/>
      <c r="FE71" s="276" t="str">
        <f>IF(OR(FA$8="判定対象外",FD$8="判定対象外",FD71="-"),"-",IF(FA71=FD71,"OK","NG"))</f>
        <v>OK</v>
      </c>
      <c r="FF71" s="160"/>
      <c r="FG71" s="162"/>
      <c r="FH71" s="204" t="str">
        <f t="shared" si="232"/>
        <v xml:space="preserve">                                                                                                                                                                                                                                                               </v>
      </c>
      <c r="FI71" s="174" t="str">
        <f t="shared" si="233"/>
        <v>NG</v>
      </c>
      <c r="FJ71" s="162"/>
      <c r="FK71" s="276" t="str">
        <f>IF(OR(FG$8="判定対象外",FJ$8="判定対象外",FJ71="-"),"-",IF(FG71=FJ71,"OK","NG"))</f>
        <v>OK</v>
      </c>
      <c r="FL71" s="160"/>
      <c r="FM71" s="162"/>
      <c r="FN71" s="204" t="str">
        <f t="shared" si="102"/>
        <v xml:space="preserve">                                                                                                                                                                                                                                                               </v>
      </c>
      <c r="FO71" s="174" t="str">
        <f t="shared" si="24"/>
        <v>NG</v>
      </c>
      <c r="FP71" s="162"/>
      <c r="FQ71" s="276" t="str">
        <f>IF(OR(FM$8="判定対象外",FP$8="判定対象外",FP71="-"),"-",IF(FM71=FP71,"OK","NG"))</f>
        <v>OK</v>
      </c>
      <c r="FR71" s="160"/>
      <c r="FS71" s="162"/>
      <c r="FT71" s="204" t="str">
        <f t="shared" si="103"/>
        <v xml:space="preserve">                                                                                                                                                                                                                                                               </v>
      </c>
      <c r="FU71" s="174" t="str">
        <f t="shared" si="25"/>
        <v>NG</v>
      </c>
      <c r="FV71" s="162"/>
      <c r="FW71" s="276" t="str">
        <f>IF(OR(FS$8="判定対象外",FV$8="判定対象外",FV71="-"),"-",IF(FS71=FV71,"OK","NG"))</f>
        <v>OK</v>
      </c>
      <c r="FX71" s="160"/>
      <c r="FY71" s="162"/>
      <c r="FZ71" s="204" t="str">
        <f t="shared" si="104"/>
        <v xml:space="preserve">                                                                                                                                                                                                                                                               </v>
      </c>
      <c r="GA71" s="174" t="str">
        <f t="shared" si="26"/>
        <v>NG</v>
      </c>
      <c r="GB71" s="162"/>
      <c r="GC71" s="276" t="str">
        <f>IF(OR(FY$8="判定対象外",GB$8="判定対象外",GB71="-"),"-",IF(FY71=GB71,"OK","NG"))</f>
        <v>OK</v>
      </c>
    </row>
    <row r="72" spans="1:185" s="52" customFormat="1">
      <c r="B72" s="53">
        <f t="shared" si="153"/>
        <v>65</v>
      </c>
      <c r="C72" s="37"/>
      <c r="D72" s="37"/>
      <c r="E72" s="37"/>
      <c r="F72" s="54" t="s">
        <v>325</v>
      </c>
      <c r="G72" s="54"/>
      <c r="H72" s="55"/>
      <c r="I72" s="57"/>
      <c r="J72" s="57"/>
      <c r="K72" s="57"/>
      <c r="L72" s="57"/>
      <c r="M72" s="58" t="s">
        <v>326</v>
      </c>
      <c r="N72" s="62"/>
      <c r="O72" s="150"/>
      <c r="P72" s="45">
        <f t="shared" si="235"/>
        <v>47</v>
      </c>
      <c r="Q72" s="60">
        <v>256</v>
      </c>
      <c r="R72" s="41" t="str">
        <f t="shared" si="234"/>
        <v>NX</v>
      </c>
      <c r="S72" s="185" t="s">
        <v>196</v>
      </c>
      <c r="T72" s="43"/>
      <c r="U72" s="41" t="s">
        <v>80</v>
      </c>
      <c r="V72" s="44"/>
      <c r="W72" s="61">
        <v>3</v>
      </c>
      <c r="X72" s="62" t="s">
        <v>197</v>
      </c>
      <c r="Y72" s="62">
        <v>1</v>
      </c>
      <c r="Z72" s="62">
        <v>256</v>
      </c>
      <c r="AA72" s="57" t="s">
        <v>101</v>
      </c>
      <c r="AB72" s="57" t="s">
        <v>80</v>
      </c>
      <c r="AC72" s="214"/>
      <c r="AD72" s="160"/>
      <c r="AE72" s="141"/>
      <c r="AF72" s="203" t="str">
        <f t="shared" si="236"/>
        <v xml:space="preserve">                                                                                                                                                                                                                                                                </v>
      </c>
      <c r="AG72" s="174" t="str">
        <f t="shared" ref="AG72:AG135" si="237">IF(OR(AE$8="判定対象外",AF$8="判定対象外",AF72="-"),"-",IF(AE72=AF72,"OK","NG"))</f>
        <v>NG</v>
      </c>
      <c r="AH72" s="141"/>
      <c r="AI72" s="172" t="s">
        <v>71</v>
      </c>
      <c r="AJ72" s="160"/>
      <c r="AK72" s="141"/>
      <c r="AL72" s="203" t="str">
        <f t="shared" si="231"/>
        <v xml:space="preserve">                                                                                                                                                                                                                                                                </v>
      </c>
      <c r="AM72" s="174" t="str">
        <f t="shared" si="155"/>
        <v>NG</v>
      </c>
      <c r="AN72" s="141"/>
      <c r="AO72" s="172" t="s">
        <v>71</v>
      </c>
      <c r="AP72" s="160"/>
      <c r="AQ72" s="141"/>
      <c r="AR72" s="203" t="str">
        <f t="shared" si="157"/>
        <v xml:space="preserve">                                                                                                                                                                                                                                                                </v>
      </c>
      <c r="AS72" s="174" t="str">
        <f t="shared" ref="AS72:AS135" si="238">IF(OR(AQ$8="判定対象外",AR$8="判定対象外",AR72="-"),"-",IF(AQ72=AR72,"OK","NG"))</f>
        <v>NG</v>
      </c>
      <c r="AT72" s="141"/>
      <c r="AU72" s="172" t="s">
        <v>71</v>
      </c>
      <c r="AV72" s="160"/>
      <c r="AW72" s="141"/>
      <c r="AX72" s="203" t="str">
        <f t="shared" si="160"/>
        <v xml:space="preserve">                                                                                                                                                                                                                                                                </v>
      </c>
      <c r="AY72" s="174" t="str">
        <f t="shared" ref="AY72:AY135" si="239">IF(OR(AW$8="判定対象外",AX$8="判定対象外",AX72="-"),"-",IF(AW72=AX72,"OK","NG"))</f>
        <v>NG</v>
      </c>
      <c r="AZ72" s="141"/>
      <c r="BA72" s="172" t="s">
        <v>71</v>
      </c>
      <c r="BB72" s="160"/>
      <c r="BC72" s="141"/>
      <c r="BD72" s="203" t="str">
        <f t="shared" si="163"/>
        <v xml:space="preserve">                                                                                                                                                                                                                                                                </v>
      </c>
      <c r="BE72" s="174" t="str">
        <f t="shared" ref="BE72:BE135" si="240">IF(OR(BC$8="判定対象外",BD$8="判定対象外",BD72="-"),"-",IF(BC72=BD72,"OK","NG"))</f>
        <v>NG</v>
      </c>
      <c r="BF72" s="141"/>
      <c r="BG72" s="172" t="s">
        <v>71</v>
      </c>
      <c r="BH72" s="160"/>
      <c r="BI72" s="141"/>
      <c r="BJ72" s="203" t="str">
        <f t="shared" si="91"/>
        <v xml:space="preserve">                                                                                                                                                                                                                                                                </v>
      </c>
      <c r="BK72" s="174" t="str">
        <f t="shared" ref="BK72:BK135" si="241">IF(OR(BI$8="判定対象外",BJ$8="判定対象外",BJ72="-"),"-",IF(BI72=BJ72,"OK","NG"))</f>
        <v>NG</v>
      </c>
      <c r="BL72" s="141"/>
      <c r="BM72" s="172" t="s">
        <v>71</v>
      </c>
      <c r="BN72" s="160"/>
      <c r="BO72" s="141"/>
      <c r="BP72" s="203" t="str">
        <f t="shared" si="92"/>
        <v xml:space="preserve">                                                                                                                                                                                                                                                                </v>
      </c>
      <c r="BQ72" s="174" t="str">
        <f t="shared" ref="BQ72:BQ135" si="242">IF(OR(BO$8="判定対象外",BP$8="判定対象外",BP72="-"),"-",IF(BO72=BP72,"OK","NG"))</f>
        <v>NG</v>
      </c>
      <c r="BR72" s="141"/>
      <c r="BS72" s="172" t="s">
        <v>71</v>
      </c>
      <c r="BT72" s="160"/>
      <c r="BU72" s="141"/>
      <c r="BV72" s="203" t="str">
        <f t="shared" si="93"/>
        <v xml:space="preserve">                                                                                                                                                                                                                                                                </v>
      </c>
      <c r="BW72" s="174" t="str">
        <f t="shared" ref="BW72:BW135" si="243">IF(OR(BU$8="判定対象外",BV$8="判定対象外",BV72="-"),"-",IF(BU72=BV72,"OK","NG"))</f>
        <v>NG</v>
      </c>
      <c r="BX72" s="141"/>
      <c r="BY72" s="172" t="s">
        <v>71</v>
      </c>
      <c r="BZ72" s="160"/>
      <c r="CA72" s="141"/>
      <c r="CB72" s="203" t="str">
        <f t="shared" si="94"/>
        <v xml:space="preserve">                                                                                                                                                                                                                                                                </v>
      </c>
      <c r="CC72" s="174" t="str">
        <f t="shared" ref="CC72:CC135" si="244">IF(OR(CA$8="判定対象外",CB$8="判定対象外",CB72="-"),"-",IF(CA72=CB72,"OK","NG"))</f>
        <v>NG</v>
      </c>
      <c r="CD72" s="141"/>
      <c r="CE72" s="172" t="s">
        <v>71</v>
      </c>
      <c r="CF72" s="160"/>
      <c r="CG72" s="141"/>
      <c r="CH72" s="203" t="str">
        <f t="shared" si="95"/>
        <v xml:space="preserve">                                                                                                                                                                                                                                                                </v>
      </c>
      <c r="CI72" s="174" t="str">
        <f t="shared" ref="CI72:CI135" si="245">IF(OR(CG$8="判定対象外",CH$8="判定対象外",CH72="-"),"-",IF(CG72=CH72,"OK","NG"))</f>
        <v>NG</v>
      </c>
      <c r="CJ72" s="141"/>
      <c r="CK72" s="172" t="s">
        <v>71</v>
      </c>
      <c r="CL72" s="160"/>
      <c r="CM72" s="141"/>
      <c r="CN72" s="203" t="str">
        <f t="shared" si="96"/>
        <v xml:space="preserve">                                                                                                                                                                                                                                                                </v>
      </c>
      <c r="CO72" s="174" t="str">
        <f t="shared" ref="CO72:CO135" si="246">IF(OR(CM$8="判定対象外",CN$8="判定対象外",CN72="-"),"-",IF(CM72=CN72,"OK","NG"))</f>
        <v>NG</v>
      </c>
      <c r="CP72" s="141"/>
      <c r="CQ72" s="172" t="s">
        <v>71</v>
      </c>
      <c r="CR72" s="160"/>
      <c r="CS72" s="141"/>
      <c r="CT72" s="203" t="str">
        <f t="shared" si="97"/>
        <v xml:space="preserve">                                                                                                                                                                                                                                                                </v>
      </c>
      <c r="CU72" s="174" t="str">
        <f t="shared" ref="CU72:CU135" si="247">IF(OR(CS$8="判定対象外",CT$8="判定対象外",CT72="-"),"-",IF(CS72=CT72,"OK","NG"))</f>
        <v>NG</v>
      </c>
      <c r="CV72" s="141"/>
      <c r="CW72" s="172" t="s">
        <v>71</v>
      </c>
      <c r="CX72" s="160"/>
      <c r="CY72" s="141"/>
      <c r="CZ72" s="203" t="str">
        <f t="shared" si="98"/>
        <v xml:space="preserve">                                                                                                                                                                                                                                                                </v>
      </c>
      <c r="DA72" s="174" t="str">
        <f t="shared" ref="DA72:DA135" si="248">IF(OR(CY$8="判定対象外",CZ$8="判定対象外",CZ72="-"),"-",IF(CY72=CZ72,"OK","NG"))</f>
        <v>NG</v>
      </c>
      <c r="DB72" s="141"/>
      <c r="DC72" s="172" t="s">
        <v>71</v>
      </c>
      <c r="DD72" s="160"/>
      <c r="DE72" s="141"/>
      <c r="DF72" s="203" t="str">
        <f t="shared" si="99"/>
        <v xml:space="preserve">                                                                                                                                                                                                                                                                </v>
      </c>
      <c r="DG72" s="174" t="str">
        <f t="shared" ref="DG72:DG135" si="249">IF(OR(DE$8="判定対象外",DF$8="判定対象外",DF72="-"),"-",IF(DE72=DF72,"OK","NG"))</f>
        <v>NG</v>
      </c>
      <c r="DH72" s="141"/>
      <c r="DI72" s="172" t="s">
        <v>71</v>
      </c>
      <c r="DJ72" s="160"/>
      <c r="DK72" s="141"/>
      <c r="DL72" s="203" t="str">
        <f t="shared" si="100"/>
        <v xml:space="preserve">                                                                                                                                                                                                                                                                </v>
      </c>
      <c r="DM72" s="174" t="str">
        <f t="shared" ref="DM72:DM135" si="250">IF(OR(DK$8="判定対象外",DL$8="判定対象外",DL72="-"),"-",IF(DK72=DL72,"OK","NG"))</f>
        <v>NG</v>
      </c>
      <c r="DN72" s="141"/>
      <c r="DO72" s="172" t="s">
        <v>71</v>
      </c>
      <c r="DP72" s="160"/>
      <c r="DQ72" s="141"/>
      <c r="DR72" s="203" t="str">
        <f t="shared" si="224"/>
        <v xml:space="preserve">                                                                                                                                                                                                                                                                </v>
      </c>
      <c r="DS72" s="174" t="str">
        <f t="shared" si="215"/>
        <v>NG</v>
      </c>
      <c r="DT72" s="141"/>
      <c r="DU72" s="172" t="s">
        <v>71</v>
      </c>
      <c r="DV72" s="160"/>
      <c r="DW72" s="141"/>
      <c r="DX72" s="203" t="str">
        <f t="shared" si="225"/>
        <v xml:space="preserve">                                                                                                                                                                                                                                                                </v>
      </c>
      <c r="DY72" s="174" t="str">
        <f t="shared" si="216"/>
        <v>NG</v>
      </c>
      <c r="DZ72" s="141"/>
      <c r="EA72" s="172" t="s">
        <v>71</v>
      </c>
      <c r="EB72" s="160"/>
      <c r="EC72" s="141"/>
      <c r="ED72" s="203" t="str">
        <f t="shared" si="226"/>
        <v xml:space="preserve">                                                                                                                                                                                                                                                                </v>
      </c>
      <c r="EE72" s="174" t="str">
        <f t="shared" si="217"/>
        <v>NG</v>
      </c>
      <c r="EF72" s="141"/>
      <c r="EG72" s="172" t="s">
        <v>71</v>
      </c>
      <c r="EH72" s="160"/>
      <c r="EI72" s="141"/>
      <c r="EJ72" s="203" t="str">
        <f t="shared" si="227"/>
        <v xml:space="preserve">                                                                                                                                                                                                                                                                </v>
      </c>
      <c r="EK72" s="174" t="str">
        <f t="shared" si="218"/>
        <v>NG</v>
      </c>
      <c r="EL72" s="141"/>
      <c r="EM72" s="172" t="s">
        <v>71</v>
      </c>
      <c r="EN72" s="160"/>
      <c r="EO72" s="141"/>
      <c r="EP72" s="203" t="str">
        <f t="shared" si="228"/>
        <v xml:space="preserve">                                                                                                                                                                                                                                                                </v>
      </c>
      <c r="EQ72" s="174" t="str">
        <f t="shared" si="219"/>
        <v>NG</v>
      </c>
      <c r="ER72" s="141"/>
      <c r="ES72" s="172" t="s">
        <v>71</v>
      </c>
      <c r="ET72" s="160"/>
      <c r="EU72" s="141"/>
      <c r="EV72" s="203" t="str">
        <f t="shared" si="229"/>
        <v xml:space="preserve">                                                                                                                                                                                                                                                                </v>
      </c>
      <c r="EW72" s="174" t="str">
        <f t="shared" si="220"/>
        <v>NG</v>
      </c>
      <c r="EX72" s="141"/>
      <c r="EY72" s="172" t="s">
        <v>71</v>
      </c>
      <c r="EZ72" s="160"/>
      <c r="FA72" s="141"/>
      <c r="FB72" s="203" t="str">
        <f t="shared" si="230"/>
        <v xml:space="preserve">                                                                                                                                                                                                                                                                </v>
      </c>
      <c r="FC72" s="174" t="str">
        <f t="shared" si="221"/>
        <v>NG</v>
      </c>
      <c r="FD72" s="141"/>
      <c r="FE72" s="172" t="s">
        <v>71</v>
      </c>
      <c r="FF72" s="160"/>
      <c r="FG72" s="141"/>
      <c r="FH72" s="203" t="str">
        <f t="shared" si="232"/>
        <v xml:space="preserve">                                                                                                                                                                                                                                                                </v>
      </c>
      <c r="FI72" s="174" t="str">
        <f t="shared" si="233"/>
        <v>NG</v>
      </c>
      <c r="FJ72" s="141"/>
      <c r="FK72" s="172" t="s">
        <v>71</v>
      </c>
      <c r="FL72" s="160"/>
      <c r="FM72" s="141"/>
      <c r="FN72" s="203" t="str">
        <f t="shared" si="102"/>
        <v xml:space="preserve">                                                                                                                                                                                                                                                                </v>
      </c>
      <c r="FO72" s="174" t="str">
        <f t="shared" ref="FO72:FO135" si="251">IF(OR(FM$8="判定対象外",FN$8="判定対象外",FN72="-"),"-",IF(FM72=FN72,"OK","NG"))</f>
        <v>NG</v>
      </c>
      <c r="FP72" s="141"/>
      <c r="FQ72" s="172" t="s">
        <v>71</v>
      </c>
      <c r="FR72" s="160"/>
      <c r="FS72" s="141"/>
      <c r="FT72" s="203" t="str">
        <f t="shared" si="103"/>
        <v xml:space="preserve">                                                                                                                                                                                                                                                                </v>
      </c>
      <c r="FU72" s="174" t="str">
        <f t="shared" ref="FU72:FU135" si="252">IF(OR(FS$8="判定対象外",FT$8="判定対象外",FT72="-"),"-",IF(FS72=FT72,"OK","NG"))</f>
        <v>NG</v>
      </c>
      <c r="FV72" s="141"/>
      <c r="FW72" s="172" t="s">
        <v>71</v>
      </c>
      <c r="FX72" s="160"/>
      <c r="FY72" s="141"/>
      <c r="FZ72" s="203" t="str">
        <f t="shared" si="104"/>
        <v xml:space="preserve">                                                                                                                                                                                                                                                                </v>
      </c>
      <c r="GA72" s="174" t="str">
        <f t="shared" ref="GA72:GA135" si="253">IF(OR(FY$8="判定対象外",FZ$8="判定対象外",FZ72="-"),"-",IF(FY72=FZ72,"OK","NG"))</f>
        <v>NG</v>
      </c>
      <c r="GB72" s="141"/>
      <c r="GC72" s="172" t="s">
        <v>71</v>
      </c>
    </row>
    <row r="73" spans="1:185" s="52" customFormat="1" ht="63.75">
      <c r="B73" s="48">
        <f t="shared" si="153"/>
        <v>66</v>
      </c>
      <c r="C73" s="37"/>
      <c r="D73" s="37"/>
      <c r="E73" s="37"/>
      <c r="F73" s="49" t="s">
        <v>198</v>
      </c>
      <c r="G73" s="39"/>
      <c r="H73" s="40"/>
      <c r="I73" s="42"/>
      <c r="J73" s="42"/>
      <c r="K73" s="42"/>
      <c r="L73" s="42"/>
      <c r="M73" s="63" t="s">
        <v>387</v>
      </c>
      <c r="N73" s="47"/>
      <c r="O73" s="143"/>
      <c r="P73" s="45">
        <f t="shared" si="235"/>
        <v>48</v>
      </c>
      <c r="Q73" s="46">
        <v>256</v>
      </c>
      <c r="R73" s="41" t="str">
        <f t="shared" si="234"/>
        <v>NX</v>
      </c>
      <c r="S73" s="185" t="s">
        <v>199</v>
      </c>
      <c r="T73" s="43"/>
      <c r="U73" s="41" t="s">
        <v>80</v>
      </c>
      <c r="V73" s="44"/>
      <c r="W73" s="22">
        <v>3</v>
      </c>
      <c r="X73" s="47" t="s">
        <v>200</v>
      </c>
      <c r="Y73" s="47">
        <v>1</v>
      </c>
      <c r="Z73" s="47">
        <v>256</v>
      </c>
      <c r="AA73" s="42" t="s">
        <v>195</v>
      </c>
      <c r="AB73" s="42" t="s">
        <v>80</v>
      </c>
      <c r="AC73" s="166"/>
      <c r="AD73" s="160"/>
      <c r="AE73" s="162"/>
      <c r="AF73" s="167" t="str">
        <f t="shared" si="236"/>
        <v xml:space="preserve">                                                                                                                                                                                                                                                                </v>
      </c>
      <c r="AG73" s="174" t="str">
        <f t="shared" si="237"/>
        <v>NG</v>
      </c>
      <c r="AH73" s="162"/>
      <c r="AI73" s="276" t="str">
        <f t="shared" ref="AI73:AI79" si="254">IF(OR(AE$8="判定対象外",AH$8="判定対象外",AH73="-"),"-",IF(AE73=AH73,"OK","NG"))</f>
        <v>OK</v>
      </c>
      <c r="AJ73" s="160"/>
      <c r="AK73" s="162"/>
      <c r="AL73" s="167" t="str">
        <f t="shared" si="231"/>
        <v xml:space="preserve">                                                                                                                                                                                                                                                                </v>
      </c>
      <c r="AM73" s="174" t="str">
        <f t="shared" si="155"/>
        <v>NG</v>
      </c>
      <c r="AN73" s="162"/>
      <c r="AO73" s="276" t="str">
        <f t="shared" ref="AO73:AO79" si="255">IF(OR(AK$8="判定対象外",AN$8="判定対象外",AN73="-"),"-",IF(AK73=AN73,"OK","NG"))</f>
        <v>OK</v>
      </c>
      <c r="AP73" s="160"/>
      <c r="AQ73" s="162"/>
      <c r="AR73" s="167" t="str">
        <f t="shared" si="157"/>
        <v xml:space="preserve">                                                                                                                                                                                                                                                                </v>
      </c>
      <c r="AS73" s="174" t="str">
        <f t="shared" si="238"/>
        <v>NG</v>
      </c>
      <c r="AT73" s="162"/>
      <c r="AU73" s="276" t="str">
        <f t="shared" ref="AU73:AU79" si="256">IF(OR(AQ$8="判定対象外",AT$8="判定対象外",AT73="-"),"-",IF(AQ73=AT73,"OK","NG"))</f>
        <v>OK</v>
      </c>
      <c r="AV73" s="160"/>
      <c r="AW73" s="162"/>
      <c r="AX73" s="167" t="str">
        <f t="shared" si="160"/>
        <v xml:space="preserve">                                                                                                                                                                                                                                                                </v>
      </c>
      <c r="AY73" s="174" t="str">
        <f t="shared" si="239"/>
        <v>NG</v>
      </c>
      <c r="AZ73" s="162"/>
      <c r="BA73" s="276" t="str">
        <f t="shared" ref="BA73:BA79" si="257">IF(OR(AW$8="判定対象外",AZ$8="判定対象外",AZ73="-"),"-",IF(AW73=AZ73,"OK","NG"))</f>
        <v>OK</v>
      </c>
      <c r="BB73" s="160"/>
      <c r="BC73" s="162"/>
      <c r="BD73" s="167" t="str">
        <f t="shared" si="163"/>
        <v xml:space="preserve">                                                                                                                                                                                                                                                                </v>
      </c>
      <c r="BE73" s="174" t="str">
        <f t="shared" si="240"/>
        <v>NG</v>
      </c>
      <c r="BF73" s="162"/>
      <c r="BG73" s="276" t="str">
        <f t="shared" ref="BG73:BG79" si="258">IF(OR(BC$8="判定対象外",BF$8="判定対象外",BF73="-"),"-",IF(BC73=BF73,"OK","NG"))</f>
        <v>OK</v>
      </c>
      <c r="BH73" s="160"/>
      <c r="BI73" s="162"/>
      <c r="BJ73" s="167" t="str">
        <f t="shared" si="91"/>
        <v xml:space="preserve">                                                                                                                                                                                                                                                                </v>
      </c>
      <c r="BK73" s="174" t="str">
        <f t="shared" si="241"/>
        <v>NG</v>
      </c>
      <c r="BL73" s="162"/>
      <c r="BM73" s="276" t="str">
        <f t="shared" ref="BM73:BM79" si="259">IF(OR(BI$8="判定対象外",BL$8="判定対象外",BL73="-"),"-",IF(BI73=BL73,"OK","NG"))</f>
        <v>OK</v>
      </c>
      <c r="BN73" s="160"/>
      <c r="BO73" s="162"/>
      <c r="BP73" s="167" t="str">
        <f t="shared" si="92"/>
        <v xml:space="preserve">                                                                                                                                                                                                                                                                </v>
      </c>
      <c r="BQ73" s="174" t="str">
        <f t="shared" si="242"/>
        <v>NG</v>
      </c>
      <c r="BR73" s="162"/>
      <c r="BS73" s="276" t="str">
        <f t="shared" ref="BS73:BS79" si="260">IF(OR(BO$8="判定対象外",BR$8="判定対象外",BR73="-"),"-",IF(BO73=BR73,"OK","NG"))</f>
        <v>OK</v>
      </c>
      <c r="BT73" s="160"/>
      <c r="BU73" s="162"/>
      <c r="BV73" s="167" t="str">
        <f t="shared" si="93"/>
        <v xml:space="preserve">                                                                                                                                                                                                                                                                </v>
      </c>
      <c r="BW73" s="174" t="str">
        <f t="shared" si="243"/>
        <v>NG</v>
      </c>
      <c r="BX73" s="162"/>
      <c r="BY73" s="276" t="str">
        <f t="shared" ref="BY73:BY79" si="261">IF(OR(BU$8="判定対象外",BX$8="判定対象外",BX73="-"),"-",IF(BU73=BX73,"OK","NG"))</f>
        <v>OK</v>
      </c>
      <c r="BZ73" s="160"/>
      <c r="CA73" s="162"/>
      <c r="CB73" s="167" t="str">
        <f t="shared" si="94"/>
        <v xml:space="preserve">                                                                                                                                                                                                                                                                </v>
      </c>
      <c r="CC73" s="174" t="str">
        <f t="shared" si="244"/>
        <v>NG</v>
      </c>
      <c r="CD73" s="162"/>
      <c r="CE73" s="276" t="str">
        <f t="shared" ref="CE73:CE79" si="262">IF(OR(CA$8="判定対象外",CD$8="判定対象外",CD73="-"),"-",IF(CA73=CD73,"OK","NG"))</f>
        <v>OK</v>
      </c>
      <c r="CF73" s="160"/>
      <c r="CG73" s="162"/>
      <c r="CH73" s="167" t="str">
        <f t="shared" si="95"/>
        <v xml:space="preserve">                                                                                                                                                                                                                                                                </v>
      </c>
      <c r="CI73" s="174" t="str">
        <f t="shared" si="245"/>
        <v>NG</v>
      </c>
      <c r="CJ73" s="162"/>
      <c r="CK73" s="276" t="str">
        <f t="shared" ref="CK73:CK79" si="263">IF(OR(CG$8="判定対象外",CJ$8="判定対象外",CJ73="-"),"-",IF(CG73=CJ73,"OK","NG"))</f>
        <v>OK</v>
      </c>
      <c r="CL73" s="160"/>
      <c r="CM73" s="162"/>
      <c r="CN73" s="167" t="str">
        <f t="shared" si="96"/>
        <v xml:space="preserve">                                                                                                                                                                                                                                                                </v>
      </c>
      <c r="CO73" s="174" t="str">
        <f t="shared" si="246"/>
        <v>NG</v>
      </c>
      <c r="CP73" s="162"/>
      <c r="CQ73" s="276" t="str">
        <f t="shared" ref="CQ73:CQ79" si="264">IF(OR(CM$8="判定対象外",CP$8="判定対象外",CP73="-"),"-",IF(CM73=CP73,"OK","NG"))</f>
        <v>OK</v>
      </c>
      <c r="CR73" s="160"/>
      <c r="CS73" s="162"/>
      <c r="CT73" s="167" t="str">
        <f t="shared" si="97"/>
        <v xml:space="preserve">                                                                                                                                                                                                                                                                </v>
      </c>
      <c r="CU73" s="174" t="str">
        <f t="shared" si="247"/>
        <v>NG</v>
      </c>
      <c r="CV73" s="162"/>
      <c r="CW73" s="276" t="str">
        <f t="shared" ref="CW73:CW79" si="265">IF(OR(CS$8="判定対象外",CV$8="判定対象外",CV73="-"),"-",IF(CS73=CV73,"OK","NG"))</f>
        <v>OK</v>
      </c>
      <c r="CX73" s="160"/>
      <c r="CY73" s="162"/>
      <c r="CZ73" s="167" t="str">
        <f t="shared" si="98"/>
        <v xml:space="preserve">                                                                                                                                                                                                                                                                </v>
      </c>
      <c r="DA73" s="174" t="str">
        <f t="shared" si="248"/>
        <v>NG</v>
      </c>
      <c r="DB73" s="162"/>
      <c r="DC73" s="276" t="str">
        <f t="shared" ref="DC73:DC79" si="266">IF(OR(CY$8="判定対象外",DB$8="判定対象外",DB73="-"),"-",IF(CY73=DB73,"OK","NG"))</f>
        <v>OK</v>
      </c>
      <c r="DD73" s="160"/>
      <c r="DE73" s="162"/>
      <c r="DF73" s="167" t="str">
        <f t="shared" si="99"/>
        <v xml:space="preserve">                                                                                                                                                                                                                                                                </v>
      </c>
      <c r="DG73" s="174" t="str">
        <f t="shared" si="249"/>
        <v>NG</v>
      </c>
      <c r="DH73" s="162"/>
      <c r="DI73" s="276" t="str">
        <f t="shared" ref="DI73:DI79" si="267">IF(OR(DE$8="判定対象外",DH$8="判定対象外",DH73="-"),"-",IF(DE73=DH73,"OK","NG"))</f>
        <v>OK</v>
      </c>
      <c r="DJ73" s="160"/>
      <c r="DK73" s="162"/>
      <c r="DL73" s="167" t="str">
        <f t="shared" si="100"/>
        <v xml:space="preserve">                                                                                                                                                                                                                                                                </v>
      </c>
      <c r="DM73" s="174" t="str">
        <f t="shared" si="250"/>
        <v>NG</v>
      </c>
      <c r="DN73" s="162"/>
      <c r="DO73" s="276" t="str">
        <f t="shared" ref="DO73:DO79" si="268">IF(OR(DK$8="判定対象外",DN$8="判定対象外",DN73="-"),"-",IF(DK73=DN73,"OK","NG"))</f>
        <v>OK</v>
      </c>
      <c r="DP73" s="160"/>
      <c r="DQ73" s="162"/>
      <c r="DR73" s="167" t="str">
        <f t="shared" si="224"/>
        <v xml:space="preserve">                                                                                                                                                                                                                                                                </v>
      </c>
      <c r="DS73" s="174" t="str">
        <f t="shared" si="215"/>
        <v>NG</v>
      </c>
      <c r="DT73" s="162"/>
      <c r="DU73" s="276" t="str">
        <f t="shared" ref="DU73:DU79" si="269">IF(OR(DQ$8="判定対象外",DT$8="判定対象外",DT73="-"),"-",IF(DQ73=DT73,"OK","NG"))</f>
        <v>OK</v>
      </c>
      <c r="DV73" s="160"/>
      <c r="DW73" s="162"/>
      <c r="DX73" s="167" t="str">
        <f t="shared" si="225"/>
        <v xml:space="preserve">                                                                                                                                                                                                                                                                </v>
      </c>
      <c r="DY73" s="174" t="str">
        <f t="shared" si="216"/>
        <v>NG</v>
      </c>
      <c r="DZ73" s="162"/>
      <c r="EA73" s="276" t="str">
        <f t="shared" ref="EA73:EA79" si="270">IF(OR(DW$8="判定対象外",DZ$8="判定対象外",DZ73="-"),"-",IF(DW73=DZ73,"OK","NG"))</f>
        <v>OK</v>
      </c>
      <c r="EB73" s="160"/>
      <c r="EC73" s="162"/>
      <c r="ED73" s="167" t="str">
        <f t="shared" si="226"/>
        <v xml:space="preserve">                                                                                                                                                                                                                                                                </v>
      </c>
      <c r="EE73" s="174" t="str">
        <f t="shared" si="217"/>
        <v>NG</v>
      </c>
      <c r="EF73" s="162"/>
      <c r="EG73" s="276" t="str">
        <f t="shared" ref="EG73:EG79" si="271">IF(OR(EC$8="判定対象外",EF$8="判定対象外",EF73="-"),"-",IF(EC73=EF73,"OK","NG"))</f>
        <v>OK</v>
      </c>
      <c r="EH73" s="160"/>
      <c r="EI73" s="162"/>
      <c r="EJ73" s="167" t="str">
        <f t="shared" si="227"/>
        <v xml:space="preserve">                                                                                                                                                                                                                                                                </v>
      </c>
      <c r="EK73" s="174" t="str">
        <f t="shared" si="218"/>
        <v>NG</v>
      </c>
      <c r="EL73" s="162"/>
      <c r="EM73" s="276" t="str">
        <f t="shared" ref="EM73:EM79" si="272">IF(OR(EI$8="判定対象外",EL$8="判定対象外",EL73="-"),"-",IF(EI73=EL73,"OK","NG"))</f>
        <v>OK</v>
      </c>
      <c r="EN73" s="160"/>
      <c r="EO73" s="162"/>
      <c r="EP73" s="167" t="str">
        <f t="shared" si="228"/>
        <v xml:space="preserve">                                                                                                                                                                                                                                                                </v>
      </c>
      <c r="EQ73" s="174" t="str">
        <f t="shared" si="219"/>
        <v>NG</v>
      </c>
      <c r="ER73" s="162"/>
      <c r="ES73" s="276" t="str">
        <f t="shared" ref="ES73:ES79" si="273">IF(OR(EO$8="判定対象外",ER$8="判定対象外",ER73="-"),"-",IF(EO73=ER73,"OK","NG"))</f>
        <v>OK</v>
      </c>
      <c r="ET73" s="160"/>
      <c r="EU73" s="162"/>
      <c r="EV73" s="167" t="str">
        <f t="shared" si="229"/>
        <v xml:space="preserve">                                                                                                                                                                                                                                                                </v>
      </c>
      <c r="EW73" s="174" t="str">
        <f t="shared" si="220"/>
        <v>NG</v>
      </c>
      <c r="EX73" s="162"/>
      <c r="EY73" s="276" t="str">
        <f t="shared" ref="EY73:EY79" si="274">IF(OR(EU$8="判定対象外",EX$8="判定対象外",EX73="-"),"-",IF(EU73=EX73,"OK","NG"))</f>
        <v>OK</v>
      </c>
      <c r="EZ73" s="160"/>
      <c r="FA73" s="162"/>
      <c r="FB73" s="167" t="str">
        <f t="shared" si="230"/>
        <v xml:space="preserve">                                                                                                                                                                                                                                                                </v>
      </c>
      <c r="FC73" s="174" t="str">
        <f t="shared" si="221"/>
        <v>NG</v>
      </c>
      <c r="FD73" s="162"/>
      <c r="FE73" s="276" t="str">
        <f t="shared" ref="FE73:FE79" si="275">IF(OR(FA$8="判定対象外",FD$8="判定対象外",FD73="-"),"-",IF(FA73=FD73,"OK","NG"))</f>
        <v>OK</v>
      </c>
      <c r="FF73" s="160"/>
      <c r="FG73" s="162"/>
      <c r="FH73" s="167" t="str">
        <f t="shared" si="232"/>
        <v xml:space="preserve">                                                                                                                                                                                                                                                                </v>
      </c>
      <c r="FI73" s="174" t="str">
        <f t="shared" si="233"/>
        <v>NG</v>
      </c>
      <c r="FJ73" s="162"/>
      <c r="FK73" s="276" t="str">
        <f t="shared" ref="FK73:FK79" si="276">IF(OR(FG$8="判定対象外",FJ$8="判定対象外",FJ73="-"),"-",IF(FG73=FJ73,"OK","NG"))</f>
        <v>OK</v>
      </c>
      <c r="FL73" s="160"/>
      <c r="FM73" s="162"/>
      <c r="FN73" s="167" t="str">
        <f t="shared" si="102"/>
        <v xml:space="preserve">                                                                                                                                                                                                                                                                </v>
      </c>
      <c r="FO73" s="174" t="str">
        <f t="shared" si="251"/>
        <v>NG</v>
      </c>
      <c r="FP73" s="162"/>
      <c r="FQ73" s="276" t="str">
        <f t="shared" ref="FQ73:FQ79" si="277">IF(OR(FM$8="判定対象外",FP$8="判定対象外",FP73="-"),"-",IF(FM73=FP73,"OK","NG"))</f>
        <v>OK</v>
      </c>
      <c r="FR73" s="160"/>
      <c r="FS73" s="162"/>
      <c r="FT73" s="167" t="str">
        <f t="shared" si="103"/>
        <v xml:space="preserve">                                                                                                                                                                                                                                                                </v>
      </c>
      <c r="FU73" s="174" t="str">
        <f t="shared" si="252"/>
        <v>NG</v>
      </c>
      <c r="FV73" s="162"/>
      <c r="FW73" s="276" t="str">
        <f t="shared" ref="FW73:FW79" si="278">IF(OR(FS$8="判定対象外",FV$8="判定対象外",FV73="-"),"-",IF(FS73=FV73,"OK","NG"))</f>
        <v>OK</v>
      </c>
      <c r="FX73" s="160"/>
      <c r="FY73" s="162"/>
      <c r="FZ73" s="167" t="str">
        <f t="shared" si="104"/>
        <v xml:space="preserve">                                                                                                                                                                                                                                                                </v>
      </c>
      <c r="GA73" s="174" t="str">
        <f t="shared" si="253"/>
        <v>NG</v>
      </c>
      <c r="GB73" s="162"/>
      <c r="GC73" s="276" t="str">
        <f t="shared" ref="GC73:GC79" si="279">IF(OR(FY$8="判定対象外",GB$8="判定対象外",GB73="-"),"-",IF(FY73=GB73,"OK","NG"))</f>
        <v>OK</v>
      </c>
    </row>
    <row r="74" spans="1:185" s="52" customFormat="1" ht="63.75">
      <c r="B74" s="48">
        <f t="shared" si="153"/>
        <v>67</v>
      </c>
      <c r="C74" s="37"/>
      <c r="D74" s="37"/>
      <c r="E74" s="37"/>
      <c r="F74" s="49" t="s">
        <v>201</v>
      </c>
      <c r="G74" s="39"/>
      <c r="H74" s="40"/>
      <c r="I74" s="42"/>
      <c r="J74" s="42"/>
      <c r="K74" s="42"/>
      <c r="L74" s="42"/>
      <c r="M74" s="63" t="s">
        <v>399</v>
      </c>
      <c r="N74" s="47"/>
      <c r="O74" s="143"/>
      <c r="P74" s="45">
        <f t="shared" si="235"/>
        <v>49</v>
      </c>
      <c r="Q74" s="46">
        <v>256</v>
      </c>
      <c r="R74" s="41" t="str">
        <f t="shared" si="234"/>
        <v>NX</v>
      </c>
      <c r="S74" s="185" t="s">
        <v>202</v>
      </c>
      <c r="T74" s="43"/>
      <c r="U74" s="41" t="s">
        <v>80</v>
      </c>
      <c r="V74" s="44"/>
      <c r="W74" s="22">
        <v>3</v>
      </c>
      <c r="X74" s="47" t="s">
        <v>203</v>
      </c>
      <c r="Y74" s="47">
        <v>1</v>
      </c>
      <c r="Z74" s="47">
        <v>256</v>
      </c>
      <c r="AA74" s="42" t="s">
        <v>195</v>
      </c>
      <c r="AB74" s="42" t="s">
        <v>80</v>
      </c>
      <c r="AC74" s="166"/>
      <c r="AD74" s="160"/>
      <c r="AE74" s="162"/>
      <c r="AF74" s="167" t="str">
        <f t="shared" si="236"/>
        <v xml:space="preserve">                                                                                                                                                                                                                                                                </v>
      </c>
      <c r="AG74" s="174" t="str">
        <f t="shared" si="237"/>
        <v>NG</v>
      </c>
      <c r="AH74" s="162"/>
      <c r="AI74" s="276" t="str">
        <f t="shared" si="254"/>
        <v>OK</v>
      </c>
      <c r="AJ74" s="160"/>
      <c r="AK74" s="162"/>
      <c r="AL74" s="167" t="str">
        <f t="shared" si="231"/>
        <v xml:space="preserve">                                                                                                                                                                                                                                                                </v>
      </c>
      <c r="AM74" s="174" t="str">
        <f t="shared" si="155"/>
        <v>NG</v>
      </c>
      <c r="AN74" s="162"/>
      <c r="AO74" s="276" t="str">
        <f t="shared" si="255"/>
        <v>OK</v>
      </c>
      <c r="AP74" s="160"/>
      <c r="AQ74" s="162"/>
      <c r="AR74" s="167" t="str">
        <f t="shared" si="157"/>
        <v xml:space="preserve">                                                                                                                                                                                                                                                                </v>
      </c>
      <c r="AS74" s="174" t="str">
        <f t="shared" si="238"/>
        <v>NG</v>
      </c>
      <c r="AT74" s="162"/>
      <c r="AU74" s="276" t="str">
        <f t="shared" si="256"/>
        <v>OK</v>
      </c>
      <c r="AV74" s="160"/>
      <c r="AW74" s="162"/>
      <c r="AX74" s="167" t="str">
        <f t="shared" si="160"/>
        <v xml:space="preserve">                                                                                                                                                                                                                                                                </v>
      </c>
      <c r="AY74" s="174" t="str">
        <f t="shared" si="239"/>
        <v>NG</v>
      </c>
      <c r="AZ74" s="162"/>
      <c r="BA74" s="276" t="str">
        <f t="shared" si="257"/>
        <v>OK</v>
      </c>
      <c r="BB74" s="160"/>
      <c r="BC74" s="162"/>
      <c r="BD74" s="167" t="str">
        <f t="shared" si="163"/>
        <v xml:space="preserve">                                                                                                                                                                                                                                                                </v>
      </c>
      <c r="BE74" s="174" t="str">
        <f t="shared" si="240"/>
        <v>NG</v>
      </c>
      <c r="BF74" s="162"/>
      <c r="BG74" s="276" t="str">
        <f t="shared" si="258"/>
        <v>OK</v>
      </c>
      <c r="BH74" s="160"/>
      <c r="BI74" s="162"/>
      <c r="BJ74" s="167" t="str">
        <f t="shared" si="91"/>
        <v xml:space="preserve">                                                                                                                                                                                                                                                                </v>
      </c>
      <c r="BK74" s="174" t="str">
        <f t="shared" si="241"/>
        <v>NG</v>
      </c>
      <c r="BL74" s="162"/>
      <c r="BM74" s="276" t="str">
        <f t="shared" si="259"/>
        <v>OK</v>
      </c>
      <c r="BN74" s="160"/>
      <c r="BO74" s="162"/>
      <c r="BP74" s="167" t="str">
        <f t="shared" si="92"/>
        <v xml:space="preserve">                                                                                                                                                                                                                                                                </v>
      </c>
      <c r="BQ74" s="174" t="str">
        <f t="shared" si="242"/>
        <v>NG</v>
      </c>
      <c r="BR74" s="162"/>
      <c r="BS74" s="276" t="str">
        <f t="shared" si="260"/>
        <v>OK</v>
      </c>
      <c r="BT74" s="160"/>
      <c r="BU74" s="162"/>
      <c r="BV74" s="167" t="str">
        <f t="shared" si="93"/>
        <v xml:space="preserve">                                                                                                                                                                                                                                                                </v>
      </c>
      <c r="BW74" s="174" t="str">
        <f t="shared" si="243"/>
        <v>NG</v>
      </c>
      <c r="BX74" s="162"/>
      <c r="BY74" s="276" t="str">
        <f t="shared" si="261"/>
        <v>OK</v>
      </c>
      <c r="BZ74" s="160"/>
      <c r="CA74" s="162"/>
      <c r="CB74" s="167" t="str">
        <f t="shared" si="94"/>
        <v xml:space="preserve">                                                                                                                                                                                                                                                                </v>
      </c>
      <c r="CC74" s="174" t="str">
        <f t="shared" si="244"/>
        <v>NG</v>
      </c>
      <c r="CD74" s="162"/>
      <c r="CE74" s="276" t="str">
        <f t="shared" si="262"/>
        <v>OK</v>
      </c>
      <c r="CF74" s="160"/>
      <c r="CG74" s="162"/>
      <c r="CH74" s="167" t="str">
        <f t="shared" si="95"/>
        <v xml:space="preserve">                                                                                                                                                                                                                                                                </v>
      </c>
      <c r="CI74" s="174" t="str">
        <f t="shared" si="245"/>
        <v>NG</v>
      </c>
      <c r="CJ74" s="162"/>
      <c r="CK74" s="276" t="str">
        <f t="shared" si="263"/>
        <v>OK</v>
      </c>
      <c r="CL74" s="160"/>
      <c r="CM74" s="162"/>
      <c r="CN74" s="167" t="str">
        <f t="shared" si="96"/>
        <v xml:space="preserve">                                                                                                                                                                                                                                                                </v>
      </c>
      <c r="CO74" s="174" t="str">
        <f t="shared" si="246"/>
        <v>NG</v>
      </c>
      <c r="CP74" s="162"/>
      <c r="CQ74" s="276" t="str">
        <f t="shared" si="264"/>
        <v>OK</v>
      </c>
      <c r="CR74" s="160"/>
      <c r="CS74" s="162"/>
      <c r="CT74" s="167" t="str">
        <f t="shared" si="97"/>
        <v xml:space="preserve">                                                                                                                                                                                                                                                                </v>
      </c>
      <c r="CU74" s="174" t="str">
        <f t="shared" si="247"/>
        <v>NG</v>
      </c>
      <c r="CV74" s="162"/>
      <c r="CW74" s="276" t="str">
        <f t="shared" si="265"/>
        <v>OK</v>
      </c>
      <c r="CX74" s="160"/>
      <c r="CY74" s="162"/>
      <c r="CZ74" s="167" t="str">
        <f t="shared" si="98"/>
        <v xml:space="preserve">                                                                                                                                                                                                                                                                </v>
      </c>
      <c r="DA74" s="174" t="str">
        <f t="shared" si="248"/>
        <v>NG</v>
      </c>
      <c r="DB74" s="162"/>
      <c r="DC74" s="276" t="str">
        <f t="shared" si="266"/>
        <v>OK</v>
      </c>
      <c r="DD74" s="160"/>
      <c r="DE74" s="162"/>
      <c r="DF74" s="167" t="str">
        <f t="shared" si="99"/>
        <v xml:space="preserve">                                                                                                                                                                                                                                                                </v>
      </c>
      <c r="DG74" s="174" t="str">
        <f t="shared" si="249"/>
        <v>NG</v>
      </c>
      <c r="DH74" s="162"/>
      <c r="DI74" s="276" t="str">
        <f t="shared" si="267"/>
        <v>OK</v>
      </c>
      <c r="DJ74" s="160"/>
      <c r="DK74" s="162"/>
      <c r="DL74" s="167" t="str">
        <f t="shared" si="100"/>
        <v xml:space="preserve">                                                                                                                                                                                                                                                                </v>
      </c>
      <c r="DM74" s="174" t="str">
        <f t="shared" si="250"/>
        <v>NG</v>
      </c>
      <c r="DN74" s="162"/>
      <c r="DO74" s="276" t="str">
        <f t="shared" si="268"/>
        <v>OK</v>
      </c>
      <c r="DP74" s="160"/>
      <c r="DQ74" s="162"/>
      <c r="DR74" s="167" t="str">
        <f t="shared" si="224"/>
        <v xml:space="preserve">                                                                                                                                                                                                                                                                </v>
      </c>
      <c r="DS74" s="174" t="str">
        <f t="shared" si="215"/>
        <v>NG</v>
      </c>
      <c r="DT74" s="162"/>
      <c r="DU74" s="276" t="str">
        <f t="shared" si="269"/>
        <v>OK</v>
      </c>
      <c r="DV74" s="160"/>
      <c r="DW74" s="162"/>
      <c r="DX74" s="167" t="str">
        <f t="shared" si="225"/>
        <v xml:space="preserve">                                                                                                                                                                                                                                                                </v>
      </c>
      <c r="DY74" s="174" t="str">
        <f t="shared" si="216"/>
        <v>NG</v>
      </c>
      <c r="DZ74" s="162"/>
      <c r="EA74" s="276" t="str">
        <f t="shared" si="270"/>
        <v>OK</v>
      </c>
      <c r="EB74" s="160"/>
      <c r="EC74" s="162"/>
      <c r="ED74" s="167" t="str">
        <f t="shared" si="226"/>
        <v xml:space="preserve">                                                                                                                                                                                                                                                                </v>
      </c>
      <c r="EE74" s="174" t="str">
        <f t="shared" si="217"/>
        <v>NG</v>
      </c>
      <c r="EF74" s="162"/>
      <c r="EG74" s="276" t="str">
        <f t="shared" si="271"/>
        <v>OK</v>
      </c>
      <c r="EH74" s="160"/>
      <c r="EI74" s="162"/>
      <c r="EJ74" s="167" t="str">
        <f t="shared" si="227"/>
        <v xml:space="preserve">                                                                                                                                                                                                                                                                </v>
      </c>
      <c r="EK74" s="174" t="str">
        <f t="shared" si="218"/>
        <v>NG</v>
      </c>
      <c r="EL74" s="162"/>
      <c r="EM74" s="276" t="str">
        <f t="shared" si="272"/>
        <v>OK</v>
      </c>
      <c r="EN74" s="160"/>
      <c r="EO74" s="162"/>
      <c r="EP74" s="167" t="str">
        <f t="shared" si="228"/>
        <v xml:space="preserve">                                                                                                                                                                                                                                                                </v>
      </c>
      <c r="EQ74" s="174" t="str">
        <f t="shared" si="219"/>
        <v>NG</v>
      </c>
      <c r="ER74" s="162"/>
      <c r="ES74" s="276" t="str">
        <f t="shared" si="273"/>
        <v>OK</v>
      </c>
      <c r="ET74" s="160"/>
      <c r="EU74" s="162"/>
      <c r="EV74" s="167" t="str">
        <f t="shared" si="229"/>
        <v xml:space="preserve">                                                                                                                                                                                                                                                                </v>
      </c>
      <c r="EW74" s="174" t="str">
        <f t="shared" si="220"/>
        <v>NG</v>
      </c>
      <c r="EX74" s="162"/>
      <c r="EY74" s="276" t="str">
        <f t="shared" si="274"/>
        <v>OK</v>
      </c>
      <c r="EZ74" s="160"/>
      <c r="FA74" s="162"/>
      <c r="FB74" s="167" t="str">
        <f t="shared" si="230"/>
        <v xml:space="preserve">                                                                                                                                                                                                                                                                </v>
      </c>
      <c r="FC74" s="174" t="str">
        <f t="shared" si="221"/>
        <v>NG</v>
      </c>
      <c r="FD74" s="162"/>
      <c r="FE74" s="276" t="str">
        <f t="shared" si="275"/>
        <v>OK</v>
      </c>
      <c r="FF74" s="160"/>
      <c r="FG74" s="162"/>
      <c r="FH74" s="167" t="str">
        <f t="shared" si="232"/>
        <v xml:space="preserve">                                                                                                                                                                                                                                                                </v>
      </c>
      <c r="FI74" s="174" t="str">
        <f t="shared" si="233"/>
        <v>NG</v>
      </c>
      <c r="FJ74" s="162"/>
      <c r="FK74" s="276" t="str">
        <f t="shared" si="276"/>
        <v>OK</v>
      </c>
      <c r="FL74" s="160"/>
      <c r="FM74" s="162"/>
      <c r="FN74" s="167" t="str">
        <f t="shared" si="102"/>
        <v xml:space="preserve">                                                                                                                                                                                                                                                                </v>
      </c>
      <c r="FO74" s="174" t="str">
        <f t="shared" si="251"/>
        <v>NG</v>
      </c>
      <c r="FP74" s="162"/>
      <c r="FQ74" s="276" t="str">
        <f t="shared" si="277"/>
        <v>OK</v>
      </c>
      <c r="FR74" s="160"/>
      <c r="FS74" s="162"/>
      <c r="FT74" s="167" t="str">
        <f t="shared" si="103"/>
        <v xml:space="preserve">                                                                                                                                                                                                                                                                </v>
      </c>
      <c r="FU74" s="174" t="str">
        <f t="shared" si="252"/>
        <v>NG</v>
      </c>
      <c r="FV74" s="162"/>
      <c r="FW74" s="276" t="str">
        <f t="shared" si="278"/>
        <v>OK</v>
      </c>
      <c r="FX74" s="160"/>
      <c r="FY74" s="162"/>
      <c r="FZ74" s="167" t="str">
        <f t="shared" si="104"/>
        <v xml:space="preserve">                                                                                                                                                                                                                                                                </v>
      </c>
      <c r="GA74" s="174" t="str">
        <f t="shared" si="253"/>
        <v>NG</v>
      </c>
      <c r="GB74" s="162"/>
      <c r="GC74" s="276" t="str">
        <f t="shared" si="279"/>
        <v>OK</v>
      </c>
    </row>
    <row r="75" spans="1:185" s="52" customFormat="1" ht="69" customHeight="1">
      <c r="B75" s="53">
        <f t="shared" si="153"/>
        <v>68</v>
      </c>
      <c r="C75" s="37"/>
      <c r="D75" s="37"/>
      <c r="E75" s="37"/>
      <c r="F75" s="188" t="s">
        <v>329</v>
      </c>
      <c r="G75" s="39"/>
      <c r="H75" s="40"/>
      <c r="I75" s="42"/>
      <c r="J75" s="42" t="s">
        <v>316</v>
      </c>
      <c r="K75" s="42"/>
      <c r="L75" s="42"/>
      <c r="M75" s="63" t="s">
        <v>330</v>
      </c>
      <c r="N75" s="47"/>
      <c r="O75" s="143"/>
      <c r="P75" s="45">
        <f t="shared" si="235"/>
        <v>50</v>
      </c>
      <c r="Q75" s="46">
        <v>1</v>
      </c>
      <c r="R75" s="41" t="s">
        <v>81</v>
      </c>
      <c r="S75" s="185" t="s">
        <v>204</v>
      </c>
      <c r="T75" s="43"/>
      <c r="U75" s="41" t="s">
        <v>80</v>
      </c>
      <c r="V75" s="44"/>
      <c r="W75" s="22">
        <v>3</v>
      </c>
      <c r="X75" s="47" t="s">
        <v>205</v>
      </c>
      <c r="Y75" s="47">
        <v>1</v>
      </c>
      <c r="Z75" s="47">
        <v>1</v>
      </c>
      <c r="AA75" s="42">
        <v>9</v>
      </c>
      <c r="AB75" s="42" t="s">
        <v>57</v>
      </c>
      <c r="AC75" s="166"/>
      <c r="AD75" s="160"/>
      <c r="AE75" s="162"/>
      <c r="AF75" s="203" t="str">
        <f t="shared" si="236"/>
        <v xml:space="preserve"> </v>
      </c>
      <c r="AG75" s="174" t="str">
        <f t="shared" si="237"/>
        <v>NG</v>
      </c>
      <c r="AH75" s="162"/>
      <c r="AI75" s="276" t="str">
        <f t="shared" si="254"/>
        <v>OK</v>
      </c>
      <c r="AJ75" s="160"/>
      <c r="AK75" s="162"/>
      <c r="AL75" s="203" t="str">
        <f t="shared" si="231"/>
        <v xml:space="preserve"> </v>
      </c>
      <c r="AM75" s="174" t="str">
        <f t="shared" si="155"/>
        <v>NG</v>
      </c>
      <c r="AN75" s="162"/>
      <c r="AO75" s="276" t="str">
        <f t="shared" si="255"/>
        <v>OK</v>
      </c>
      <c r="AP75" s="160"/>
      <c r="AQ75" s="162"/>
      <c r="AR75" s="203" t="str">
        <f t="shared" si="157"/>
        <v xml:space="preserve"> </v>
      </c>
      <c r="AS75" s="174" t="str">
        <f t="shared" si="238"/>
        <v>NG</v>
      </c>
      <c r="AT75" s="162"/>
      <c r="AU75" s="276" t="str">
        <f t="shared" si="256"/>
        <v>OK</v>
      </c>
      <c r="AV75" s="160"/>
      <c r="AW75" s="162"/>
      <c r="AX75" s="203" t="str">
        <f t="shared" si="160"/>
        <v xml:space="preserve"> </v>
      </c>
      <c r="AY75" s="174" t="str">
        <f t="shared" si="239"/>
        <v>NG</v>
      </c>
      <c r="AZ75" s="162"/>
      <c r="BA75" s="276" t="str">
        <f t="shared" si="257"/>
        <v>OK</v>
      </c>
      <c r="BB75" s="160"/>
      <c r="BC75" s="162"/>
      <c r="BD75" s="203" t="str">
        <f t="shared" si="163"/>
        <v xml:space="preserve"> </v>
      </c>
      <c r="BE75" s="174" t="str">
        <f t="shared" si="240"/>
        <v>NG</v>
      </c>
      <c r="BF75" s="162"/>
      <c r="BG75" s="276" t="str">
        <f t="shared" si="258"/>
        <v>OK</v>
      </c>
      <c r="BH75" s="160"/>
      <c r="BI75" s="162"/>
      <c r="BJ75" s="203" t="str">
        <f t="shared" si="91"/>
        <v xml:space="preserve"> </v>
      </c>
      <c r="BK75" s="174" t="str">
        <f t="shared" si="241"/>
        <v>NG</v>
      </c>
      <c r="BL75" s="162"/>
      <c r="BM75" s="276" t="str">
        <f t="shared" si="259"/>
        <v>OK</v>
      </c>
      <c r="BN75" s="160"/>
      <c r="BO75" s="162"/>
      <c r="BP75" s="203" t="str">
        <f t="shared" si="92"/>
        <v xml:space="preserve"> </v>
      </c>
      <c r="BQ75" s="174" t="str">
        <f t="shared" si="242"/>
        <v>NG</v>
      </c>
      <c r="BR75" s="162"/>
      <c r="BS75" s="276" t="str">
        <f t="shared" si="260"/>
        <v>OK</v>
      </c>
      <c r="BT75" s="160"/>
      <c r="BU75" s="162"/>
      <c r="BV75" s="203" t="str">
        <f t="shared" si="93"/>
        <v xml:space="preserve"> </v>
      </c>
      <c r="BW75" s="174" t="str">
        <f t="shared" si="243"/>
        <v>NG</v>
      </c>
      <c r="BX75" s="162"/>
      <c r="BY75" s="276" t="str">
        <f t="shared" si="261"/>
        <v>OK</v>
      </c>
      <c r="BZ75" s="160"/>
      <c r="CA75" s="162"/>
      <c r="CB75" s="203" t="str">
        <f t="shared" si="94"/>
        <v xml:space="preserve"> </v>
      </c>
      <c r="CC75" s="174" t="str">
        <f t="shared" si="244"/>
        <v>NG</v>
      </c>
      <c r="CD75" s="162"/>
      <c r="CE75" s="276" t="str">
        <f t="shared" si="262"/>
        <v>OK</v>
      </c>
      <c r="CF75" s="160"/>
      <c r="CG75" s="162"/>
      <c r="CH75" s="203" t="str">
        <f t="shared" si="95"/>
        <v xml:space="preserve"> </v>
      </c>
      <c r="CI75" s="174" t="str">
        <f t="shared" si="245"/>
        <v>NG</v>
      </c>
      <c r="CJ75" s="162"/>
      <c r="CK75" s="276" t="str">
        <f t="shared" si="263"/>
        <v>OK</v>
      </c>
      <c r="CL75" s="160"/>
      <c r="CM75" s="162"/>
      <c r="CN75" s="203" t="str">
        <f t="shared" si="96"/>
        <v xml:space="preserve"> </v>
      </c>
      <c r="CO75" s="174" t="str">
        <f t="shared" si="246"/>
        <v>NG</v>
      </c>
      <c r="CP75" s="162"/>
      <c r="CQ75" s="276" t="str">
        <f t="shared" si="264"/>
        <v>OK</v>
      </c>
      <c r="CR75" s="160"/>
      <c r="CS75" s="162"/>
      <c r="CT75" s="203" t="str">
        <f t="shared" si="97"/>
        <v xml:space="preserve"> </v>
      </c>
      <c r="CU75" s="174" t="str">
        <f t="shared" si="247"/>
        <v>NG</v>
      </c>
      <c r="CV75" s="162"/>
      <c r="CW75" s="276" t="str">
        <f t="shared" si="265"/>
        <v>OK</v>
      </c>
      <c r="CX75" s="160"/>
      <c r="CY75" s="162"/>
      <c r="CZ75" s="203" t="str">
        <f t="shared" si="98"/>
        <v xml:space="preserve"> </v>
      </c>
      <c r="DA75" s="174" t="str">
        <f t="shared" si="248"/>
        <v>NG</v>
      </c>
      <c r="DB75" s="162"/>
      <c r="DC75" s="276" t="str">
        <f t="shared" si="266"/>
        <v>OK</v>
      </c>
      <c r="DD75" s="160"/>
      <c r="DE75" s="162"/>
      <c r="DF75" s="203" t="str">
        <f t="shared" si="99"/>
        <v xml:space="preserve"> </v>
      </c>
      <c r="DG75" s="174" t="str">
        <f t="shared" si="249"/>
        <v>NG</v>
      </c>
      <c r="DH75" s="162"/>
      <c r="DI75" s="276" t="str">
        <f t="shared" si="267"/>
        <v>OK</v>
      </c>
      <c r="DJ75" s="160"/>
      <c r="DK75" s="162"/>
      <c r="DL75" s="203" t="str">
        <f t="shared" si="100"/>
        <v xml:space="preserve"> </v>
      </c>
      <c r="DM75" s="174" t="str">
        <f t="shared" si="250"/>
        <v>NG</v>
      </c>
      <c r="DN75" s="162"/>
      <c r="DO75" s="276" t="str">
        <f t="shared" si="268"/>
        <v>OK</v>
      </c>
      <c r="DP75" s="160"/>
      <c r="DQ75" s="162"/>
      <c r="DR75" s="203" t="str">
        <f t="shared" si="224"/>
        <v xml:space="preserve"> </v>
      </c>
      <c r="DS75" s="174" t="str">
        <f t="shared" si="215"/>
        <v>NG</v>
      </c>
      <c r="DT75" s="162"/>
      <c r="DU75" s="276" t="str">
        <f t="shared" si="269"/>
        <v>OK</v>
      </c>
      <c r="DV75" s="160"/>
      <c r="DW75" s="162"/>
      <c r="DX75" s="203" t="str">
        <f t="shared" si="225"/>
        <v xml:space="preserve"> </v>
      </c>
      <c r="DY75" s="174" t="str">
        <f t="shared" si="216"/>
        <v>NG</v>
      </c>
      <c r="DZ75" s="162"/>
      <c r="EA75" s="276" t="str">
        <f t="shared" si="270"/>
        <v>OK</v>
      </c>
      <c r="EB75" s="160"/>
      <c r="EC75" s="162"/>
      <c r="ED75" s="203" t="str">
        <f t="shared" si="226"/>
        <v xml:space="preserve"> </v>
      </c>
      <c r="EE75" s="174" t="str">
        <f t="shared" si="217"/>
        <v>NG</v>
      </c>
      <c r="EF75" s="162"/>
      <c r="EG75" s="276" t="str">
        <f t="shared" si="271"/>
        <v>OK</v>
      </c>
      <c r="EH75" s="160"/>
      <c r="EI75" s="162"/>
      <c r="EJ75" s="203" t="str">
        <f t="shared" si="227"/>
        <v xml:space="preserve"> </v>
      </c>
      <c r="EK75" s="174" t="str">
        <f t="shared" si="218"/>
        <v>NG</v>
      </c>
      <c r="EL75" s="162"/>
      <c r="EM75" s="276" t="str">
        <f t="shared" si="272"/>
        <v>OK</v>
      </c>
      <c r="EN75" s="160"/>
      <c r="EO75" s="162"/>
      <c r="EP75" s="203" t="str">
        <f t="shared" si="228"/>
        <v xml:space="preserve"> </v>
      </c>
      <c r="EQ75" s="174" t="str">
        <f t="shared" si="219"/>
        <v>NG</v>
      </c>
      <c r="ER75" s="162"/>
      <c r="ES75" s="276" t="str">
        <f t="shared" si="273"/>
        <v>OK</v>
      </c>
      <c r="ET75" s="160"/>
      <c r="EU75" s="162"/>
      <c r="EV75" s="203" t="str">
        <f t="shared" si="229"/>
        <v xml:space="preserve"> </v>
      </c>
      <c r="EW75" s="174" t="str">
        <f t="shared" si="220"/>
        <v>NG</v>
      </c>
      <c r="EX75" s="162"/>
      <c r="EY75" s="276" t="str">
        <f t="shared" si="274"/>
        <v>OK</v>
      </c>
      <c r="EZ75" s="160"/>
      <c r="FA75" s="162"/>
      <c r="FB75" s="203" t="str">
        <f t="shared" si="230"/>
        <v xml:space="preserve"> </v>
      </c>
      <c r="FC75" s="174" t="str">
        <f t="shared" si="221"/>
        <v>NG</v>
      </c>
      <c r="FD75" s="162"/>
      <c r="FE75" s="276" t="str">
        <f t="shared" si="275"/>
        <v>OK</v>
      </c>
      <c r="FF75" s="160"/>
      <c r="FG75" s="162"/>
      <c r="FH75" s="203" t="str">
        <f t="shared" si="232"/>
        <v xml:space="preserve"> </v>
      </c>
      <c r="FI75" s="174" t="str">
        <f t="shared" si="233"/>
        <v>NG</v>
      </c>
      <c r="FJ75" s="162"/>
      <c r="FK75" s="276" t="str">
        <f t="shared" si="276"/>
        <v>OK</v>
      </c>
      <c r="FL75" s="160"/>
      <c r="FM75" s="162"/>
      <c r="FN75" s="203" t="str">
        <f t="shared" si="102"/>
        <v xml:space="preserve"> </v>
      </c>
      <c r="FO75" s="174" t="str">
        <f t="shared" si="251"/>
        <v>NG</v>
      </c>
      <c r="FP75" s="162"/>
      <c r="FQ75" s="276" t="str">
        <f t="shared" si="277"/>
        <v>OK</v>
      </c>
      <c r="FR75" s="160"/>
      <c r="FS75" s="162"/>
      <c r="FT75" s="203" t="str">
        <f t="shared" si="103"/>
        <v xml:space="preserve"> </v>
      </c>
      <c r="FU75" s="174" t="str">
        <f t="shared" si="252"/>
        <v>NG</v>
      </c>
      <c r="FV75" s="162"/>
      <c r="FW75" s="276" t="str">
        <f t="shared" si="278"/>
        <v>OK</v>
      </c>
      <c r="FX75" s="160"/>
      <c r="FY75" s="162"/>
      <c r="FZ75" s="203" t="str">
        <f t="shared" si="104"/>
        <v xml:space="preserve"> </v>
      </c>
      <c r="GA75" s="174" t="str">
        <f t="shared" si="253"/>
        <v>NG</v>
      </c>
      <c r="GB75" s="162"/>
      <c r="GC75" s="276" t="str">
        <f t="shared" si="279"/>
        <v>OK</v>
      </c>
    </row>
    <row r="76" spans="1:185" s="52" customFormat="1" ht="114.75">
      <c r="B76" s="48">
        <f t="shared" si="153"/>
        <v>69</v>
      </c>
      <c r="C76" s="37"/>
      <c r="D76" s="37"/>
      <c r="E76" s="37"/>
      <c r="F76" s="49" t="s">
        <v>206</v>
      </c>
      <c r="G76" s="39"/>
      <c r="H76" s="40"/>
      <c r="I76" s="42"/>
      <c r="J76" s="42"/>
      <c r="K76" s="42"/>
      <c r="L76" s="42"/>
      <c r="M76" s="163" t="s">
        <v>331</v>
      </c>
      <c r="N76" s="47"/>
      <c r="O76" s="143"/>
      <c r="P76" s="45">
        <f t="shared" si="235"/>
        <v>51</v>
      </c>
      <c r="Q76" s="46">
        <v>1</v>
      </c>
      <c r="R76" s="41" t="s">
        <v>81</v>
      </c>
      <c r="S76" s="185" t="s">
        <v>207</v>
      </c>
      <c r="T76" s="43"/>
      <c r="U76" s="41" t="s">
        <v>80</v>
      </c>
      <c r="V76" s="44"/>
      <c r="W76" s="22">
        <v>3</v>
      </c>
      <c r="X76" s="47" t="s">
        <v>98</v>
      </c>
      <c r="Y76" s="47">
        <v>1</v>
      </c>
      <c r="Z76" s="47">
        <v>1</v>
      </c>
      <c r="AA76" s="42">
        <v>9</v>
      </c>
      <c r="AB76" s="42" t="s">
        <v>57</v>
      </c>
      <c r="AC76" s="215"/>
      <c r="AD76" s="160"/>
      <c r="AE76" s="162"/>
      <c r="AF76" s="203" t="str">
        <f t="shared" si="236"/>
        <v xml:space="preserve"> </v>
      </c>
      <c r="AG76" s="174" t="str">
        <f t="shared" si="237"/>
        <v>NG</v>
      </c>
      <c r="AH76" s="162"/>
      <c r="AI76" s="276" t="str">
        <f t="shared" si="254"/>
        <v>OK</v>
      </c>
      <c r="AJ76" s="160"/>
      <c r="AK76" s="162"/>
      <c r="AL76" s="203" t="str">
        <f t="shared" si="231"/>
        <v xml:space="preserve"> </v>
      </c>
      <c r="AM76" s="174" t="str">
        <f t="shared" si="155"/>
        <v>NG</v>
      </c>
      <c r="AN76" s="162"/>
      <c r="AO76" s="276" t="str">
        <f t="shared" si="255"/>
        <v>OK</v>
      </c>
      <c r="AP76" s="160"/>
      <c r="AQ76" s="162"/>
      <c r="AR76" s="203" t="str">
        <f t="shared" si="157"/>
        <v xml:space="preserve"> </v>
      </c>
      <c r="AS76" s="174" t="str">
        <f t="shared" si="238"/>
        <v>NG</v>
      </c>
      <c r="AT76" s="162"/>
      <c r="AU76" s="276" t="str">
        <f t="shared" si="256"/>
        <v>OK</v>
      </c>
      <c r="AV76" s="160"/>
      <c r="AW76" s="162"/>
      <c r="AX76" s="203" t="str">
        <f t="shared" si="160"/>
        <v xml:space="preserve"> </v>
      </c>
      <c r="AY76" s="174" t="str">
        <f t="shared" si="239"/>
        <v>NG</v>
      </c>
      <c r="AZ76" s="162"/>
      <c r="BA76" s="276" t="str">
        <f t="shared" si="257"/>
        <v>OK</v>
      </c>
      <c r="BB76" s="160"/>
      <c r="BC76" s="162"/>
      <c r="BD76" s="203" t="str">
        <f t="shared" si="163"/>
        <v xml:space="preserve"> </v>
      </c>
      <c r="BE76" s="174" t="str">
        <f t="shared" si="240"/>
        <v>NG</v>
      </c>
      <c r="BF76" s="162"/>
      <c r="BG76" s="276" t="str">
        <f t="shared" si="258"/>
        <v>OK</v>
      </c>
      <c r="BH76" s="160"/>
      <c r="BI76" s="162"/>
      <c r="BJ76" s="203" t="str">
        <f t="shared" si="91"/>
        <v xml:space="preserve"> </v>
      </c>
      <c r="BK76" s="174" t="str">
        <f t="shared" si="241"/>
        <v>NG</v>
      </c>
      <c r="BL76" s="162"/>
      <c r="BM76" s="276" t="str">
        <f t="shared" si="259"/>
        <v>OK</v>
      </c>
      <c r="BN76" s="160"/>
      <c r="BO76" s="162"/>
      <c r="BP76" s="203" t="str">
        <f t="shared" si="92"/>
        <v xml:space="preserve"> </v>
      </c>
      <c r="BQ76" s="174" t="str">
        <f t="shared" si="242"/>
        <v>NG</v>
      </c>
      <c r="BR76" s="162"/>
      <c r="BS76" s="276" t="str">
        <f t="shared" si="260"/>
        <v>OK</v>
      </c>
      <c r="BT76" s="160"/>
      <c r="BU76" s="162"/>
      <c r="BV76" s="203" t="str">
        <f t="shared" si="93"/>
        <v xml:space="preserve"> </v>
      </c>
      <c r="BW76" s="174" t="str">
        <f t="shared" si="243"/>
        <v>NG</v>
      </c>
      <c r="BX76" s="162"/>
      <c r="BY76" s="276" t="str">
        <f t="shared" si="261"/>
        <v>OK</v>
      </c>
      <c r="BZ76" s="160"/>
      <c r="CA76" s="162"/>
      <c r="CB76" s="203" t="str">
        <f t="shared" si="94"/>
        <v xml:space="preserve"> </v>
      </c>
      <c r="CC76" s="174" t="str">
        <f t="shared" si="244"/>
        <v>NG</v>
      </c>
      <c r="CD76" s="162"/>
      <c r="CE76" s="276" t="str">
        <f t="shared" si="262"/>
        <v>OK</v>
      </c>
      <c r="CF76" s="160"/>
      <c r="CG76" s="162"/>
      <c r="CH76" s="203" t="str">
        <f t="shared" si="95"/>
        <v xml:space="preserve"> </v>
      </c>
      <c r="CI76" s="174" t="str">
        <f t="shared" si="245"/>
        <v>NG</v>
      </c>
      <c r="CJ76" s="162"/>
      <c r="CK76" s="276" t="str">
        <f t="shared" si="263"/>
        <v>OK</v>
      </c>
      <c r="CL76" s="160"/>
      <c r="CM76" s="162"/>
      <c r="CN76" s="203" t="str">
        <f t="shared" si="96"/>
        <v xml:space="preserve"> </v>
      </c>
      <c r="CO76" s="174" t="str">
        <f t="shared" si="246"/>
        <v>NG</v>
      </c>
      <c r="CP76" s="162"/>
      <c r="CQ76" s="276" t="str">
        <f t="shared" si="264"/>
        <v>OK</v>
      </c>
      <c r="CR76" s="160"/>
      <c r="CS76" s="162"/>
      <c r="CT76" s="203" t="str">
        <f t="shared" si="97"/>
        <v xml:space="preserve"> </v>
      </c>
      <c r="CU76" s="174" t="str">
        <f t="shared" si="247"/>
        <v>NG</v>
      </c>
      <c r="CV76" s="162"/>
      <c r="CW76" s="276" t="str">
        <f t="shared" si="265"/>
        <v>OK</v>
      </c>
      <c r="CX76" s="160"/>
      <c r="CY76" s="162"/>
      <c r="CZ76" s="203" t="str">
        <f t="shared" si="98"/>
        <v xml:space="preserve"> </v>
      </c>
      <c r="DA76" s="174" t="str">
        <f t="shared" si="248"/>
        <v>NG</v>
      </c>
      <c r="DB76" s="162"/>
      <c r="DC76" s="276" t="str">
        <f t="shared" si="266"/>
        <v>OK</v>
      </c>
      <c r="DD76" s="160"/>
      <c r="DE76" s="162"/>
      <c r="DF76" s="203" t="str">
        <f t="shared" si="99"/>
        <v xml:space="preserve"> </v>
      </c>
      <c r="DG76" s="174" t="str">
        <f t="shared" si="249"/>
        <v>NG</v>
      </c>
      <c r="DH76" s="162"/>
      <c r="DI76" s="276" t="str">
        <f t="shared" si="267"/>
        <v>OK</v>
      </c>
      <c r="DJ76" s="160"/>
      <c r="DK76" s="162"/>
      <c r="DL76" s="203" t="str">
        <f t="shared" si="100"/>
        <v xml:space="preserve"> </v>
      </c>
      <c r="DM76" s="174" t="str">
        <f t="shared" si="250"/>
        <v>NG</v>
      </c>
      <c r="DN76" s="162"/>
      <c r="DO76" s="276" t="str">
        <f t="shared" si="268"/>
        <v>OK</v>
      </c>
      <c r="DP76" s="160"/>
      <c r="DQ76" s="162"/>
      <c r="DR76" s="203" t="str">
        <f t="shared" si="224"/>
        <v xml:space="preserve"> </v>
      </c>
      <c r="DS76" s="174" t="str">
        <f t="shared" si="215"/>
        <v>NG</v>
      </c>
      <c r="DT76" s="162"/>
      <c r="DU76" s="276" t="str">
        <f t="shared" si="269"/>
        <v>OK</v>
      </c>
      <c r="DV76" s="160"/>
      <c r="DW76" s="162"/>
      <c r="DX76" s="203" t="str">
        <f t="shared" si="225"/>
        <v xml:space="preserve"> </v>
      </c>
      <c r="DY76" s="174" t="str">
        <f t="shared" si="216"/>
        <v>NG</v>
      </c>
      <c r="DZ76" s="162"/>
      <c r="EA76" s="276" t="str">
        <f t="shared" si="270"/>
        <v>OK</v>
      </c>
      <c r="EB76" s="160"/>
      <c r="EC76" s="162"/>
      <c r="ED76" s="203" t="str">
        <f t="shared" si="226"/>
        <v xml:space="preserve"> </v>
      </c>
      <c r="EE76" s="174" t="str">
        <f t="shared" si="217"/>
        <v>NG</v>
      </c>
      <c r="EF76" s="162"/>
      <c r="EG76" s="276" t="str">
        <f t="shared" si="271"/>
        <v>OK</v>
      </c>
      <c r="EH76" s="160"/>
      <c r="EI76" s="162"/>
      <c r="EJ76" s="203" t="str">
        <f t="shared" si="227"/>
        <v xml:space="preserve"> </v>
      </c>
      <c r="EK76" s="174" t="str">
        <f t="shared" si="218"/>
        <v>NG</v>
      </c>
      <c r="EL76" s="162"/>
      <c r="EM76" s="276" t="str">
        <f t="shared" si="272"/>
        <v>OK</v>
      </c>
      <c r="EN76" s="160"/>
      <c r="EO76" s="162"/>
      <c r="EP76" s="203" t="str">
        <f t="shared" si="228"/>
        <v xml:space="preserve"> </v>
      </c>
      <c r="EQ76" s="174" t="str">
        <f t="shared" si="219"/>
        <v>NG</v>
      </c>
      <c r="ER76" s="162"/>
      <c r="ES76" s="276" t="str">
        <f t="shared" si="273"/>
        <v>OK</v>
      </c>
      <c r="ET76" s="160"/>
      <c r="EU76" s="162"/>
      <c r="EV76" s="203" t="str">
        <f t="shared" si="229"/>
        <v xml:space="preserve"> </v>
      </c>
      <c r="EW76" s="174" t="str">
        <f t="shared" si="220"/>
        <v>NG</v>
      </c>
      <c r="EX76" s="162"/>
      <c r="EY76" s="276" t="str">
        <f t="shared" si="274"/>
        <v>OK</v>
      </c>
      <c r="EZ76" s="160"/>
      <c r="FA76" s="162"/>
      <c r="FB76" s="203" t="str">
        <f t="shared" si="230"/>
        <v xml:space="preserve"> </v>
      </c>
      <c r="FC76" s="174" t="str">
        <f t="shared" si="221"/>
        <v>NG</v>
      </c>
      <c r="FD76" s="162"/>
      <c r="FE76" s="276" t="str">
        <f t="shared" si="275"/>
        <v>OK</v>
      </c>
      <c r="FF76" s="160"/>
      <c r="FG76" s="162"/>
      <c r="FH76" s="203" t="str">
        <f t="shared" si="232"/>
        <v xml:space="preserve"> </v>
      </c>
      <c r="FI76" s="174" t="str">
        <f t="shared" si="233"/>
        <v>NG</v>
      </c>
      <c r="FJ76" s="162"/>
      <c r="FK76" s="276" t="str">
        <f t="shared" si="276"/>
        <v>OK</v>
      </c>
      <c r="FL76" s="160"/>
      <c r="FM76" s="162"/>
      <c r="FN76" s="203" t="str">
        <f t="shared" si="102"/>
        <v xml:space="preserve"> </v>
      </c>
      <c r="FO76" s="174" t="str">
        <f t="shared" si="251"/>
        <v>NG</v>
      </c>
      <c r="FP76" s="162"/>
      <c r="FQ76" s="276" t="str">
        <f t="shared" si="277"/>
        <v>OK</v>
      </c>
      <c r="FR76" s="160"/>
      <c r="FS76" s="162"/>
      <c r="FT76" s="203" t="str">
        <f t="shared" si="103"/>
        <v xml:space="preserve"> </v>
      </c>
      <c r="FU76" s="174" t="str">
        <f t="shared" si="252"/>
        <v>NG</v>
      </c>
      <c r="FV76" s="162"/>
      <c r="FW76" s="276" t="str">
        <f t="shared" si="278"/>
        <v>OK</v>
      </c>
      <c r="FX76" s="160"/>
      <c r="FY76" s="162"/>
      <c r="FZ76" s="203" t="str">
        <f t="shared" si="104"/>
        <v xml:space="preserve"> </v>
      </c>
      <c r="GA76" s="174" t="str">
        <f t="shared" si="253"/>
        <v>NG</v>
      </c>
      <c r="GB76" s="162"/>
      <c r="GC76" s="276" t="str">
        <f t="shared" si="279"/>
        <v>OK</v>
      </c>
    </row>
    <row r="77" spans="1:185" s="52" customFormat="1" ht="124.5" customHeight="1">
      <c r="B77" s="216">
        <f t="shared" si="153"/>
        <v>70</v>
      </c>
      <c r="C77" s="37"/>
      <c r="D77" s="37"/>
      <c r="E77" s="37"/>
      <c r="F77" s="188" t="s">
        <v>332</v>
      </c>
      <c r="G77" s="39"/>
      <c r="H77" s="40"/>
      <c r="I77" s="42"/>
      <c r="J77" s="42"/>
      <c r="K77" s="42"/>
      <c r="L77" s="42"/>
      <c r="M77" s="63" t="s">
        <v>333</v>
      </c>
      <c r="N77" s="47"/>
      <c r="O77" s="143"/>
      <c r="P77" s="45">
        <f t="shared" si="235"/>
        <v>52</v>
      </c>
      <c r="Q77" s="46">
        <v>1</v>
      </c>
      <c r="R77" s="41" t="str">
        <f t="shared" ref="R77:R94" si="280">IF(AA77="M","NX",AA77)</f>
        <v>X</v>
      </c>
      <c r="S77" s="185" t="s">
        <v>208</v>
      </c>
      <c r="T77" s="43"/>
      <c r="U77" s="41" t="s">
        <v>80</v>
      </c>
      <c r="V77" s="44"/>
      <c r="W77" s="22">
        <v>3</v>
      </c>
      <c r="X77" s="47" t="s">
        <v>209</v>
      </c>
      <c r="Y77" s="47">
        <v>1</v>
      </c>
      <c r="Z77" s="47">
        <v>1</v>
      </c>
      <c r="AA77" s="42" t="s">
        <v>81</v>
      </c>
      <c r="AB77" s="42" t="s">
        <v>80</v>
      </c>
      <c r="AC77" s="166"/>
      <c r="AD77" s="160"/>
      <c r="AE77" s="162"/>
      <c r="AF77" s="203" t="str">
        <f t="shared" si="236"/>
        <v xml:space="preserve"> </v>
      </c>
      <c r="AG77" s="174" t="str">
        <f t="shared" si="237"/>
        <v>NG</v>
      </c>
      <c r="AH77" s="162"/>
      <c r="AI77" s="276" t="str">
        <f t="shared" si="254"/>
        <v>OK</v>
      </c>
      <c r="AJ77" s="160"/>
      <c r="AK77" s="162"/>
      <c r="AL77" s="203" t="str">
        <f t="shared" si="231"/>
        <v xml:space="preserve"> </v>
      </c>
      <c r="AM77" s="174" t="str">
        <f t="shared" si="155"/>
        <v>NG</v>
      </c>
      <c r="AN77" s="162"/>
      <c r="AO77" s="276" t="str">
        <f t="shared" si="255"/>
        <v>OK</v>
      </c>
      <c r="AP77" s="160"/>
      <c r="AQ77" s="162"/>
      <c r="AR77" s="203" t="str">
        <f t="shared" si="157"/>
        <v xml:space="preserve"> </v>
      </c>
      <c r="AS77" s="174" t="str">
        <f t="shared" si="238"/>
        <v>NG</v>
      </c>
      <c r="AT77" s="162"/>
      <c r="AU77" s="276" t="str">
        <f t="shared" si="256"/>
        <v>OK</v>
      </c>
      <c r="AV77" s="160"/>
      <c r="AW77" s="162"/>
      <c r="AX77" s="203" t="str">
        <f t="shared" si="160"/>
        <v xml:space="preserve"> </v>
      </c>
      <c r="AY77" s="174" t="str">
        <f t="shared" si="239"/>
        <v>NG</v>
      </c>
      <c r="AZ77" s="162"/>
      <c r="BA77" s="276" t="str">
        <f t="shared" si="257"/>
        <v>OK</v>
      </c>
      <c r="BB77" s="160"/>
      <c r="BC77" s="162"/>
      <c r="BD77" s="203" t="str">
        <f t="shared" si="163"/>
        <v xml:space="preserve"> </v>
      </c>
      <c r="BE77" s="174" t="str">
        <f t="shared" si="240"/>
        <v>NG</v>
      </c>
      <c r="BF77" s="162"/>
      <c r="BG77" s="276" t="str">
        <f t="shared" si="258"/>
        <v>OK</v>
      </c>
      <c r="BH77" s="160"/>
      <c r="BI77" s="162"/>
      <c r="BJ77" s="203" t="str">
        <f t="shared" si="91"/>
        <v xml:space="preserve"> </v>
      </c>
      <c r="BK77" s="174" t="str">
        <f t="shared" si="241"/>
        <v>NG</v>
      </c>
      <c r="BL77" s="162"/>
      <c r="BM77" s="276" t="str">
        <f t="shared" si="259"/>
        <v>OK</v>
      </c>
      <c r="BN77" s="160"/>
      <c r="BO77" s="162"/>
      <c r="BP77" s="203" t="str">
        <f t="shared" si="92"/>
        <v xml:space="preserve"> </v>
      </c>
      <c r="BQ77" s="174" t="str">
        <f t="shared" si="242"/>
        <v>NG</v>
      </c>
      <c r="BR77" s="162"/>
      <c r="BS77" s="276" t="str">
        <f t="shared" si="260"/>
        <v>OK</v>
      </c>
      <c r="BT77" s="160"/>
      <c r="BU77" s="162"/>
      <c r="BV77" s="203" t="str">
        <f t="shared" si="93"/>
        <v xml:space="preserve"> </v>
      </c>
      <c r="BW77" s="174" t="str">
        <f t="shared" si="243"/>
        <v>NG</v>
      </c>
      <c r="BX77" s="162"/>
      <c r="BY77" s="276" t="str">
        <f t="shared" si="261"/>
        <v>OK</v>
      </c>
      <c r="BZ77" s="160"/>
      <c r="CA77" s="162"/>
      <c r="CB77" s="203" t="str">
        <f t="shared" si="94"/>
        <v xml:space="preserve"> </v>
      </c>
      <c r="CC77" s="174" t="str">
        <f t="shared" si="244"/>
        <v>NG</v>
      </c>
      <c r="CD77" s="162"/>
      <c r="CE77" s="276" t="str">
        <f t="shared" si="262"/>
        <v>OK</v>
      </c>
      <c r="CF77" s="160"/>
      <c r="CG77" s="162"/>
      <c r="CH77" s="203" t="str">
        <f t="shared" si="95"/>
        <v xml:space="preserve"> </v>
      </c>
      <c r="CI77" s="174" t="str">
        <f t="shared" si="245"/>
        <v>NG</v>
      </c>
      <c r="CJ77" s="162"/>
      <c r="CK77" s="276" t="str">
        <f t="shared" si="263"/>
        <v>OK</v>
      </c>
      <c r="CL77" s="160"/>
      <c r="CM77" s="162"/>
      <c r="CN77" s="203" t="str">
        <f t="shared" si="96"/>
        <v xml:space="preserve"> </v>
      </c>
      <c r="CO77" s="174" t="str">
        <f t="shared" si="246"/>
        <v>NG</v>
      </c>
      <c r="CP77" s="162"/>
      <c r="CQ77" s="276" t="str">
        <f t="shared" si="264"/>
        <v>OK</v>
      </c>
      <c r="CR77" s="160"/>
      <c r="CS77" s="162"/>
      <c r="CT77" s="203" t="str">
        <f t="shared" si="97"/>
        <v xml:space="preserve"> </v>
      </c>
      <c r="CU77" s="174" t="str">
        <f t="shared" si="247"/>
        <v>NG</v>
      </c>
      <c r="CV77" s="162"/>
      <c r="CW77" s="276" t="str">
        <f t="shared" si="265"/>
        <v>OK</v>
      </c>
      <c r="CX77" s="160"/>
      <c r="CY77" s="162"/>
      <c r="CZ77" s="203" t="str">
        <f t="shared" si="98"/>
        <v xml:space="preserve"> </v>
      </c>
      <c r="DA77" s="174" t="str">
        <f t="shared" si="248"/>
        <v>NG</v>
      </c>
      <c r="DB77" s="162"/>
      <c r="DC77" s="276" t="str">
        <f t="shared" si="266"/>
        <v>OK</v>
      </c>
      <c r="DD77" s="160"/>
      <c r="DE77" s="162"/>
      <c r="DF77" s="203" t="str">
        <f t="shared" si="99"/>
        <v xml:space="preserve"> </v>
      </c>
      <c r="DG77" s="174" t="str">
        <f t="shared" si="249"/>
        <v>NG</v>
      </c>
      <c r="DH77" s="162"/>
      <c r="DI77" s="276" t="str">
        <f t="shared" si="267"/>
        <v>OK</v>
      </c>
      <c r="DJ77" s="160"/>
      <c r="DK77" s="162"/>
      <c r="DL77" s="203" t="str">
        <f t="shared" si="100"/>
        <v xml:space="preserve"> </v>
      </c>
      <c r="DM77" s="174" t="str">
        <f t="shared" si="250"/>
        <v>NG</v>
      </c>
      <c r="DN77" s="162"/>
      <c r="DO77" s="276" t="str">
        <f t="shared" si="268"/>
        <v>OK</v>
      </c>
      <c r="DP77" s="160"/>
      <c r="DQ77" s="162"/>
      <c r="DR77" s="203" t="str">
        <f t="shared" si="224"/>
        <v xml:space="preserve"> </v>
      </c>
      <c r="DS77" s="174" t="str">
        <f t="shared" si="215"/>
        <v>NG</v>
      </c>
      <c r="DT77" s="162"/>
      <c r="DU77" s="276" t="str">
        <f t="shared" si="269"/>
        <v>OK</v>
      </c>
      <c r="DV77" s="160"/>
      <c r="DW77" s="162"/>
      <c r="DX77" s="203" t="str">
        <f t="shared" si="225"/>
        <v xml:space="preserve"> </v>
      </c>
      <c r="DY77" s="174" t="str">
        <f t="shared" si="216"/>
        <v>NG</v>
      </c>
      <c r="DZ77" s="162"/>
      <c r="EA77" s="276" t="str">
        <f t="shared" si="270"/>
        <v>OK</v>
      </c>
      <c r="EB77" s="160"/>
      <c r="EC77" s="162"/>
      <c r="ED77" s="203" t="str">
        <f t="shared" si="226"/>
        <v xml:space="preserve"> </v>
      </c>
      <c r="EE77" s="174" t="str">
        <f t="shared" si="217"/>
        <v>NG</v>
      </c>
      <c r="EF77" s="162"/>
      <c r="EG77" s="276" t="str">
        <f t="shared" si="271"/>
        <v>OK</v>
      </c>
      <c r="EH77" s="160"/>
      <c r="EI77" s="162"/>
      <c r="EJ77" s="203" t="str">
        <f t="shared" si="227"/>
        <v xml:space="preserve"> </v>
      </c>
      <c r="EK77" s="174" t="str">
        <f t="shared" si="218"/>
        <v>NG</v>
      </c>
      <c r="EL77" s="162"/>
      <c r="EM77" s="276" t="str">
        <f t="shared" si="272"/>
        <v>OK</v>
      </c>
      <c r="EN77" s="160"/>
      <c r="EO77" s="162"/>
      <c r="EP77" s="203" t="str">
        <f t="shared" si="228"/>
        <v xml:space="preserve"> </v>
      </c>
      <c r="EQ77" s="174" t="str">
        <f t="shared" si="219"/>
        <v>NG</v>
      </c>
      <c r="ER77" s="162"/>
      <c r="ES77" s="276" t="str">
        <f t="shared" si="273"/>
        <v>OK</v>
      </c>
      <c r="ET77" s="160"/>
      <c r="EU77" s="162"/>
      <c r="EV77" s="203" t="str">
        <f t="shared" si="229"/>
        <v xml:space="preserve"> </v>
      </c>
      <c r="EW77" s="174" t="str">
        <f t="shared" si="220"/>
        <v>NG</v>
      </c>
      <c r="EX77" s="162"/>
      <c r="EY77" s="276" t="str">
        <f t="shared" si="274"/>
        <v>OK</v>
      </c>
      <c r="EZ77" s="160"/>
      <c r="FA77" s="162"/>
      <c r="FB77" s="203" t="str">
        <f t="shared" si="230"/>
        <v xml:space="preserve"> </v>
      </c>
      <c r="FC77" s="174" t="str">
        <f t="shared" si="221"/>
        <v>NG</v>
      </c>
      <c r="FD77" s="162"/>
      <c r="FE77" s="276" t="str">
        <f t="shared" si="275"/>
        <v>OK</v>
      </c>
      <c r="FF77" s="160"/>
      <c r="FG77" s="162"/>
      <c r="FH77" s="203" t="str">
        <f t="shared" si="232"/>
        <v xml:space="preserve"> </v>
      </c>
      <c r="FI77" s="174" t="str">
        <f t="shared" si="233"/>
        <v>NG</v>
      </c>
      <c r="FJ77" s="162"/>
      <c r="FK77" s="276" t="str">
        <f t="shared" si="276"/>
        <v>OK</v>
      </c>
      <c r="FL77" s="160"/>
      <c r="FM77" s="162"/>
      <c r="FN77" s="203" t="str">
        <f t="shared" si="102"/>
        <v xml:space="preserve"> </v>
      </c>
      <c r="FO77" s="174" t="str">
        <f t="shared" si="251"/>
        <v>NG</v>
      </c>
      <c r="FP77" s="162"/>
      <c r="FQ77" s="276" t="str">
        <f t="shared" si="277"/>
        <v>OK</v>
      </c>
      <c r="FR77" s="160"/>
      <c r="FS77" s="162"/>
      <c r="FT77" s="203" t="str">
        <f t="shared" si="103"/>
        <v xml:space="preserve"> </v>
      </c>
      <c r="FU77" s="174" t="str">
        <f t="shared" si="252"/>
        <v>NG</v>
      </c>
      <c r="FV77" s="162"/>
      <c r="FW77" s="276" t="str">
        <f t="shared" si="278"/>
        <v>OK</v>
      </c>
      <c r="FX77" s="160"/>
      <c r="FY77" s="162"/>
      <c r="FZ77" s="203" t="str">
        <f t="shared" si="104"/>
        <v xml:space="preserve"> </v>
      </c>
      <c r="GA77" s="174" t="str">
        <f t="shared" si="253"/>
        <v>NG</v>
      </c>
      <c r="GB77" s="162"/>
      <c r="GC77" s="276" t="str">
        <f t="shared" si="279"/>
        <v>OK</v>
      </c>
    </row>
    <row r="78" spans="1:185" s="52" customFormat="1">
      <c r="B78" s="216">
        <f t="shared" si="153"/>
        <v>71</v>
      </c>
      <c r="C78" s="37"/>
      <c r="D78" s="37"/>
      <c r="E78" s="37"/>
      <c r="F78" s="49" t="s">
        <v>210</v>
      </c>
      <c r="G78" s="39"/>
      <c r="H78" s="40"/>
      <c r="I78" s="42"/>
      <c r="J78" s="42"/>
      <c r="K78" s="42"/>
      <c r="L78" s="42"/>
      <c r="M78" s="163" t="s">
        <v>334</v>
      </c>
      <c r="N78" s="47"/>
      <c r="O78" s="143"/>
      <c r="P78" s="45">
        <f t="shared" si="235"/>
        <v>53</v>
      </c>
      <c r="Q78" s="46">
        <v>400</v>
      </c>
      <c r="R78" s="41" t="str">
        <f t="shared" si="280"/>
        <v>NX</v>
      </c>
      <c r="S78" s="185" t="s">
        <v>211</v>
      </c>
      <c r="T78" s="43"/>
      <c r="U78" s="41" t="s">
        <v>80</v>
      </c>
      <c r="V78" s="44"/>
      <c r="W78" s="22">
        <v>3</v>
      </c>
      <c r="X78" s="47" t="s">
        <v>212</v>
      </c>
      <c r="Y78" s="47">
        <v>1</v>
      </c>
      <c r="Z78" s="47">
        <v>400</v>
      </c>
      <c r="AA78" s="42" t="s">
        <v>195</v>
      </c>
      <c r="AB78" s="42" t="s">
        <v>80</v>
      </c>
      <c r="AC78" s="166"/>
      <c r="AD78" s="160"/>
      <c r="AE78" s="162"/>
      <c r="AF78" s="175" t="str">
        <f t="shared" si="236"/>
        <v xml:space="preserve">                                                                                                                                                                                                                                                                                                                                                                                                                </v>
      </c>
      <c r="AG78" s="174" t="str">
        <f t="shared" si="237"/>
        <v>NG</v>
      </c>
      <c r="AH78" s="162"/>
      <c r="AI78" s="276" t="str">
        <f t="shared" si="254"/>
        <v>OK</v>
      </c>
      <c r="AJ78" s="160"/>
      <c r="AK78" s="162"/>
      <c r="AL78" s="175" t="str">
        <f t="shared" ref="AL78:AL141" si="281">IF(AN78="-","-",AN78&amp;REPT(IF($R78="N","　",IF($R78="9","0"," ")),$Z78-LENB(AN78)))</f>
        <v xml:space="preserve">                                                                                                                                                                                                                                                                                                                                                                                                                </v>
      </c>
      <c r="AM78" s="174" t="str">
        <f t="shared" si="155"/>
        <v>NG</v>
      </c>
      <c r="AN78" s="162"/>
      <c r="AO78" s="276" t="str">
        <f t="shared" si="255"/>
        <v>OK</v>
      </c>
      <c r="AP78" s="160"/>
      <c r="AQ78" s="162"/>
      <c r="AR78" s="175" t="str">
        <f t="shared" ref="AR78:AR84" si="282">IF(AT78="-","-",AT78&amp;REPT(IF($R78="N","　",IF($R78="9","0"," ")),$Z78-LENB(AT78)))</f>
        <v xml:space="preserve">                                                                                                                                                                                                                                                                                                                                                                                                                </v>
      </c>
      <c r="AS78" s="174" t="str">
        <f t="shared" si="238"/>
        <v>NG</v>
      </c>
      <c r="AT78" s="162"/>
      <c r="AU78" s="276" t="str">
        <f t="shared" si="256"/>
        <v>OK</v>
      </c>
      <c r="AV78" s="160"/>
      <c r="AW78" s="162"/>
      <c r="AX78" s="175" t="str">
        <f t="shared" ref="AX78:AX84" si="283">IF(AZ78="-","-",AZ78&amp;REPT(IF($R78="N","　",IF($R78="9","0"," ")),$Z78-LENB(AZ78)))</f>
        <v xml:space="preserve">                                                                                                                                                                                                                                                                                                                                                                                                                </v>
      </c>
      <c r="AY78" s="174" t="str">
        <f t="shared" si="239"/>
        <v>NG</v>
      </c>
      <c r="AZ78" s="162"/>
      <c r="BA78" s="276" t="str">
        <f t="shared" si="257"/>
        <v>OK</v>
      </c>
      <c r="BB78" s="160"/>
      <c r="BC78" s="162"/>
      <c r="BD78" s="175" t="str">
        <f t="shared" ref="BD78:BD84" si="284">IF(BF78="-","-",BF78&amp;REPT(IF($R78="N","　",IF($R78="9","0"," ")),$Z78-LENB(BF78)))</f>
        <v xml:space="preserve">                                                                                                                                                                                                                                                                                                                                                                                                                </v>
      </c>
      <c r="BE78" s="174" t="str">
        <f t="shared" si="240"/>
        <v>NG</v>
      </c>
      <c r="BF78" s="162"/>
      <c r="BG78" s="276" t="str">
        <f t="shared" si="258"/>
        <v>OK</v>
      </c>
      <c r="BH78" s="160"/>
      <c r="BI78" s="162"/>
      <c r="BJ78" s="175" t="str">
        <f t="shared" ref="BJ78:BJ84" si="285">IF(BL78="-","-",BL78&amp;REPT(IF($R78="N","　",IF($R78="9","0"," ")),$Z78-LENB(BL78)))</f>
        <v xml:space="preserve">                                                                                                                                                                                                                                                                                                                                                                                                                </v>
      </c>
      <c r="BK78" s="174" t="str">
        <f t="shared" si="241"/>
        <v>NG</v>
      </c>
      <c r="BL78" s="162"/>
      <c r="BM78" s="276" t="str">
        <f t="shared" si="259"/>
        <v>OK</v>
      </c>
      <c r="BN78" s="160"/>
      <c r="BO78" s="162"/>
      <c r="BP78" s="175" t="str">
        <f t="shared" ref="BP78:BP84" si="286">IF(BR78="-","-",BR78&amp;REPT(IF($R78="N","　",IF($R78="9","0"," ")),$Z78-LENB(BR78)))</f>
        <v xml:space="preserve">                                                                                                                                                                                                                                                                                                                                                                                                                </v>
      </c>
      <c r="BQ78" s="174" t="str">
        <f t="shared" si="242"/>
        <v>NG</v>
      </c>
      <c r="BR78" s="162"/>
      <c r="BS78" s="276" t="str">
        <f t="shared" si="260"/>
        <v>OK</v>
      </c>
      <c r="BT78" s="160"/>
      <c r="BU78" s="162"/>
      <c r="BV78" s="175" t="str">
        <f t="shared" ref="BV78:BV84" si="287">IF(BX78="-","-",BX78&amp;REPT(IF($R78="N","　",IF($R78="9","0"," ")),$Z78-LENB(BX78)))</f>
        <v xml:space="preserve">                                                                                                                                                                                                                                                                                                                                                                                                                </v>
      </c>
      <c r="BW78" s="174" t="str">
        <f t="shared" si="243"/>
        <v>NG</v>
      </c>
      <c r="BX78" s="162"/>
      <c r="BY78" s="276" t="str">
        <f t="shared" si="261"/>
        <v>OK</v>
      </c>
      <c r="BZ78" s="160"/>
      <c r="CA78" s="162"/>
      <c r="CB78" s="175" t="str">
        <f t="shared" ref="CB78:CB84" si="288">IF(CD78="-","-",CD78&amp;REPT(IF($R78="N","　",IF($R78="9","0"," ")),$Z78-LENB(CD78)))</f>
        <v xml:space="preserve">                                                                                                                                                                                                                                                                                                                                                                                                                </v>
      </c>
      <c r="CC78" s="174" t="str">
        <f t="shared" si="244"/>
        <v>NG</v>
      </c>
      <c r="CD78" s="162"/>
      <c r="CE78" s="276" t="str">
        <f t="shared" si="262"/>
        <v>OK</v>
      </c>
      <c r="CF78" s="160"/>
      <c r="CG78" s="162"/>
      <c r="CH78" s="175" t="str">
        <f t="shared" ref="CH78:CH84" si="289">IF(CJ78="-","-",CJ78&amp;REPT(IF($R78="N","　",IF($R78="9","0"," ")),$Z78-LENB(CJ78)))</f>
        <v xml:space="preserve">                                                                                                                                                                                                                                                                                                                                                                                                                </v>
      </c>
      <c r="CI78" s="174" t="str">
        <f t="shared" si="245"/>
        <v>NG</v>
      </c>
      <c r="CJ78" s="162"/>
      <c r="CK78" s="276" t="str">
        <f t="shared" si="263"/>
        <v>OK</v>
      </c>
      <c r="CL78" s="160"/>
      <c r="CM78" s="162"/>
      <c r="CN78" s="175" t="str">
        <f t="shared" ref="CN78:CN84" si="290">IF(CP78="-","-",CP78&amp;REPT(IF($R78="N","　",IF($R78="9","0"," ")),$Z78-LENB(CP78)))</f>
        <v xml:space="preserve">                                                                                                                                                                                                                                                                                                                                                                                                                </v>
      </c>
      <c r="CO78" s="174" t="str">
        <f t="shared" si="246"/>
        <v>NG</v>
      </c>
      <c r="CP78" s="162"/>
      <c r="CQ78" s="276" t="str">
        <f t="shared" si="264"/>
        <v>OK</v>
      </c>
      <c r="CR78" s="160"/>
      <c r="CS78" s="162"/>
      <c r="CT78" s="175" t="str">
        <f t="shared" ref="CT78:CT84" si="291">IF(CV78="-","-",CV78&amp;REPT(IF($R78="N","　",IF($R78="9","0"," ")),$Z78-LENB(CV78)))</f>
        <v xml:space="preserve">                                                                                                                                                                                                                                                                                                                                                                                                                </v>
      </c>
      <c r="CU78" s="174" t="str">
        <f t="shared" si="247"/>
        <v>NG</v>
      </c>
      <c r="CV78" s="162"/>
      <c r="CW78" s="276" t="str">
        <f t="shared" si="265"/>
        <v>OK</v>
      </c>
      <c r="CX78" s="160"/>
      <c r="CY78" s="162"/>
      <c r="CZ78" s="175" t="str">
        <f t="shared" ref="CZ78:CZ84" si="292">IF(DB78="-","-",DB78&amp;REPT(IF($R78="N","　",IF($R78="9","0"," ")),$Z78-LENB(DB78)))</f>
        <v xml:space="preserve">                                                                                                                                                                                                                                                                                                                                                                                                                </v>
      </c>
      <c r="DA78" s="174" t="str">
        <f t="shared" si="248"/>
        <v>NG</v>
      </c>
      <c r="DB78" s="162"/>
      <c r="DC78" s="276" t="str">
        <f t="shared" si="266"/>
        <v>OK</v>
      </c>
      <c r="DD78" s="160"/>
      <c r="DE78" s="162"/>
      <c r="DF78" s="175" t="str">
        <f t="shared" ref="DF78:DF84" si="293">IF(DH78="-","-",DH78&amp;REPT(IF($R78="N","　",IF($R78="9","0"," ")),$Z78-LENB(DH78)))</f>
        <v xml:space="preserve">                                                                                                                                                                                                                                                                                                                                                                                                                </v>
      </c>
      <c r="DG78" s="174" t="str">
        <f t="shared" si="249"/>
        <v>NG</v>
      </c>
      <c r="DH78" s="162"/>
      <c r="DI78" s="276" t="str">
        <f t="shared" si="267"/>
        <v>OK</v>
      </c>
      <c r="DJ78" s="160"/>
      <c r="DK78" s="162"/>
      <c r="DL78" s="175" t="str">
        <f t="shared" ref="DL78:DL84" si="294">IF(DN78="-","-",DN78&amp;REPT(IF($R78="N","　",IF($R78="9","0"," ")),$Z78-LENB(DN78)))</f>
        <v xml:space="preserve">                                                                                                                                                                                                                                                                                                                                                                                                                </v>
      </c>
      <c r="DM78" s="174" t="str">
        <f t="shared" si="250"/>
        <v>NG</v>
      </c>
      <c r="DN78" s="162"/>
      <c r="DO78" s="276" t="str">
        <f t="shared" si="268"/>
        <v>OK</v>
      </c>
      <c r="DP78" s="160"/>
      <c r="DQ78" s="162"/>
      <c r="DR78" s="175" t="str">
        <f t="shared" si="224"/>
        <v xml:space="preserve">                                                                                                                                                                                                                                                                                                                                                                                                                </v>
      </c>
      <c r="DS78" s="174" t="str">
        <f t="shared" si="215"/>
        <v>NG</v>
      </c>
      <c r="DT78" s="162"/>
      <c r="DU78" s="276" t="str">
        <f t="shared" si="269"/>
        <v>OK</v>
      </c>
      <c r="DV78" s="160"/>
      <c r="DW78" s="162"/>
      <c r="DX78" s="175" t="str">
        <f t="shared" si="225"/>
        <v xml:space="preserve">                                                                                                                                                                                                                                                                                                                                                                                                                </v>
      </c>
      <c r="DY78" s="174" t="str">
        <f t="shared" si="216"/>
        <v>NG</v>
      </c>
      <c r="DZ78" s="162"/>
      <c r="EA78" s="276" t="str">
        <f t="shared" si="270"/>
        <v>OK</v>
      </c>
      <c r="EB78" s="160"/>
      <c r="EC78" s="162"/>
      <c r="ED78" s="175" t="str">
        <f t="shared" si="226"/>
        <v xml:space="preserve">                                                                                                                                                                                                                                                                                                                                                                                                                </v>
      </c>
      <c r="EE78" s="174" t="str">
        <f t="shared" si="217"/>
        <v>NG</v>
      </c>
      <c r="EF78" s="162"/>
      <c r="EG78" s="276" t="str">
        <f t="shared" si="271"/>
        <v>OK</v>
      </c>
      <c r="EH78" s="160"/>
      <c r="EI78" s="162"/>
      <c r="EJ78" s="175" t="str">
        <f t="shared" si="227"/>
        <v xml:space="preserve">                                                                                                                                                                                                                                                                                                                                                                                                                </v>
      </c>
      <c r="EK78" s="174" t="str">
        <f t="shared" si="218"/>
        <v>NG</v>
      </c>
      <c r="EL78" s="162"/>
      <c r="EM78" s="276" t="str">
        <f t="shared" si="272"/>
        <v>OK</v>
      </c>
      <c r="EN78" s="160"/>
      <c r="EO78" s="162"/>
      <c r="EP78" s="175" t="str">
        <f t="shared" si="228"/>
        <v xml:space="preserve">                                                                                                                                                                                                                                                                                                                                                                                                                </v>
      </c>
      <c r="EQ78" s="174" t="str">
        <f t="shared" si="219"/>
        <v>NG</v>
      </c>
      <c r="ER78" s="162"/>
      <c r="ES78" s="276" t="str">
        <f t="shared" si="273"/>
        <v>OK</v>
      </c>
      <c r="ET78" s="160"/>
      <c r="EU78" s="162"/>
      <c r="EV78" s="175" t="str">
        <f t="shared" si="229"/>
        <v xml:space="preserve">                                                                                                                                                                                                                                                                                                                                                                                                                </v>
      </c>
      <c r="EW78" s="174" t="str">
        <f t="shared" si="220"/>
        <v>NG</v>
      </c>
      <c r="EX78" s="162"/>
      <c r="EY78" s="276" t="str">
        <f t="shared" si="274"/>
        <v>OK</v>
      </c>
      <c r="EZ78" s="160"/>
      <c r="FA78" s="162"/>
      <c r="FB78" s="175" t="str">
        <f t="shared" si="230"/>
        <v xml:space="preserve">                                                                                                                                                                                                                                                                                                                                                                                                                </v>
      </c>
      <c r="FC78" s="174" t="str">
        <f t="shared" si="221"/>
        <v>NG</v>
      </c>
      <c r="FD78" s="162"/>
      <c r="FE78" s="276" t="str">
        <f t="shared" si="275"/>
        <v>OK</v>
      </c>
      <c r="FF78" s="160"/>
      <c r="FG78" s="162"/>
      <c r="FH78" s="175" t="str">
        <f t="shared" si="232"/>
        <v xml:space="preserve">                                                                                                                                                                                                                                                                                                                                                                                                                </v>
      </c>
      <c r="FI78" s="174" t="str">
        <f t="shared" si="233"/>
        <v>NG</v>
      </c>
      <c r="FJ78" s="162"/>
      <c r="FK78" s="276" t="str">
        <f t="shared" si="276"/>
        <v>OK</v>
      </c>
      <c r="FL78" s="160"/>
      <c r="FM78" s="162"/>
      <c r="FN78" s="175" t="str">
        <f t="shared" ref="FN78:FN84" si="295">IF(FP78="-","-",FP78&amp;REPT(IF($R78="N","　",IF($R78="9","0"," ")),$Z78-LENB(FP78)))</f>
        <v xml:space="preserve">                                                                                                                                                                                                                                                                                                                                                                                                                </v>
      </c>
      <c r="FO78" s="174" t="str">
        <f t="shared" si="251"/>
        <v>NG</v>
      </c>
      <c r="FP78" s="162"/>
      <c r="FQ78" s="276" t="str">
        <f t="shared" si="277"/>
        <v>OK</v>
      </c>
      <c r="FR78" s="160"/>
      <c r="FS78" s="162"/>
      <c r="FT78" s="175" t="str">
        <f t="shared" ref="FT78:FT84" si="296">IF(FV78="-","-",FV78&amp;REPT(IF($R78="N","　",IF($R78="9","0"," ")),$Z78-LENB(FV78)))</f>
        <v xml:space="preserve">                                                                                                                                                                                                                                                                                                                                                                                                                </v>
      </c>
      <c r="FU78" s="174" t="str">
        <f t="shared" si="252"/>
        <v>NG</v>
      </c>
      <c r="FV78" s="162"/>
      <c r="FW78" s="276" t="str">
        <f t="shared" si="278"/>
        <v>OK</v>
      </c>
      <c r="FX78" s="160"/>
      <c r="FY78" s="162"/>
      <c r="FZ78" s="175" t="str">
        <f t="shared" ref="FZ78:FZ84" si="297">IF(GB78="-","-",GB78&amp;REPT(IF($R78="N","　",IF($R78="9","0"," ")),$Z78-LENB(GB78)))</f>
        <v xml:space="preserve">                                                                                                                                                                                                                                                                                                                                                                                                                </v>
      </c>
      <c r="GA78" s="174" t="str">
        <f t="shared" si="253"/>
        <v>NG</v>
      </c>
      <c r="GB78" s="162"/>
      <c r="GC78" s="276" t="str">
        <f t="shared" si="279"/>
        <v>OK</v>
      </c>
    </row>
    <row r="79" spans="1:185" s="52" customFormat="1" ht="63.75">
      <c r="B79" s="216">
        <f t="shared" si="153"/>
        <v>72</v>
      </c>
      <c r="C79" s="37"/>
      <c r="D79" s="37"/>
      <c r="E79" s="37"/>
      <c r="F79" s="49" t="s">
        <v>213</v>
      </c>
      <c r="G79" s="39"/>
      <c r="H79" s="40"/>
      <c r="I79" s="42"/>
      <c r="J79" s="42"/>
      <c r="K79" s="42"/>
      <c r="L79" s="42"/>
      <c r="M79" s="163" t="s">
        <v>335</v>
      </c>
      <c r="N79" s="47"/>
      <c r="O79" s="143"/>
      <c r="P79" s="45">
        <f t="shared" si="235"/>
        <v>54</v>
      </c>
      <c r="Q79" s="46">
        <v>400</v>
      </c>
      <c r="R79" s="41" t="str">
        <f t="shared" si="280"/>
        <v>NX</v>
      </c>
      <c r="S79" s="185" t="s">
        <v>214</v>
      </c>
      <c r="T79" s="43"/>
      <c r="U79" s="41" t="s">
        <v>80</v>
      </c>
      <c r="V79" s="44"/>
      <c r="W79" s="22">
        <v>3</v>
      </c>
      <c r="X79" s="47" t="s">
        <v>215</v>
      </c>
      <c r="Y79" s="47">
        <v>1</v>
      </c>
      <c r="Z79" s="47">
        <v>400</v>
      </c>
      <c r="AA79" s="42" t="s">
        <v>195</v>
      </c>
      <c r="AB79" s="42" t="s">
        <v>80</v>
      </c>
      <c r="AC79" s="166"/>
      <c r="AD79" s="160"/>
      <c r="AE79" s="162"/>
      <c r="AF79" s="146" t="str">
        <f t="shared" si="236"/>
        <v xml:space="preserve">                                                                                                                                                                                                                                                                                                                                                                                                                </v>
      </c>
      <c r="AG79" s="174" t="str">
        <f t="shared" si="237"/>
        <v>NG</v>
      </c>
      <c r="AH79" s="162"/>
      <c r="AI79" s="276" t="str">
        <f t="shared" si="254"/>
        <v>OK</v>
      </c>
      <c r="AJ79" s="160"/>
      <c r="AK79" s="162"/>
      <c r="AL79" s="146" t="str">
        <f>IF(AN79="-","-",AN79&amp;REPT(IF($R79="N","　",IF($R79="9","0"," ")),$Z79-LENB(AN79)))</f>
        <v xml:space="preserve">                                                                                                                                                                                                                                                                                                                                                                                                                </v>
      </c>
      <c r="AM79" s="174" t="str">
        <f t="shared" si="155"/>
        <v>NG</v>
      </c>
      <c r="AN79" s="162"/>
      <c r="AO79" s="276" t="str">
        <f t="shared" si="255"/>
        <v>OK</v>
      </c>
      <c r="AP79" s="160"/>
      <c r="AQ79" s="162"/>
      <c r="AR79" s="146" t="str">
        <f t="shared" si="282"/>
        <v xml:space="preserve">                                                                                                                                                                                                                                                                                                                                                                                                                </v>
      </c>
      <c r="AS79" s="174" t="str">
        <f t="shared" si="238"/>
        <v>NG</v>
      </c>
      <c r="AT79" s="162"/>
      <c r="AU79" s="276" t="str">
        <f t="shared" si="256"/>
        <v>OK</v>
      </c>
      <c r="AV79" s="160"/>
      <c r="AW79" s="162"/>
      <c r="AX79" s="146" t="str">
        <f t="shared" si="283"/>
        <v xml:space="preserve">                                                                                                                                                                                                                                                                                                                                                                                                                </v>
      </c>
      <c r="AY79" s="174" t="str">
        <f t="shared" si="239"/>
        <v>NG</v>
      </c>
      <c r="AZ79" s="162"/>
      <c r="BA79" s="276" t="str">
        <f t="shared" si="257"/>
        <v>OK</v>
      </c>
      <c r="BB79" s="160"/>
      <c r="BC79" s="162"/>
      <c r="BD79" s="146" t="str">
        <f t="shared" si="284"/>
        <v xml:space="preserve">                                                                                                                                                                                                                                                                                                                                                                                                                </v>
      </c>
      <c r="BE79" s="174" t="str">
        <f t="shared" si="240"/>
        <v>NG</v>
      </c>
      <c r="BF79" s="162"/>
      <c r="BG79" s="276" t="str">
        <f t="shared" si="258"/>
        <v>OK</v>
      </c>
      <c r="BH79" s="160"/>
      <c r="BI79" s="162"/>
      <c r="BJ79" s="146" t="str">
        <f t="shared" si="285"/>
        <v xml:space="preserve">                                                                                                                                                                                                                                                                                                                                                                                                                </v>
      </c>
      <c r="BK79" s="174" t="str">
        <f t="shared" si="241"/>
        <v>NG</v>
      </c>
      <c r="BL79" s="162"/>
      <c r="BM79" s="276" t="str">
        <f t="shared" si="259"/>
        <v>OK</v>
      </c>
      <c r="BN79" s="160"/>
      <c r="BO79" s="162"/>
      <c r="BP79" s="146" t="str">
        <f t="shared" si="286"/>
        <v xml:space="preserve">                                                                                                                                                                                                                                                                                                                                                                                                                </v>
      </c>
      <c r="BQ79" s="174" t="str">
        <f t="shared" si="242"/>
        <v>NG</v>
      </c>
      <c r="BR79" s="162"/>
      <c r="BS79" s="276" t="str">
        <f t="shared" si="260"/>
        <v>OK</v>
      </c>
      <c r="BT79" s="160"/>
      <c r="BU79" s="162"/>
      <c r="BV79" s="146" t="str">
        <f t="shared" si="287"/>
        <v xml:space="preserve">                                                                                                                                                                                                                                                                                                                                                                                                                </v>
      </c>
      <c r="BW79" s="174" t="str">
        <f t="shared" si="243"/>
        <v>NG</v>
      </c>
      <c r="BX79" s="162"/>
      <c r="BY79" s="276" t="str">
        <f t="shared" si="261"/>
        <v>OK</v>
      </c>
      <c r="BZ79" s="160"/>
      <c r="CA79" s="162"/>
      <c r="CB79" s="146" t="str">
        <f t="shared" si="288"/>
        <v xml:space="preserve">                                                                                                                                                                                                                                                                                                                                                                                                                </v>
      </c>
      <c r="CC79" s="174" t="str">
        <f t="shared" si="244"/>
        <v>NG</v>
      </c>
      <c r="CD79" s="162"/>
      <c r="CE79" s="276" t="str">
        <f t="shared" si="262"/>
        <v>OK</v>
      </c>
      <c r="CF79" s="160"/>
      <c r="CG79" s="162"/>
      <c r="CH79" s="146" t="str">
        <f t="shared" si="289"/>
        <v xml:space="preserve">                                                                                                                                                                                                                                                                                                                                                                                                                </v>
      </c>
      <c r="CI79" s="174" t="str">
        <f t="shared" si="245"/>
        <v>NG</v>
      </c>
      <c r="CJ79" s="162"/>
      <c r="CK79" s="276" t="str">
        <f t="shared" si="263"/>
        <v>OK</v>
      </c>
      <c r="CL79" s="160"/>
      <c r="CM79" s="162"/>
      <c r="CN79" s="146" t="str">
        <f t="shared" si="290"/>
        <v xml:space="preserve">                                                                                                                                                                                                                                                                                                                                                                                                                </v>
      </c>
      <c r="CO79" s="174" t="str">
        <f t="shared" si="246"/>
        <v>NG</v>
      </c>
      <c r="CP79" s="162"/>
      <c r="CQ79" s="276" t="str">
        <f t="shared" si="264"/>
        <v>OK</v>
      </c>
      <c r="CR79" s="160"/>
      <c r="CS79" s="162"/>
      <c r="CT79" s="146" t="str">
        <f t="shared" si="291"/>
        <v xml:space="preserve">                                                                                                                                                                                                                                                                                                                                                                                                                </v>
      </c>
      <c r="CU79" s="174" t="str">
        <f t="shared" si="247"/>
        <v>NG</v>
      </c>
      <c r="CV79" s="162"/>
      <c r="CW79" s="276" t="str">
        <f t="shared" si="265"/>
        <v>OK</v>
      </c>
      <c r="CX79" s="160"/>
      <c r="CY79" s="162"/>
      <c r="CZ79" s="146" t="str">
        <f t="shared" si="292"/>
        <v xml:space="preserve">                                                                                                                                                                                                                                                                                                                                                                                                                </v>
      </c>
      <c r="DA79" s="174" t="str">
        <f t="shared" si="248"/>
        <v>NG</v>
      </c>
      <c r="DB79" s="162"/>
      <c r="DC79" s="276" t="str">
        <f t="shared" si="266"/>
        <v>OK</v>
      </c>
      <c r="DD79" s="160"/>
      <c r="DE79" s="162"/>
      <c r="DF79" s="146" t="str">
        <f t="shared" si="293"/>
        <v xml:space="preserve">                                                                                                                                                                                                                                                                                                                                                                                                                </v>
      </c>
      <c r="DG79" s="174" t="str">
        <f t="shared" si="249"/>
        <v>NG</v>
      </c>
      <c r="DH79" s="162"/>
      <c r="DI79" s="276" t="str">
        <f t="shared" si="267"/>
        <v>OK</v>
      </c>
      <c r="DJ79" s="160"/>
      <c r="DK79" s="162"/>
      <c r="DL79" s="146" t="str">
        <f t="shared" si="294"/>
        <v xml:space="preserve">                                                                                                                                                                                                                                                                                                                                                                                                                </v>
      </c>
      <c r="DM79" s="174" t="str">
        <f t="shared" si="250"/>
        <v>NG</v>
      </c>
      <c r="DN79" s="162"/>
      <c r="DO79" s="276" t="str">
        <f t="shared" si="268"/>
        <v>OK</v>
      </c>
      <c r="DP79" s="160"/>
      <c r="DQ79" s="162"/>
      <c r="DR79" s="146" t="str">
        <f t="shared" si="224"/>
        <v xml:space="preserve">                                                                                                                                                                                                                                                                                                                                                                                                                </v>
      </c>
      <c r="DS79" s="174" t="str">
        <f t="shared" si="215"/>
        <v>NG</v>
      </c>
      <c r="DT79" s="162"/>
      <c r="DU79" s="276" t="str">
        <f t="shared" si="269"/>
        <v>OK</v>
      </c>
      <c r="DV79" s="160"/>
      <c r="DW79" s="162"/>
      <c r="DX79" s="146" t="str">
        <f t="shared" si="225"/>
        <v xml:space="preserve">                                                                                                                                                                                                                                                                                                                                                                                                                </v>
      </c>
      <c r="DY79" s="174" t="str">
        <f t="shared" si="216"/>
        <v>NG</v>
      </c>
      <c r="DZ79" s="162"/>
      <c r="EA79" s="276" t="str">
        <f t="shared" si="270"/>
        <v>OK</v>
      </c>
      <c r="EB79" s="160"/>
      <c r="EC79" s="162"/>
      <c r="ED79" s="146" t="str">
        <f t="shared" si="226"/>
        <v xml:space="preserve">                                                                                                                                                                                                                                                                                                                                                                                                                </v>
      </c>
      <c r="EE79" s="174" t="str">
        <f t="shared" si="217"/>
        <v>NG</v>
      </c>
      <c r="EF79" s="162"/>
      <c r="EG79" s="276" t="str">
        <f t="shared" si="271"/>
        <v>OK</v>
      </c>
      <c r="EH79" s="160"/>
      <c r="EI79" s="162"/>
      <c r="EJ79" s="146" t="str">
        <f t="shared" si="227"/>
        <v xml:space="preserve">                                                                                                                                                                                                                                                                                                                                                                                                                </v>
      </c>
      <c r="EK79" s="174" t="str">
        <f t="shared" si="218"/>
        <v>NG</v>
      </c>
      <c r="EL79" s="162"/>
      <c r="EM79" s="276" t="str">
        <f t="shared" si="272"/>
        <v>OK</v>
      </c>
      <c r="EN79" s="160"/>
      <c r="EO79" s="162"/>
      <c r="EP79" s="146" t="str">
        <f t="shared" si="228"/>
        <v xml:space="preserve">                                                                                                                                                                                                                                                                                                                                                                                                                </v>
      </c>
      <c r="EQ79" s="174" t="str">
        <f t="shared" si="219"/>
        <v>NG</v>
      </c>
      <c r="ER79" s="162"/>
      <c r="ES79" s="276" t="str">
        <f t="shared" si="273"/>
        <v>OK</v>
      </c>
      <c r="ET79" s="160"/>
      <c r="EU79" s="162"/>
      <c r="EV79" s="146" t="str">
        <f t="shared" si="229"/>
        <v xml:space="preserve">                                                                                                                                                                                                                                                                                                                                                                                                                </v>
      </c>
      <c r="EW79" s="174" t="str">
        <f t="shared" si="220"/>
        <v>NG</v>
      </c>
      <c r="EX79" s="162"/>
      <c r="EY79" s="276" t="str">
        <f t="shared" si="274"/>
        <v>OK</v>
      </c>
      <c r="EZ79" s="160"/>
      <c r="FA79" s="162"/>
      <c r="FB79" s="146" t="str">
        <f t="shared" si="230"/>
        <v xml:space="preserve">                                                                                                                                                                                                                                                                                                                                                                                                                </v>
      </c>
      <c r="FC79" s="174" t="str">
        <f t="shared" si="221"/>
        <v>NG</v>
      </c>
      <c r="FD79" s="162"/>
      <c r="FE79" s="276" t="str">
        <f t="shared" si="275"/>
        <v>OK</v>
      </c>
      <c r="FF79" s="160"/>
      <c r="FG79" s="162"/>
      <c r="FH79" s="146" t="str">
        <f t="shared" si="232"/>
        <v xml:space="preserve">                                                                                                                                                                                                                                                                                                                                                                                                                </v>
      </c>
      <c r="FI79" s="174" t="str">
        <f t="shared" si="233"/>
        <v>NG</v>
      </c>
      <c r="FJ79" s="162"/>
      <c r="FK79" s="276" t="str">
        <f t="shared" si="276"/>
        <v>OK</v>
      </c>
      <c r="FL79" s="160"/>
      <c r="FM79" s="162"/>
      <c r="FN79" s="146" t="str">
        <f t="shared" si="295"/>
        <v xml:space="preserve">                                                                                                                                                                                                                                                                                                                                                                                                                </v>
      </c>
      <c r="FO79" s="174" t="str">
        <f t="shared" si="251"/>
        <v>NG</v>
      </c>
      <c r="FP79" s="162"/>
      <c r="FQ79" s="276" t="str">
        <f t="shared" si="277"/>
        <v>OK</v>
      </c>
      <c r="FR79" s="160"/>
      <c r="FS79" s="162"/>
      <c r="FT79" s="146" t="str">
        <f t="shared" si="296"/>
        <v xml:space="preserve">                                                                                                                                                                                                                                                                                                                                                                                                                </v>
      </c>
      <c r="FU79" s="174" t="str">
        <f t="shared" si="252"/>
        <v>NG</v>
      </c>
      <c r="FV79" s="162"/>
      <c r="FW79" s="276" t="str">
        <f t="shared" si="278"/>
        <v>OK</v>
      </c>
      <c r="FX79" s="160"/>
      <c r="FY79" s="162"/>
      <c r="FZ79" s="146" t="str">
        <f t="shared" si="297"/>
        <v xml:space="preserve">                                                                                                                                                                                                                                                                                                                                                                                                                </v>
      </c>
      <c r="GA79" s="174" t="str">
        <f t="shared" si="253"/>
        <v>NG</v>
      </c>
      <c r="GB79" s="162"/>
      <c r="GC79" s="276" t="str">
        <f t="shared" si="279"/>
        <v>OK</v>
      </c>
    </row>
    <row r="80" spans="1:185" s="52" customFormat="1">
      <c r="B80" s="216">
        <f t="shared" si="153"/>
        <v>73</v>
      </c>
      <c r="C80" s="37"/>
      <c r="D80" s="37"/>
      <c r="E80" s="37"/>
      <c r="F80" s="49" t="s">
        <v>216</v>
      </c>
      <c r="G80" s="39"/>
      <c r="H80" s="40"/>
      <c r="I80" s="42"/>
      <c r="J80" s="42"/>
      <c r="K80" s="42"/>
      <c r="L80" s="42"/>
      <c r="M80" s="63" t="s">
        <v>336</v>
      </c>
      <c r="N80" s="47"/>
      <c r="O80" s="143"/>
      <c r="P80" s="45">
        <f t="shared" si="235"/>
        <v>55</v>
      </c>
      <c r="Q80" s="46">
        <v>400</v>
      </c>
      <c r="R80" s="41" t="str">
        <f t="shared" si="280"/>
        <v>NX</v>
      </c>
      <c r="S80" s="185" t="s">
        <v>217</v>
      </c>
      <c r="T80" s="43"/>
      <c r="U80" s="41" t="s">
        <v>80</v>
      </c>
      <c r="V80" s="44"/>
      <c r="W80" s="22">
        <v>3</v>
      </c>
      <c r="X80" s="47" t="s">
        <v>218</v>
      </c>
      <c r="Y80" s="47">
        <v>1</v>
      </c>
      <c r="Z80" s="47">
        <v>400</v>
      </c>
      <c r="AA80" s="42" t="s">
        <v>195</v>
      </c>
      <c r="AB80" s="42" t="s">
        <v>80</v>
      </c>
      <c r="AC80" s="166"/>
      <c r="AD80" s="160"/>
      <c r="AE80" s="141"/>
      <c r="AF80" s="146" t="str">
        <f t="shared" si="236"/>
        <v xml:space="preserve">                                                                                                                                                                                                                                                                                                                                                                                                                </v>
      </c>
      <c r="AG80" s="174" t="str">
        <f t="shared" si="237"/>
        <v>NG</v>
      </c>
      <c r="AH80" s="141"/>
      <c r="AI80" s="172" t="s">
        <v>71</v>
      </c>
      <c r="AJ80" s="160"/>
      <c r="AK80" s="141"/>
      <c r="AL80" s="146" t="str">
        <f t="shared" si="281"/>
        <v xml:space="preserve">                                                                                                                                                                                                                                                                                                                                                                                                                </v>
      </c>
      <c r="AM80" s="174" t="str">
        <f t="shared" si="155"/>
        <v>NG</v>
      </c>
      <c r="AN80" s="141"/>
      <c r="AO80" s="172" t="s">
        <v>71</v>
      </c>
      <c r="AP80" s="160"/>
      <c r="AQ80" s="141"/>
      <c r="AR80" s="146" t="str">
        <f t="shared" si="282"/>
        <v xml:space="preserve">                                                                                                                                                                                                                                                                                                                                                                                                                </v>
      </c>
      <c r="AS80" s="174" t="str">
        <f t="shared" si="238"/>
        <v>NG</v>
      </c>
      <c r="AT80" s="141"/>
      <c r="AU80" s="172" t="s">
        <v>71</v>
      </c>
      <c r="AV80" s="160"/>
      <c r="AW80" s="141"/>
      <c r="AX80" s="146" t="str">
        <f t="shared" si="283"/>
        <v xml:space="preserve">                                                                                                                                                                                                                                                                                                                                                                                                                </v>
      </c>
      <c r="AY80" s="174" t="str">
        <f t="shared" si="239"/>
        <v>NG</v>
      </c>
      <c r="AZ80" s="141"/>
      <c r="BA80" s="172" t="s">
        <v>71</v>
      </c>
      <c r="BB80" s="160"/>
      <c r="BC80" s="141"/>
      <c r="BD80" s="146" t="str">
        <f t="shared" si="284"/>
        <v xml:space="preserve">                                                                                                                                                                                                                                                                                                                                                                                                                </v>
      </c>
      <c r="BE80" s="174" t="str">
        <f t="shared" si="240"/>
        <v>NG</v>
      </c>
      <c r="BF80" s="141"/>
      <c r="BG80" s="172" t="s">
        <v>71</v>
      </c>
      <c r="BH80" s="160"/>
      <c r="BI80" s="141"/>
      <c r="BJ80" s="146" t="str">
        <f t="shared" si="285"/>
        <v xml:space="preserve">                                                                                                                                                                                                                                                                                                                                                                                                                </v>
      </c>
      <c r="BK80" s="174" t="str">
        <f t="shared" si="241"/>
        <v>NG</v>
      </c>
      <c r="BL80" s="141"/>
      <c r="BM80" s="172" t="s">
        <v>71</v>
      </c>
      <c r="BN80" s="160"/>
      <c r="BO80" s="141"/>
      <c r="BP80" s="146" t="str">
        <f t="shared" si="286"/>
        <v xml:space="preserve">                                                                                                                                                                                                                                                                                                                                                                                                                </v>
      </c>
      <c r="BQ80" s="174" t="str">
        <f t="shared" si="242"/>
        <v>NG</v>
      </c>
      <c r="BR80" s="141"/>
      <c r="BS80" s="172" t="s">
        <v>71</v>
      </c>
      <c r="BT80" s="160"/>
      <c r="BU80" s="141"/>
      <c r="BV80" s="146" t="str">
        <f t="shared" si="287"/>
        <v xml:space="preserve">                                                                                                                                                                                                                                                                                                                                                                                                                </v>
      </c>
      <c r="BW80" s="174" t="str">
        <f t="shared" si="243"/>
        <v>NG</v>
      </c>
      <c r="BX80" s="141"/>
      <c r="BY80" s="172" t="s">
        <v>71</v>
      </c>
      <c r="BZ80" s="160"/>
      <c r="CA80" s="141"/>
      <c r="CB80" s="146" t="str">
        <f t="shared" si="288"/>
        <v xml:space="preserve">                                                                                                                                                                                                                                                                                                                                                                                                                </v>
      </c>
      <c r="CC80" s="174" t="str">
        <f t="shared" si="244"/>
        <v>NG</v>
      </c>
      <c r="CD80" s="141"/>
      <c r="CE80" s="172" t="s">
        <v>71</v>
      </c>
      <c r="CF80" s="160"/>
      <c r="CG80" s="141"/>
      <c r="CH80" s="146" t="str">
        <f t="shared" si="289"/>
        <v xml:space="preserve">                                                                                                                                                                                                                                                                                                                                                                                                                </v>
      </c>
      <c r="CI80" s="174" t="str">
        <f t="shared" si="245"/>
        <v>NG</v>
      </c>
      <c r="CJ80" s="141"/>
      <c r="CK80" s="172" t="s">
        <v>71</v>
      </c>
      <c r="CL80" s="160"/>
      <c r="CM80" s="141"/>
      <c r="CN80" s="146" t="str">
        <f t="shared" si="290"/>
        <v xml:space="preserve">                                                                                                                                                                                                                                                                                                                                                                                                                </v>
      </c>
      <c r="CO80" s="174" t="str">
        <f t="shared" si="246"/>
        <v>NG</v>
      </c>
      <c r="CP80" s="141"/>
      <c r="CQ80" s="172" t="s">
        <v>71</v>
      </c>
      <c r="CR80" s="160"/>
      <c r="CS80" s="141"/>
      <c r="CT80" s="146" t="str">
        <f t="shared" si="291"/>
        <v xml:space="preserve">                                                                                                                                                                                                                                                                                                                                                                                                                </v>
      </c>
      <c r="CU80" s="174" t="str">
        <f t="shared" si="247"/>
        <v>NG</v>
      </c>
      <c r="CV80" s="141"/>
      <c r="CW80" s="172" t="s">
        <v>71</v>
      </c>
      <c r="CX80" s="160"/>
      <c r="CY80" s="141"/>
      <c r="CZ80" s="146" t="str">
        <f t="shared" si="292"/>
        <v xml:space="preserve">                                                                                                                                                                                                                                                                                                                                                                                                                </v>
      </c>
      <c r="DA80" s="174" t="str">
        <f t="shared" si="248"/>
        <v>NG</v>
      </c>
      <c r="DB80" s="141"/>
      <c r="DC80" s="172" t="s">
        <v>71</v>
      </c>
      <c r="DD80" s="160"/>
      <c r="DE80" s="141"/>
      <c r="DF80" s="146" t="str">
        <f t="shared" si="293"/>
        <v xml:space="preserve">                                                                                                                                                                                                                                                                                                                                                                                                                </v>
      </c>
      <c r="DG80" s="174" t="str">
        <f t="shared" si="249"/>
        <v>NG</v>
      </c>
      <c r="DH80" s="141"/>
      <c r="DI80" s="172" t="s">
        <v>71</v>
      </c>
      <c r="DJ80" s="160"/>
      <c r="DK80" s="141"/>
      <c r="DL80" s="146" t="str">
        <f t="shared" si="294"/>
        <v xml:space="preserve">                                                                                                                                                                                                                                                                                                                                                                                                                </v>
      </c>
      <c r="DM80" s="174" t="str">
        <f t="shared" si="250"/>
        <v>NG</v>
      </c>
      <c r="DN80" s="141"/>
      <c r="DO80" s="172" t="s">
        <v>71</v>
      </c>
      <c r="DP80" s="160"/>
      <c r="DQ80" s="141"/>
      <c r="DR80" s="146" t="str">
        <f t="shared" si="224"/>
        <v xml:space="preserve">                                                                                                                                                                                                                                                                                                                                                                                                                </v>
      </c>
      <c r="DS80" s="174" t="str">
        <f t="shared" si="215"/>
        <v>NG</v>
      </c>
      <c r="DT80" s="141"/>
      <c r="DU80" s="172" t="s">
        <v>71</v>
      </c>
      <c r="DV80" s="160"/>
      <c r="DW80" s="141"/>
      <c r="DX80" s="146" t="str">
        <f t="shared" si="225"/>
        <v xml:space="preserve">                                                                                                                                                                                                                                                                                                                                                                                                                </v>
      </c>
      <c r="DY80" s="174" t="str">
        <f t="shared" si="216"/>
        <v>NG</v>
      </c>
      <c r="DZ80" s="141"/>
      <c r="EA80" s="172" t="s">
        <v>71</v>
      </c>
      <c r="EB80" s="160"/>
      <c r="EC80" s="141"/>
      <c r="ED80" s="146" t="str">
        <f t="shared" si="226"/>
        <v xml:space="preserve">                                                                                                                                                                                                                                                                                                                                                                                                                </v>
      </c>
      <c r="EE80" s="174" t="str">
        <f t="shared" si="217"/>
        <v>NG</v>
      </c>
      <c r="EF80" s="141"/>
      <c r="EG80" s="172" t="s">
        <v>71</v>
      </c>
      <c r="EH80" s="160"/>
      <c r="EI80" s="141"/>
      <c r="EJ80" s="146" t="str">
        <f t="shared" si="227"/>
        <v xml:space="preserve">                                                                                                                                                                                                                                                                                                                                                                                                                </v>
      </c>
      <c r="EK80" s="174" t="str">
        <f t="shared" si="218"/>
        <v>NG</v>
      </c>
      <c r="EL80" s="141"/>
      <c r="EM80" s="172" t="s">
        <v>71</v>
      </c>
      <c r="EN80" s="160"/>
      <c r="EO80" s="141"/>
      <c r="EP80" s="146" t="str">
        <f t="shared" si="228"/>
        <v xml:space="preserve">                                                                                                                                                                                                                                                                                                                                                                                                                </v>
      </c>
      <c r="EQ80" s="174" t="str">
        <f t="shared" si="219"/>
        <v>NG</v>
      </c>
      <c r="ER80" s="141"/>
      <c r="ES80" s="172" t="s">
        <v>71</v>
      </c>
      <c r="ET80" s="160"/>
      <c r="EU80" s="141"/>
      <c r="EV80" s="146" t="str">
        <f t="shared" si="229"/>
        <v xml:space="preserve">                                                                                                                                                                                                                                                                                                                                                                                                                </v>
      </c>
      <c r="EW80" s="174" t="str">
        <f t="shared" si="220"/>
        <v>NG</v>
      </c>
      <c r="EX80" s="141"/>
      <c r="EY80" s="172" t="s">
        <v>71</v>
      </c>
      <c r="EZ80" s="160"/>
      <c r="FA80" s="141"/>
      <c r="FB80" s="146" t="str">
        <f t="shared" si="230"/>
        <v xml:space="preserve">                                                                                                                                                                                                                                                                                                                                                                                                                </v>
      </c>
      <c r="FC80" s="174" t="str">
        <f t="shared" si="221"/>
        <v>NG</v>
      </c>
      <c r="FD80" s="141"/>
      <c r="FE80" s="172" t="s">
        <v>71</v>
      </c>
      <c r="FF80" s="160"/>
      <c r="FG80" s="141"/>
      <c r="FH80" s="146" t="str">
        <f t="shared" si="232"/>
        <v xml:space="preserve">                                                                                                                                                                                                                                                                                                                                                                                                                </v>
      </c>
      <c r="FI80" s="174" t="str">
        <f t="shared" si="233"/>
        <v>NG</v>
      </c>
      <c r="FJ80" s="141"/>
      <c r="FK80" s="172" t="s">
        <v>71</v>
      </c>
      <c r="FL80" s="160"/>
      <c r="FM80" s="141"/>
      <c r="FN80" s="146" t="str">
        <f t="shared" si="295"/>
        <v xml:space="preserve">                                                                                                                                                                                                                                                                                                                                                                                                                </v>
      </c>
      <c r="FO80" s="174" t="str">
        <f t="shared" si="251"/>
        <v>NG</v>
      </c>
      <c r="FP80" s="141"/>
      <c r="FQ80" s="172" t="s">
        <v>71</v>
      </c>
      <c r="FR80" s="160"/>
      <c r="FS80" s="141"/>
      <c r="FT80" s="146" t="str">
        <f t="shared" si="296"/>
        <v xml:space="preserve">                                                                                                                                                                                                                                                                                                                                                                                                                </v>
      </c>
      <c r="FU80" s="174" t="str">
        <f t="shared" si="252"/>
        <v>NG</v>
      </c>
      <c r="FV80" s="141"/>
      <c r="FW80" s="172" t="s">
        <v>71</v>
      </c>
      <c r="FX80" s="160"/>
      <c r="FY80" s="141"/>
      <c r="FZ80" s="146" t="str">
        <f t="shared" si="297"/>
        <v xml:space="preserve">                                                                                                                                                                                                                                                                                                                                                                                                                </v>
      </c>
      <c r="GA80" s="174" t="str">
        <f t="shared" si="253"/>
        <v>NG</v>
      </c>
      <c r="GB80" s="141"/>
      <c r="GC80" s="172" t="s">
        <v>71</v>
      </c>
    </row>
    <row r="81" spans="1:185" s="52" customFormat="1" ht="76.5">
      <c r="B81" s="216">
        <f t="shared" si="153"/>
        <v>74</v>
      </c>
      <c r="C81" s="37"/>
      <c r="D81" s="37"/>
      <c r="E81" s="37"/>
      <c r="F81" s="49" t="s">
        <v>219</v>
      </c>
      <c r="G81" s="39"/>
      <c r="H81" s="40"/>
      <c r="I81" s="42"/>
      <c r="J81" s="42"/>
      <c r="K81" s="42"/>
      <c r="L81" s="42"/>
      <c r="M81" s="63" t="s">
        <v>337</v>
      </c>
      <c r="N81" s="47"/>
      <c r="O81" s="143"/>
      <c r="P81" s="45">
        <f t="shared" si="235"/>
        <v>56</v>
      </c>
      <c r="Q81" s="46">
        <v>400</v>
      </c>
      <c r="R81" s="41" t="str">
        <f t="shared" si="280"/>
        <v>NX</v>
      </c>
      <c r="S81" s="185" t="s">
        <v>220</v>
      </c>
      <c r="T81" s="43"/>
      <c r="U81" s="41" t="s">
        <v>80</v>
      </c>
      <c r="V81" s="44"/>
      <c r="W81" s="22">
        <v>3</v>
      </c>
      <c r="X81" s="47" t="s">
        <v>221</v>
      </c>
      <c r="Y81" s="47">
        <v>1</v>
      </c>
      <c r="Z81" s="47">
        <v>400</v>
      </c>
      <c r="AA81" s="42" t="s">
        <v>195</v>
      </c>
      <c r="AB81" s="42" t="s">
        <v>80</v>
      </c>
      <c r="AC81" s="166"/>
      <c r="AD81" s="160"/>
      <c r="AE81" s="141"/>
      <c r="AF81" s="146" t="str">
        <f t="shared" si="236"/>
        <v xml:space="preserve">                                                                                                                                                                                                                                                                                                                                                                                                                </v>
      </c>
      <c r="AG81" s="174" t="str">
        <f t="shared" si="237"/>
        <v>NG</v>
      </c>
      <c r="AH81" s="141"/>
      <c r="AI81" s="276" t="str">
        <f>IF(OR(AE$8="判定対象外",AH$8="判定対象外",AH81="-"),"-",IF(AE81=AH81,"OK","NG"))</f>
        <v>OK</v>
      </c>
      <c r="AJ81" s="160"/>
      <c r="AK81" s="141"/>
      <c r="AL81" s="146" t="str">
        <f t="shared" si="281"/>
        <v xml:space="preserve">                                                                                                                                                                                                                                                                                                                                                                                                                </v>
      </c>
      <c r="AM81" s="174" t="str">
        <f t="shared" si="155"/>
        <v>NG</v>
      </c>
      <c r="AN81" s="141"/>
      <c r="AO81" s="276" t="str">
        <f>IF(OR(AK$8="判定対象外",AN$8="判定対象外",AN81="-"),"-",IF(AK81=AN81,"OK","NG"))</f>
        <v>OK</v>
      </c>
      <c r="AP81" s="160"/>
      <c r="AQ81" s="141"/>
      <c r="AR81" s="146" t="str">
        <f t="shared" si="282"/>
        <v xml:space="preserve">                                                                                                                                                                                                                                                                                                                                                                                                                </v>
      </c>
      <c r="AS81" s="174" t="str">
        <f t="shared" si="238"/>
        <v>NG</v>
      </c>
      <c r="AT81" s="141"/>
      <c r="AU81" s="276" t="str">
        <f>IF(OR(AQ$8="判定対象外",AT$8="判定対象外",AT81="-"),"-",IF(AQ81=AT81,"OK","NG"))</f>
        <v>OK</v>
      </c>
      <c r="AV81" s="160"/>
      <c r="AW81" s="141"/>
      <c r="AX81" s="146" t="str">
        <f t="shared" si="283"/>
        <v xml:space="preserve">                                                                                                                                                                                                                                                                                                                                                                                                                </v>
      </c>
      <c r="AY81" s="174" t="str">
        <f t="shared" si="239"/>
        <v>NG</v>
      </c>
      <c r="AZ81" s="141"/>
      <c r="BA81" s="276" t="str">
        <f>IF(OR(AW$8="判定対象外",AZ$8="判定対象外",AZ81="-"),"-",IF(AW81=AZ81,"OK","NG"))</f>
        <v>OK</v>
      </c>
      <c r="BB81" s="160"/>
      <c r="BC81" s="141"/>
      <c r="BD81" s="146" t="str">
        <f t="shared" si="284"/>
        <v xml:space="preserve">                                                                                                                                                                                                                                                                                                                                                                                                                </v>
      </c>
      <c r="BE81" s="174" t="str">
        <f t="shared" si="240"/>
        <v>NG</v>
      </c>
      <c r="BF81" s="141"/>
      <c r="BG81" s="276" t="str">
        <f>IF(OR(BC$8="判定対象外",BF$8="判定対象外",BF81="-"),"-",IF(BC81=BF81,"OK","NG"))</f>
        <v>OK</v>
      </c>
      <c r="BH81" s="160"/>
      <c r="BI81" s="141"/>
      <c r="BJ81" s="146" t="str">
        <f t="shared" si="285"/>
        <v xml:space="preserve">                                                                                                                                                                                                                                                                                                                                                                                                                </v>
      </c>
      <c r="BK81" s="174" t="str">
        <f t="shared" si="241"/>
        <v>NG</v>
      </c>
      <c r="BL81" s="141"/>
      <c r="BM81" s="276" t="str">
        <f>IF(OR(BI$8="判定対象外",BL$8="判定対象外",BL81="-"),"-",IF(BI81=BL81,"OK","NG"))</f>
        <v>OK</v>
      </c>
      <c r="BN81" s="160"/>
      <c r="BO81" s="141"/>
      <c r="BP81" s="146" t="str">
        <f t="shared" si="286"/>
        <v xml:space="preserve">                                                                                                                                                                                                                                                                                                                                                                                                                </v>
      </c>
      <c r="BQ81" s="174" t="str">
        <f t="shared" si="242"/>
        <v>NG</v>
      </c>
      <c r="BR81" s="141"/>
      <c r="BS81" s="276" t="str">
        <f>IF(OR(BO$8="判定対象外",BR$8="判定対象外",BR81="-"),"-",IF(BO81=BR81,"OK","NG"))</f>
        <v>OK</v>
      </c>
      <c r="BT81" s="160"/>
      <c r="BU81" s="141"/>
      <c r="BV81" s="146" t="str">
        <f t="shared" si="287"/>
        <v xml:space="preserve">                                                                                                                                                                                                                                                                                                                                                                                                                </v>
      </c>
      <c r="BW81" s="174" t="str">
        <f t="shared" si="243"/>
        <v>NG</v>
      </c>
      <c r="BX81" s="141"/>
      <c r="BY81" s="276" t="str">
        <f>IF(OR(BU$8="判定対象外",BX$8="判定対象外",BX81="-"),"-",IF(BU81=BX81,"OK","NG"))</f>
        <v>OK</v>
      </c>
      <c r="BZ81" s="160"/>
      <c r="CA81" s="141"/>
      <c r="CB81" s="146" t="str">
        <f t="shared" si="288"/>
        <v xml:space="preserve">                                                                                                                                                                                                                                                                                                                                                                                                                </v>
      </c>
      <c r="CC81" s="174" t="str">
        <f t="shared" si="244"/>
        <v>NG</v>
      </c>
      <c r="CD81" s="141"/>
      <c r="CE81" s="276" t="str">
        <f>IF(OR(CA$8="判定対象外",CD$8="判定対象外",CD81="-"),"-",IF(CA81=CD81,"OK","NG"))</f>
        <v>OK</v>
      </c>
      <c r="CF81" s="160"/>
      <c r="CG81" s="141"/>
      <c r="CH81" s="146" t="str">
        <f t="shared" si="289"/>
        <v xml:space="preserve">                                                                                                                                                                                                                                                                                                                                                                                                                </v>
      </c>
      <c r="CI81" s="174" t="str">
        <f t="shared" si="245"/>
        <v>NG</v>
      </c>
      <c r="CJ81" s="141"/>
      <c r="CK81" s="276" t="str">
        <f>IF(OR(CG$8="判定対象外",CJ$8="判定対象外",CJ81="-"),"-",IF(CG81=CJ81,"OK","NG"))</f>
        <v>OK</v>
      </c>
      <c r="CL81" s="160"/>
      <c r="CM81" s="141"/>
      <c r="CN81" s="146" t="str">
        <f t="shared" si="290"/>
        <v xml:space="preserve">                                                                                                                                                                                                                                                                                                                                                                                                                </v>
      </c>
      <c r="CO81" s="174" t="str">
        <f t="shared" si="246"/>
        <v>NG</v>
      </c>
      <c r="CP81" s="141"/>
      <c r="CQ81" s="276" t="str">
        <f>IF(OR(CM$8="判定対象外",CP$8="判定対象外",CP81="-"),"-",IF(CM81=CP81,"OK","NG"))</f>
        <v>OK</v>
      </c>
      <c r="CR81" s="160"/>
      <c r="CS81" s="141"/>
      <c r="CT81" s="146" t="str">
        <f t="shared" si="291"/>
        <v xml:space="preserve">                                                                                                                                                                                                                                                                                                                                                                                                                </v>
      </c>
      <c r="CU81" s="174" t="str">
        <f t="shared" si="247"/>
        <v>NG</v>
      </c>
      <c r="CV81" s="141"/>
      <c r="CW81" s="276" t="str">
        <f>IF(OR(CS$8="判定対象外",CV$8="判定対象外",CV81="-"),"-",IF(CS81=CV81,"OK","NG"))</f>
        <v>OK</v>
      </c>
      <c r="CX81" s="160"/>
      <c r="CY81" s="141"/>
      <c r="CZ81" s="146" t="str">
        <f t="shared" si="292"/>
        <v xml:space="preserve">                                                                                                                                                                                                                                                                                                                                                                                                                </v>
      </c>
      <c r="DA81" s="174" t="str">
        <f t="shared" si="248"/>
        <v>NG</v>
      </c>
      <c r="DB81" s="141"/>
      <c r="DC81" s="276" t="str">
        <f>IF(OR(CY$8="判定対象外",DB$8="判定対象外",DB81="-"),"-",IF(CY81=DB81,"OK","NG"))</f>
        <v>OK</v>
      </c>
      <c r="DD81" s="160"/>
      <c r="DE81" s="141"/>
      <c r="DF81" s="146" t="str">
        <f t="shared" si="293"/>
        <v xml:space="preserve">                                                                                                                                                                                                                                                                                                                                                                                                                </v>
      </c>
      <c r="DG81" s="174" t="str">
        <f t="shared" si="249"/>
        <v>NG</v>
      </c>
      <c r="DH81" s="141"/>
      <c r="DI81" s="276" t="str">
        <f>IF(OR(DE$8="判定対象外",DH$8="判定対象外",DH81="-"),"-",IF(DE81=DH81,"OK","NG"))</f>
        <v>OK</v>
      </c>
      <c r="DJ81" s="160"/>
      <c r="DK81" s="141"/>
      <c r="DL81" s="146" t="str">
        <f t="shared" si="294"/>
        <v xml:space="preserve">                                                                                                                                                                                                                                                                                                                                                                                                                </v>
      </c>
      <c r="DM81" s="174" t="str">
        <f t="shared" si="250"/>
        <v>NG</v>
      </c>
      <c r="DN81" s="141"/>
      <c r="DO81" s="276" t="str">
        <f>IF(OR(DK$8="判定対象外",DN$8="判定対象外",DN81="-"),"-",IF(DK81=DN81,"OK","NG"))</f>
        <v>OK</v>
      </c>
      <c r="DP81" s="160"/>
      <c r="DQ81" s="141"/>
      <c r="DR81" s="146" t="str">
        <f t="shared" si="224"/>
        <v xml:space="preserve">                                                                                                                                                                                                                                                                                                                                                                                                                </v>
      </c>
      <c r="DS81" s="174" t="str">
        <f t="shared" si="215"/>
        <v>NG</v>
      </c>
      <c r="DT81" s="141"/>
      <c r="DU81" s="276" t="str">
        <f>IF(OR(DQ$8="判定対象外",DT$8="判定対象外",DT81="-"),"-",IF(DQ81=DT81,"OK","NG"))</f>
        <v>OK</v>
      </c>
      <c r="DV81" s="160"/>
      <c r="DW81" s="141"/>
      <c r="DX81" s="146" t="str">
        <f t="shared" si="225"/>
        <v xml:space="preserve">                                                                                                                                                                                                                                                                                                                                                                                                                </v>
      </c>
      <c r="DY81" s="174" t="str">
        <f t="shared" si="216"/>
        <v>NG</v>
      </c>
      <c r="DZ81" s="141"/>
      <c r="EA81" s="276" t="str">
        <f>IF(OR(DW$8="判定対象外",DZ$8="判定対象外",DZ81="-"),"-",IF(DW81=DZ81,"OK","NG"))</f>
        <v>OK</v>
      </c>
      <c r="EB81" s="160"/>
      <c r="EC81" s="141"/>
      <c r="ED81" s="146" t="str">
        <f t="shared" si="226"/>
        <v xml:space="preserve">                                                                                                                                                                                                                                                                                                                                                                                                                </v>
      </c>
      <c r="EE81" s="174" t="str">
        <f t="shared" si="217"/>
        <v>NG</v>
      </c>
      <c r="EF81" s="141"/>
      <c r="EG81" s="276" t="str">
        <f>IF(OR(EC$8="判定対象外",EF$8="判定対象外",EF81="-"),"-",IF(EC81=EF81,"OK","NG"))</f>
        <v>OK</v>
      </c>
      <c r="EH81" s="160"/>
      <c r="EI81" s="141"/>
      <c r="EJ81" s="146" t="str">
        <f t="shared" si="227"/>
        <v xml:space="preserve">                                                                                                                                                                                                                                                                                                                                                                                                                </v>
      </c>
      <c r="EK81" s="174" t="str">
        <f t="shared" si="218"/>
        <v>NG</v>
      </c>
      <c r="EL81" s="141"/>
      <c r="EM81" s="276" t="str">
        <f>IF(OR(EI$8="判定対象外",EL$8="判定対象外",EL81="-"),"-",IF(EI81=EL81,"OK","NG"))</f>
        <v>OK</v>
      </c>
      <c r="EN81" s="160"/>
      <c r="EO81" s="141"/>
      <c r="EP81" s="146" t="str">
        <f t="shared" si="228"/>
        <v xml:space="preserve">                                                                                                                                                                                                                                                                                                                                                                                                                </v>
      </c>
      <c r="EQ81" s="174" t="str">
        <f t="shared" si="219"/>
        <v>NG</v>
      </c>
      <c r="ER81" s="141"/>
      <c r="ES81" s="276" t="str">
        <f>IF(OR(EO$8="判定対象外",ER$8="判定対象外",ER81="-"),"-",IF(EO81=ER81,"OK","NG"))</f>
        <v>OK</v>
      </c>
      <c r="ET81" s="160"/>
      <c r="EU81" s="141"/>
      <c r="EV81" s="146" t="str">
        <f t="shared" si="229"/>
        <v xml:space="preserve">                                                                                                                                                                                                                                                                                                                                                                                                                </v>
      </c>
      <c r="EW81" s="174" t="str">
        <f t="shared" si="220"/>
        <v>NG</v>
      </c>
      <c r="EX81" s="141"/>
      <c r="EY81" s="276" t="str">
        <f>IF(OR(EU$8="判定対象外",EX$8="判定対象外",EX81="-"),"-",IF(EU81=EX81,"OK","NG"))</f>
        <v>OK</v>
      </c>
      <c r="EZ81" s="160"/>
      <c r="FA81" s="141"/>
      <c r="FB81" s="146" t="str">
        <f t="shared" si="230"/>
        <v xml:space="preserve">                                                                                                                                                                                                                                                                                                                                                                                                                </v>
      </c>
      <c r="FC81" s="174" t="str">
        <f t="shared" si="221"/>
        <v>NG</v>
      </c>
      <c r="FD81" s="141"/>
      <c r="FE81" s="276" t="str">
        <f>IF(OR(FA$8="判定対象外",FD$8="判定対象外",FD81="-"),"-",IF(FA81=FD81,"OK","NG"))</f>
        <v>OK</v>
      </c>
      <c r="FF81" s="160"/>
      <c r="FG81" s="141"/>
      <c r="FH81" s="146" t="str">
        <f t="shared" si="232"/>
        <v xml:space="preserve">                                                                                                                                                                                                                                                                                                                                                                                                                </v>
      </c>
      <c r="FI81" s="174" t="str">
        <f t="shared" si="233"/>
        <v>NG</v>
      </c>
      <c r="FJ81" s="141"/>
      <c r="FK81" s="276" t="str">
        <f>IF(OR(FG$8="判定対象外",FJ$8="判定対象外",FJ81="-"),"-",IF(FG81=FJ81,"OK","NG"))</f>
        <v>OK</v>
      </c>
      <c r="FL81" s="160"/>
      <c r="FM81" s="141"/>
      <c r="FN81" s="146" t="str">
        <f t="shared" si="295"/>
        <v xml:space="preserve">                                                                                                                                                                                                                                                                                                                                                                                                                </v>
      </c>
      <c r="FO81" s="174" t="str">
        <f t="shared" si="251"/>
        <v>NG</v>
      </c>
      <c r="FP81" s="141"/>
      <c r="FQ81" s="276" t="str">
        <f>IF(OR(FM$8="判定対象外",FP$8="判定対象外",FP81="-"),"-",IF(FM81=FP81,"OK","NG"))</f>
        <v>OK</v>
      </c>
      <c r="FR81" s="160"/>
      <c r="FS81" s="141"/>
      <c r="FT81" s="146" t="str">
        <f t="shared" si="296"/>
        <v xml:space="preserve">                                                                                                                                                                                                                                                                                                                                                                                                                </v>
      </c>
      <c r="FU81" s="174" t="str">
        <f t="shared" si="252"/>
        <v>NG</v>
      </c>
      <c r="FV81" s="141"/>
      <c r="FW81" s="276" t="str">
        <f>IF(OR(FS$8="判定対象外",FV$8="判定対象外",FV81="-"),"-",IF(FS81=FV81,"OK","NG"))</f>
        <v>OK</v>
      </c>
      <c r="FX81" s="160"/>
      <c r="FY81" s="141"/>
      <c r="FZ81" s="146" t="str">
        <f t="shared" si="297"/>
        <v xml:space="preserve">                                                                                                                                                                                                                                                                                                                                                                                                                </v>
      </c>
      <c r="GA81" s="174" t="str">
        <f t="shared" si="253"/>
        <v>NG</v>
      </c>
      <c r="GB81" s="141"/>
      <c r="GC81" s="276" t="str">
        <f>IF(OR(FY$8="判定対象外",GB$8="判定対象外",GB81="-"),"-",IF(FY81=GB81,"OK","NG"))</f>
        <v>OK</v>
      </c>
    </row>
    <row r="82" spans="1:185" s="52" customFormat="1">
      <c r="B82" s="216">
        <f t="shared" si="153"/>
        <v>75</v>
      </c>
      <c r="C82" s="37"/>
      <c r="D82" s="37"/>
      <c r="E82" s="37"/>
      <c r="F82" s="49" t="s">
        <v>222</v>
      </c>
      <c r="G82" s="39"/>
      <c r="H82" s="40"/>
      <c r="I82" s="42"/>
      <c r="J82" s="42"/>
      <c r="K82" s="42"/>
      <c r="L82" s="42"/>
      <c r="M82" s="63" t="s">
        <v>336</v>
      </c>
      <c r="N82" s="47"/>
      <c r="O82" s="143"/>
      <c r="P82" s="45">
        <f t="shared" si="235"/>
        <v>57</v>
      </c>
      <c r="Q82" s="46">
        <v>400</v>
      </c>
      <c r="R82" s="41" t="str">
        <f t="shared" si="280"/>
        <v>NX</v>
      </c>
      <c r="S82" s="185" t="s">
        <v>223</v>
      </c>
      <c r="T82" s="43"/>
      <c r="U82" s="41" t="s">
        <v>80</v>
      </c>
      <c r="V82" s="44"/>
      <c r="W82" s="22">
        <v>3</v>
      </c>
      <c r="X82" s="47" t="s">
        <v>224</v>
      </c>
      <c r="Y82" s="47">
        <v>1</v>
      </c>
      <c r="Z82" s="47">
        <v>400</v>
      </c>
      <c r="AA82" s="42" t="s">
        <v>195</v>
      </c>
      <c r="AB82" s="42" t="s">
        <v>80</v>
      </c>
      <c r="AC82" s="166"/>
      <c r="AD82" s="160"/>
      <c r="AE82" s="141"/>
      <c r="AF82" s="146" t="str">
        <f t="shared" si="236"/>
        <v xml:space="preserve">                                                                                                                                                                                                                                                                                                                                                                                                                </v>
      </c>
      <c r="AG82" s="174" t="str">
        <f t="shared" si="237"/>
        <v>NG</v>
      </c>
      <c r="AH82" s="141"/>
      <c r="AI82" s="172" t="s">
        <v>71</v>
      </c>
      <c r="AJ82" s="160"/>
      <c r="AK82" s="141"/>
      <c r="AL82" s="146" t="str">
        <f t="shared" si="281"/>
        <v xml:space="preserve">                                                                                                                                                                                                                                                                                                                                                                                                                </v>
      </c>
      <c r="AM82" s="174" t="str">
        <f t="shared" si="155"/>
        <v>NG</v>
      </c>
      <c r="AN82" s="141"/>
      <c r="AO82" s="172" t="s">
        <v>71</v>
      </c>
      <c r="AP82" s="160"/>
      <c r="AQ82" s="141"/>
      <c r="AR82" s="146" t="str">
        <f t="shared" si="282"/>
        <v xml:space="preserve">                                                                                                                                                                                                                                                                                                                                                                                                                </v>
      </c>
      <c r="AS82" s="174" t="str">
        <f t="shared" si="238"/>
        <v>NG</v>
      </c>
      <c r="AT82" s="141"/>
      <c r="AU82" s="172" t="s">
        <v>71</v>
      </c>
      <c r="AV82" s="160"/>
      <c r="AW82" s="141"/>
      <c r="AX82" s="146" t="str">
        <f t="shared" si="283"/>
        <v xml:space="preserve">                                                                                                                                                                                                                                                                                                                                                                                                                </v>
      </c>
      <c r="AY82" s="174" t="str">
        <f t="shared" si="239"/>
        <v>NG</v>
      </c>
      <c r="AZ82" s="141"/>
      <c r="BA82" s="172" t="s">
        <v>71</v>
      </c>
      <c r="BB82" s="160"/>
      <c r="BC82" s="141"/>
      <c r="BD82" s="146" t="str">
        <f t="shared" si="284"/>
        <v xml:space="preserve">                                                                                                                                                                                                                                                                                                                                                                                                                </v>
      </c>
      <c r="BE82" s="174" t="str">
        <f t="shared" si="240"/>
        <v>NG</v>
      </c>
      <c r="BF82" s="141"/>
      <c r="BG82" s="172" t="s">
        <v>71</v>
      </c>
      <c r="BH82" s="160"/>
      <c r="BI82" s="141"/>
      <c r="BJ82" s="146" t="str">
        <f t="shared" si="285"/>
        <v xml:space="preserve">                                                                                                                                                                                                                                                                                                                                                                                                                </v>
      </c>
      <c r="BK82" s="174" t="str">
        <f t="shared" si="241"/>
        <v>NG</v>
      </c>
      <c r="BL82" s="141"/>
      <c r="BM82" s="172" t="s">
        <v>71</v>
      </c>
      <c r="BN82" s="160"/>
      <c r="BO82" s="141"/>
      <c r="BP82" s="146" t="str">
        <f t="shared" si="286"/>
        <v xml:space="preserve">                                                                                                                                                                                                                                                                                                                                                                                                                </v>
      </c>
      <c r="BQ82" s="174" t="str">
        <f t="shared" si="242"/>
        <v>NG</v>
      </c>
      <c r="BR82" s="141"/>
      <c r="BS82" s="172" t="s">
        <v>71</v>
      </c>
      <c r="BT82" s="160"/>
      <c r="BU82" s="141"/>
      <c r="BV82" s="146" t="str">
        <f t="shared" si="287"/>
        <v xml:space="preserve">                                                                                                                                                                                                                                                                                                                                                                                                                </v>
      </c>
      <c r="BW82" s="174" t="str">
        <f t="shared" si="243"/>
        <v>NG</v>
      </c>
      <c r="BX82" s="141"/>
      <c r="BY82" s="172" t="s">
        <v>71</v>
      </c>
      <c r="BZ82" s="160"/>
      <c r="CA82" s="141"/>
      <c r="CB82" s="146" t="str">
        <f t="shared" si="288"/>
        <v xml:space="preserve">                                                                                                                                                                                                                                                                                                                                                                                                                </v>
      </c>
      <c r="CC82" s="174" t="str">
        <f t="shared" si="244"/>
        <v>NG</v>
      </c>
      <c r="CD82" s="141"/>
      <c r="CE82" s="172" t="s">
        <v>71</v>
      </c>
      <c r="CF82" s="160"/>
      <c r="CG82" s="141"/>
      <c r="CH82" s="146" t="str">
        <f t="shared" si="289"/>
        <v xml:space="preserve">                                                                                                                                                                                                                                                                                                                                                                                                                </v>
      </c>
      <c r="CI82" s="174" t="str">
        <f t="shared" si="245"/>
        <v>NG</v>
      </c>
      <c r="CJ82" s="141"/>
      <c r="CK82" s="172" t="s">
        <v>71</v>
      </c>
      <c r="CL82" s="160"/>
      <c r="CM82" s="141"/>
      <c r="CN82" s="146" t="str">
        <f t="shared" si="290"/>
        <v xml:space="preserve">                                                                                                                                                                                                                                                                                                                                                                                                                </v>
      </c>
      <c r="CO82" s="174" t="str">
        <f t="shared" si="246"/>
        <v>NG</v>
      </c>
      <c r="CP82" s="141"/>
      <c r="CQ82" s="172" t="s">
        <v>71</v>
      </c>
      <c r="CR82" s="160"/>
      <c r="CS82" s="141"/>
      <c r="CT82" s="146" t="str">
        <f t="shared" si="291"/>
        <v xml:space="preserve">                                                                                                                                                                                                                                                                                                                                                                                                                </v>
      </c>
      <c r="CU82" s="174" t="str">
        <f t="shared" si="247"/>
        <v>NG</v>
      </c>
      <c r="CV82" s="141"/>
      <c r="CW82" s="172" t="s">
        <v>71</v>
      </c>
      <c r="CX82" s="160"/>
      <c r="CY82" s="141"/>
      <c r="CZ82" s="146" t="str">
        <f t="shared" si="292"/>
        <v xml:space="preserve">                                                                                                                                                                                                                                                                                                                                                                                                                </v>
      </c>
      <c r="DA82" s="174" t="str">
        <f t="shared" si="248"/>
        <v>NG</v>
      </c>
      <c r="DB82" s="141"/>
      <c r="DC82" s="172" t="s">
        <v>71</v>
      </c>
      <c r="DD82" s="160"/>
      <c r="DE82" s="141"/>
      <c r="DF82" s="146" t="str">
        <f t="shared" si="293"/>
        <v xml:space="preserve">                                                                                                                                                                                                                                                                                                                                                                                                                </v>
      </c>
      <c r="DG82" s="174" t="str">
        <f t="shared" si="249"/>
        <v>NG</v>
      </c>
      <c r="DH82" s="141"/>
      <c r="DI82" s="172" t="s">
        <v>71</v>
      </c>
      <c r="DJ82" s="160"/>
      <c r="DK82" s="141"/>
      <c r="DL82" s="146" t="str">
        <f t="shared" si="294"/>
        <v xml:space="preserve">                                                                                                                                                                                                                                                                                                                                                                                                                </v>
      </c>
      <c r="DM82" s="174" t="str">
        <f t="shared" si="250"/>
        <v>NG</v>
      </c>
      <c r="DN82" s="141"/>
      <c r="DO82" s="172" t="s">
        <v>71</v>
      </c>
      <c r="DP82" s="160"/>
      <c r="DQ82" s="141"/>
      <c r="DR82" s="146" t="str">
        <f t="shared" si="224"/>
        <v xml:space="preserve">                                                                                                                                                                                                                                                                                                                                                                                                                </v>
      </c>
      <c r="DS82" s="174" t="str">
        <f t="shared" si="215"/>
        <v>NG</v>
      </c>
      <c r="DT82" s="141"/>
      <c r="DU82" s="172" t="s">
        <v>71</v>
      </c>
      <c r="DV82" s="160"/>
      <c r="DW82" s="141"/>
      <c r="DX82" s="146" t="str">
        <f t="shared" si="225"/>
        <v xml:space="preserve">                                                                                                                                                                                                                                                                                                                                                                                                                </v>
      </c>
      <c r="DY82" s="174" t="str">
        <f t="shared" si="216"/>
        <v>NG</v>
      </c>
      <c r="DZ82" s="141"/>
      <c r="EA82" s="172" t="s">
        <v>71</v>
      </c>
      <c r="EB82" s="160"/>
      <c r="EC82" s="141"/>
      <c r="ED82" s="146" t="str">
        <f t="shared" si="226"/>
        <v xml:space="preserve">                                                                                                                                                                                                                                                                                                                                                                                                                </v>
      </c>
      <c r="EE82" s="174" t="str">
        <f t="shared" si="217"/>
        <v>NG</v>
      </c>
      <c r="EF82" s="141"/>
      <c r="EG82" s="172" t="s">
        <v>71</v>
      </c>
      <c r="EH82" s="160"/>
      <c r="EI82" s="141"/>
      <c r="EJ82" s="146" t="str">
        <f t="shared" si="227"/>
        <v xml:space="preserve">                                                                                                                                                                                                                                                                                                                                                                                                                </v>
      </c>
      <c r="EK82" s="174" t="str">
        <f t="shared" si="218"/>
        <v>NG</v>
      </c>
      <c r="EL82" s="141"/>
      <c r="EM82" s="172" t="s">
        <v>71</v>
      </c>
      <c r="EN82" s="160"/>
      <c r="EO82" s="141"/>
      <c r="EP82" s="146" t="str">
        <f t="shared" si="228"/>
        <v xml:space="preserve">                                                                                                                                                                                                                                                                                                                                                                                                                </v>
      </c>
      <c r="EQ82" s="174" t="str">
        <f t="shared" si="219"/>
        <v>NG</v>
      </c>
      <c r="ER82" s="141"/>
      <c r="ES82" s="172" t="s">
        <v>71</v>
      </c>
      <c r="ET82" s="160"/>
      <c r="EU82" s="141"/>
      <c r="EV82" s="146" t="str">
        <f t="shared" si="229"/>
        <v xml:space="preserve">                                                                                                                                                                                                                                                                                                                                                                                                                </v>
      </c>
      <c r="EW82" s="174" t="str">
        <f t="shared" si="220"/>
        <v>NG</v>
      </c>
      <c r="EX82" s="141"/>
      <c r="EY82" s="172" t="s">
        <v>71</v>
      </c>
      <c r="EZ82" s="160"/>
      <c r="FA82" s="141"/>
      <c r="FB82" s="146" t="str">
        <f t="shared" si="230"/>
        <v xml:space="preserve">                                                                                                                                                                                                                                                                                                                                                                                                                </v>
      </c>
      <c r="FC82" s="174" t="str">
        <f t="shared" si="221"/>
        <v>NG</v>
      </c>
      <c r="FD82" s="141"/>
      <c r="FE82" s="172" t="s">
        <v>71</v>
      </c>
      <c r="FF82" s="160"/>
      <c r="FG82" s="141"/>
      <c r="FH82" s="146" t="str">
        <f t="shared" si="232"/>
        <v xml:space="preserve">                                                                                                                                                                                                                                                                                                                                                                                                                </v>
      </c>
      <c r="FI82" s="174" t="str">
        <f t="shared" si="233"/>
        <v>NG</v>
      </c>
      <c r="FJ82" s="141"/>
      <c r="FK82" s="172" t="s">
        <v>71</v>
      </c>
      <c r="FL82" s="160"/>
      <c r="FM82" s="141"/>
      <c r="FN82" s="146" t="str">
        <f t="shared" si="295"/>
        <v xml:space="preserve">                                                                                                                                                                                                                                                                                                                                                                                                                </v>
      </c>
      <c r="FO82" s="174" t="str">
        <f t="shared" si="251"/>
        <v>NG</v>
      </c>
      <c r="FP82" s="141"/>
      <c r="FQ82" s="172" t="s">
        <v>71</v>
      </c>
      <c r="FR82" s="160"/>
      <c r="FS82" s="141"/>
      <c r="FT82" s="146" t="str">
        <f t="shared" si="296"/>
        <v xml:space="preserve">                                                                                                                                                                                                                                                                                                                                                                                                                </v>
      </c>
      <c r="FU82" s="174" t="str">
        <f t="shared" si="252"/>
        <v>NG</v>
      </c>
      <c r="FV82" s="141"/>
      <c r="FW82" s="172" t="s">
        <v>71</v>
      </c>
      <c r="FX82" s="160"/>
      <c r="FY82" s="141"/>
      <c r="FZ82" s="146" t="str">
        <f t="shared" si="297"/>
        <v xml:space="preserve">                                                                                                                                                                                                                                                                                                                                                                                                                </v>
      </c>
      <c r="GA82" s="174" t="str">
        <f t="shared" si="253"/>
        <v>NG</v>
      </c>
      <c r="GB82" s="141"/>
      <c r="GC82" s="172" t="s">
        <v>71</v>
      </c>
    </row>
    <row r="83" spans="1:185" s="52" customFormat="1">
      <c r="B83" s="216">
        <f t="shared" si="153"/>
        <v>76</v>
      </c>
      <c r="C83" s="37"/>
      <c r="D83" s="37"/>
      <c r="E83" s="37"/>
      <c r="F83" s="49" t="s">
        <v>225</v>
      </c>
      <c r="G83" s="39"/>
      <c r="H83" s="40"/>
      <c r="I83" s="42"/>
      <c r="J83" s="42"/>
      <c r="K83" s="42"/>
      <c r="L83" s="42"/>
      <c r="M83" s="63" t="s">
        <v>336</v>
      </c>
      <c r="N83" s="47"/>
      <c r="O83" s="143"/>
      <c r="P83" s="45">
        <f t="shared" si="235"/>
        <v>58</v>
      </c>
      <c r="Q83" s="46">
        <v>400</v>
      </c>
      <c r="R83" s="41" t="str">
        <f t="shared" si="280"/>
        <v>NX</v>
      </c>
      <c r="S83" s="185" t="s">
        <v>226</v>
      </c>
      <c r="T83" s="43"/>
      <c r="U83" s="41" t="s">
        <v>80</v>
      </c>
      <c r="V83" s="44"/>
      <c r="W83" s="22">
        <v>3</v>
      </c>
      <c r="X83" s="47" t="s">
        <v>227</v>
      </c>
      <c r="Y83" s="47">
        <v>1</v>
      </c>
      <c r="Z83" s="47">
        <v>400</v>
      </c>
      <c r="AA83" s="42" t="s">
        <v>195</v>
      </c>
      <c r="AB83" s="42" t="s">
        <v>80</v>
      </c>
      <c r="AC83" s="166"/>
      <c r="AD83" s="160"/>
      <c r="AE83" s="141"/>
      <c r="AF83" s="146" t="str">
        <f t="shared" si="236"/>
        <v xml:space="preserve">                                                                                                                                                                                                                                                                                                                                                                                                                </v>
      </c>
      <c r="AG83" s="174" t="str">
        <f t="shared" si="237"/>
        <v>NG</v>
      </c>
      <c r="AH83" s="141"/>
      <c r="AI83" s="172" t="s">
        <v>71</v>
      </c>
      <c r="AJ83" s="160"/>
      <c r="AK83" s="141"/>
      <c r="AL83" s="146" t="str">
        <f t="shared" si="281"/>
        <v xml:space="preserve">                                                                                                                                                                                                                                                                                                                                                                                                                </v>
      </c>
      <c r="AM83" s="174" t="str">
        <f t="shared" si="155"/>
        <v>NG</v>
      </c>
      <c r="AN83" s="141"/>
      <c r="AO83" s="172" t="s">
        <v>71</v>
      </c>
      <c r="AP83" s="160"/>
      <c r="AQ83" s="141"/>
      <c r="AR83" s="146" t="str">
        <f t="shared" si="282"/>
        <v xml:space="preserve">                                                                                                                                                                                                                                                                                                                                                                                                                </v>
      </c>
      <c r="AS83" s="174" t="str">
        <f t="shared" si="238"/>
        <v>NG</v>
      </c>
      <c r="AT83" s="141"/>
      <c r="AU83" s="172" t="s">
        <v>71</v>
      </c>
      <c r="AV83" s="160"/>
      <c r="AW83" s="141"/>
      <c r="AX83" s="146" t="str">
        <f t="shared" si="283"/>
        <v xml:space="preserve">                                                                                                                                                                                                                                                                                                                                                                                                                </v>
      </c>
      <c r="AY83" s="174" t="str">
        <f t="shared" si="239"/>
        <v>NG</v>
      </c>
      <c r="AZ83" s="141"/>
      <c r="BA83" s="172" t="s">
        <v>71</v>
      </c>
      <c r="BB83" s="160"/>
      <c r="BC83" s="141"/>
      <c r="BD83" s="146" t="str">
        <f t="shared" si="284"/>
        <v xml:space="preserve">                                                                                                                                                                                                                                                                                                                                                                                                                </v>
      </c>
      <c r="BE83" s="174" t="str">
        <f t="shared" si="240"/>
        <v>NG</v>
      </c>
      <c r="BF83" s="141"/>
      <c r="BG83" s="172" t="s">
        <v>71</v>
      </c>
      <c r="BH83" s="160"/>
      <c r="BI83" s="141"/>
      <c r="BJ83" s="146" t="str">
        <f t="shared" si="285"/>
        <v xml:space="preserve">                                                                                                                                                                                                                                                                                                                                                                                                                </v>
      </c>
      <c r="BK83" s="174" t="str">
        <f t="shared" si="241"/>
        <v>NG</v>
      </c>
      <c r="BL83" s="141"/>
      <c r="BM83" s="172" t="s">
        <v>71</v>
      </c>
      <c r="BN83" s="160"/>
      <c r="BO83" s="141"/>
      <c r="BP83" s="146" t="str">
        <f t="shared" si="286"/>
        <v xml:space="preserve">                                                                                                                                                                                                                                                                                                                                                                                                                </v>
      </c>
      <c r="BQ83" s="174" t="str">
        <f t="shared" si="242"/>
        <v>NG</v>
      </c>
      <c r="BR83" s="141"/>
      <c r="BS83" s="172" t="s">
        <v>71</v>
      </c>
      <c r="BT83" s="160"/>
      <c r="BU83" s="141"/>
      <c r="BV83" s="146" t="str">
        <f t="shared" si="287"/>
        <v xml:space="preserve">                                                                                                                                                                                                                                                                                                                                                                                                                </v>
      </c>
      <c r="BW83" s="174" t="str">
        <f t="shared" si="243"/>
        <v>NG</v>
      </c>
      <c r="BX83" s="141"/>
      <c r="BY83" s="172" t="s">
        <v>71</v>
      </c>
      <c r="BZ83" s="160"/>
      <c r="CA83" s="141"/>
      <c r="CB83" s="146" t="str">
        <f t="shared" si="288"/>
        <v xml:space="preserve">                                                                                                                                                                                                                                                                                                                                                                                                                </v>
      </c>
      <c r="CC83" s="174" t="str">
        <f t="shared" si="244"/>
        <v>NG</v>
      </c>
      <c r="CD83" s="141"/>
      <c r="CE83" s="172" t="s">
        <v>71</v>
      </c>
      <c r="CF83" s="160"/>
      <c r="CG83" s="141"/>
      <c r="CH83" s="146" t="str">
        <f t="shared" si="289"/>
        <v xml:space="preserve">                                                                                                                                                                                                                                                                                                                                                                                                                </v>
      </c>
      <c r="CI83" s="174" t="str">
        <f t="shared" si="245"/>
        <v>NG</v>
      </c>
      <c r="CJ83" s="141"/>
      <c r="CK83" s="172" t="s">
        <v>71</v>
      </c>
      <c r="CL83" s="160"/>
      <c r="CM83" s="141"/>
      <c r="CN83" s="146" t="str">
        <f t="shared" si="290"/>
        <v xml:space="preserve">                                                                                                                                                                                                                                                                                                                                                                                                                </v>
      </c>
      <c r="CO83" s="174" t="str">
        <f t="shared" si="246"/>
        <v>NG</v>
      </c>
      <c r="CP83" s="141"/>
      <c r="CQ83" s="172" t="s">
        <v>71</v>
      </c>
      <c r="CR83" s="160"/>
      <c r="CS83" s="141"/>
      <c r="CT83" s="146" t="str">
        <f t="shared" si="291"/>
        <v xml:space="preserve">                                                                                                                                                                                                                                                                                                                                                                                                                </v>
      </c>
      <c r="CU83" s="174" t="str">
        <f t="shared" si="247"/>
        <v>NG</v>
      </c>
      <c r="CV83" s="141"/>
      <c r="CW83" s="172" t="s">
        <v>71</v>
      </c>
      <c r="CX83" s="160"/>
      <c r="CY83" s="141"/>
      <c r="CZ83" s="146" t="str">
        <f t="shared" si="292"/>
        <v xml:space="preserve">                                                                                                                                                                                                                                                                                                                                                                                                                </v>
      </c>
      <c r="DA83" s="174" t="str">
        <f t="shared" si="248"/>
        <v>NG</v>
      </c>
      <c r="DB83" s="141"/>
      <c r="DC83" s="172" t="s">
        <v>71</v>
      </c>
      <c r="DD83" s="160"/>
      <c r="DE83" s="141"/>
      <c r="DF83" s="146" t="str">
        <f t="shared" si="293"/>
        <v xml:space="preserve">                                                                                                                                                                                                                                                                                                                                                                                                                </v>
      </c>
      <c r="DG83" s="174" t="str">
        <f t="shared" si="249"/>
        <v>NG</v>
      </c>
      <c r="DH83" s="141"/>
      <c r="DI83" s="172" t="s">
        <v>71</v>
      </c>
      <c r="DJ83" s="160"/>
      <c r="DK83" s="141"/>
      <c r="DL83" s="146" t="str">
        <f t="shared" si="294"/>
        <v xml:space="preserve">                                                                                                                                                                                                                                                                                                                                                                                                                </v>
      </c>
      <c r="DM83" s="174" t="str">
        <f t="shared" si="250"/>
        <v>NG</v>
      </c>
      <c r="DN83" s="141"/>
      <c r="DO83" s="172" t="s">
        <v>71</v>
      </c>
      <c r="DP83" s="160"/>
      <c r="DQ83" s="141"/>
      <c r="DR83" s="146" t="str">
        <f t="shared" si="224"/>
        <v xml:space="preserve">                                                                                                                                                                                                                                                                                                                                                                                                                </v>
      </c>
      <c r="DS83" s="174" t="str">
        <f t="shared" si="215"/>
        <v>NG</v>
      </c>
      <c r="DT83" s="141"/>
      <c r="DU83" s="172" t="s">
        <v>71</v>
      </c>
      <c r="DV83" s="160"/>
      <c r="DW83" s="141"/>
      <c r="DX83" s="146" t="str">
        <f t="shared" si="225"/>
        <v xml:space="preserve">                                                                                                                                                                                                                                                                                                                                                                                                                </v>
      </c>
      <c r="DY83" s="174" t="str">
        <f t="shared" si="216"/>
        <v>NG</v>
      </c>
      <c r="DZ83" s="141"/>
      <c r="EA83" s="172" t="s">
        <v>71</v>
      </c>
      <c r="EB83" s="160"/>
      <c r="EC83" s="141"/>
      <c r="ED83" s="146" t="str">
        <f t="shared" si="226"/>
        <v xml:space="preserve">                                                                                                                                                                                                                                                                                                                                                                                                                </v>
      </c>
      <c r="EE83" s="174" t="str">
        <f t="shared" si="217"/>
        <v>NG</v>
      </c>
      <c r="EF83" s="141"/>
      <c r="EG83" s="172" t="s">
        <v>71</v>
      </c>
      <c r="EH83" s="160"/>
      <c r="EI83" s="141"/>
      <c r="EJ83" s="146" t="str">
        <f t="shared" si="227"/>
        <v xml:space="preserve">                                                                                                                                                                                                                                                                                                                                                                                                                </v>
      </c>
      <c r="EK83" s="174" t="str">
        <f t="shared" si="218"/>
        <v>NG</v>
      </c>
      <c r="EL83" s="141"/>
      <c r="EM83" s="172" t="s">
        <v>71</v>
      </c>
      <c r="EN83" s="160"/>
      <c r="EO83" s="141"/>
      <c r="EP83" s="146" t="str">
        <f t="shared" si="228"/>
        <v xml:space="preserve">                                                                                                                                                                                                                                                                                                                                                                                                                </v>
      </c>
      <c r="EQ83" s="174" t="str">
        <f t="shared" si="219"/>
        <v>NG</v>
      </c>
      <c r="ER83" s="141"/>
      <c r="ES83" s="172" t="s">
        <v>71</v>
      </c>
      <c r="ET83" s="160"/>
      <c r="EU83" s="141"/>
      <c r="EV83" s="146" t="str">
        <f t="shared" si="229"/>
        <v xml:space="preserve">                                                                                                                                                                                                                                                                                                                                                                                                                </v>
      </c>
      <c r="EW83" s="174" t="str">
        <f t="shared" si="220"/>
        <v>NG</v>
      </c>
      <c r="EX83" s="141"/>
      <c r="EY83" s="172" t="s">
        <v>71</v>
      </c>
      <c r="EZ83" s="160"/>
      <c r="FA83" s="141"/>
      <c r="FB83" s="146" t="str">
        <f t="shared" si="230"/>
        <v xml:space="preserve">                                                                                                                                                                                                                                                                                                                                                                                                                </v>
      </c>
      <c r="FC83" s="174" t="str">
        <f t="shared" si="221"/>
        <v>NG</v>
      </c>
      <c r="FD83" s="141"/>
      <c r="FE83" s="172" t="s">
        <v>71</v>
      </c>
      <c r="FF83" s="160"/>
      <c r="FG83" s="141"/>
      <c r="FH83" s="146" t="str">
        <f t="shared" si="232"/>
        <v xml:space="preserve">                                                                                                                                                                                                                                                                                                                                                                                                                </v>
      </c>
      <c r="FI83" s="174" t="str">
        <f t="shared" si="233"/>
        <v>NG</v>
      </c>
      <c r="FJ83" s="141"/>
      <c r="FK83" s="172" t="s">
        <v>71</v>
      </c>
      <c r="FL83" s="160"/>
      <c r="FM83" s="141"/>
      <c r="FN83" s="146" t="str">
        <f t="shared" si="295"/>
        <v xml:space="preserve">                                                                                                                                                                                                                                                                                                                                                                                                                </v>
      </c>
      <c r="FO83" s="174" t="str">
        <f t="shared" si="251"/>
        <v>NG</v>
      </c>
      <c r="FP83" s="141"/>
      <c r="FQ83" s="172" t="s">
        <v>71</v>
      </c>
      <c r="FR83" s="160"/>
      <c r="FS83" s="141"/>
      <c r="FT83" s="146" t="str">
        <f t="shared" si="296"/>
        <v xml:space="preserve">                                                                                                                                                                                                                                                                                                                                                                                                                </v>
      </c>
      <c r="FU83" s="174" t="str">
        <f t="shared" si="252"/>
        <v>NG</v>
      </c>
      <c r="FV83" s="141"/>
      <c r="FW83" s="172" t="s">
        <v>71</v>
      </c>
      <c r="FX83" s="160"/>
      <c r="FY83" s="141"/>
      <c r="FZ83" s="146" t="str">
        <f t="shared" si="297"/>
        <v xml:space="preserve">                                                                                                                                                                                                                                                                                                                                                                                                                </v>
      </c>
      <c r="GA83" s="174" t="str">
        <f t="shared" si="253"/>
        <v>NG</v>
      </c>
      <c r="GB83" s="141"/>
      <c r="GC83" s="172" t="s">
        <v>71</v>
      </c>
    </row>
    <row r="84" spans="1:185" s="52" customFormat="1" ht="89.25">
      <c r="B84" s="216">
        <f t="shared" si="153"/>
        <v>77</v>
      </c>
      <c r="C84" s="37"/>
      <c r="D84" s="37"/>
      <c r="E84" s="37"/>
      <c r="F84" s="49" t="s">
        <v>228</v>
      </c>
      <c r="G84" s="39"/>
      <c r="H84" s="40"/>
      <c r="I84" s="42"/>
      <c r="J84" s="42"/>
      <c r="K84" s="42"/>
      <c r="L84" s="42"/>
      <c r="M84" s="63" t="s">
        <v>338</v>
      </c>
      <c r="N84" s="47"/>
      <c r="O84" s="143"/>
      <c r="P84" s="45">
        <f t="shared" si="235"/>
        <v>59</v>
      </c>
      <c r="Q84" s="46">
        <v>1</v>
      </c>
      <c r="R84" s="41" t="str">
        <f t="shared" si="280"/>
        <v>X</v>
      </c>
      <c r="S84" s="185" t="s">
        <v>229</v>
      </c>
      <c r="T84" s="43"/>
      <c r="U84" s="41" t="s">
        <v>80</v>
      </c>
      <c r="V84" s="44"/>
      <c r="W84" s="22">
        <v>3</v>
      </c>
      <c r="X84" s="47" t="s">
        <v>230</v>
      </c>
      <c r="Y84" s="47">
        <v>1</v>
      </c>
      <c r="Z84" s="47">
        <v>1</v>
      </c>
      <c r="AA84" s="42" t="s">
        <v>163</v>
      </c>
      <c r="AB84" s="42" t="s">
        <v>57</v>
      </c>
      <c r="AC84" s="217"/>
      <c r="AD84" s="160"/>
      <c r="AE84" s="162"/>
      <c r="AF84" s="203" t="str">
        <f t="shared" si="236"/>
        <v xml:space="preserve"> </v>
      </c>
      <c r="AG84" s="174" t="str">
        <f t="shared" si="237"/>
        <v>NG</v>
      </c>
      <c r="AH84" s="162"/>
      <c r="AI84" s="276" t="str">
        <f>IF(OR(AE$8="判定対象外",AH$8="判定対象外",AH84="-"),"-",IF(AE84=AH84,"OK","NG"))</f>
        <v>OK</v>
      </c>
      <c r="AJ84" s="160"/>
      <c r="AK84" s="162"/>
      <c r="AL84" s="203" t="str">
        <f>IF(AN84="-","-",AN84&amp;REPT(IF($R84="N","　",IF($R84="9","0"," ")),$Z84-LENB(AN84)))</f>
        <v xml:space="preserve"> </v>
      </c>
      <c r="AM84" s="174" t="str">
        <f t="shared" si="155"/>
        <v>NG</v>
      </c>
      <c r="AN84" s="162"/>
      <c r="AO84" s="276" t="str">
        <f>IF(OR(AK$8="判定対象外",AN$8="判定対象外",AN84="-"),"-",IF(AK84=AN84,"OK","NG"))</f>
        <v>OK</v>
      </c>
      <c r="AP84" s="160"/>
      <c r="AQ84" s="162"/>
      <c r="AR84" s="203" t="str">
        <f t="shared" si="282"/>
        <v xml:space="preserve"> </v>
      </c>
      <c r="AS84" s="174" t="str">
        <f t="shared" si="238"/>
        <v>NG</v>
      </c>
      <c r="AT84" s="162"/>
      <c r="AU84" s="276" t="str">
        <f>IF(OR(AQ$8="判定対象外",AT$8="判定対象外",AT84="-"),"-",IF(AQ84=AT84,"OK","NG"))</f>
        <v>OK</v>
      </c>
      <c r="AV84" s="160"/>
      <c r="AW84" s="162"/>
      <c r="AX84" s="203" t="str">
        <f t="shared" si="283"/>
        <v xml:space="preserve"> </v>
      </c>
      <c r="AY84" s="174" t="str">
        <f t="shared" si="239"/>
        <v>NG</v>
      </c>
      <c r="AZ84" s="162"/>
      <c r="BA84" s="276" t="str">
        <f>IF(OR(AW$8="判定対象外",AZ$8="判定対象外",AZ84="-"),"-",IF(AW84=AZ84,"OK","NG"))</f>
        <v>OK</v>
      </c>
      <c r="BB84" s="160"/>
      <c r="BC84" s="162"/>
      <c r="BD84" s="203" t="str">
        <f t="shared" si="284"/>
        <v xml:space="preserve"> </v>
      </c>
      <c r="BE84" s="174" t="str">
        <f t="shared" si="240"/>
        <v>NG</v>
      </c>
      <c r="BF84" s="162"/>
      <c r="BG84" s="276" t="str">
        <f>IF(OR(BC$8="判定対象外",BF$8="判定対象外",BF84="-"),"-",IF(BC84=BF84,"OK","NG"))</f>
        <v>OK</v>
      </c>
      <c r="BH84" s="160"/>
      <c r="BI84" s="162"/>
      <c r="BJ84" s="203" t="str">
        <f t="shared" si="285"/>
        <v xml:space="preserve"> </v>
      </c>
      <c r="BK84" s="174" t="str">
        <f t="shared" si="241"/>
        <v>NG</v>
      </c>
      <c r="BL84" s="162"/>
      <c r="BM84" s="276" t="str">
        <f>IF(OR(BI$8="判定対象外",BL$8="判定対象外",BL84="-"),"-",IF(BI84=BL84,"OK","NG"))</f>
        <v>OK</v>
      </c>
      <c r="BN84" s="160"/>
      <c r="BO84" s="162"/>
      <c r="BP84" s="203" t="str">
        <f t="shared" si="286"/>
        <v xml:space="preserve"> </v>
      </c>
      <c r="BQ84" s="174" t="str">
        <f t="shared" si="242"/>
        <v>NG</v>
      </c>
      <c r="BR84" s="162"/>
      <c r="BS84" s="276" t="str">
        <f>IF(OR(BO$8="判定対象外",BR$8="判定対象外",BR84="-"),"-",IF(BO84=BR84,"OK","NG"))</f>
        <v>OK</v>
      </c>
      <c r="BT84" s="160"/>
      <c r="BU84" s="162"/>
      <c r="BV84" s="203" t="str">
        <f t="shared" si="287"/>
        <v xml:space="preserve"> </v>
      </c>
      <c r="BW84" s="174" t="str">
        <f t="shared" si="243"/>
        <v>NG</v>
      </c>
      <c r="BX84" s="162"/>
      <c r="BY84" s="276" t="str">
        <f>IF(OR(BU$8="判定対象外",BX$8="判定対象外",BX84="-"),"-",IF(BU84=BX84,"OK","NG"))</f>
        <v>OK</v>
      </c>
      <c r="BZ84" s="160"/>
      <c r="CA84" s="162"/>
      <c r="CB84" s="203" t="str">
        <f t="shared" si="288"/>
        <v xml:space="preserve"> </v>
      </c>
      <c r="CC84" s="174" t="str">
        <f t="shared" si="244"/>
        <v>NG</v>
      </c>
      <c r="CD84" s="162"/>
      <c r="CE84" s="276" t="str">
        <f>IF(OR(CA$8="判定対象外",CD$8="判定対象外",CD84="-"),"-",IF(CA84=CD84,"OK","NG"))</f>
        <v>OK</v>
      </c>
      <c r="CF84" s="160"/>
      <c r="CG84" s="162"/>
      <c r="CH84" s="203" t="str">
        <f t="shared" si="289"/>
        <v xml:space="preserve"> </v>
      </c>
      <c r="CI84" s="174" t="str">
        <f t="shared" si="245"/>
        <v>NG</v>
      </c>
      <c r="CJ84" s="162"/>
      <c r="CK84" s="276" t="str">
        <f>IF(OR(CG$8="判定対象外",CJ$8="判定対象外",CJ84="-"),"-",IF(CG84=CJ84,"OK","NG"))</f>
        <v>OK</v>
      </c>
      <c r="CL84" s="160"/>
      <c r="CM84" s="162"/>
      <c r="CN84" s="203" t="str">
        <f t="shared" si="290"/>
        <v xml:space="preserve"> </v>
      </c>
      <c r="CO84" s="174" t="str">
        <f t="shared" si="246"/>
        <v>NG</v>
      </c>
      <c r="CP84" s="162"/>
      <c r="CQ84" s="276" t="str">
        <f>IF(OR(CM$8="判定対象外",CP$8="判定対象外",CP84="-"),"-",IF(CM84=CP84,"OK","NG"))</f>
        <v>OK</v>
      </c>
      <c r="CR84" s="160"/>
      <c r="CS84" s="162"/>
      <c r="CT84" s="203" t="str">
        <f t="shared" si="291"/>
        <v xml:space="preserve"> </v>
      </c>
      <c r="CU84" s="174" t="str">
        <f t="shared" si="247"/>
        <v>NG</v>
      </c>
      <c r="CV84" s="162"/>
      <c r="CW84" s="276" t="str">
        <f>IF(OR(CS$8="判定対象外",CV$8="判定対象外",CV84="-"),"-",IF(CS84=CV84,"OK","NG"))</f>
        <v>OK</v>
      </c>
      <c r="CX84" s="160"/>
      <c r="CY84" s="162"/>
      <c r="CZ84" s="203" t="str">
        <f t="shared" si="292"/>
        <v xml:space="preserve"> </v>
      </c>
      <c r="DA84" s="174" t="str">
        <f t="shared" si="248"/>
        <v>NG</v>
      </c>
      <c r="DB84" s="162"/>
      <c r="DC84" s="276" t="str">
        <f>IF(OR(CY$8="判定対象外",DB$8="判定対象外",DB84="-"),"-",IF(CY84=DB84,"OK","NG"))</f>
        <v>OK</v>
      </c>
      <c r="DD84" s="160"/>
      <c r="DE84" s="162"/>
      <c r="DF84" s="203" t="str">
        <f t="shared" si="293"/>
        <v xml:space="preserve"> </v>
      </c>
      <c r="DG84" s="174" t="str">
        <f t="shared" si="249"/>
        <v>NG</v>
      </c>
      <c r="DH84" s="162"/>
      <c r="DI84" s="276" t="str">
        <f>IF(OR(DE$8="判定対象外",DH$8="判定対象外",DH84="-"),"-",IF(DE84=DH84,"OK","NG"))</f>
        <v>OK</v>
      </c>
      <c r="DJ84" s="160"/>
      <c r="DK84" s="162"/>
      <c r="DL84" s="203" t="str">
        <f t="shared" si="294"/>
        <v xml:space="preserve"> </v>
      </c>
      <c r="DM84" s="174" t="str">
        <f t="shared" si="250"/>
        <v>NG</v>
      </c>
      <c r="DN84" s="162"/>
      <c r="DO84" s="276" t="str">
        <f>IF(OR(DK$8="判定対象外",DN$8="判定対象外",DN84="-"),"-",IF(DK84=DN84,"OK","NG"))</f>
        <v>OK</v>
      </c>
      <c r="DP84" s="160"/>
      <c r="DQ84" s="162"/>
      <c r="DR84" s="203" t="str">
        <f t="shared" si="224"/>
        <v xml:space="preserve"> </v>
      </c>
      <c r="DS84" s="174" t="str">
        <f t="shared" si="215"/>
        <v>NG</v>
      </c>
      <c r="DT84" s="162"/>
      <c r="DU84" s="276" t="str">
        <f>IF(OR(DQ$8="判定対象外",DT$8="判定対象外",DT84="-"),"-",IF(DQ84=DT84,"OK","NG"))</f>
        <v>OK</v>
      </c>
      <c r="DV84" s="160"/>
      <c r="DW84" s="162"/>
      <c r="DX84" s="203" t="str">
        <f t="shared" si="225"/>
        <v xml:space="preserve"> </v>
      </c>
      <c r="DY84" s="174" t="str">
        <f t="shared" si="216"/>
        <v>NG</v>
      </c>
      <c r="DZ84" s="162"/>
      <c r="EA84" s="276" t="str">
        <f>IF(OR(DW$8="判定対象外",DZ$8="判定対象外",DZ84="-"),"-",IF(DW84=DZ84,"OK","NG"))</f>
        <v>OK</v>
      </c>
      <c r="EB84" s="160"/>
      <c r="EC84" s="162"/>
      <c r="ED84" s="203" t="str">
        <f t="shared" si="226"/>
        <v xml:space="preserve"> </v>
      </c>
      <c r="EE84" s="174" t="str">
        <f t="shared" si="217"/>
        <v>NG</v>
      </c>
      <c r="EF84" s="162"/>
      <c r="EG84" s="276" t="str">
        <f>IF(OR(EC$8="判定対象外",EF$8="判定対象外",EF84="-"),"-",IF(EC84=EF84,"OK","NG"))</f>
        <v>OK</v>
      </c>
      <c r="EH84" s="160"/>
      <c r="EI84" s="162"/>
      <c r="EJ84" s="203" t="str">
        <f t="shared" si="227"/>
        <v xml:space="preserve"> </v>
      </c>
      <c r="EK84" s="174" t="str">
        <f t="shared" si="218"/>
        <v>NG</v>
      </c>
      <c r="EL84" s="162"/>
      <c r="EM84" s="276" t="str">
        <f>IF(OR(EI$8="判定対象外",EL$8="判定対象外",EL84="-"),"-",IF(EI84=EL84,"OK","NG"))</f>
        <v>OK</v>
      </c>
      <c r="EN84" s="160"/>
      <c r="EO84" s="162"/>
      <c r="EP84" s="203" t="str">
        <f t="shared" si="228"/>
        <v xml:space="preserve"> </v>
      </c>
      <c r="EQ84" s="174" t="str">
        <f t="shared" si="219"/>
        <v>NG</v>
      </c>
      <c r="ER84" s="162"/>
      <c r="ES84" s="276" t="str">
        <f>IF(OR(EO$8="判定対象外",ER$8="判定対象外",ER84="-"),"-",IF(EO84=ER84,"OK","NG"))</f>
        <v>OK</v>
      </c>
      <c r="ET84" s="160"/>
      <c r="EU84" s="162"/>
      <c r="EV84" s="203" t="str">
        <f t="shared" si="229"/>
        <v xml:space="preserve"> </v>
      </c>
      <c r="EW84" s="174" t="str">
        <f t="shared" si="220"/>
        <v>NG</v>
      </c>
      <c r="EX84" s="162"/>
      <c r="EY84" s="276" t="str">
        <f>IF(OR(EU$8="判定対象外",EX$8="判定対象外",EX84="-"),"-",IF(EU84=EX84,"OK","NG"))</f>
        <v>OK</v>
      </c>
      <c r="EZ84" s="160"/>
      <c r="FA84" s="162"/>
      <c r="FB84" s="203" t="str">
        <f t="shared" si="230"/>
        <v xml:space="preserve"> </v>
      </c>
      <c r="FC84" s="174" t="str">
        <f t="shared" si="221"/>
        <v>NG</v>
      </c>
      <c r="FD84" s="162"/>
      <c r="FE84" s="276" t="str">
        <f>IF(OR(FA$8="判定対象外",FD$8="判定対象外",FD84="-"),"-",IF(FA84=FD84,"OK","NG"))</f>
        <v>OK</v>
      </c>
      <c r="FF84" s="160"/>
      <c r="FG84" s="162"/>
      <c r="FH84" s="203" t="str">
        <f t="shared" si="232"/>
        <v xml:space="preserve"> </v>
      </c>
      <c r="FI84" s="174" t="str">
        <f t="shared" si="233"/>
        <v>NG</v>
      </c>
      <c r="FJ84" s="162"/>
      <c r="FK84" s="276" t="str">
        <f>IF(OR(FG$8="判定対象外",FJ$8="判定対象外",FJ84="-"),"-",IF(FG84=FJ84,"OK","NG"))</f>
        <v>OK</v>
      </c>
      <c r="FL84" s="160"/>
      <c r="FM84" s="162"/>
      <c r="FN84" s="203" t="str">
        <f t="shared" si="295"/>
        <v xml:space="preserve"> </v>
      </c>
      <c r="FO84" s="174" t="str">
        <f t="shared" si="251"/>
        <v>NG</v>
      </c>
      <c r="FP84" s="162"/>
      <c r="FQ84" s="276" t="str">
        <f>IF(OR(FM$8="判定対象外",FP$8="判定対象外",FP84="-"),"-",IF(FM84=FP84,"OK","NG"))</f>
        <v>OK</v>
      </c>
      <c r="FR84" s="160"/>
      <c r="FS84" s="162"/>
      <c r="FT84" s="203" t="str">
        <f t="shared" si="296"/>
        <v xml:space="preserve"> </v>
      </c>
      <c r="FU84" s="174" t="str">
        <f t="shared" si="252"/>
        <v>NG</v>
      </c>
      <c r="FV84" s="162"/>
      <c r="FW84" s="276" t="str">
        <f>IF(OR(FS$8="判定対象外",FV$8="判定対象外",FV84="-"),"-",IF(FS84=FV84,"OK","NG"))</f>
        <v>OK</v>
      </c>
      <c r="FX84" s="160"/>
      <c r="FY84" s="162"/>
      <c r="FZ84" s="203" t="str">
        <f t="shared" si="297"/>
        <v xml:space="preserve"> </v>
      </c>
      <c r="GA84" s="174" t="str">
        <f t="shared" si="253"/>
        <v>NG</v>
      </c>
      <c r="GB84" s="162"/>
      <c r="GC84" s="276" t="str">
        <f>IF(OR(FY$8="判定対象外",GB$8="判定対象外",GB84="-"),"-",IF(FY84=GB84,"OK","NG"))</f>
        <v>OK</v>
      </c>
    </row>
    <row r="85" spans="1:185" s="52" customFormat="1">
      <c r="B85" s="216">
        <f t="shared" si="153"/>
        <v>78</v>
      </c>
      <c r="C85" s="37"/>
      <c r="D85" s="37"/>
      <c r="E85" s="37"/>
      <c r="F85" s="49" t="s">
        <v>231</v>
      </c>
      <c r="G85" s="39"/>
      <c r="H85" s="40"/>
      <c r="I85" s="42"/>
      <c r="J85" s="42"/>
      <c r="K85" s="42"/>
      <c r="L85" s="42"/>
      <c r="M85" s="63"/>
      <c r="N85" s="47"/>
      <c r="O85" s="143"/>
      <c r="P85" s="45">
        <f t="shared" si="235"/>
        <v>60</v>
      </c>
      <c r="Q85" s="46">
        <v>128</v>
      </c>
      <c r="R85" s="41" t="str">
        <f t="shared" si="280"/>
        <v>X</v>
      </c>
      <c r="S85" s="185" t="s">
        <v>232</v>
      </c>
      <c r="T85" s="43"/>
      <c r="U85" s="41" t="s">
        <v>80</v>
      </c>
      <c r="V85" s="44"/>
      <c r="W85" s="22">
        <v>3</v>
      </c>
      <c r="X85" s="47" t="s">
        <v>233</v>
      </c>
      <c r="Y85" s="47">
        <v>1</v>
      </c>
      <c r="Z85" s="47">
        <v>128</v>
      </c>
      <c r="AA85" s="42" t="s">
        <v>163</v>
      </c>
      <c r="AB85" s="42" t="s">
        <v>57</v>
      </c>
      <c r="AC85" s="166"/>
      <c r="AD85" s="160"/>
      <c r="AE85" s="141"/>
      <c r="AF85" s="203" t="str">
        <f t="shared" ref="AF85:AF148" si="298">IF(AH85="-","-",AH85&amp;REPT(IF($R85="N","　",IF($R85="9","0"," ")),$Z85-LENB(AH85)))</f>
        <v xml:space="preserve">                                                                                                                                </v>
      </c>
      <c r="AG85" s="174" t="str">
        <f t="shared" si="237"/>
        <v>NG</v>
      </c>
      <c r="AH85" s="141"/>
      <c r="AI85" s="276" t="str">
        <f>IF(OR(AE$8="判定対象外",AH$8="判定対象外",AH85="-"),"-",IF(AE85=AH85,"OK","NG"))</f>
        <v>OK</v>
      </c>
      <c r="AJ85" s="160"/>
      <c r="AK85" s="141"/>
      <c r="AL85" s="203" t="str">
        <f t="shared" si="281"/>
        <v xml:space="preserve">                                                                                                                                </v>
      </c>
      <c r="AM85" s="174" t="str">
        <f t="shared" si="155"/>
        <v>NG</v>
      </c>
      <c r="AN85" s="141"/>
      <c r="AO85" s="276" t="str">
        <f>IF(OR(AK$8="判定対象外",AN$8="判定対象外",AN85="-"),"-",IF(AK85=AN85,"OK","NG"))</f>
        <v>OK</v>
      </c>
      <c r="AP85" s="160"/>
      <c r="AQ85" s="141"/>
      <c r="AR85" s="203" t="str">
        <f t="shared" ref="AR85:AR148" si="299">IF(AT85="-","-",AT85&amp;REPT(IF($R85="N","　",IF($R85="9","0"," ")),$Z85-LENB(AT85)))</f>
        <v xml:space="preserve">                                                                                                                                </v>
      </c>
      <c r="AS85" s="174" t="str">
        <f t="shared" si="238"/>
        <v>NG</v>
      </c>
      <c r="AT85" s="141"/>
      <c r="AU85" s="276" t="str">
        <f>IF(OR(AQ$8="判定対象外",AT$8="判定対象外",AT85="-"),"-",IF(AQ85=AT85,"OK","NG"))</f>
        <v>OK</v>
      </c>
      <c r="AV85" s="160"/>
      <c r="AW85" s="141"/>
      <c r="AX85" s="203" t="str">
        <f t="shared" ref="AX85:AX148" si="300">IF(AZ85="-","-",AZ85&amp;REPT(IF($R85="N","　",IF($R85="9","0"," ")),$Z85-LENB(AZ85)))</f>
        <v xml:space="preserve">                                                                                                                                </v>
      </c>
      <c r="AY85" s="174" t="str">
        <f t="shared" si="239"/>
        <v>NG</v>
      </c>
      <c r="AZ85" s="141"/>
      <c r="BA85" s="276" t="str">
        <f>IF(OR(AW$8="判定対象外",AZ$8="判定対象外",AZ85="-"),"-",IF(AW85=AZ85,"OK","NG"))</f>
        <v>OK</v>
      </c>
      <c r="BB85" s="160"/>
      <c r="BC85" s="141"/>
      <c r="BD85" s="203" t="str">
        <f t="shared" ref="BD85:BD148" si="301">IF(BF85="-","-",BF85&amp;REPT(IF($R85="N","　",IF($R85="9","0"," ")),$Z85-LENB(BF85)))</f>
        <v xml:space="preserve">                                                                                                                                </v>
      </c>
      <c r="BE85" s="174" t="str">
        <f t="shared" si="240"/>
        <v>NG</v>
      </c>
      <c r="BF85" s="141"/>
      <c r="BG85" s="276" t="str">
        <f>IF(OR(BC$8="判定対象外",BF$8="判定対象外",BF85="-"),"-",IF(BC85=BF85,"OK","NG"))</f>
        <v>OK</v>
      </c>
      <c r="BH85" s="160"/>
      <c r="BI85" s="141"/>
      <c r="BJ85" s="203" t="str">
        <f t="shared" ref="BJ85:BJ148" si="302">IF(BL85="-","-",BL85&amp;REPT(IF($R85="N","　",IF($R85="9","0"," ")),$Z85-LENB(BL85)))</f>
        <v xml:space="preserve">                                                                                                                                </v>
      </c>
      <c r="BK85" s="174" t="str">
        <f t="shared" si="241"/>
        <v>NG</v>
      </c>
      <c r="BL85" s="141"/>
      <c r="BM85" s="276" t="str">
        <f>IF(OR(BI$8="判定対象外",BL$8="判定対象外",BL85="-"),"-",IF(BI85=BL85,"OK","NG"))</f>
        <v>OK</v>
      </c>
      <c r="BN85" s="160"/>
      <c r="BO85" s="141"/>
      <c r="BP85" s="203" t="str">
        <f t="shared" ref="BP85:BP148" si="303">IF(BR85="-","-",BR85&amp;REPT(IF($R85="N","　",IF($R85="9","0"," ")),$Z85-LENB(BR85)))</f>
        <v xml:space="preserve">                                                                                                                                </v>
      </c>
      <c r="BQ85" s="174" t="str">
        <f t="shared" si="242"/>
        <v>NG</v>
      </c>
      <c r="BR85" s="141"/>
      <c r="BS85" s="276" t="str">
        <f>IF(OR(BO$8="判定対象外",BR$8="判定対象外",BR85="-"),"-",IF(BO85=BR85,"OK","NG"))</f>
        <v>OK</v>
      </c>
      <c r="BT85" s="160"/>
      <c r="BU85" s="141"/>
      <c r="BV85" s="203" t="str">
        <f t="shared" ref="BV85:BV148" si="304">IF(BX85="-","-",BX85&amp;REPT(IF($R85="N","　",IF($R85="9","0"," ")),$Z85-LENB(BX85)))</f>
        <v xml:space="preserve">                                                                                                                                </v>
      </c>
      <c r="BW85" s="174" t="str">
        <f t="shared" si="243"/>
        <v>NG</v>
      </c>
      <c r="BX85" s="141"/>
      <c r="BY85" s="276" t="str">
        <f>IF(OR(BU$8="判定対象外",BX$8="判定対象外",BX85="-"),"-",IF(BU85=BX85,"OK","NG"))</f>
        <v>OK</v>
      </c>
      <c r="BZ85" s="160"/>
      <c r="CA85" s="141"/>
      <c r="CB85" s="203" t="str">
        <f t="shared" ref="CB85:CB148" si="305">IF(CD85="-","-",CD85&amp;REPT(IF($R85="N","　",IF($R85="9","0"," ")),$Z85-LENB(CD85)))</f>
        <v xml:space="preserve">                                                                                                                                </v>
      </c>
      <c r="CC85" s="174" t="str">
        <f t="shared" si="244"/>
        <v>NG</v>
      </c>
      <c r="CD85" s="141"/>
      <c r="CE85" s="276" t="str">
        <f>IF(OR(CA$8="判定対象外",CD$8="判定対象外",CD85="-"),"-",IF(CA85=CD85,"OK","NG"))</f>
        <v>OK</v>
      </c>
      <c r="CF85" s="160"/>
      <c r="CG85" s="141"/>
      <c r="CH85" s="203" t="str">
        <f t="shared" ref="CH85:CH148" si="306">IF(CJ85="-","-",CJ85&amp;REPT(IF($R85="N","　",IF($R85="9","0"," ")),$Z85-LENB(CJ85)))</f>
        <v xml:space="preserve">                                                                                                                                </v>
      </c>
      <c r="CI85" s="174" t="str">
        <f t="shared" si="245"/>
        <v>NG</v>
      </c>
      <c r="CJ85" s="141"/>
      <c r="CK85" s="276" t="str">
        <f>IF(OR(CG$8="判定対象外",CJ$8="判定対象外",CJ85="-"),"-",IF(CG85=CJ85,"OK","NG"))</f>
        <v>OK</v>
      </c>
      <c r="CL85" s="160"/>
      <c r="CM85" s="141"/>
      <c r="CN85" s="203" t="str">
        <f t="shared" ref="CN85:CN148" si="307">IF(CP85="-","-",CP85&amp;REPT(IF($R85="N","　",IF($R85="9","0"," ")),$Z85-LENB(CP85)))</f>
        <v xml:space="preserve">                                                                                                                                </v>
      </c>
      <c r="CO85" s="174" t="str">
        <f t="shared" si="246"/>
        <v>NG</v>
      </c>
      <c r="CP85" s="141"/>
      <c r="CQ85" s="276" t="str">
        <f>IF(OR(CM$8="判定対象外",CP$8="判定対象外",CP85="-"),"-",IF(CM85=CP85,"OK","NG"))</f>
        <v>OK</v>
      </c>
      <c r="CR85" s="160"/>
      <c r="CS85" s="141"/>
      <c r="CT85" s="203" t="str">
        <f t="shared" ref="CT85:CT148" si="308">IF(CV85="-","-",CV85&amp;REPT(IF($R85="N","　",IF($R85="9","0"," ")),$Z85-LENB(CV85)))</f>
        <v xml:space="preserve">                                                                                                                                </v>
      </c>
      <c r="CU85" s="174" t="str">
        <f t="shared" si="247"/>
        <v>NG</v>
      </c>
      <c r="CV85" s="141"/>
      <c r="CW85" s="276" t="str">
        <f>IF(OR(CS$8="判定対象外",CV$8="判定対象外",CV85="-"),"-",IF(CS85=CV85,"OK","NG"))</f>
        <v>OK</v>
      </c>
      <c r="CX85" s="160"/>
      <c r="CY85" s="141"/>
      <c r="CZ85" s="203" t="str">
        <f t="shared" ref="CZ85:CZ148" si="309">IF(DB85="-","-",DB85&amp;REPT(IF($R85="N","　",IF($R85="9","0"," ")),$Z85-LENB(DB85)))</f>
        <v xml:space="preserve">                                                                                                                                </v>
      </c>
      <c r="DA85" s="174" t="str">
        <f t="shared" si="248"/>
        <v>NG</v>
      </c>
      <c r="DB85" s="141"/>
      <c r="DC85" s="276" t="str">
        <f>IF(OR(CY$8="判定対象外",DB$8="判定対象外",DB85="-"),"-",IF(CY85=DB85,"OK","NG"))</f>
        <v>OK</v>
      </c>
      <c r="DD85" s="160"/>
      <c r="DE85" s="141"/>
      <c r="DF85" s="203" t="str">
        <f t="shared" ref="DF85:DF148" si="310">IF(DH85="-","-",DH85&amp;REPT(IF($R85="N","　",IF($R85="9","0"," ")),$Z85-LENB(DH85)))</f>
        <v xml:space="preserve">                                                                                                                                </v>
      </c>
      <c r="DG85" s="174" t="str">
        <f t="shared" si="249"/>
        <v>NG</v>
      </c>
      <c r="DH85" s="141"/>
      <c r="DI85" s="276" t="str">
        <f>IF(OR(DE$8="判定対象外",DH$8="判定対象外",DH85="-"),"-",IF(DE85=DH85,"OK","NG"))</f>
        <v>OK</v>
      </c>
      <c r="DJ85" s="160"/>
      <c r="DK85" s="141"/>
      <c r="DL85" s="203" t="str">
        <f t="shared" ref="DL85:DL148" si="311">IF(DN85="-","-",DN85&amp;REPT(IF($R85="N","　",IF($R85="9","0"," ")),$Z85-LENB(DN85)))</f>
        <v xml:space="preserve">                                                                                                                                </v>
      </c>
      <c r="DM85" s="174" t="str">
        <f t="shared" si="250"/>
        <v>NG</v>
      </c>
      <c r="DN85" s="141"/>
      <c r="DO85" s="276" t="str">
        <f>IF(OR(DK$8="判定対象外",DN$8="判定対象外",DN85="-"),"-",IF(DK85=DN85,"OK","NG"))</f>
        <v>OK</v>
      </c>
      <c r="DP85" s="160"/>
      <c r="DQ85" s="141"/>
      <c r="DR85" s="203" t="str">
        <f t="shared" ref="DR85:DR148" si="312">IF(DT85="-","-",DT85&amp;REPT(IF($R85="N","　",IF($R85="9","0"," ")),$Z85-LENB(DT85)))</f>
        <v xml:space="preserve">                                                                                                                                </v>
      </c>
      <c r="DS85" s="174" t="str">
        <f t="shared" si="215"/>
        <v>NG</v>
      </c>
      <c r="DT85" s="141"/>
      <c r="DU85" s="276" t="str">
        <f>IF(OR(DQ$8="判定対象外",DT$8="判定対象外",DT85="-"),"-",IF(DQ85=DT85,"OK","NG"))</f>
        <v>OK</v>
      </c>
      <c r="DV85" s="160"/>
      <c r="DW85" s="141"/>
      <c r="DX85" s="203" t="str">
        <f t="shared" ref="DX85:DX148" si="313">IF(DZ85="-","-",DZ85&amp;REPT(IF($R85="N","　",IF($R85="9","0"," ")),$Z85-LENB(DZ85)))</f>
        <v xml:space="preserve">                                                                                                                                </v>
      </c>
      <c r="DY85" s="174" t="str">
        <f t="shared" si="216"/>
        <v>NG</v>
      </c>
      <c r="DZ85" s="141"/>
      <c r="EA85" s="276" t="str">
        <f>IF(OR(DW$8="判定対象外",DZ$8="判定対象外",DZ85="-"),"-",IF(DW85=DZ85,"OK","NG"))</f>
        <v>OK</v>
      </c>
      <c r="EB85" s="160"/>
      <c r="EC85" s="141"/>
      <c r="ED85" s="203" t="str">
        <f t="shared" ref="ED85:ED148" si="314">IF(EF85="-","-",EF85&amp;REPT(IF($R85="N","　",IF($R85="9","0"," ")),$Z85-LENB(EF85)))</f>
        <v xml:space="preserve">                                                                                                                                </v>
      </c>
      <c r="EE85" s="174" t="str">
        <f t="shared" si="217"/>
        <v>NG</v>
      </c>
      <c r="EF85" s="141"/>
      <c r="EG85" s="276" t="str">
        <f>IF(OR(EC$8="判定対象外",EF$8="判定対象外",EF85="-"),"-",IF(EC85=EF85,"OK","NG"))</f>
        <v>OK</v>
      </c>
      <c r="EH85" s="160"/>
      <c r="EI85" s="141"/>
      <c r="EJ85" s="203" t="str">
        <f t="shared" ref="EJ85:EJ148" si="315">IF(EL85="-","-",EL85&amp;REPT(IF($R85="N","　",IF($R85="9","0"," ")),$Z85-LENB(EL85)))</f>
        <v xml:space="preserve">                                                                                                                                </v>
      </c>
      <c r="EK85" s="174" t="str">
        <f t="shared" si="218"/>
        <v>NG</v>
      </c>
      <c r="EL85" s="141"/>
      <c r="EM85" s="276" t="str">
        <f>IF(OR(EI$8="判定対象外",EL$8="判定対象外",EL85="-"),"-",IF(EI85=EL85,"OK","NG"))</f>
        <v>OK</v>
      </c>
      <c r="EN85" s="160"/>
      <c r="EO85" s="141"/>
      <c r="EP85" s="203" t="str">
        <f t="shared" ref="EP85:EP148" si="316">IF(ER85="-","-",ER85&amp;REPT(IF($R85="N","　",IF($R85="9","0"," ")),$Z85-LENB(ER85)))</f>
        <v xml:space="preserve">                                                                                                                                </v>
      </c>
      <c r="EQ85" s="174" t="str">
        <f t="shared" si="219"/>
        <v>NG</v>
      </c>
      <c r="ER85" s="141"/>
      <c r="ES85" s="276" t="str">
        <f>IF(OR(EO$8="判定対象外",ER$8="判定対象外",ER85="-"),"-",IF(EO85=ER85,"OK","NG"))</f>
        <v>OK</v>
      </c>
      <c r="ET85" s="160"/>
      <c r="EU85" s="141"/>
      <c r="EV85" s="203" t="str">
        <f t="shared" ref="EV85:EV148" si="317">IF(EX85="-","-",EX85&amp;REPT(IF($R85="N","　",IF($R85="9","0"," ")),$Z85-LENB(EX85)))</f>
        <v xml:space="preserve">                                                                                                                                </v>
      </c>
      <c r="EW85" s="174" t="str">
        <f t="shared" si="220"/>
        <v>NG</v>
      </c>
      <c r="EX85" s="141"/>
      <c r="EY85" s="276" t="str">
        <f>IF(OR(EU$8="判定対象外",EX$8="判定対象外",EX85="-"),"-",IF(EU85=EX85,"OK","NG"))</f>
        <v>OK</v>
      </c>
      <c r="EZ85" s="160"/>
      <c r="FA85" s="141"/>
      <c r="FB85" s="203" t="str">
        <f t="shared" ref="FB85:FB148" si="318">IF(FD85="-","-",FD85&amp;REPT(IF($R85="N","　",IF($R85="9","0"," ")),$Z85-LENB(FD85)))</f>
        <v xml:space="preserve">                                                                                                                                </v>
      </c>
      <c r="FC85" s="174" t="str">
        <f t="shared" si="221"/>
        <v>NG</v>
      </c>
      <c r="FD85" s="141"/>
      <c r="FE85" s="276" t="str">
        <f>IF(OR(FA$8="判定対象外",FD$8="判定対象外",FD85="-"),"-",IF(FA85=FD85,"OK","NG"))</f>
        <v>OK</v>
      </c>
      <c r="FF85" s="160"/>
      <c r="FG85" s="141"/>
      <c r="FH85" s="203" t="str">
        <f t="shared" ref="FH85:FH148" si="319">IF(FJ85="-","-",FJ85&amp;REPT(IF($R85="N","　",IF($R85="9","0"," ")),$Z85-LENB(FJ85)))</f>
        <v xml:space="preserve">                                                                                                                                </v>
      </c>
      <c r="FI85" s="174" t="str">
        <f t="shared" si="233"/>
        <v>NG</v>
      </c>
      <c r="FJ85" s="141"/>
      <c r="FK85" s="276" t="str">
        <f>IF(OR(FG$8="判定対象外",FJ$8="判定対象外",FJ85="-"),"-",IF(FG85=FJ85,"OK","NG"))</f>
        <v>OK</v>
      </c>
      <c r="FL85" s="160"/>
      <c r="FM85" s="141"/>
      <c r="FN85" s="203" t="str">
        <f t="shared" ref="FN85:FN148" si="320">IF(FP85="-","-",FP85&amp;REPT(IF($R85="N","　",IF($R85="9","0"," ")),$Z85-LENB(FP85)))</f>
        <v xml:space="preserve">                                                                                                                                </v>
      </c>
      <c r="FO85" s="174" t="str">
        <f t="shared" si="251"/>
        <v>NG</v>
      </c>
      <c r="FP85" s="141"/>
      <c r="FQ85" s="276" t="str">
        <f>IF(OR(FM$8="判定対象外",FP$8="判定対象外",FP85="-"),"-",IF(FM85=FP85,"OK","NG"))</f>
        <v>OK</v>
      </c>
      <c r="FR85" s="160"/>
      <c r="FS85" s="141"/>
      <c r="FT85" s="203" t="str">
        <f t="shared" ref="FT85:FT148" si="321">IF(FV85="-","-",FV85&amp;REPT(IF($R85="N","　",IF($R85="9","0"," ")),$Z85-LENB(FV85)))</f>
        <v xml:space="preserve">                                                                                                                                </v>
      </c>
      <c r="FU85" s="174" t="str">
        <f t="shared" si="252"/>
        <v>NG</v>
      </c>
      <c r="FV85" s="141"/>
      <c r="FW85" s="276" t="str">
        <f>IF(OR(FS$8="判定対象外",FV$8="判定対象外",FV85="-"),"-",IF(FS85=FV85,"OK","NG"))</f>
        <v>OK</v>
      </c>
      <c r="FX85" s="160"/>
      <c r="FY85" s="141"/>
      <c r="FZ85" s="203" t="str">
        <f t="shared" ref="FZ85:FZ148" si="322">IF(GB85="-","-",GB85&amp;REPT(IF($R85="N","　",IF($R85="9","0"," ")),$Z85-LENB(GB85)))</f>
        <v xml:space="preserve">                                                                                                                                </v>
      </c>
      <c r="GA85" s="174" t="str">
        <f t="shared" si="253"/>
        <v>NG</v>
      </c>
      <c r="GB85" s="141"/>
      <c r="GC85" s="276" t="str">
        <f>IF(OR(FY$8="判定対象外",GB$8="判定対象外",GB85="-"),"-",IF(FY85=GB85,"OK","NG"))</f>
        <v>OK</v>
      </c>
    </row>
    <row r="86" spans="1:185" s="52" customFormat="1" ht="114.75">
      <c r="B86" s="216">
        <f t="shared" si="153"/>
        <v>79</v>
      </c>
      <c r="C86" s="37"/>
      <c r="D86" s="37"/>
      <c r="E86" s="37"/>
      <c r="F86" s="49" t="s">
        <v>339</v>
      </c>
      <c r="G86" s="39"/>
      <c r="H86" s="40"/>
      <c r="I86" s="42"/>
      <c r="J86" s="42"/>
      <c r="K86" s="42"/>
      <c r="L86" s="42"/>
      <c r="M86" s="63" t="s">
        <v>340</v>
      </c>
      <c r="N86" s="47"/>
      <c r="O86" s="143"/>
      <c r="P86" s="45">
        <f t="shared" si="235"/>
        <v>61</v>
      </c>
      <c r="Q86" s="46">
        <v>1</v>
      </c>
      <c r="R86" s="41" t="str">
        <f t="shared" si="280"/>
        <v>X</v>
      </c>
      <c r="S86" s="185" t="s">
        <v>234</v>
      </c>
      <c r="T86" s="43"/>
      <c r="U86" s="41" t="s">
        <v>80</v>
      </c>
      <c r="V86" s="44"/>
      <c r="W86" s="22">
        <v>3</v>
      </c>
      <c r="X86" s="47" t="s">
        <v>235</v>
      </c>
      <c r="Y86" s="47">
        <v>1</v>
      </c>
      <c r="Z86" s="47">
        <v>1</v>
      </c>
      <c r="AA86" s="42" t="s">
        <v>163</v>
      </c>
      <c r="AB86" s="42" t="s">
        <v>57</v>
      </c>
      <c r="AC86" s="217"/>
      <c r="AD86" s="160"/>
      <c r="AE86" s="162"/>
      <c r="AF86" s="203" t="str">
        <f t="shared" si="298"/>
        <v xml:space="preserve"> </v>
      </c>
      <c r="AG86" s="174" t="str">
        <f t="shared" si="237"/>
        <v>NG</v>
      </c>
      <c r="AH86" s="162"/>
      <c r="AI86" s="276" t="str">
        <f>IF(OR(AE$8="判定対象外",AH$8="判定対象外",AH86="-"),"-",IF(AE86=AH86,"OK","NG"))</f>
        <v>OK</v>
      </c>
      <c r="AJ86" s="160"/>
      <c r="AK86" s="162"/>
      <c r="AL86" s="203" t="str">
        <f t="shared" si="281"/>
        <v xml:space="preserve"> </v>
      </c>
      <c r="AM86" s="174" t="str">
        <f t="shared" si="155"/>
        <v>NG</v>
      </c>
      <c r="AN86" s="162"/>
      <c r="AO86" s="276" t="str">
        <f>IF(OR(AK$8="判定対象外",AN$8="判定対象外",AN86="-"),"-",IF(AK86=AN86,"OK","NG"))</f>
        <v>OK</v>
      </c>
      <c r="AP86" s="160"/>
      <c r="AQ86" s="162"/>
      <c r="AR86" s="203" t="str">
        <f t="shared" si="299"/>
        <v xml:space="preserve"> </v>
      </c>
      <c r="AS86" s="174" t="str">
        <f t="shared" si="238"/>
        <v>NG</v>
      </c>
      <c r="AT86" s="162"/>
      <c r="AU86" s="276" t="str">
        <f>IF(OR(AQ$8="判定対象外",AT$8="判定対象外",AT86="-"),"-",IF(AQ86=AT86,"OK","NG"))</f>
        <v>OK</v>
      </c>
      <c r="AV86" s="160"/>
      <c r="AW86" s="162"/>
      <c r="AX86" s="203" t="str">
        <f t="shared" si="300"/>
        <v xml:space="preserve"> </v>
      </c>
      <c r="AY86" s="174" t="str">
        <f t="shared" si="239"/>
        <v>NG</v>
      </c>
      <c r="AZ86" s="162"/>
      <c r="BA86" s="276" t="str">
        <f>IF(OR(AW$8="判定対象外",AZ$8="判定対象外",AZ86="-"),"-",IF(AW86=AZ86,"OK","NG"))</f>
        <v>OK</v>
      </c>
      <c r="BB86" s="160"/>
      <c r="BC86" s="162"/>
      <c r="BD86" s="203" t="str">
        <f t="shared" si="301"/>
        <v xml:space="preserve"> </v>
      </c>
      <c r="BE86" s="174" t="str">
        <f t="shared" si="240"/>
        <v>NG</v>
      </c>
      <c r="BF86" s="162"/>
      <c r="BG86" s="276" t="str">
        <f>IF(OR(BC$8="判定対象外",BF$8="判定対象外",BF86="-"),"-",IF(BC86=BF86,"OK","NG"))</f>
        <v>OK</v>
      </c>
      <c r="BH86" s="160"/>
      <c r="BI86" s="162"/>
      <c r="BJ86" s="203" t="str">
        <f t="shared" si="302"/>
        <v xml:space="preserve"> </v>
      </c>
      <c r="BK86" s="174" t="str">
        <f t="shared" si="241"/>
        <v>NG</v>
      </c>
      <c r="BL86" s="162"/>
      <c r="BM86" s="276" t="str">
        <f>IF(OR(BI$8="判定対象外",BL$8="判定対象外",BL86="-"),"-",IF(BI86=BL86,"OK","NG"))</f>
        <v>OK</v>
      </c>
      <c r="BN86" s="160"/>
      <c r="BO86" s="162"/>
      <c r="BP86" s="203" t="str">
        <f t="shared" si="303"/>
        <v xml:space="preserve"> </v>
      </c>
      <c r="BQ86" s="174" t="str">
        <f t="shared" si="242"/>
        <v>NG</v>
      </c>
      <c r="BR86" s="162"/>
      <c r="BS86" s="276" t="str">
        <f>IF(OR(BO$8="判定対象外",BR$8="判定対象外",BR86="-"),"-",IF(BO86=BR86,"OK","NG"))</f>
        <v>OK</v>
      </c>
      <c r="BT86" s="160"/>
      <c r="BU86" s="162"/>
      <c r="BV86" s="203" t="str">
        <f t="shared" si="304"/>
        <v xml:space="preserve"> </v>
      </c>
      <c r="BW86" s="174" t="str">
        <f t="shared" si="243"/>
        <v>NG</v>
      </c>
      <c r="BX86" s="162"/>
      <c r="BY86" s="276" t="str">
        <f>IF(OR(BU$8="判定対象外",BX$8="判定対象外",BX86="-"),"-",IF(BU86=BX86,"OK","NG"))</f>
        <v>OK</v>
      </c>
      <c r="BZ86" s="160"/>
      <c r="CA86" s="162"/>
      <c r="CB86" s="203" t="str">
        <f t="shared" si="305"/>
        <v xml:space="preserve"> </v>
      </c>
      <c r="CC86" s="174" t="str">
        <f t="shared" si="244"/>
        <v>NG</v>
      </c>
      <c r="CD86" s="162"/>
      <c r="CE86" s="276" t="str">
        <f>IF(OR(CA$8="判定対象外",CD$8="判定対象外",CD86="-"),"-",IF(CA86=CD86,"OK","NG"))</f>
        <v>OK</v>
      </c>
      <c r="CF86" s="160"/>
      <c r="CG86" s="162"/>
      <c r="CH86" s="203" t="str">
        <f t="shared" si="306"/>
        <v xml:space="preserve"> </v>
      </c>
      <c r="CI86" s="174" t="str">
        <f t="shared" si="245"/>
        <v>NG</v>
      </c>
      <c r="CJ86" s="162"/>
      <c r="CK86" s="276" t="str">
        <f>IF(OR(CG$8="判定対象外",CJ$8="判定対象外",CJ86="-"),"-",IF(CG86=CJ86,"OK","NG"))</f>
        <v>OK</v>
      </c>
      <c r="CL86" s="160"/>
      <c r="CM86" s="162"/>
      <c r="CN86" s="203" t="str">
        <f t="shared" si="307"/>
        <v xml:space="preserve"> </v>
      </c>
      <c r="CO86" s="174" t="str">
        <f t="shared" si="246"/>
        <v>NG</v>
      </c>
      <c r="CP86" s="162"/>
      <c r="CQ86" s="276" t="str">
        <f>IF(OR(CM$8="判定対象外",CP$8="判定対象外",CP86="-"),"-",IF(CM86=CP86,"OK","NG"))</f>
        <v>OK</v>
      </c>
      <c r="CR86" s="160"/>
      <c r="CS86" s="162"/>
      <c r="CT86" s="203" t="str">
        <f t="shared" si="308"/>
        <v xml:space="preserve"> </v>
      </c>
      <c r="CU86" s="174" t="str">
        <f t="shared" si="247"/>
        <v>NG</v>
      </c>
      <c r="CV86" s="162"/>
      <c r="CW86" s="276" t="str">
        <f>IF(OR(CS$8="判定対象外",CV$8="判定対象外",CV86="-"),"-",IF(CS86=CV86,"OK","NG"))</f>
        <v>OK</v>
      </c>
      <c r="CX86" s="160"/>
      <c r="CY86" s="162"/>
      <c r="CZ86" s="203" t="str">
        <f t="shared" si="309"/>
        <v xml:space="preserve"> </v>
      </c>
      <c r="DA86" s="174" t="str">
        <f t="shared" si="248"/>
        <v>NG</v>
      </c>
      <c r="DB86" s="162"/>
      <c r="DC86" s="276" t="str">
        <f>IF(OR(CY$8="判定対象外",DB$8="判定対象外",DB86="-"),"-",IF(CY86=DB86,"OK","NG"))</f>
        <v>OK</v>
      </c>
      <c r="DD86" s="160"/>
      <c r="DE86" s="162"/>
      <c r="DF86" s="203" t="str">
        <f t="shared" si="310"/>
        <v xml:space="preserve"> </v>
      </c>
      <c r="DG86" s="174" t="str">
        <f t="shared" si="249"/>
        <v>NG</v>
      </c>
      <c r="DH86" s="162"/>
      <c r="DI86" s="276" t="str">
        <f>IF(OR(DE$8="判定対象外",DH$8="判定対象外",DH86="-"),"-",IF(DE86=DH86,"OK","NG"))</f>
        <v>OK</v>
      </c>
      <c r="DJ86" s="160"/>
      <c r="DK86" s="162"/>
      <c r="DL86" s="203" t="str">
        <f t="shared" si="311"/>
        <v xml:space="preserve"> </v>
      </c>
      <c r="DM86" s="174" t="str">
        <f t="shared" si="250"/>
        <v>NG</v>
      </c>
      <c r="DN86" s="162"/>
      <c r="DO86" s="276" t="str">
        <f>IF(OR(DK$8="判定対象外",DN$8="判定対象外",DN86="-"),"-",IF(DK86=DN86,"OK","NG"))</f>
        <v>OK</v>
      </c>
      <c r="DP86" s="160"/>
      <c r="DQ86" s="162"/>
      <c r="DR86" s="203" t="str">
        <f t="shared" si="312"/>
        <v xml:space="preserve"> </v>
      </c>
      <c r="DS86" s="174" t="str">
        <f t="shared" si="215"/>
        <v>NG</v>
      </c>
      <c r="DT86" s="162"/>
      <c r="DU86" s="276" t="str">
        <f>IF(OR(DQ$8="判定対象外",DT$8="判定対象外",DT86="-"),"-",IF(DQ86=DT86,"OK","NG"))</f>
        <v>OK</v>
      </c>
      <c r="DV86" s="160"/>
      <c r="DW86" s="162"/>
      <c r="DX86" s="203" t="str">
        <f t="shared" si="313"/>
        <v xml:space="preserve"> </v>
      </c>
      <c r="DY86" s="174" t="str">
        <f t="shared" si="216"/>
        <v>NG</v>
      </c>
      <c r="DZ86" s="162"/>
      <c r="EA86" s="276" t="str">
        <f>IF(OR(DW$8="判定対象外",DZ$8="判定対象外",DZ86="-"),"-",IF(DW86=DZ86,"OK","NG"))</f>
        <v>OK</v>
      </c>
      <c r="EB86" s="160"/>
      <c r="EC86" s="162"/>
      <c r="ED86" s="203" t="str">
        <f t="shared" si="314"/>
        <v xml:space="preserve"> </v>
      </c>
      <c r="EE86" s="174" t="str">
        <f t="shared" si="217"/>
        <v>NG</v>
      </c>
      <c r="EF86" s="162"/>
      <c r="EG86" s="276" t="str">
        <f>IF(OR(EC$8="判定対象外",EF$8="判定対象外",EF86="-"),"-",IF(EC86=EF86,"OK","NG"))</f>
        <v>OK</v>
      </c>
      <c r="EH86" s="160"/>
      <c r="EI86" s="162"/>
      <c r="EJ86" s="203" t="str">
        <f t="shared" si="315"/>
        <v xml:space="preserve"> </v>
      </c>
      <c r="EK86" s="174" t="str">
        <f t="shared" si="218"/>
        <v>NG</v>
      </c>
      <c r="EL86" s="162"/>
      <c r="EM86" s="276" t="str">
        <f>IF(OR(EI$8="判定対象外",EL$8="判定対象外",EL86="-"),"-",IF(EI86=EL86,"OK","NG"))</f>
        <v>OK</v>
      </c>
      <c r="EN86" s="160"/>
      <c r="EO86" s="162"/>
      <c r="EP86" s="203" t="str">
        <f t="shared" si="316"/>
        <v xml:space="preserve"> </v>
      </c>
      <c r="EQ86" s="174" t="str">
        <f t="shared" si="219"/>
        <v>NG</v>
      </c>
      <c r="ER86" s="162"/>
      <c r="ES86" s="276" t="str">
        <f>IF(OR(EO$8="判定対象外",ER$8="判定対象外",ER86="-"),"-",IF(EO86=ER86,"OK","NG"))</f>
        <v>OK</v>
      </c>
      <c r="ET86" s="160"/>
      <c r="EU86" s="162"/>
      <c r="EV86" s="203" t="str">
        <f t="shared" si="317"/>
        <v xml:space="preserve"> </v>
      </c>
      <c r="EW86" s="174" t="str">
        <f t="shared" si="220"/>
        <v>NG</v>
      </c>
      <c r="EX86" s="162"/>
      <c r="EY86" s="276" t="str">
        <f>IF(OR(EU$8="判定対象外",EX$8="判定対象外",EX86="-"),"-",IF(EU86=EX86,"OK","NG"))</f>
        <v>OK</v>
      </c>
      <c r="EZ86" s="160"/>
      <c r="FA86" s="162"/>
      <c r="FB86" s="203" t="str">
        <f t="shared" si="318"/>
        <v xml:space="preserve"> </v>
      </c>
      <c r="FC86" s="174" t="str">
        <f t="shared" si="221"/>
        <v>NG</v>
      </c>
      <c r="FD86" s="162"/>
      <c r="FE86" s="276" t="str">
        <f>IF(OR(FA$8="判定対象外",FD$8="判定対象外",FD86="-"),"-",IF(FA86=FD86,"OK","NG"))</f>
        <v>OK</v>
      </c>
      <c r="FF86" s="160"/>
      <c r="FG86" s="162"/>
      <c r="FH86" s="203" t="str">
        <f t="shared" si="319"/>
        <v xml:space="preserve"> </v>
      </c>
      <c r="FI86" s="174" t="str">
        <f t="shared" si="233"/>
        <v>NG</v>
      </c>
      <c r="FJ86" s="162"/>
      <c r="FK86" s="276" t="str">
        <f>IF(OR(FG$8="判定対象外",FJ$8="判定対象外",FJ86="-"),"-",IF(FG86=FJ86,"OK","NG"))</f>
        <v>OK</v>
      </c>
      <c r="FL86" s="160"/>
      <c r="FM86" s="162"/>
      <c r="FN86" s="203" t="str">
        <f t="shared" si="320"/>
        <v xml:space="preserve"> </v>
      </c>
      <c r="FO86" s="174" t="str">
        <f t="shared" si="251"/>
        <v>NG</v>
      </c>
      <c r="FP86" s="162"/>
      <c r="FQ86" s="276" t="str">
        <f>IF(OR(FM$8="判定対象外",FP$8="判定対象外",FP86="-"),"-",IF(FM86=FP86,"OK","NG"))</f>
        <v>OK</v>
      </c>
      <c r="FR86" s="160"/>
      <c r="FS86" s="162"/>
      <c r="FT86" s="203" t="str">
        <f t="shared" si="321"/>
        <v xml:space="preserve"> </v>
      </c>
      <c r="FU86" s="174" t="str">
        <f t="shared" si="252"/>
        <v>NG</v>
      </c>
      <c r="FV86" s="162"/>
      <c r="FW86" s="276" t="str">
        <f>IF(OR(FS$8="判定対象外",FV$8="判定対象外",FV86="-"),"-",IF(FS86=FV86,"OK","NG"))</f>
        <v>OK</v>
      </c>
      <c r="FX86" s="160"/>
      <c r="FY86" s="162"/>
      <c r="FZ86" s="203" t="str">
        <f t="shared" si="322"/>
        <v xml:space="preserve"> </v>
      </c>
      <c r="GA86" s="174" t="str">
        <f t="shared" si="253"/>
        <v>NG</v>
      </c>
      <c r="GB86" s="162"/>
      <c r="GC86" s="276" t="str">
        <f>IF(OR(FY$8="判定対象外",GB$8="判定対象外",GB86="-"),"-",IF(FY86=GB86,"OK","NG"))</f>
        <v>OK</v>
      </c>
    </row>
    <row r="87" spans="1:185" s="52" customFormat="1" ht="127.5">
      <c r="B87" s="216">
        <f t="shared" ref="B87:B150" si="323">ROW()-7</f>
        <v>80</v>
      </c>
      <c r="C87" s="37"/>
      <c r="D87" s="37"/>
      <c r="E87" s="37"/>
      <c r="F87" s="49" t="s">
        <v>341</v>
      </c>
      <c r="G87" s="39"/>
      <c r="H87" s="40"/>
      <c r="I87" s="42"/>
      <c r="J87" s="42" t="s">
        <v>316</v>
      </c>
      <c r="K87" s="42"/>
      <c r="L87" s="42"/>
      <c r="M87" s="163" t="s">
        <v>342</v>
      </c>
      <c r="N87" s="47"/>
      <c r="O87" s="143"/>
      <c r="P87" s="45">
        <f t="shared" si="235"/>
        <v>62</v>
      </c>
      <c r="Q87" s="46">
        <v>1</v>
      </c>
      <c r="R87" s="41" t="str">
        <f t="shared" si="280"/>
        <v>X</v>
      </c>
      <c r="S87" s="185" t="s">
        <v>236</v>
      </c>
      <c r="T87" s="43"/>
      <c r="U87" s="41" t="s">
        <v>80</v>
      </c>
      <c r="V87" s="44"/>
      <c r="W87" s="22">
        <v>3</v>
      </c>
      <c r="X87" s="47" t="s">
        <v>237</v>
      </c>
      <c r="Y87" s="47">
        <v>1</v>
      </c>
      <c r="Z87" s="47">
        <v>1</v>
      </c>
      <c r="AA87" s="42" t="s">
        <v>163</v>
      </c>
      <c r="AB87" s="42" t="s">
        <v>57</v>
      </c>
      <c r="AC87" s="217"/>
      <c r="AD87" s="160"/>
      <c r="AE87" s="162"/>
      <c r="AF87" s="203" t="str">
        <f t="shared" si="298"/>
        <v xml:space="preserve"> </v>
      </c>
      <c r="AG87" s="174" t="str">
        <f t="shared" si="237"/>
        <v>NG</v>
      </c>
      <c r="AH87" s="162"/>
      <c r="AI87" s="276" t="str">
        <f>IF(OR(AE$8="判定対象外",AH$8="判定対象外",AH87="-"),"-",IF(AE87=AH87,"OK","NG"))</f>
        <v>OK</v>
      </c>
      <c r="AJ87" s="160"/>
      <c r="AK87" s="162"/>
      <c r="AL87" s="203" t="str">
        <f t="shared" si="281"/>
        <v xml:space="preserve"> </v>
      </c>
      <c r="AM87" s="174" t="str">
        <f t="shared" ref="AM87:AM150" si="324">IF(OR(AK$8="判定対象外",AL$8="判定対象外",AL87="-"),"-",IF(AK87=AL87,"OK","NG"))</f>
        <v>NG</v>
      </c>
      <c r="AN87" s="162"/>
      <c r="AO87" s="276" t="str">
        <f>IF(OR(AK$8="判定対象外",AN$8="判定対象外",AN87="-"),"-",IF(AK87=AN87,"OK","NG"))</f>
        <v>OK</v>
      </c>
      <c r="AP87" s="160"/>
      <c r="AQ87" s="162"/>
      <c r="AR87" s="203" t="str">
        <f t="shared" si="299"/>
        <v xml:space="preserve"> </v>
      </c>
      <c r="AS87" s="174" t="str">
        <f t="shared" si="238"/>
        <v>NG</v>
      </c>
      <c r="AT87" s="162"/>
      <c r="AU87" s="276" t="str">
        <f>IF(OR(AQ$8="判定対象外",AT$8="判定対象外",AT87="-"),"-",IF(AQ87=AT87,"OK","NG"))</f>
        <v>OK</v>
      </c>
      <c r="AV87" s="160"/>
      <c r="AW87" s="162"/>
      <c r="AX87" s="203" t="str">
        <f t="shared" si="300"/>
        <v xml:space="preserve"> </v>
      </c>
      <c r="AY87" s="174" t="str">
        <f t="shared" si="239"/>
        <v>NG</v>
      </c>
      <c r="AZ87" s="162"/>
      <c r="BA87" s="276" t="str">
        <f>IF(OR(AW$8="判定対象外",AZ$8="判定対象外",AZ87="-"),"-",IF(AW87=AZ87,"OK","NG"))</f>
        <v>OK</v>
      </c>
      <c r="BB87" s="160"/>
      <c r="BC87" s="162"/>
      <c r="BD87" s="203" t="str">
        <f t="shared" si="301"/>
        <v xml:space="preserve"> </v>
      </c>
      <c r="BE87" s="174" t="str">
        <f t="shared" si="240"/>
        <v>NG</v>
      </c>
      <c r="BF87" s="162"/>
      <c r="BG87" s="276" t="str">
        <f>IF(OR(BC$8="判定対象外",BF$8="判定対象外",BF87="-"),"-",IF(BC87=BF87,"OK","NG"))</f>
        <v>OK</v>
      </c>
      <c r="BH87" s="160"/>
      <c r="BI87" s="162"/>
      <c r="BJ87" s="203" t="str">
        <f t="shared" si="302"/>
        <v xml:space="preserve"> </v>
      </c>
      <c r="BK87" s="174" t="str">
        <f t="shared" si="241"/>
        <v>NG</v>
      </c>
      <c r="BL87" s="162"/>
      <c r="BM87" s="276" t="str">
        <f>IF(OR(BI$8="判定対象外",BL$8="判定対象外",BL87="-"),"-",IF(BI87=BL87,"OK","NG"))</f>
        <v>OK</v>
      </c>
      <c r="BN87" s="160"/>
      <c r="BO87" s="162"/>
      <c r="BP87" s="203" t="str">
        <f t="shared" si="303"/>
        <v xml:space="preserve"> </v>
      </c>
      <c r="BQ87" s="174" t="str">
        <f t="shared" si="242"/>
        <v>NG</v>
      </c>
      <c r="BR87" s="162"/>
      <c r="BS87" s="276" t="str">
        <f>IF(OR(BO$8="判定対象外",BR$8="判定対象外",BR87="-"),"-",IF(BO87=BR87,"OK","NG"))</f>
        <v>OK</v>
      </c>
      <c r="BT87" s="160"/>
      <c r="BU87" s="162"/>
      <c r="BV87" s="203" t="str">
        <f t="shared" si="304"/>
        <v xml:space="preserve"> </v>
      </c>
      <c r="BW87" s="174" t="str">
        <f t="shared" si="243"/>
        <v>NG</v>
      </c>
      <c r="BX87" s="162"/>
      <c r="BY87" s="276" t="str">
        <f>IF(OR(BU$8="判定対象外",BX$8="判定対象外",BX87="-"),"-",IF(BU87=BX87,"OK","NG"))</f>
        <v>OK</v>
      </c>
      <c r="BZ87" s="160"/>
      <c r="CA87" s="162"/>
      <c r="CB87" s="203" t="str">
        <f t="shared" si="305"/>
        <v xml:space="preserve"> </v>
      </c>
      <c r="CC87" s="174" t="str">
        <f t="shared" si="244"/>
        <v>NG</v>
      </c>
      <c r="CD87" s="162"/>
      <c r="CE87" s="276" t="str">
        <f>IF(OR(CA$8="判定対象外",CD$8="判定対象外",CD87="-"),"-",IF(CA87=CD87,"OK","NG"))</f>
        <v>OK</v>
      </c>
      <c r="CF87" s="160"/>
      <c r="CG87" s="162"/>
      <c r="CH87" s="203" t="str">
        <f t="shared" si="306"/>
        <v xml:space="preserve"> </v>
      </c>
      <c r="CI87" s="174" t="str">
        <f t="shared" si="245"/>
        <v>NG</v>
      </c>
      <c r="CJ87" s="162"/>
      <c r="CK87" s="276" t="str">
        <f>IF(OR(CG$8="判定対象外",CJ$8="判定対象外",CJ87="-"),"-",IF(CG87=CJ87,"OK","NG"))</f>
        <v>OK</v>
      </c>
      <c r="CL87" s="160"/>
      <c r="CM87" s="162"/>
      <c r="CN87" s="203" t="str">
        <f t="shared" si="307"/>
        <v xml:space="preserve"> </v>
      </c>
      <c r="CO87" s="174" t="str">
        <f t="shared" si="246"/>
        <v>NG</v>
      </c>
      <c r="CP87" s="162"/>
      <c r="CQ87" s="276" t="str">
        <f>IF(OR(CM$8="判定対象外",CP$8="判定対象外",CP87="-"),"-",IF(CM87=CP87,"OK","NG"))</f>
        <v>OK</v>
      </c>
      <c r="CR87" s="160"/>
      <c r="CS87" s="162"/>
      <c r="CT87" s="203" t="str">
        <f t="shared" si="308"/>
        <v xml:space="preserve"> </v>
      </c>
      <c r="CU87" s="174" t="str">
        <f t="shared" si="247"/>
        <v>NG</v>
      </c>
      <c r="CV87" s="162"/>
      <c r="CW87" s="276" t="str">
        <f>IF(OR(CS$8="判定対象外",CV$8="判定対象外",CV87="-"),"-",IF(CS87=CV87,"OK","NG"))</f>
        <v>OK</v>
      </c>
      <c r="CX87" s="160"/>
      <c r="CY87" s="162"/>
      <c r="CZ87" s="203" t="str">
        <f t="shared" si="309"/>
        <v xml:space="preserve"> </v>
      </c>
      <c r="DA87" s="174" t="str">
        <f t="shared" si="248"/>
        <v>NG</v>
      </c>
      <c r="DB87" s="162"/>
      <c r="DC87" s="276" t="str">
        <f>IF(OR(CY$8="判定対象外",DB$8="判定対象外",DB87="-"),"-",IF(CY87=DB87,"OK","NG"))</f>
        <v>OK</v>
      </c>
      <c r="DD87" s="160"/>
      <c r="DE87" s="162"/>
      <c r="DF87" s="203" t="str">
        <f t="shared" si="310"/>
        <v xml:space="preserve"> </v>
      </c>
      <c r="DG87" s="174" t="str">
        <f t="shared" si="249"/>
        <v>NG</v>
      </c>
      <c r="DH87" s="162"/>
      <c r="DI87" s="276" t="str">
        <f>IF(OR(DE$8="判定対象外",DH$8="判定対象外",DH87="-"),"-",IF(DE87=DH87,"OK","NG"))</f>
        <v>OK</v>
      </c>
      <c r="DJ87" s="160"/>
      <c r="DK87" s="162"/>
      <c r="DL87" s="203" t="str">
        <f t="shared" si="311"/>
        <v xml:space="preserve"> </v>
      </c>
      <c r="DM87" s="174" t="str">
        <f t="shared" si="250"/>
        <v>NG</v>
      </c>
      <c r="DN87" s="162"/>
      <c r="DO87" s="276" t="str">
        <f>IF(OR(DK$8="判定対象外",DN$8="判定対象外",DN87="-"),"-",IF(DK87=DN87,"OK","NG"))</f>
        <v>OK</v>
      </c>
      <c r="DP87" s="160"/>
      <c r="DQ87" s="162"/>
      <c r="DR87" s="203" t="str">
        <f t="shared" si="312"/>
        <v xml:space="preserve"> </v>
      </c>
      <c r="DS87" s="174" t="str">
        <f t="shared" si="215"/>
        <v>NG</v>
      </c>
      <c r="DT87" s="162"/>
      <c r="DU87" s="276" t="str">
        <f>IF(OR(DQ$8="判定対象外",DT$8="判定対象外",DT87="-"),"-",IF(DQ87=DT87,"OK","NG"))</f>
        <v>OK</v>
      </c>
      <c r="DV87" s="160"/>
      <c r="DW87" s="162"/>
      <c r="DX87" s="203" t="str">
        <f t="shared" si="313"/>
        <v xml:space="preserve"> </v>
      </c>
      <c r="DY87" s="174" t="str">
        <f t="shared" si="216"/>
        <v>NG</v>
      </c>
      <c r="DZ87" s="162"/>
      <c r="EA87" s="276" t="str">
        <f>IF(OR(DW$8="判定対象外",DZ$8="判定対象外",DZ87="-"),"-",IF(DW87=DZ87,"OK","NG"))</f>
        <v>OK</v>
      </c>
      <c r="EB87" s="160"/>
      <c r="EC87" s="162"/>
      <c r="ED87" s="203" t="str">
        <f t="shared" si="314"/>
        <v xml:space="preserve"> </v>
      </c>
      <c r="EE87" s="174" t="str">
        <f t="shared" si="217"/>
        <v>NG</v>
      </c>
      <c r="EF87" s="162"/>
      <c r="EG87" s="276" t="str">
        <f>IF(OR(EC$8="判定対象外",EF$8="判定対象外",EF87="-"),"-",IF(EC87=EF87,"OK","NG"))</f>
        <v>OK</v>
      </c>
      <c r="EH87" s="160"/>
      <c r="EI87" s="162"/>
      <c r="EJ87" s="203" t="str">
        <f t="shared" si="315"/>
        <v xml:space="preserve"> </v>
      </c>
      <c r="EK87" s="174" t="str">
        <f t="shared" si="218"/>
        <v>NG</v>
      </c>
      <c r="EL87" s="162"/>
      <c r="EM87" s="276" t="str">
        <f>IF(OR(EI$8="判定対象外",EL$8="判定対象外",EL87="-"),"-",IF(EI87=EL87,"OK","NG"))</f>
        <v>OK</v>
      </c>
      <c r="EN87" s="160"/>
      <c r="EO87" s="162"/>
      <c r="EP87" s="203" t="str">
        <f t="shared" si="316"/>
        <v xml:space="preserve"> </v>
      </c>
      <c r="EQ87" s="174" t="str">
        <f t="shared" si="219"/>
        <v>NG</v>
      </c>
      <c r="ER87" s="162"/>
      <c r="ES87" s="276" t="str">
        <f>IF(OR(EO$8="判定対象外",ER$8="判定対象外",ER87="-"),"-",IF(EO87=ER87,"OK","NG"))</f>
        <v>OK</v>
      </c>
      <c r="ET87" s="160"/>
      <c r="EU87" s="162"/>
      <c r="EV87" s="203" t="str">
        <f t="shared" si="317"/>
        <v xml:space="preserve"> </v>
      </c>
      <c r="EW87" s="174" t="str">
        <f t="shared" si="220"/>
        <v>NG</v>
      </c>
      <c r="EX87" s="162"/>
      <c r="EY87" s="276" t="str">
        <f>IF(OR(EU$8="判定対象外",EX$8="判定対象外",EX87="-"),"-",IF(EU87=EX87,"OK","NG"))</f>
        <v>OK</v>
      </c>
      <c r="EZ87" s="160"/>
      <c r="FA87" s="162"/>
      <c r="FB87" s="203" t="str">
        <f t="shared" si="318"/>
        <v xml:space="preserve"> </v>
      </c>
      <c r="FC87" s="174" t="str">
        <f t="shared" si="221"/>
        <v>NG</v>
      </c>
      <c r="FD87" s="162"/>
      <c r="FE87" s="276" t="str">
        <f>IF(OR(FA$8="判定対象外",FD$8="判定対象外",FD87="-"),"-",IF(FA87=FD87,"OK","NG"))</f>
        <v>OK</v>
      </c>
      <c r="FF87" s="160"/>
      <c r="FG87" s="162"/>
      <c r="FH87" s="203" t="str">
        <f t="shared" si="319"/>
        <v xml:space="preserve"> </v>
      </c>
      <c r="FI87" s="174" t="str">
        <f t="shared" si="233"/>
        <v>NG</v>
      </c>
      <c r="FJ87" s="162"/>
      <c r="FK87" s="276" t="str">
        <f>IF(OR(FG$8="判定対象外",FJ$8="判定対象外",FJ87="-"),"-",IF(FG87=FJ87,"OK","NG"))</f>
        <v>OK</v>
      </c>
      <c r="FL87" s="160"/>
      <c r="FM87" s="162"/>
      <c r="FN87" s="203" t="str">
        <f t="shared" si="320"/>
        <v xml:space="preserve"> </v>
      </c>
      <c r="FO87" s="174" t="str">
        <f t="shared" si="251"/>
        <v>NG</v>
      </c>
      <c r="FP87" s="162"/>
      <c r="FQ87" s="276" t="str">
        <f>IF(OR(FM$8="判定対象外",FP$8="判定対象外",FP87="-"),"-",IF(FM87=FP87,"OK","NG"))</f>
        <v>OK</v>
      </c>
      <c r="FR87" s="160"/>
      <c r="FS87" s="162"/>
      <c r="FT87" s="203" t="str">
        <f t="shared" si="321"/>
        <v xml:space="preserve"> </v>
      </c>
      <c r="FU87" s="174" t="str">
        <f t="shared" si="252"/>
        <v>NG</v>
      </c>
      <c r="FV87" s="162"/>
      <c r="FW87" s="276" t="str">
        <f>IF(OR(FS$8="判定対象外",FV$8="判定対象外",FV87="-"),"-",IF(FS87=FV87,"OK","NG"))</f>
        <v>OK</v>
      </c>
      <c r="FX87" s="160"/>
      <c r="FY87" s="162"/>
      <c r="FZ87" s="203" t="str">
        <f t="shared" si="322"/>
        <v xml:space="preserve"> </v>
      </c>
      <c r="GA87" s="174" t="str">
        <f t="shared" si="253"/>
        <v>NG</v>
      </c>
      <c r="GB87" s="162"/>
      <c r="GC87" s="276" t="str">
        <f>IF(OR(FY$8="判定対象外",GB$8="判定対象外",GB87="-"),"-",IF(FY87=GB87,"OK","NG"))</f>
        <v>OK</v>
      </c>
    </row>
    <row r="88" spans="1:185" s="52" customFormat="1" ht="331.5" customHeight="1">
      <c r="B88" s="216">
        <f t="shared" si="323"/>
        <v>81</v>
      </c>
      <c r="C88" s="37"/>
      <c r="D88" s="37"/>
      <c r="E88" s="25"/>
      <c r="F88" s="218" t="s">
        <v>288</v>
      </c>
      <c r="G88" s="27"/>
      <c r="H88" s="28"/>
      <c r="I88" s="42"/>
      <c r="J88" s="42" t="s">
        <v>316</v>
      </c>
      <c r="K88" s="42"/>
      <c r="L88" s="42"/>
      <c r="M88" s="161" t="s">
        <v>343</v>
      </c>
      <c r="N88" s="39"/>
      <c r="O88" s="143"/>
      <c r="P88" s="45">
        <f t="shared" si="235"/>
        <v>63</v>
      </c>
      <c r="Q88" s="46">
        <v>2</v>
      </c>
      <c r="R88" s="41" t="str">
        <f t="shared" si="280"/>
        <v>X</v>
      </c>
      <c r="S88" s="185" t="s">
        <v>238</v>
      </c>
      <c r="T88" s="43"/>
      <c r="U88" s="41" t="s">
        <v>80</v>
      </c>
      <c r="V88" s="44"/>
      <c r="W88" s="22">
        <v>3</v>
      </c>
      <c r="X88" s="47" t="s">
        <v>239</v>
      </c>
      <c r="Y88" s="47">
        <v>2</v>
      </c>
      <c r="Z88" s="47">
        <v>2</v>
      </c>
      <c r="AA88" s="42" t="s">
        <v>81</v>
      </c>
      <c r="AB88" s="42" t="s">
        <v>80</v>
      </c>
      <c r="AC88" s="164"/>
      <c r="AD88" s="160"/>
      <c r="AE88" s="162"/>
      <c r="AF88" s="167" t="str">
        <f t="shared" si="298"/>
        <v xml:space="preserve">  </v>
      </c>
      <c r="AG88" s="174" t="str">
        <f t="shared" si="237"/>
        <v>NG</v>
      </c>
      <c r="AH88" s="162"/>
      <c r="AI88" s="276" t="str">
        <f>IF(OR(AE$8="判定対象外",AH$8="判定対象外",AH88="-"),"-",IF(AE88=AH88,"OK","NG"))</f>
        <v>OK</v>
      </c>
      <c r="AJ88" s="160"/>
      <c r="AK88" s="162"/>
      <c r="AL88" s="167" t="str">
        <f t="shared" si="281"/>
        <v xml:space="preserve">  </v>
      </c>
      <c r="AM88" s="174" t="str">
        <f t="shared" si="324"/>
        <v>NG</v>
      </c>
      <c r="AN88" s="162"/>
      <c r="AO88" s="276" t="str">
        <f>IF(OR(AK$8="判定対象外",AN$8="判定対象外",AN88="-"),"-",IF(AK88=AN88,"OK","NG"))</f>
        <v>OK</v>
      </c>
      <c r="AP88" s="160"/>
      <c r="AQ88" s="162"/>
      <c r="AR88" s="167" t="str">
        <f t="shared" si="299"/>
        <v xml:space="preserve">  </v>
      </c>
      <c r="AS88" s="174" t="str">
        <f t="shared" si="238"/>
        <v>NG</v>
      </c>
      <c r="AT88" s="162"/>
      <c r="AU88" s="276" t="str">
        <f>IF(OR(AQ$8="判定対象外",AT$8="判定対象外",AT88="-"),"-",IF(AQ88=AT88,"OK","NG"))</f>
        <v>OK</v>
      </c>
      <c r="AV88" s="160"/>
      <c r="AW88" s="162"/>
      <c r="AX88" s="167" t="str">
        <f t="shared" si="300"/>
        <v xml:space="preserve">  </v>
      </c>
      <c r="AY88" s="174" t="str">
        <f t="shared" si="239"/>
        <v>NG</v>
      </c>
      <c r="AZ88" s="162"/>
      <c r="BA88" s="276" t="str">
        <f>IF(OR(AW$8="判定対象外",AZ$8="判定対象外",AZ88="-"),"-",IF(AW88=AZ88,"OK","NG"))</f>
        <v>OK</v>
      </c>
      <c r="BB88" s="160"/>
      <c r="BC88" s="162"/>
      <c r="BD88" s="167" t="str">
        <f t="shared" si="301"/>
        <v xml:space="preserve">  </v>
      </c>
      <c r="BE88" s="174" t="str">
        <f t="shared" si="240"/>
        <v>NG</v>
      </c>
      <c r="BF88" s="162"/>
      <c r="BG88" s="276" t="str">
        <f>IF(OR(BC$8="判定対象外",BF$8="判定対象外",BF88="-"),"-",IF(BC88=BF88,"OK","NG"))</f>
        <v>OK</v>
      </c>
      <c r="BH88" s="160"/>
      <c r="BI88" s="162"/>
      <c r="BJ88" s="167" t="str">
        <f t="shared" si="302"/>
        <v xml:space="preserve">  </v>
      </c>
      <c r="BK88" s="174" t="str">
        <f t="shared" si="241"/>
        <v>NG</v>
      </c>
      <c r="BL88" s="162"/>
      <c r="BM88" s="276" t="str">
        <f>IF(OR(BI$8="判定対象外",BL$8="判定対象外",BL88="-"),"-",IF(BI88=BL88,"OK","NG"))</f>
        <v>OK</v>
      </c>
      <c r="BN88" s="160"/>
      <c r="BO88" s="162"/>
      <c r="BP88" s="167" t="str">
        <f t="shared" si="303"/>
        <v xml:space="preserve">  </v>
      </c>
      <c r="BQ88" s="174" t="str">
        <f t="shared" si="242"/>
        <v>NG</v>
      </c>
      <c r="BR88" s="162"/>
      <c r="BS88" s="276" t="str">
        <f>IF(OR(BO$8="判定対象外",BR$8="判定対象外",BR88="-"),"-",IF(BO88=BR88,"OK","NG"))</f>
        <v>OK</v>
      </c>
      <c r="BT88" s="160"/>
      <c r="BU88" s="162"/>
      <c r="BV88" s="167" t="str">
        <f t="shared" si="304"/>
        <v xml:space="preserve">  </v>
      </c>
      <c r="BW88" s="174" t="str">
        <f t="shared" si="243"/>
        <v>NG</v>
      </c>
      <c r="BX88" s="162"/>
      <c r="BY88" s="276" t="str">
        <f>IF(OR(BU$8="判定対象外",BX$8="判定対象外",BX88="-"),"-",IF(BU88=BX88,"OK","NG"))</f>
        <v>OK</v>
      </c>
      <c r="BZ88" s="160"/>
      <c r="CA88" s="162"/>
      <c r="CB88" s="167" t="str">
        <f t="shared" si="305"/>
        <v xml:space="preserve">  </v>
      </c>
      <c r="CC88" s="174" t="str">
        <f t="shared" si="244"/>
        <v>NG</v>
      </c>
      <c r="CD88" s="162"/>
      <c r="CE88" s="276" t="str">
        <f>IF(OR(CA$8="判定対象外",CD$8="判定対象外",CD88="-"),"-",IF(CA88=CD88,"OK","NG"))</f>
        <v>OK</v>
      </c>
      <c r="CF88" s="160"/>
      <c r="CG88" s="162"/>
      <c r="CH88" s="167" t="str">
        <f t="shared" si="306"/>
        <v xml:space="preserve">  </v>
      </c>
      <c r="CI88" s="174" t="str">
        <f t="shared" si="245"/>
        <v>NG</v>
      </c>
      <c r="CJ88" s="162"/>
      <c r="CK88" s="276" t="str">
        <f>IF(OR(CG$8="判定対象外",CJ$8="判定対象外",CJ88="-"),"-",IF(CG88=CJ88,"OK","NG"))</f>
        <v>OK</v>
      </c>
      <c r="CL88" s="160"/>
      <c r="CM88" s="162"/>
      <c r="CN88" s="167" t="str">
        <f t="shared" si="307"/>
        <v xml:space="preserve">  </v>
      </c>
      <c r="CO88" s="174" t="str">
        <f t="shared" si="246"/>
        <v>NG</v>
      </c>
      <c r="CP88" s="162"/>
      <c r="CQ88" s="276" t="str">
        <f>IF(OR(CM$8="判定対象外",CP$8="判定対象外",CP88="-"),"-",IF(CM88=CP88,"OK","NG"))</f>
        <v>OK</v>
      </c>
      <c r="CR88" s="160"/>
      <c r="CS88" s="162"/>
      <c r="CT88" s="167" t="str">
        <f t="shared" si="308"/>
        <v xml:space="preserve">  </v>
      </c>
      <c r="CU88" s="174" t="str">
        <f t="shared" si="247"/>
        <v>NG</v>
      </c>
      <c r="CV88" s="162"/>
      <c r="CW88" s="276" t="str">
        <f>IF(OR(CS$8="判定対象外",CV$8="判定対象外",CV88="-"),"-",IF(CS88=CV88,"OK","NG"))</f>
        <v>OK</v>
      </c>
      <c r="CX88" s="160"/>
      <c r="CY88" s="162"/>
      <c r="CZ88" s="167" t="str">
        <f t="shared" si="309"/>
        <v xml:space="preserve">  </v>
      </c>
      <c r="DA88" s="174" t="str">
        <f t="shared" si="248"/>
        <v>NG</v>
      </c>
      <c r="DB88" s="162"/>
      <c r="DC88" s="276" t="str">
        <f>IF(OR(CY$8="判定対象外",DB$8="判定対象外",DB88="-"),"-",IF(CY88=DB88,"OK","NG"))</f>
        <v>OK</v>
      </c>
      <c r="DD88" s="160"/>
      <c r="DE88" s="162"/>
      <c r="DF88" s="167" t="str">
        <f t="shared" si="310"/>
        <v xml:space="preserve">  </v>
      </c>
      <c r="DG88" s="174" t="str">
        <f t="shared" si="249"/>
        <v>NG</v>
      </c>
      <c r="DH88" s="162"/>
      <c r="DI88" s="276" t="str">
        <f>IF(OR(DE$8="判定対象外",DH$8="判定対象外",DH88="-"),"-",IF(DE88=DH88,"OK","NG"))</f>
        <v>OK</v>
      </c>
      <c r="DJ88" s="160"/>
      <c r="DK88" s="162"/>
      <c r="DL88" s="167" t="str">
        <f t="shared" si="311"/>
        <v xml:space="preserve">  </v>
      </c>
      <c r="DM88" s="174" t="str">
        <f t="shared" si="250"/>
        <v>NG</v>
      </c>
      <c r="DN88" s="162"/>
      <c r="DO88" s="276" t="str">
        <f>IF(OR(DK$8="判定対象外",DN$8="判定対象外",DN88="-"),"-",IF(DK88=DN88,"OK","NG"))</f>
        <v>OK</v>
      </c>
      <c r="DP88" s="160"/>
      <c r="DQ88" s="162"/>
      <c r="DR88" s="167" t="str">
        <f t="shared" si="312"/>
        <v xml:space="preserve">  </v>
      </c>
      <c r="DS88" s="174" t="str">
        <f t="shared" si="215"/>
        <v>NG</v>
      </c>
      <c r="DT88" s="162"/>
      <c r="DU88" s="276" t="str">
        <f>IF(OR(DQ$8="判定対象外",DT$8="判定対象外",DT88="-"),"-",IF(DQ88=DT88,"OK","NG"))</f>
        <v>OK</v>
      </c>
      <c r="DV88" s="160"/>
      <c r="DW88" s="162"/>
      <c r="DX88" s="167" t="str">
        <f t="shared" si="313"/>
        <v xml:space="preserve">  </v>
      </c>
      <c r="DY88" s="174" t="str">
        <f t="shared" si="216"/>
        <v>NG</v>
      </c>
      <c r="DZ88" s="162"/>
      <c r="EA88" s="276" t="str">
        <f>IF(OR(DW$8="判定対象外",DZ$8="判定対象外",DZ88="-"),"-",IF(DW88=DZ88,"OK","NG"))</f>
        <v>OK</v>
      </c>
      <c r="EB88" s="160"/>
      <c r="EC88" s="162"/>
      <c r="ED88" s="167" t="str">
        <f t="shared" si="314"/>
        <v xml:space="preserve">  </v>
      </c>
      <c r="EE88" s="174" t="str">
        <f t="shared" si="217"/>
        <v>NG</v>
      </c>
      <c r="EF88" s="162"/>
      <c r="EG88" s="276" t="str">
        <f>IF(OR(EC$8="判定対象外",EF$8="判定対象外",EF88="-"),"-",IF(EC88=EF88,"OK","NG"))</f>
        <v>OK</v>
      </c>
      <c r="EH88" s="160"/>
      <c r="EI88" s="162"/>
      <c r="EJ88" s="167" t="str">
        <f t="shared" si="315"/>
        <v xml:space="preserve">  </v>
      </c>
      <c r="EK88" s="174" t="str">
        <f t="shared" si="218"/>
        <v>NG</v>
      </c>
      <c r="EL88" s="162"/>
      <c r="EM88" s="276" t="str">
        <f>IF(OR(EI$8="判定対象外",EL$8="判定対象外",EL88="-"),"-",IF(EI88=EL88,"OK","NG"))</f>
        <v>OK</v>
      </c>
      <c r="EN88" s="160"/>
      <c r="EO88" s="162"/>
      <c r="EP88" s="167" t="str">
        <f t="shared" si="316"/>
        <v xml:space="preserve">  </v>
      </c>
      <c r="EQ88" s="174" t="str">
        <f t="shared" si="219"/>
        <v>NG</v>
      </c>
      <c r="ER88" s="162"/>
      <c r="ES88" s="276" t="str">
        <f>IF(OR(EO$8="判定対象外",ER$8="判定対象外",ER88="-"),"-",IF(EO88=ER88,"OK","NG"))</f>
        <v>OK</v>
      </c>
      <c r="ET88" s="160"/>
      <c r="EU88" s="162"/>
      <c r="EV88" s="167" t="str">
        <f t="shared" si="317"/>
        <v xml:space="preserve">  </v>
      </c>
      <c r="EW88" s="174" t="str">
        <f t="shared" si="220"/>
        <v>NG</v>
      </c>
      <c r="EX88" s="162"/>
      <c r="EY88" s="276" t="str">
        <f>IF(OR(EU$8="判定対象外",EX$8="判定対象外",EX88="-"),"-",IF(EU88=EX88,"OK","NG"))</f>
        <v>OK</v>
      </c>
      <c r="EZ88" s="160"/>
      <c r="FA88" s="162"/>
      <c r="FB88" s="167" t="str">
        <f t="shared" si="318"/>
        <v xml:space="preserve">  </v>
      </c>
      <c r="FC88" s="174" t="str">
        <f t="shared" si="221"/>
        <v>NG</v>
      </c>
      <c r="FD88" s="162"/>
      <c r="FE88" s="276" t="str">
        <f>IF(OR(FA$8="判定対象外",FD$8="判定対象外",FD88="-"),"-",IF(FA88=FD88,"OK","NG"))</f>
        <v>OK</v>
      </c>
      <c r="FF88" s="160"/>
      <c r="FG88" s="162"/>
      <c r="FH88" s="167" t="str">
        <f t="shared" si="319"/>
        <v xml:space="preserve">  </v>
      </c>
      <c r="FI88" s="174" t="str">
        <f t="shared" si="233"/>
        <v>NG</v>
      </c>
      <c r="FJ88" s="162"/>
      <c r="FK88" s="276" t="str">
        <f>IF(OR(FG$8="判定対象外",FJ$8="判定対象外",FJ88="-"),"-",IF(FG88=FJ88,"OK","NG"))</f>
        <v>OK</v>
      </c>
      <c r="FL88" s="160"/>
      <c r="FM88" s="162"/>
      <c r="FN88" s="167" t="str">
        <f t="shared" si="320"/>
        <v xml:space="preserve">  </v>
      </c>
      <c r="FO88" s="174" t="str">
        <f t="shared" si="251"/>
        <v>NG</v>
      </c>
      <c r="FP88" s="162"/>
      <c r="FQ88" s="276" t="str">
        <f>IF(OR(FM$8="判定対象外",FP$8="判定対象外",FP88="-"),"-",IF(FM88=FP88,"OK","NG"))</f>
        <v>OK</v>
      </c>
      <c r="FR88" s="160"/>
      <c r="FS88" s="162"/>
      <c r="FT88" s="167" t="str">
        <f t="shared" si="321"/>
        <v xml:space="preserve">  </v>
      </c>
      <c r="FU88" s="174" t="str">
        <f t="shared" si="252"/>
        <v>NG</v>
      </c>
      <c r="FV88" s="162"/>
      <c r="FW88" s="276" t="str">
        <f>IF(OR(FS$8="判定対象外",FV$8="判定対象外",FV88="-"),"-",IF(FS88=FV88,"OK","NG"))</f>
        <v>OK</v>
      </c>
      <c r="FX88" s="160"/>
      <c r="FY88" s="162"/>
      <c r="FZ88" s="167" t="str">
        <f t="shared" si="322"/>
        <v xml:space="preserve">  </v>
      </c>
      <c r="GA88" s="174" t="str">
        <f t="shared" si="253"/>
        <v>NG</v>
      </c>
      <c r="GB88" s="162"/>
      <c r="GC88" s="276" t="str">
        <f>IF(OR(FY$8="判定対象外",GB$8="判定対象外",GB88="-"),"-",IF(FY88=GB88,"OK","NG"))</f>
        <v>OK</v>
      </c>
    </row>
    <row r="89" spans="1:185" s="52" customFormat="1" ht="25.5">
      <c r="B89" s="216">
        <f t="shared" si="323"/>
        <v>82</v>
      </c>
      <c r="C89" s="37"/>
      <c r="D89" s="37"/>
      <c r="E89" s="25"/>
      <c r="F89" s="184" t="s">
        <v>344</v>
      </c>
      <c r="G89" s="27"/>
      <c r="H89" s="28"/>
      <c r="I89" s="42"/>
      <c r="J89" s="42"/>
      <c r="K89" s="42"/>
      <c r="L89" s="42"/>
      <c r="M89" s="63" t="s">
        <v>345</v>
      </c>
      <c r="N89" s="39"/>
      <c r="O89" s="143"/>
      <c r="P89" s="45">
        <f t="shared" si="235"/>
        <v>64</v>
      </c>
      <c r="Q89" s="46">
        <v>7</v>
      </c>
      <c r="R89" s="41" t="str">
        <f t="shared" si="280"/>
        <v>X</v>
      </c>
      <c r="S89" s="185" t="s">
        <v>240</v>
      </c>
      <c r="T89" s="43"/>
      <c r="U89" s="41" t="s">
        <v>80</v>
      </c>
      <c r="V89" s="44"/>
      <c r="W89" s="22">
        <v>3</v>
      </c>
      <c r="X89" s="47" t="s">
        <v>241</v>
      </c>
      <c r="Y89" s="47">
        <v>7</v>
      </c>
      <c r="Z89" s="47">
        <v>7</v>
      </c>
      <c r="AA89" s="42" t="s">
        <v>81</v>
      </c>
      <c r="AB89" s="42" t="s">
        <v>80</v>
      </c>
      <c r="AC89" s="219"/>
      <c r="AD89" s="160"/>
      <c r="AE89" s="141"/>
      <c r="AF89" s="203" t="str">
        <f t="shared" si="298"/>
        <v xml:space="preserve">       </v>
      </c>
      <c r="AG89" s="174" t="str">
        <f t="shared" si="237"/>
        <v>NG</v>
      </c>
      <c r="AH89" s="141"/>
      <c r="AI89" s="172" t="s">
        <v>71</v>
      </c>
      <c r="AJ89" s="160"/>
      <c r="AK89" s="141"/>
      <c r="AL89" s="203" t="str">
        <f t="shared" si="281"/>
        <v xml:space="preserve">       </v>
      </c>
      <c r="AM89" s="174" t="str">
        <f t="shared" si="324"/>
        <v>NG</v>
      </c>
      <c r="AN89" s="141"/>
      <c r="AO89" s="172" t="s">
        <v>71</v>
      </c>
      <c r="AP89" s="160"/>
      <c r="AQ89" s="141"/>
      <c r="AR89" s="203" t="str">
        <f t="shared" si="299"/>
        <v xml:space="preserve">       </v>
      </c>
      <c r="AS89" s="174" t="str">
        <f t="shared" si="238"/>
        <v>NG</v>
      </c>
      <c r="AT89" s="141"/>
      <c r="AU89" s="172" t="s">
        <v>71</v>
      </c>
      <c r="AV89" s="160"/>
      <c r="AW89" s="141"/>
      <c r="AX89" s="203" t="str">
        <f t="shared" si="300"/>
        <v xml:space="preserve">       </v>
      </c>
      <c r="AY89" s="174" t="str">
        <f t="shared" si="239"/>
        <v>NG</v>
      </c>
      <c r="AZ89" s="141"/>
      <c r="BA89" s="172" t="s">
        <v>71</v>
      </c>
      <c r="BB89" s="160"/>
      <c r="BC89" s="141"/>
      <c r="BD89" s="203" t="str">
        <f t="shared" si="301"/>
        <v xml:space="preserve">       </v>
      </c>
      <c r="BE89" s="174" t="str">
        <f t="shared" si="240"/>
        <v>NG</v>
      </c>
      <c r="BF89" s="141"/>
      <c r="BG89" s="172" t="s">
        <v>71</v>
      </c>
      <c r="BH89" s="160"/>
      <c r="BI89" s="141"/>
      <c r="BJ89" s="203" t="str">
        <f t="shared" si="302"/>
        <v xml:space="preserve">       </v>
      </c>
      <c r="BK89" s="174" t="str">
        <f t="shared" si="241"/>
        <v>NG</v>
      </c>
      <c r="BL89" s="141"/>
      <c r="BM89" s="172" t="s">
        <v>71</v>
      </c>
      <c r="BN89" s="160"/>
      <c r="BO89" s="141"/>
      <c r="BP89" s="203" t="str">
        <f t="shared" si="303"/>
        <v xml:space="preserve">       </v>
      </c>
      <c r="BQ89" s="174" t="str">
        <f t="shared" si="242"/>
        <v>NG</v>
      </c>
      <c r="BR89" s="141"/>
      <c r="BS89" s="172" t="s">
        <v>71</v>
      </c>
      <c r="BT89" s="160"/>
      <c r="BU89" s="141"/>
      <c r="BV89" s="203" t="str">
        <f t="shared" si="304"/>
        <v xml:space="preserve">       </v>
      </c>
      <c r="BW89" s="174" t="str">
        <f t="shared" si="243"/>
        <v>NG</v>
      </c>
      <c r="BX89" s="141"/>
      <c r="BY89" s="172" t="s">
        <v>71</v>
      </c>
      <c r="BZ89" s="160"/>
      <c r="CA89" s="141"/>
      <c r="CB89" s="203" t="str">
        <f t="shared" si="305"/>
        <v xml:space="preserve">       </v>
      </c>
      <c r="CC89" s="174" t="str">
        <f t="shared" si="244"/>
        <v>NG</v>
      </c>
      <c r="CD89" s="141"/>
      <c r="CE89" s="172" t="s">
        <v>71</v>
      </c>
      <c r="CF89" s="160"/>
      <c r="CG89" s="141"/>
      <c r="CH89" s="203" t="str">
        <f t="shared" si="306"/>
        <v xml:space="preserve">       </v>
      </c>
      <c r="CI89" s="174" t="str">
        <f t="shared" si="245"/>
        <v>NG</v>
      </c>
      <c r="CJ89" s="141"/>
      <c r="CK89" s="172" t="s">
        <v>71</v>
      </c>
      <c r="CL89" s="160"/>
      <c r="CM89" s="141"/>
      <c r="CN89" s="203" t="str">
        <f t="shared" si="307"/>
        <v xml:space="preserve">       </v>
      </c>
      <c r="CO89" s="174" t="str">
        <f t="shared" si="246"/>
        <v>NG</v>
      </c>
      <c r="CP89" s="141"/>
      <c r="CQ89" s="172" t="s">
        <v>71</v>
      </c>
      <c r="CR89" s="160"/>
      <c r="CS89" s="141"/>
      <c r="CT89" s="203" t="str">
        <f t="shared" si="308"/>
        <v xml:space="preserve">       </v>
      </c>
      <c r="CU89" s="174" t="str">
        <f t="shared" si="247"/>
        <v>NG</v>
      </c>
      <c r="CV89" s="141"/>
      <c r="CW89" s="172" t="s">
        <v>71</v>
      </c>
      <c r="CX89" s="160"/>
      <c r="CY89" s="141"/>
      <c r="CZ89" s="203" t="str">
        <f t="shared" si="309"/>
        <v xml:space="preserve">       </v>
      </c>
      <c r="DA89" s="174" t="str">
        <f t="shared" si="248"/>
        <v>NG</v>
      </c>
      <c r="DB89" s="141"/>
      <c r="DC89" s="172" t="s">
        <v>71</v>
      </c>
      <c r="DD89" s="160"/>
      <c r="DE89" s="141"/>
      <c r="DF89" s="203" t="str">
        <f t="shared" si="310"/>
        <v xml:space="preserve">       </v>
      </c>
      <c r="DG89" s="174" t="str">
        <f t="shared" si="249"/>
        <v>NG</v>
      </c>
      <c r="DH89" s="141"/>
      <c r="DI89" s="172" t="s">
        <v>71</v>
      </c>
      <c r="DJ89" s="160"/>
      <c r="DK89" s="141"/>
      <c r="DL89" s="203" t="str">
        <f t="shared" si="311"/>
        <v xml:space="preserve">       </v>
      </c>
      <c r="DM89" s="174" t="str">
        <f t="shared" si="250"/>
        <v>NG</v>
      </c>
      <c r="DN89" s="141"/>
      <c r="DO89" s="172" t="s">
        <v>71</v>
      </c>
      <c r="DP89" s="160"/>
      <c r="DQ89" s="141"/>
      <c r="DR89" s="203" t="str">
        <f t="shared" si="312"/>
        <v xml:space="preserve">       </v>
      </c>
      <c r="DS89" s="174" t="str">
        <f t="shared" si="215"/>
        <v>NG</v>
      </c>
      <c r="DT89" s="141"/>
      <c r="DU89" s="172" t="s">
        <v>71</v>
      </c>
      <c r="DV89" s="160"/>
      <c r="DW89" s="141"/>
      <c r="DX89" s="203" t="str">
        <f t="shared" si="313"/>
        <v xml:space="preserve">       </v>
      </c>
      <c r="DY89" s="174" t="str">
        <f t="shared" si="216"/>
        <v>NG</v>
      </c>
      <c r="DZ89" s="141"/>
      <c r="EA89" s="172" t="s">
        <v>71</v>
      </c>
      <c r="EB89" s="160"/>
      <c r="EC89" s="141"/>
      <c r="ED89" s="203" t="str">
        <f t="shared" si="314"/>
        <v xml:space="preserve">       </v>
      </c>
      <c r="EE89" s="174" t="str">
        <f t="shared" si="217"/>
        <v>NG</v>
      </c>
      <c r="EF89" s="141"/>
      <c r="EG89" s="172" t="s">
        <v>71</v>
      </c>
      <c r="EH89" s="160"/>
      <c r="EI89" s="141"/>
      <c r="EJ89" s="203" t="str">
        <f t="shared" si="315"/>
        <v xml:space="preserve">       </v>
      </c>
      <c r="EK89" s="174" t="str">
        <f t="shared" si="218"/>
        <v>NG</v>
      </c>
      <c r="EL89" s="141"/>
      <c r="EM89" s="172" t="s">
        <v>71</v>
      </c>
      <c r="EN89" s="160"/>
      <c r="EO89" s="141"/>
      <c r="EP89" s="203" t="str">
        <f t="shared" si="316"/>
        <v xml:space="preserve">       </v>
      </c>
      <c r="EQ89" s="174" t="str">
        <f t="shared" si="219"/>
        <v>NG</v>
      </c>
      <c r="ER89" s="141"/>
      <c r="ES89" s="172" t="s">
        <v>71</v>
      </c>
      <c r="ET89" s="160"/>
      <c r="EU89" s="141"/>
      <c r="EV89" s="203" t="str">
        <f t="shared" si="317"/>
        <v xml:space="preserve">       </v>
      </c>
      <c r="EW89" s="174" t="str">
        <f t="shared" si="220"/>
        <v>NG</v>
      </c>
      <c r="EX89" s="141"/>
      <c r="EY89" s="172" t="s">
        <v>71</v>
      </c>
      <c r="EZ89" s="160"/>
      <c r="FA89" s="141"/>
      <c r="FB89" s="203" t="str">
        <f t="shared" si="318"/>
        <v xml:space="preserve">       </v>
      </c>
      <c r="FC89" s="174" t="str">
        <f t="shared" si="221"/>
        <v>NG</v>
      </c>
      <c r="FD89" s="141"/>
      <c r="FE89" s="172" t="s">
        <v>71</v>
      </c>
      <c r="FF89" s="160"/>
      <c r="FG89" s="141"/>
      <c r="FH89" s="203" t="str">
        <f t="shared" si="319"/>
        <v xml:space="preserve">       </v>
      </c>
      <c r="FI89" s="174" t="str">
        <f t="shared" si="233"/>
        <v>NG</v>
      </c>
      <c r="FJ89" s="141"/>
      <c r="FK89" s="172" t="s">
        <v>71</v>
      </c>
      <c r="FL89" s="160"/>
      <c r="FM89" s="141"/>
      <c r="FN89" s="203" t="str">
        <f t="shared" si="320"/>
        <v xml:space="preserve">       </v>
      </c>
      <c r="FO89" s="174" t="str">
        <f t="shared" si="251"/>
        <v>NG</v>
      </c>
      <c r="FP89" s="141"/>
      <c r="FQ89" s="172" t="s">
        <v>71</v>
      </c>
      <c r="FR89" s="160"/>
      <c r="FS89" s="141"/>
      <c r="FT89" s="203" t="str">
        <f t="shared" si="321"/>
        <v xml:space="preserve">       </v>
      </c>
      <c r="FU89" s="174" t="str">
        <f t="shared" si="252"/>
        <v>NG</v>
      </c>
      <c r="FV89" s="141"/>
      <c r="FW89" s="172" t="s">
        <v>71</v>
      </c>
      <c r="FX89" s="160"/>
      <c r="FY89" s="141"/>
      <c r="FZ89" s="203" t="str">
        <f t="shared" si="322"/>
        <v xml:space="preserve">       </v>
      </c>
      <c r="GA89" s="174" t="str">
        <f t="shared" si="253"/>
        <v>NG</v>
      </c>
      <c r="GB89" s="141"/>
      <c r="GC89" s="172" t="s">
        <v>71</v>
      </c>
    </row>
    <row r="90" spans="1:185" s="237" customFormat="1" ht="25.5">
      <c r="B90" s="216">
        <f t="shared" si="323"/>
        <v>83</v>
      </c>
      <c r="C90" s="220"/>
      <c r="D90" s="220"/>
      <c r="E90" s="221"/>
      <c r="F90" s="222" t="s">
        <v>346</v>
      </c>
      <c r="G90" s="223"/>
      <c r="H90" s="224"/>
      <c r="I90" s="225"/>
      <c r="J90" s="225"/>
      <c r="K90" s="226"/>
      <c r="L90" s="226"/>
      <c r="M90" s="227" t="s">
        <v>345</v>
      </c>
      <c r="N90" s="228"/>
      <c r="O90" s="229"/>
      <c r="P90" s="45">
        <f t="shared" si="235"/>
        <v>65</v>
      </c>
      <c r="Q90" s="230">
        <v>10</v>
      </c>
      <c r="R90" s="41" t="str">
        <f t="shared" si="280"/>
        <v>X</v>
      </c>
      <c r="S90" s="185" t="s">
        <v>242</v>
      </c>
      <c r="T90" s="231"/>
      <c r="U90" s="41" t="s">
        <v>80</v>
      </c>
      <c r="V90" s="229"/>
      <c r="W90" s="232">
        <v>3</v>
      </c>
      <c r="X90" s="194" t="s">
        <v>243</v>
      </c>
      <c r="Y90" s="194">
        <v>10</v>
      </c>
      <c r="Z90" s="194">
        <v>10</v>
      </c>
      <c r="AA90" s="225" t="s">
        <v>163</v>
      </c>
      <c r="AB90" s="225" t="s">
        <v>57</v>
      </c>
      <c r="AC90" s="219"/>
      <c r="AD90" s="233"/>
      <c r="AE90" s="268"/>
      <c r="AF90" s="235" t="str">
        <f t="shared" si="298"/>
        <v xml:space="preserve">          </v>
      </c>
      <c r="AG90" s="174" t="str">
        <f t="shared" si="237"/>
        <v>NG</v>
      </c>
      <c r="AH90" s="268"/>
      <c r="AI90" s="172" t="s">
        <v>71</v>
      </c>
      <c r="AJ90" s="233"/>
      <c r="AK90" s="234"/>
      <c r="AL90" s="235" t="str">
        <f t="shared" si="281"/>
        <v xml:space="preserve">          </v>
      </c>
      <c r="AM90" s="174" t="str">
        <f t="shared" si="324"/>
        <v>NG</v>
      </c>
      <c r="AN90" s="268"/>
      <c r="AO90" s="172" t="s">
        <v>71</v>
      </c>
      <c r="AP90" s="233"/>
      <c r="AQ90" s="268"/>
      <c r="AR90" s="235" t="str">
        <f t="shared" si="299"/>
        <v xml:space="preserve">          </v>
      </c>
      <c r="AS90" s="174" t="str">
        <f t="shared" si="238"/>
        <v>NG</v>
      </c>
      <c r="AT90" s="268"/>
      <c r="AU90" s="172" t="s">
        <v>71</v>
      </c>
      <c r="AV90" s="233"/>
      <c r="AW90" s="268"/>
      <c r="AX90" s="235" t="str">
        <f t="shared" si="300"/>
        <v xml:space="preserve">          </v>
      </c>
      <c r="AY90" s="174" t="str">
        <f t="shared" si="239"/>
        <v>NG</v>
      </c>
      <c r="AZ90" s="268"/>
      <c r="BA90" s="172" t="s">
        <v>71</v>
      </c>
      <c r="BB90" s="233"/>
      <c r="BC90" s="268"/>
      <c r="BD90" s="235" t="str">
        <f t="shared" si="301"/>
        <v xml:space="preserve">          </v>
      </c>
      <c r="BE90" s="174" t="str">
        <f t="shared" si="240"/>
        <v>NG</v>
      </c>
      <c r="BF90" s="268"/>
      <c r="BG90" s="172" t="s">
        <v>71</v>
      </c>
      <c r="BH90" s="233"/>
      <c r="BI90" s="268"/>
      <c r="BJ90" s="235" t="str">
        <f t="shared" si="302"/>
        <v xml:space="preserve">          </v>
      </c>
      <c r="BK90" s="174" t="str">
        <f t="shared" si="241"/>
        <v>NG</v>
      </c>
      <c r="BL90" s="268"/>
      <c r="BM90" s="172" t="s">
        <v>71</v>
      </c>
      <c r="BN90" s="233"/>
      <c r="BO90" s="268"/>
      <c r="BP90" s="235" t="str">
        <f t="shared" si="303"/>
        <v xml:space="preserve">          </v>
      </c>
      <c r="BQ90" s="174" t="str">
        <f t="shared" si="242"/>
        <v>NG</v>
      </c>
      <c r="BR90" s="268"/>
      <c r="BS90" s="172" t="s">
        <v>71</v>
      </c>
      <c r="BT90" s="233"/>
      <c r="BU90" s="268"/>
      <c r="BV90" s="235" t="str">
        <f t="shared" si="304"/>
        <v xml:space="preserve">          </v>
      </c>
      <c r="BW90" s="174" t="str">
        <f t="shared" si="243"/>
        <v>NG</v>
      </c>
      <c r="BX90" s="268"/>
      <c r="BY90" s="172" t="s">
        <v>71</v>
      </c>
      <c r="BZ90" s="233"/>
      <c r="CA90" s="268"/>
      <c r="CB90" s="235" t="str">
        <f t="shared" si="305"/>
        <v xml:space="preserve">          </v>
      </c>
      <c r="CC90" s="174" t="str">
        <f t="shared" si="244"/>
        <v>NG</v>
      </c>
      <c r="CD90" s="268"/>
      <c r="CE90" s="172" t="s">
        <v>71</v>
      </c>
      <c r="CF90" s="233"/>
      <c r="CG90" s="268"/>
      <c r="CH90" s="235" t="str">
        <f t="shared" si="306"/>
        <v xml:space="preserve">          </v>
      </c>
      <c r="CI90" s="174" t="str">
        <f t="shared" si="245"/>
        <v>NG</v>
      </c>
      <c r="CJ90" s="268"/>
      <c r="CK90" s="172" t="s">
        <v>71</v>
      </c>
      <c r="CL90" s="233"/>
      <c r="CM90" s="268"/>
      <c r="CN90" s="235" t="str">
        <f t="shared" si="307"/>
        <v xml:space="preserve">          </v>
      </c>
      <c r="CO90" s="174" t="str">
        <f t="shared" si="246"/>
        <v>NG</v>
      </c>
      <c r="CP90" s="268"/>
      <c r="CQ90" s="172" t="s">
        <v>71</v>
      </c>
      <c r="CR90" s="233"/>
      <c r="CS90" s="268"/>
      <c r="CT90" s="235" t="str">
        <f t="shared" si="308"/>
        <v xml:space="preserve">          </v>
      </c>
      <c r="CU90" s="174" t="str">
        <f t="shared" si="247"/>
        <v>NG</v>
      </c>
      <c r="CV90" s="268"/>
      <c r="CW90" s="172" t="s">
        <v>71</v>
      </c>
      <c r="CX90" s="233"/>
      <c r="CY90" s="268"/>
      <c r="CZ90" s="235" t="str">
        <f t="shared" si="309"/>
        <v xml:space="preserve">          </v>
      </c>
      <c r="DA90" s="174" t="str">
        <f t="shared" si="248"/>
        <v>NG</v>
      </c>
      <c r="DB90" s="268"/>
      <c r="DC90" s="172" t="s">
        <v>71</v>
      </c>
      <c r="DD90" s="233"/>
      <c r="DE90" s="268"/>
      <c r="DF90" s="235" t="str">
        <f t="shared" si="310"/>
        <v xml:space="preserve">          </v>
      </c>
      <c r="DG90" s="174" t="str">
        <f t="shared" si="249"/>
        <v>NG</v>
      </c>
      <c r="DH90" s="268"/>
      <c r="DI90" s="172" t="s">
        <v>71</v>
      </c>
      <c r="DJ90" s="233"/>
      <c r="DK90" s="268"/>
      <c r="DL90" s="235" t="str">
        <f t="shared" si="311"/>
        <v xml:space="preserve">          </v>
      </c>
      <c r="DM90" s="174" t="str">
        <f t="shared" si="250"/>
        <v>NG</v>
      </c>
      <c r="DN90" s="268"/>
      <c r="DO90" s="172" t="s">
        <v>71</v>
      </c>
      <c r="DP90" s="233"/>
      <c r="DQ90" s="268"/>
      <c r="DR90" s="235" t="str">
        <f t="shared" si="312"/>
        <v xml:space="preserve">          </v>
      </c>
      <c r="DS90" s="174" t="str">
        <f t="shared" si="215"/>
        <v>NG</v>
      </c>
      <c r="DT90" s="268"/>
      <c r="DU90" s="172" t="s">
        <v>71</v>
      </c>
      <c r="DV90" s="233"/>
      <c r="DW90" s="268"/>
      <c r="DX90" s="235" t="str">
        <f t="shared" si="313"/>
        <v xml:space="preserve">          </v>
      </c>
      <c r="DY90" s="174" t="str">
        <f t="shared" si="216"/>
        <v>NG</v>
      </c>
      <c r="DZ90" s="268"/>
      <c r="EA90" s="172" t="s">
        <v>71</v>
      </c>
      <c r="EB90" s="233"/>
      <c r="EC90" s="268"/>
      <c r="ED90" s="235" t="str">
        <f t="shared" si="314"/>
        <v xml:space="preserve">          </v>
      </c>
      <c r="EE90" s="174" t="str">
        <f t="shared" si="217"/>
        <v>NG</v>
      </c>
      <c r="EF90" s="268"/>
      <c r="EG90" s="172" t="s">
        <v>71</v>
      </c>
      <c r="EH90" s="233"/>
      <c r="EI90" s="268"/>
      <c r="EJ90" s="235" t="str">
        <f t="shared" si="315"/>
        <v xml:space="preserve">          </v>
      </c>
      <c r="EK90" s="174" t="str">
        <f t="shared" si="218"/>
        <v>NG</v>
      </c>
      <c r="EL90" s="268"/>
      <c r="EM90" s="172" t="s">
        <v>71</v>
      </c>
      <c r="EN90" s="233"/>
      <c r="EO90" s="268"/>
      <c r="EP90" s="235" t="str">
        <f t="shared" si="316"/>
        <v xml:space="preserve">          </v>
      </c>
      <c r="EQ90" s="174" t="str">
        <f t="shared" si="219"/>
        <v>NG</v>
      </c>
      <c r="ER90" s="268"/>
      <c r="ES90" s="172" t="s">
        <v>71</v>
      </c>
      <c r="ET90" s="233"/>
      <c r="EU90" s="268"/>
      <c r="EV90" s="235" t="str">
        <f t="shared" si="317"/>
        <v xml:space="preserve">          </v>
      </c>
      <c r="EW90" s="174" t="str">
        <f t="shared" si="220"/>
        <v>NG</v>
      </c>
      <c r="EX90" s="268"/>
      <c r="EY90" s="172" t="s">
        <v>71</v>
      </c>
      <c r="EZ90" s="233"/>
      <c r="FA90" s="268"/>
      <c r="FB90" s="235" t="str">
        <f t="shared" si="318"/>
        <v xml:space="preserve">          </v>
      </c>
      <c r="FC90" s="174" t="str">
        <f t="shared" si="221"/>
        <v>NG</v>
      </c>
      <c r="FD90" s="268"/>
      <c r="FE90" s="172" t="s">
        <v>71</v>
      </c>
      <c r="FF90" s="233"/>
      <c r="FG90" s="268"/>
      <c r="FH90" s="235" t="str">
        <f t="shared" si="319"/>
        <v xml:space="preserve">          </v>
      </c>
      <c r="FI90" s="174" t="str">
        <f t="shared" si="233"/>
        <v>NG</v>
      </c>
      <c r="FJ90" s="268"/>
      <c r="FK90" s="172" t="s">
        <v>71</v>
      </c>
      <c r="FL90" s="233"/>
      <c r="FM90" s="268"/>
      <c r="FN90" s="235" t="str">
        <f t="shared" si="320"/>
        <v xml:space="preserve">          </v>
      </c>
      <c r="FO90" s="174" t="str">
        <f t="shared" si="251"/>
        <v>NG</v>
      </c>
      <c r="FP90" s="268"/>
      <c r="FQ90" s="172" t="s">
        <v>71</v>
      </c>
      <c r="FR90" s="233"/>
      <c r="FS90" s="268"/>
      <c r="FT90" s="235" t="str">
        <f t="shared" si="321"/>
        <v xml:space="preserve">          </v>
      </c>
      <c r="FU90" s="174" t="str">
        <f t="shared" si="252"/>
        <v>NG</v>
      </c>
      <c r="FV90" s="268"/>
      <c r="FW90" s="172" t="s">
        <v>71</v>
      </c>
      <c r="FX90" s="233"/>
      <c r="FY90" s="268"/>
      <c r="FZ90" s="235" t="str">
        <f t="shared" si="322"/>
        <v xml:space="preserve">          </v>
      </c>
      <c r="GA90" s="174" t="str">
        <f t="shared" si="253"/>
        <v>NG</v>
      </c>
      <c r="GB90" s="268"/>
      <c r="GC90" s="172" t="s">
        <v>71</v>
      </c>
    </row>
    <row r="91" spans="1:185" s="237" customFormat="1" ht="25.5">
      <c r="B91" s="216">
        <f t="shared" si="323"/>
        <v>84</v>
      </c>
      <c r="C91" s="220"/>
      <c r="D91" s="220"/>
      <c r="E91" s="220"/>
      <c r="F91" s="238" t="s">
        <v>244</v>
      </c>
      <c r="G91" s="168"/>
      <c r="H91" s="239"/>
      <c r="I91" s="225"/>
      <c r="J91" s="225"/>
      <c r="K91" s="226"/>
      <c r="L91" s="226"/>
      <c r="M91" s="227" t="s">
        <v>345</v>
      </c>
      <c r="N91" s="228"/>
      <c r="O91" s="229"/>
      <c r="P91" s="45">
        <f t="shared" si="235"/>
        <v>66</v>
      </c>
      <c r="Q91" s="230">
        <v>3</v>
      </c>
      <c r="R91" s="41" t="str">
        <f t="shared" si="280"/>
        <v>X</v>
      </c>
      <c r="S91" s="185" t="s">
        <v>245</v>
      </c>
      <c r="T91" s="231"/>
      <c r="U91" s="41" t="s">
        <v>80</v>
      </c>
      <c r="V91" s="229"/>
      <c r="W91" s="232">
        <v>3</v>
      </c>
      <c r="X91" s="194" t="s">
        <v>246</v>
      </c>
      <c r="Y91" s="194">
        <v>3</v>
      </c>
      <c r="Z91" s="194">
        <v>3</v>
      </c>
      <c r="AA91" s="225" t="s">
        <v>163</v>
      </c>
      <c r="AB91" s="225" t="s">
        <v>57</v>
      </c>
      <c r="AC91" s="219"/>
      <c r="AD91" s="233"/>
      <c r="AE91" s="268"/>
      <c r="AF91" s="235" t="str">
        <f t="shared" si="298"/>
        <v xml:space="preserve">   </v>
      </c>
      <c r="AG91" s="174" t="str">
        <f t="shared" si="237"/>
        <v>NG</v>
      </c>
      <c r="AH91" s="268"/>
      <c r="AI91" s="172" t="s">
        <v>71</v>
      </c>
      <c r="AJ91" s="233"/>
      <c r="AK91" s="234"/>
      <c r="AL91" s="235" t="str">
        <f t="shared" si="281"/>
        <v xml:space="preserve">   </v>
      </c>
      <c r="AM91" s="174" t="str">
        <f t="shared" si="324"/>
        <v>NG</v>
      </c>
      <c r="AN91" s="268"/>
      <c r="AO91" s="172" t="s">
        <v>71</v>
      </c>
      <c r="AP91" s="233"/>
      <c r="AQ91" s="268"/>
      <c r="AR91" s="235" t="str">
        <f t="shared" si="299"/>
        <v xml:space="preserve">   </v>
      </c>
      <c r="AS91" s="174" t="str">
        <f t="shared" si="238"/>
        <v>NG</v>
      </c>
      <c r="AT91" s="268"/>
      <c r="AU91" s="172" t="s">
        <v>71</v>
      </c>
      <c r="AV91" s="233"/>
      <c r="AW91" s="268"/>
      <c r="AX91" s="235" t="str">
        <f t="shared" si="300"/>
        <v xml:space="preserve">   </v>
      </c>
      <c r="AY91" s="174" t="str">
        <f t="shared" si="239"/>
        <v>NG</v>
      </c>
      <c r="AZ91" s="268"/>
      <c r="BA91" s="172" t="s">
        <v>71</v>
      </c>
      <c r="BB91" s="233"/>
      <c r="BC91" s="268"/>
      <c r="BD91" s="235" t="str">
        <f t="shared" si="301"/>
        <v xml:space="preserve">   </v>
      </c>
      <c r="BE91" s="174" t="str">
        <f t="shared" si="240"/>
        <v>NG</v>
      </c>
      <c r="BF91" s="268"/>
      <c r="BG91" s="172" t="s">
        <v>71</v>
      </c>
      <c r="BH91" s="233"/>
      <c r="BI91" s="268"/>
      <c r="BJ91" s="235" t="str">
        <f t="shared" si="302"/>
        <v xml:space="preserve">   </v>
      </c>
      <c r="BK91" s="174" t="str">
        <f t="shared" si="241"/>
        <v>NG</v>
      </c>
      <c r="BL91" s="268"/>
      <c r="BM91" s="172" t="s">
        <v>71</v>
      </c>
      <c r="BN91" s="233"/>
      <c r="BO91" s="268"/>
      <c r="BP91" s="235" t="str">
        <f t="shared" si="303"/>
        <v xml:space="preserve">   </v>
      </c>
      <c r="BQ91" s="174" t="str">
        <f t="shared" si="242"/>
        <v>NG</v>
      </c>
      <c r="BR91" s="268"/>
      <c r="BS91" s="172" t="s">
        <v>71</v>
      </c>
      <c r="BT91" s="233"/>
      <c r="BU91" s="268"/>
      <c r="BV91" s="235" t="str">
        <f t="shared" si="304"/>
        <v xml:space="preserve">   </v>
      </c>
      <c r="BW91" s="174" t="str">
        <f t="shared" si="243"/>
        <v>NG</v>
      </c>
      <c r="BX91" s="268"/>
      <c r="BY91" s="172" t="s">
        <v>71</v>
      </c>
      <c r="BZ91" s="233"/>
      <c r="CA91" s="268"/>
      <c r="CB91" s="235" t="str">
        <f t="shared" si="305"/>
        <v xml:space="preserve">   </v>
      </c>
      <c r="CC91" s="174" t="str">
        <f t="shared" si="244"/>
        <v>NG</v>
      </c>
      <c r="CD91" s="268"/>
      <c r="CE91" s="172" t="s">
        <v>71</v>
      </c>
      <c r="CF91" s="233"/>
      <c r="CG91" s="268"/>
      <c r="CH91" s="235" t="str">
        <f t="shared" si="306"/>
        <v xml:space="preserve">   </v>
      </c>
      <c r="CI91" s="174" t="str">
        <f t="shared" si="245"/>
        <v>NG</v>
      </c>
      <c r="CJ91" s="268"/>
      <c r="CK91" s="172" t="s">
        <v>71</v>
      </c>
      <c r="CL91" s="233"/>
      <c r="CM91" s="268"/>
      <c r="CN91" s="235" t="str">
        <f t="shared" si="307"/>
        <v xml:space="preserve">   </v>
      </c>
      <c r="CO91" s="174" t="str">
        <f t="shared" si="246"/>
        <v>NG</v>
      </c>
      <c r="CP91" s="268"/>
      <c r="CQ91" s="172" t="s">
        <v>71</v>
      </c>
      <c r="CR91" s="233"/>
      <c r="CS91" s="268"/>
      <c r="CT91" s="235" t="str">
        <f t="shared" si="308"/>
        <v xml:space="preserve">   </v>
      </c>
      <c r="CU91" s="174" t="str">
        <f t="shared" si="247"/>
        <v>NG</v>
      </c>
      <c r="CV91" s="268"/>
      <c r="CW91" s="172" t="s">
        <v>71</v>
      </c>
      <c r="CX91" s="233"/>
      <c r="CY91" s="268"/>
      <c r="CZ91" s="235" t="str">
        <f t="shared" si="309"/>
        <v xml:space="preserve">   </v>
      </c>
      <c r="DA91" s="174" t="str">
        <f t="shared" si="248"/>
        <v>NG</v>
      </c>
      <c r="DB91" s="268"/>
      <c r="DC91" s="172" t="s">
        <v>71</v>
      </c>
      <c r="DD91" s="233"/>
      <c r="DE91" s="268"/>
      <c r="DF91" s="235" t="str">
        <f t="shared" si="310"/>
        <v xml:space="preserve">   </v>
      </c>
      <c r="DG91" s="174" t="str">
        <f t="shared" si="249"/>
        <v>NG</v>
      </c>
      <c r="DH91" s="268"/>
      <c r="DI91" s="172" t="s">
        <v>71</v>
      </c>
      <c r="DJ91" s="233"/>
      <c r="DK91" s="268"/>
      <c r="DL91" s="235" t="str">
        <f t="shared" si="311"/>
        <v xml:space="preserve">   </v>
      </c>
      <c r="DM91" s="174" t="str">
        <f t="shared" si="250"/>
        <v>NG</v>
      </c>
      <c r="DN91" s="268"/>
      <c r="DO91" s="172" t="s">
        <v>71</v>
      </c>
      <c r="DP91" s="233"/>
      <c r="DQ91" s="268"/>
      <c r="DR91" s="235" t="str">
        <f t="shared" si="312"/>
        <v xml:space="preserve">   </v>
      </c>
      <c r="DS91" s="174" t="str">
        <f t="shared" si="215"/>
        <v>NG</v>
      </c>
      <c r="DT91" s="268"/>
      <c r="DU91" s="172" t="s">
        <v>71</v>
      </c>
      <c r="DV91" s="233"/>
      <c r="DW91" s="268"/>
      <c r="DX91" s="235" t="str">
        <f t="shared" si="313"/>
        <v xml:space="preserve">   </v>
      </c>
      <c r="DY91" s="174" t="str">
        <f t="shared" si="216"/>
        <v>NG</v>
      </c>
      <c r="DZ91" s="268"/>
      <c r="EA91" s="172" t="s">
        <v>71</v>
      </c>
      <c r="EB91" s="233"/>
      <c r="EC91" s="268"/>
      <c r="ED91" s="235" t="str">
        <f t="shared" si="314"/>
        <v xml:space="preserve">   </v>
      </c>
      <c r="EE91" s="174" t="str">
        <f t="shared" si="217"/>
        <v>NG</v>
      </c>
      <c r="EF91" s="268"/>
      <c r="EG91" s="172" t="s">
        <v>71</v>
      </c>
      <c r="EH91" s="233"/>
      <c r="EI91" s="268"/>
      <c r="EJ91" s="235" t="str">
        <f t="shared" si="315"/>
        <v xml:space="preserve">   </v>
      </c>
      <c r="EK91" s="174" t="str">
        <f t="shared" si="218"/>
        <v>NG</v>
      </c>
      <c r="EL91" s="268"/>
      <c r="EM91" s="172" t="s">
        <v>71</v>
      </c>
      <c r="EN91" s="233"/>
      <c r="EO91" s="268"/>
      <c r="EP91" s="235" t="str">
        <f t="shared" si="316"/>
        <v xml:space="preserve">   </v>
      </c>
      <c r="EQ91" s="174" t="str">
        <f t="shared" si="219"/>
        <v>NG</v>
      </c>
      <c r="ER91" s="268"/>
      <c r="ES91" s="172" t="s">
        <v>71</v>
      </c>
      <c r="ET91" s="233"/>
      <c r="EU91" s="268"/>
      <c r="EV91" s="235" t="str">
        <f t="shared" si="317"/>
        <v xml:space="preserve">   </v>
      </c>
      <c r="EW91" s="174" t="str">
        <f t="shared" si="220"/>
        <v>NG</v>
      </c>
      <c r="EX91" s="268"/>
      <c r="EY91" s="172" t="s">
        <v>71</v>
      </c>
      <c r="EZ91" s="233"/>
      <c r="FA91" s="268"/>
      <c r="FB91" s="235" t="str">
        <f t="shared" si="318"/>
        <v xml:space="preserve">   </v>
      </c>
      <c r="FC91" s="174" t="str">
        <f t="shared" si="221"/>
        <v>NG</v>
      </c>
      <c r="FD91" s="268"/>
      <c r="FE91" s="172" t="s">
        <v>71</v>
      </c>
      <c r="FF91" s="233"/>
      <c r="FG91" s="268"/>
      <c r="FH91" s="235" t="str">
        <f t="shared" si="319"/>
        <v xml:space="preserve">   </v>
      </c>
      <c r="FI91" s="174" t="str">
        <f t="shared" si="233"/>
        <v>NG</v>
      </c>
      <c r="FJ91" s="268"/>
      <c r="FK91" s="172" t="s">
        <v>71</v>
      </c>
      <c r="FL91" s="233"/>
      <c r="FM91" s="268"/>
      <c r="FN91" s="235" t="str">
        <f t="shared" si="320"/>
        <v xml:space="preserve">   </v>
      </c>
      <c r="FO91" s="174" t="str">
        <f t="shared" si="251"/>
        <v>NG</v>
      </c>
      <c r="FP91" s="268"/>
      <c r="FQ91" s="172" t="s">
        <v>71</v>
      </c>
      <c r="FR91" s="233"/>
      <c r="FS91" s="268"/>
      <c r="FT91" s="235" t="str">
        <f t="shared" si="321"/>
        <v xml:space="preserve">   </v>
      </c>
      <c r="FU91" s="174" t="str">
        <f t="shared" si="252"/>
        <v>NG</v>
      </c>
      <c r="FV91" s="268"/>
      <c r="FW91" s="172" t="s">
        <v>71</v>
      </c>
      <c r="FX91" s="233"/>
      <c r="FY91" s="268"/>
      <c r="FZ91" s="235" t="str">
        <f t="shared" si="322"/>
        <v xml:space="preserve">   </v>
      </c>
      <c r="GA91" s="174" t="str">
        <f t="shared" si="253"/>
        <v>NG</v>
      </c>
      <c r="GB91" s="268"/>
      <c r="GC91" s="172" t="s">
        <v>71</v>
      </c>
    </row>
    <row r="92" spans="1:185" s="237" customFormat="1" ht="25.5">
      <c r="B92" s="216">
        <f t="shared" si="323"/>
        <v>85</v>
      </c>
      <c r="C92" s="220"/>
      <c r="D92" s="220"/>
      <c r="E92" s="220"/>
      <c r="F92" s="238" t="s">
        <v>347</v>
      </c>
      <c r="G92" s="168"/>
      <c r="H92" s="239"/>
      <c r="I92" s="225"/>
      <c r="J92" s="225"/>
      <c r="K92" s="226"/>
      <c r="L92" s="226"/>
      <c r="M92" s="227" t="s">
        <v>345</v>
      </c>
      <c r="N92" s="228"/>
      <c r="O92" s="229"/>
      <c r="P92" s="45">
        <f t="shared" si="235"/>
        <v>67</v>
      </c>
      <c r="Q92" s="230">
        <v>2</v>
      </c>
      <c r="R92" s="41" t="str">
        <f t="shared" si="280"/>
        <v>X</v>
      </c>
      <c r="S92" s="185" t="s">
        <v>247</v>
      </c>
      <c r="T92" s="231"/>
      <c r="U92" s="41" t="s">
        <v>80</v>
      </c>
      <c r="V92" s="229"/>
      <c r="W92" s="232">
        <v>3</v>
      </c>
      <c r="X92" s="194" t="s">
        <v>248</v>
      </c>
      <c r="Y92" s="194">
        <v>2</v>
      </c>
      <c r="Z92" s="194">
        <v>2</v>
      </c>
      <c r="AA92" s="225" t="s">
        <v>163</v>
      </c>
      <c r="AB92" s="225" t="s">
        <v>57</v>
      </c>
      <c r="AC92" s="219"/>
      <c r="AD92" s="233"/>
      <c r="AE92" s="268"/>
      <c r="AF92" s="235" t="str">
        <f t="shared" si="298"/>
        <v xml:space="preserve">  </v>
      </c>
      <c r="AG92" s="174" t="str">
        <f t="shared" si="237"/>
        <v>NG</v>
      </c>
      <c r="AH92" s="268"/>
      <c r="AI92" s="172" t="s">
        <v>71</v>
      </c>
      <c r="AJ92" s="233"/>
      <c r="AK92" s="234"/>
      <c r="AL92" s="235" t="str">
        <f t="shared" si="281"/>
        <v xml:space="preserve">  </v>
      </c>
      <c r="AM92" s="174" t="str">
        <f t="shared" si="324"/>
        <v>NG</v>
      </c>
      <c r="AN92" s="268"/>
      <c r="AO92" s="172" t="s">
        <v>71</v>
      </c>
      <c r="AP92" s="233"/>
      <c r="AQ92" s="268"/>
      <c r="AR92" s="235" t="str">
        <f t="shared" si="299"/>
        <v xml:space="preserve">  </v>
      </c>
      <c r="AS92" s="174" t="str">
        <f t="shared" si="238"/>
        <v>NG</v>
      </c>
      <c r="AT92" s="268"/>
      <c r="AU92" s="172" t="s">
        <v>71</v>
      </c>
      <c r="AV92" s="233"/>
      <c r="AW92" s="268"/>
      <c r="AX92" s="235" t="str">
        <f t="shared" si="300"/>
        <v xml:space="preserve">  </v>
      </c>
      <c r="AY92" s="174" t="str">
        <f t="shared" si="239"/>
        <v>NG</v>
      </c>
      <c r="AZ92" s="268"/>
      <c r="BA92" s="172" t="s">
        <v>71</v>
      </c>
      <c r="BB92" s="233"/>
      <c r="BC92" s="268"/>
      <c r="BD92" s="235" t="str">
        <f t="shared" si="301"/>
        <v xml:space="preserve">  </v>
      </c>
      <c r="BE92" s="174" t="str">
        <f t="shared" si="240"/>
        <v>NG</v>
      </c>
      <c r="BF92" s="268"/>
      <c r="BG92" s="172" t="s">
        <v>71</v>
      </c>
      <c r="BH92" s="233"/>
      <c r="BI92" s="268"/>
      <c r="BJ92" s="235" t="str">
        <f t="shared" si="302"/>
        <v xml:space="preserve">  </v>
      </c>
      <c r="BK92" s="174" t="str">
        <f t="shared" si="241"/>
        <v>NG</v>
      </c>
      <c r="BL92" s="268"/>
      <c r="BM92" s="172" t="s">
        <v>71</v>
      </c>
      <c r="BN92" s="233"/>
      <c r="BO92" s="268"/>
      <c r="BP92" s="235" t="str">
        <f t="shared" si="303"/>
        <v xml:space="preserve">  </v>
      </c>
      <c r="BQ92" s="174" t="str">
        <f t="shared" si="242"/>
        <v>NG</v>
      </c>
      <c r="BR92" s="268"/>
      <c r="BS92" s="172" t="s">
        <v>71</v>
      </c>
      <c r="BT92" s="233"/>
      <c r="BU92" s="268"/>
      <c r="BV92" s="235" t="str">
        <f t="shared" si="304"/>
        <v xml:space="preserve">  </v>
      </c>
      <c r="BW92" s="174" t="str">
        <f t="shared" si="243"/>
        <v>NG</v>
      </c>
      <c r="BX92" s="268"/>
      <c r="BY92" s="172" t="s">
        <v>71</v>
      </c>
      <c r="BZ92" s="233"/>
      <c r="CA92" s="268"/>
      <c r="CB92" s="235" t="str">
        <f t="shared" si="305"/>
        <v xml:space="preserve">  </v>
      </c>
      <c r="CC92" s="174" t="str">
        <f t="shared" si="244"/>
        <v>NG</v>
      </c>
      <c r="CD92" s="268"/>
      <c r="CE92" s="172" t="s">
        <v>71</v>
      </c>
      <c r="CF92" s="233"/>
      <c r="CG92" s="268"/>
      <c r="CH92" s="235" t="str">
        <f t="shared" si="306"/>
        <v xml:space="preserve">  </v>
      </c>
      <c r="CI92" s="174" t="str">
        <f t="shared" si="245"/>
        <v>NG</v>
      </c>
      <c r="CJ92" s="268"/>
      <c r="CK92" s="172" t="s">
        <v>71</v>
      </c>
      <c r="CL92" s="233"/>
      <c r="CM92" s="268"/>
      <c r="CN92" s="235" t="str">
        <f t="shared" si="307"/>
        <v xml:space="preserve">  </v>
      </c>
      <c r="CO92" s="174" t="str">
        <f t="shared" si="246"/>
        <v>NG</v>
      </c>
      <c r="CP92" s="268"/>
      <c r="CQ92" s="172" t="s">
        <v>71</v>
      </c>
      <c r="CR92" s="233"/>
      <c r="CS92" s="268"/>
      <c r="CT92" s="235" t="str">
        <f t="shared" si="308"/>
        <v xml:space="preserve">  </v>
      </c>
      <c r="CU92" s="174" t="str">
        <f t="shared" si="247"/>
        <v>NG</v>
      </c>
      <c r="CV92" s="268"/>
      <c r="CW92" s="172" t="s">
        <v>71</v>
      </c>
      <c r="CX92" s="233"/>
      <c r="CY92" s="268"/>
      <c r="CZ92" s="235" t="str">
        <f t="shared" si="309"/>
        <v xml:space="preserve">  </v>
      </c>
      <c r="DA92" s="174" t="str">
        <f t="shared" si="248"/>
        <v>NG</v>
      </c>
      <c r="DB92" s="268"/>
      <c r="DC92" s="172" t="s">
        <v>71</v>
      </c>
      <c r="DD92" s="233"/>
      <c r="DE92" s="268"/>
      <c r="DF92" s="235" t="str">
        <f t="shared" si="310"/>
        <v xml:space="preserve">  </v>
      </c>
      <c r="DG92" s="174" t="str">
        <f t="shared" si="249"/>
        <v>NG</v>
      </c>
      <c r="DH92" s="268"/>
      <c r="DI92" s="172" t="s">
        <v>71</v>
      </c>
      <c r="DJ92" s="233"/>
      <c r="DK92" s="268"/>
      <c r="DL92" s="235" t="str">
        <f t="shared" si="311"/>
        <v xml:space="preserve">  </v>
      </c>
      <c r="DM92" s="174" t="str">
        <f t="shared" si="250"/>
        <v>NG</v>
      </c>
      <c r="DN92" s="268"/>
      <c r="DO92" s="172" t="s">
        <v>71</v>
      </c>
      <c r="DP92" s="233"/>
      <c r="DQ92" s="268"/>
      <c r="DR92" s="235" t="str">
        <f t="shared" si="312"/>
        <v xml:space="preserve">  </v>
      </c>
      <c r="DS92" s="174" t="str">
        <f t="shared" si="215"/>
        <v>NG</v>
      </c>
      <c r="DT92" s="268"/>
      <c r="DU92" s="172" t="s">
        <v>71</v>
      </c>
      <c r="DV92" s="233"/>
      <c r="DW92" s="268"/>
      <c r="DX92" s="235" t="str">
        <f t="shared" si="313"/>
        <v xml:space="preserve">  </v>
      </c>
      <c r="DY92" s="174" t="str">
        <f t="shared" si="216"/>
        <v>NG</v>
      </c>
      <c r="DZ92" s="268"/>
      <c r="EA92" s="172" t="s">
        <v>71</v>
      </c>
      <c r="EB92" s="233"/>
      <c r="EC92" s="268"/>
      <c r="ED92" s="235" t="str">
        <f t="shared" si="314"/>
        <v xml:space="preserve">  </v>
      </c>
      <c r="EE92" s="174" t="str">
        <f t="shared" si="217"/>
        <v>NG</v>
      </c>
      <c r="EF92" s="268"/>
      <c r="EG92" s="172" t="s">
        <v>71</v>
      </c>
      <c r="EH92" s="233"/>
      <c r="EI92" s="268"/>
      <c r="EJ92" s="235" t="str">
        <f t="shared" si="315"/>
        <v xml:space="preserve">  </v>
      </c>
      <c r="EK92" s="174" t="str">
        <f t="shared" si="218"/>
        <v>NG</v>
      </c>
      <c r="EL92" s="268"/>
      <c r="EM92" s="172" t="s">
        <v>71</v>
      </c>
      <c r="EN92" s="233"/>
      <c r="EO92" s="268"/>
      <c r="EP92" s="235" t="str">
        <f t="shared" si="316"/>
        <v xml:space="preserve">  </v>
      </c>
      <c r="EQ92" s="174" t="str">
        <f t="shared" si="219"/>
        <v>NG</v>
      </c>
      <c r="ER92" s="268"/>
      <c r="ES92" s="172" t="s">
        <v>71</v>
      </c>
      <c r="ET92" s="233"/>
      <c r="EU92" s="268"/>
      <c r="EV92" s="235" t="str">
        <f t="shared" si="317"/>
        <v xml:space="preserve">  </v>
      </c>
      <c r="EW92" s="174" t="str">
        <f t="shared" si="220"/>
        <v>NG</v>
      </c>
      <c r="EX92" s="268"/>
      <c r="EY92" s="172" t="s">
        <v>71</v>
      </c>
      <c r="EZ92" s="233"/>
      <c r="FA92" s="268"/>
      <c r="FB92" s="235" t="str">
        <f t="shared" si="318"/>
        <v xml:space="preserve">  </v>
      </c>
      <c r="FC92" s="174" t="str">
        <f t="shared" si="221"/>
        <v>NG</v>
      </c>
      <c r="FD92" s="268"/>
      <c r="FE92" s="172" t="s">
        <v>71</v>
      </c>
      <c r="FF92" s="233"/>
      <c r="FG92" s="268"/>
      <c r="FH92" s="235" t="str">
        <f t="shared" si="319"/>
        <v xml:space="preserve">  </v>
      </c>
      <c r="FI92" s="174" t="str">
        <f t="shared" si="233"/>
        <v>NG</v>
      </c>
      <c r="FJ92" s="268"/>
      <c r="FK92" s="172" t="s">
        <v>71</v>
      </c>
      <c r="FL92" s="233"/>
      <c r="FM92" s="268"/>
      <c r="FN92" s="235" t="str">
        <f t="shared" si="320"/>
        <v xml:space="preserve">  </v>
      </c>
      <c r="FO92" s="174" t="str">
        <f t="shared" si="251"/>
        <v>NG</v>
      </c>
      <c r="FP92" s="268"/>
      <c r="FQ92" s="172" t="s">
        <v>71</v>
      </c>
      <c r="FR92" s="233"/>
      <c r="FS92" s="268"/>
      <c r="FT92" s="235" t="str">
        <f t="shared" si="321"/>
        <v xml:space="preserve">  </v>
      </c>
      <c r="FU92" s="174" t="str">
        <f t="shared" si="252"/>
        <v>NG</v>
      </c>
      <c r="FV92" s="268"/>
      <c r="FW92" s="172" t="s">
        <v>71</v>
      </c>
      <c r="FX92" s="233"/>
      <c r="FY92" s="268"/>
      <c r="FZ92" s="235" t="str">
        <f t="shared" si="322"/>
        <v xml:space="preserve">  </v>
      </c>
      <c r="GA92" s="174" t="str">
        <f t="shared" si="253"/>
        <v>NG</v>
      </c>
      <c r="GB92" s="268"/>
      <c r="GC92" s="172" t="s">
        <v>71</v>
      </c>
    </row>
    <row r="93" spans="1:185" s="237" customFormat="1" ht="51.75" customHeight="1">
      <c r="B93" s="216">
        <f t="shared" si="323"/>
        <v>86</v>
      </c>
      <c r="C93" s="220"/>
      <c r="D93" s="220"/>
      <c r="E93" s="220"/>
      <c r="F93" s="240" t="s">
        <v>348</v>
      </c>
      <c r="G93" s="241"/>
      <c r="H93" s="242"/>
      <c r="I93" s="225"/>
      <c r="J93" s="225"/>
      <c r="K93" s="226"/>
      <c r="L93" s="226"/>
      <c r="M93" s="227" t="s">
        <v>349</v>
      </c>
      <c r="N93" s="228"/>
      <c r="O93" s="229"/>
      <c r="P93" s="45">
        <f t="shared" si="235"/>
        <v>68</v>
      </c>
      <c r="Q93" s="230">
        <v>5</v>
      </c>
      <c r="R93" s="41" t="str">
        <f t="shared" si="280"/>
        <v>X</v>
      </c>
      <c r="S93" s="185" t="s">
        <v>249</v>
      </c>
      <c r="T93" s="231"/>
      <c r="U93" s="41" t="s">
        <v>80</v>
      </c>
      <c r="V93" s="229"/>
      <c r="W93" s="232">
        <v>3</v>
      </c>
      <c r="X93" s="194" t="s">
        <v>250</v>
      </c>
      <c r="Y93" s="194">
        <v>5</v>
      </c>
      <c r="Z93" s="194">
        <v>5</v>
      </c>
      <c r="AA93" s="225" t="s">
        <v>163</v>
      </c>
      <c r="AB93" s="225" t="s">
        <v>57</v>
      </c>
      <c r="AC93" s="243"/>
      <c r="AD93" s="233"/>
      <c r="AE93" s="268"/>
      <c r="AF93" s="235" t="str">
        <f t="shared" si="298"/>
        <v xml:space="preserve">     </v>
      </c>
      <c r="AG93" s="174" t="str">
        <f t="shared" si="237"/>
        <v>NG</v>
      </c>
      <c r="AH93" s="297"/>
      <c r="AI93" s="276" t="str">
        <f>IF(OR(AE$8="判定対象外",AH$8="判定対象外",AH93="-"),"-",IF(AE93=AH93,"OK","NG"))</f>
        <v>OK</v>
      </c>
      <c r="AJ93" s="233"/>
      <c r="AK93" s="234"/>
      <c r="AL93" s="235" t="str">
        <f t="shared" si="281"/>
        <v xml:space="preserve">     </v>
      </c>
      <c r="AM93" s="174" t="str">
        <f t="shared" si="324"/>
        <v>NG</v>
      </c>
      <c r="AN93" s="297"/>
      <c r="AO93" s="276" t="str">
        <f>IF(OR(AK$8="判定対象外",AN$8="判定対象外",AN93="-"),"-",IF(AK93=AN93,"OK","NG"))</f>
        <v>OK</v>
      </c>
      <c r="AP93" s="233"/>
      <c r="AQ93" s="268"/>
      <c r="AR93" s="235" t="str">
        <f t="shared" si="299"/>
        <v xml:space="preserve">     </v>
      </c>
      <c r="AS93" s="174" t="str">
        <f t="shared" si="238"/>
        <v>NG</v>
      </c>
      <c r="AT93" s="297"/>
      <c r="AU93" s="276" t="str">
        <f>IF(OR(AQ$8="判定対象外",AT$8="判定対象外",AT93="-"),"-",IF(AQ93=AT93,"OK","NG"))</f>
        <v>OK</v>
      </c>
      <c r="AV93" s="233"/>
      <c r="AW93" s="268"/>
      <c r="AX93" s="235" t="str">
        <f t="shared" si="300"/>
        <v xml:space="preserve">     </v>
      </c>
      <c r="AY93" s="174" t="str">
        <f t="shared" si="239"/>
        <v>NG</v>
      </c>
      <c r="AZ93" s="297"/>
      <c r="BA93" s="276" t="str">
        <f>IF(OR(AW$8="判定対象外",AZ$8="判定対象外",AZ93="-"),"-",IF(AW93=AZ93,"OK","NG"))</f>
        <v>OK</v>
      </c>
      <c r="BB93" s="233"/>
      <c r="BC93" s="268"/>
      <c r="BD93" s="235" t="str">
        <f t="shared" si="301"/>
        <v xml:space="preserve">     </v>
      </c>
      <c r="BE93" s="174" t="str">
        <f t="shared" si="240"/>
        <v>NG</v>
      </c>
      <c r="BF93" s="297"/>
      <c r="BG93" s="276" t="str">
        <f>IF(OR(BC$8="判定対象外",BF$8="判定対象外",BF93="-"),"-",IF(BC93=BF93,"OK","NG"))</f>
        <v>OK</v>
      </c>
      <c r="BH93" s="233"/>
      <c r="BI93" s="268"/>
      <c r="BJ93" s="235" t="str">
        <f t="shared" si="302"/>
        <v xml:space="preserve">     </v>
      </c>
      <c r="BK93" s="174" t="str">
        <f t="shared" si="241"/>
        <v>NG</v>
      </c>
      <c r="BL93" s="297"/>
      <c r="BM93" s="276" t="str">
        <f>IF(OR(BI$8="判定対象外",BL$8="判定対象外",BL93="-"),"-",IF(BI93=BL93,"OK","NG"))</f>
        <v>OK</v>
      </c>
      <c r="BN93" s="233"/>
      <c r="BO93" s="268"/>
      <c r="BP93" s="235" t="str">
        <f t="shared" si="303"/>
        <v xml:space="preserve">     </v>
      </c>
      <c r="BQ93" s="174" t="str">
        <f t="shared" si="242"/>
        <v>NG</v>
      </c>
      <c r="BR93" s="297"/>
      <c r="BS93" s="276" t="str">
        <f>IF(OR(BO$8="判定対象外",BR$8="判定対象外",BR93="-"),"-",IF(BO93=BR93,"OK","NG"))</f>
        <v>OK</v>
      </c>
      <c r="BT93" s="233"/>
      <c r="BU93" s="268"/>
      <c r="BV93" s="235" t="str">
        <f t="shared" si="304"/>
        <v xml:space="preserve">     </v>
      </c>
      <c r="BW93" s="174" t="str">
        <f t="shared" si="243"/>
        <v>NG</v>
      </c>
      <c r="BX93" s="297"/>
      <c r="BY93" s="276" t="str">
        <f>IF(OR(BU$8="判定対象外",BX$8="判定対象外",BX93="-"),"-",IF(BU93=BX93,"OK","NG"))</f>
        <v>OK</v>
      </c>
      <c r="BZ93" s="233"/>
      <c r="CA93" s="268"/>
      <c r="CB93" s="235" t="str">
        <f t="shared" si="305"/>
        <v xml:space="preserve">     </v>
      </c>
      <c r="CC93" s="174" t="str">
        <f t="shared" si="244"/>
        <v>NG</v>
      </c>
      <c r="CD93" s="297"/>
      <c r="CE93" s="276" t="str">
        <f>IF(OR(CA$8="判定対象外",CD$8="判定対象外",CD93="-"),"-",IF(CA93=CD93,"OK","NG"))</f>
        <v>OK</v>
      </c>
      <c r="CF93" s="233"/>
      <c r="CG93" s="268"/>
      <c r="CH93" s="235" t="str">
        <f t="shared" si="306"/>
        <v xml:space="preserve">     </v>
      </c>
      <c r="CI93" s="174" t="str">
        <f t="shared" si="245"/>
        <v>NG</v>
      </c>
      <c r="CJ93" s="297"/>
      <c r="CK93" s="276" t="str">
        <f>IF(OR(CG$8="判定対象外",CJ$8="判定対象外",CJ93="-"),"-",IF(CG93=CJ93,"OK","NG"))</f>
        <v>OK</v>
      </c>
      <c r="CL93" s="233"/>
      <c r="CM93" s="268"/>
      <c r="CN93" s="235" t="str">
        <f t="shared" si="307"/>
        <v xml:space="preserve">     </v>
      </c>
      <c r="CO93" s="174" t="str">
        <f t="shared" si="246"/>
        <v>NG</v>
      </c>
      <c r="CP93" s="297"/>
      <c r="CQ93" s="276" t="str">
        <f>IF(OR(CM$8="判定対象外",CP$8="判定対象外",CP93="-"),"-",IF(CM93=CP93,"OK","NG"))</f>
        <v>OK</v>
      </c>
      <c r="CR93" s="233"/>
      <c r="CS93" s="268"/>
      <c r="CT93" s="235" t="str">
        <f t="shared" si="308"/>
        <v xml:space="preserve">     </v>
      </c>
      <c r="CU93" s="174" t="str">
        <f t="shared" si="247"/>
        <v>NG</v>
      </c>
      <c r="CV93" s="297"/>
      <c r="CW93" s="276" t="str">
        <f>IF(OR(CS$8="判定対象外",CV$8="判定対象外",CV93="-"),"-",IF(CS93=CV93,"OK","NG"))</f>
        <v>OK</v>
      </c>
      <c r="CX93" s="233"/>
      <c r="CY93" s="268"/>
      <c r="CZ93" s="235" t="str">
        <f t="shared" si="309"/>
        <v xml:space="preserve">     </v>
      </c>
      <c r="DA93" s="174" t="str">
        <f t="shared" si="248"/>
        <v>NG</v>
      </c>
      <c r="DB93" s="297"/>
      <c r="DC93" s="276" t="str">
        <f>IF(OR(CY$8="判定対象外",DB$8="判定対象外",DB93="-"),"-",IF(CY93=DB93,"OK","NG"))</f>
        <v>OK</v>
      </c>
      <c r="DD93" s="233"/>
      <c r="DE93" s="268"/>
      <c r="DF93" s="235" t="str">
        <f t="shared" si="310"/>
        <v xml:space="preserve">     </v>
      </c>
      <c r="DG93" s="174" t="str">
        <f t="shared" si="249"/>
        <v>NG</v>
      </c>
      <c r="DH93" s="297"/>
      <c r="DI93" s="276" t="str">
        <f>IF(OR(DE$8="判定対象外",DH$8="判定対象外",DH93="-"),"-",IF(DE93=DH93,"OK","NG"))</f>
        <v>OK</v>
      </c>
      <c r="DJ93" s="233"/>
      <c r="DK93" s="268"/>
      <c r="DL93" s="235" t="str">
        <f t="shared" si="311"/>
        <v xml:space="preserve">     </v>
      </c>
      <c r="DM93" s="174" t="str">
        <f t="shared" si="250"/>
        <v>NG</v>
      </c>
      <c r="DN93" s="297"/>
      <c r="DO93" s="276" t="str">
        <f>IF(OR(DK$8="判定対象外",DN$8="判定対象外",DN93="-"),"-",IF(DK93=DN93,"OK","NG"))</f>
        <v>OK</v>
      </c>
      <c r="DP93" s="233"/>
      <c r="DQ93" s="268"/>
      <c r="DR93" s="235" t="str">
        <f t="shared" si="312"/>
        <v xml:space="preserve">     </v>
      </c>
      <c r="DS93" s="174" t="str">
        <f t="shared" si="215"/>
        <v>NG</v>
      </c>
      <c r="DT93" s="297"/>
      <c r="DU93" s="276" t="str">
        <f>IF(OR(DQ$8="判定対象外",DT$8="判定対象外",DT93="-"),"-",IF(DQ93=DT93,"OK","NG"))</f>
        <v>OK</v>
      </c>
      <c r="DV93" s="233"/>
      <c r="DW93" s="268"/>
      <c r="DX93" s="235" t="str">
        <f t="shared" si="313"/>
        <v xml:space="preserve">     </v>
      </c>
      <c r="DY93" s="174" t="str">
        <f t="shared" si="216"/>
        <v>NG</v>
      </c>
      <c r="DZ93" s="297"/>
      <c r="EA93" s="276" t="str">
        <f>IF(OR(DW$8="判定対象外",DZ$8="判定対象外",DZ93="-"),"-",IF(DW93=DZ93,"OK","NG"))</f>
        <v>OK</v>
      </c>
      <c r="EB93" s="233"/>
      <c r="EC93" s="268"/>
      <c r="ED93" s="235" t="str">
        <f t="shared" si="314"/>
        <v xml:space="preserve">     </v>
      </c>
      <c r="EE93" s="174" t="str">
        <f t="shared" si="217"/>
        <v>NG</v>
      </c>
      <c r="EF93" s="297"/>
      <c r="EG93" s="276" t="str">
        <f>IF(OR(EC$8="判定対象外",EF$8="判定対象外",EF93="-"),"-",IF(EC93=EF93,"OK","NG"))</f>
        <v>OK</v>
      </c>
      <c r="EH93" s="233"/>
      <c r="EI93" s="268"/>
      <c r="EJ93" s="235" t="str">
        <f t="shared" si="315"/>
        <v xml:space="preserve">     </v>
      </c>
      <c r="EK93" s="174" t="str">
        <f t="shared" si="218"/>
        <v>NG</v>
      </c>
      <c r="EL93" s="297"/>
      <c r="EM93" s="276" t="str">
        <f>IF(OR(EI$8="判定対象外",EL$8="判定対象外",EL93="-"),"-",IF(EI93=EL93,"OK","NG"))</f>
        <v>OK</v>
      </c>
      <c r="EN93" s="233"/>
      <c r="EO93" s="268"/>
      <c r="EP93" s="235" t="str">
        <f t="shared" si="316"/>
        <v xml:space="preserve">     </v>
      </c>
      <c r="EQ93" s="174" t="str">
        <f t="shared" si="219"/>
        <v>NG</v>
      </c>
      <c r="ER93" s="297"/>
      <c r="ES93" s="276" t="str">
        <f>IF(OR(EO$8="判定対象外",ER$8="判定対象外",ER93="-"),"-",IF(EO93=ER93,"OK","NG"))</f>
        <v>OK</v>
      </c>
      <c r="ET93" s="233"/>
      <c r="EU93" s="268"/>
      <c r="EV93" s="235" t="str">
        <f t="shared" si="317"/>
        <v xml:space="preserve">     </v>
      </c>
      <c r="EW93" s="174" t="str">
        <f t="shared" si="220"/>
        <v>NG</v>
      </c>
      <c r="EX93" s="297"/>
      <c r="EY93" s="276" t="str">
        <f>IF(OR(EU$8="判定対象外",EX$8="判定対象外",EX93="-"),"-",IF(EU93=EX93,"OK","NG"))</f>
        <v>OK</v>
      </c>
      <c r="EZ93" s="233"/>
      <c r="FA93" s="268"/>
      <c r="FB93" s="235" t="str">
        <f t="shared" si="318"/>
        <v xml:space="preserve">     </v>
      </c>
      <c r="FC93" s="174" t="str">
        <f t="shared" si="221"/>
        <v>NG</v>
      </c>
      <c r="FD93" s="297"/>
      <c r="FE93" s="276" t="str">
        <f>IF(OR(FA$8="判定対象外",FD$8="判定対象外",FD93="-"),"-",IF(FA93=FD93,"OK","NG"))</f>
        <v>OK</v>
      </c>
      <c r="FF93" s="233"/>
      <c r="FG93" s="268"/>
      <c r="FH93" s="235" t="str">
        <f t="shared" si="319"/>
        <v xml:space="preserve">     </v>
      </c>
      <c r="FI93" s="174" t="str">
        <f t="shared" si="233"/>
        <v>NG</v>
      </c>
      <c r="FJ93" s="297"/>
      <c r="FK93" s="276" t="str">
        <f>IF(OR(FG$8="判定対象外",FJ$8="判定対象外",FJ93="-"),"-",IF(FG93=FJ93,"OK","NG"))</f>
        <v>OK</v>
      </c>
      <c r="FL93" s="233"/>
      <c r="FM93" s="268"/>
      <c r="FN93" s="235" t="str">
        <f t="shared" si="320"/>
        <v xml:space="preserve">     </v>
      </c>
      <c r="FO93" s="174" t="str">
        <f t="shared" si="251"/>
        <v>NG</v>
      </c>
      <c r="FP93" s="297"/>
      <c r="FQ93" s="276" t="str">
        <f>IF(OR(FM$8="判定対象外",FP$8="判定対象外",FP93="-"),"-",IF(FM93=FP93,"OK","NG"))</f>
        <v>OK</v>
      </c>
      <c r="FR93" s="233"/>
      <c r="FS93" s="268"/>
      <c r="FT93" s="235" t="str">
        <f t="shared" si="321"/>
        <v xml:space="preserve">     </v>
      </c>
      <c r="FU93" s="174" t="str">
        <f t="shared" si="252"/>
        <v>NG</v>
      </c>
      <c r="FV93" s="297"/>
      <c r="FW93" s="276" t="str">
        <f>IF(OR(FS$8="判定対象外",FV$8="判定対象外",FV93="-"),"-",IF(FS93=FV93,"OK","NG"))</f>
        <v>OK</v>
      </c>
      <c r="FX93" s="233"/>
      <c r="FY93" s="268"/>
      <c r="FZ93" s="235" t="str">
        <f t="shared" si="322"/>
        <v xml:space="preserve">     </v>
      </c>
      <c r="GA93" s="174" t="str">
        <f t="shared" si="253"/>
        <v>NG</v>
      </c>
      <c r="GB93" s="297"/>
      <c r="GC93" s="276" t="str">
        <f>IF(OR(FY$8="判定対象外",GB$8="判定対象外",GB93="-"),"-",IF(FY93=GB93,"OK","NG"))</f>
        <v>OK</v>
      </c>
    </row>
    <row r="94" spans="1:185" s="237" customFormat="1" ht="51.75" customHeight="1">
      <c r="B94" s="216">
        <f t="shared" si="323"/>
        <v>87</v>
      </c>
      <c r="C94" s="220"/>
      <c r="D94" s="220"/>
      <c r="E94" s="220"/>
      <c r="F94" s="240" t="s">
        <v>350</v>
      </c>
      <c r="G94" s="241"/>
      <c r="H94" s="242"/>
      <c r="I94" s="225"/>
      <c r="J94" s="225"/>
      <c r="K94" s="226"/>
      <c r="L94" s="226"/>
      <c r="M94" s="227" t="s">
        <v>351</v>
      </c>
      <c r="N94" s="228"/>
      <c r="O94" s="229"/>
      <c r="P94" s="45">
        <f t="shared" si="235"/>
        <v>69</v>
      </c>
      <c r="Q94" s="230">
        <v>64</v>
      </c>
      <c r="R94" s="41" t="str">
        <f t="shared" si="280"/>
        <v>NX</v>
      </c>
      <c r="S94" s="185" t="s">
        <v>251</v>
      </c>
      <c r="T94" s="231"/>
      <c r="U94" s="41" t="s">
        <v>80</v>
      </c>
      <c r="V94" s="229" t="s">
        <v>252</v>
      </c>
      <c r="W94" s="232">
        <v>3</v>
      </c>
      <c r="X94" s="194" t="s">
        <v>253</v>
      </c>
      <c r="Y94" s="194">
        <v>1</v>
      </c>
      <c r="Z94" s="194">
        <v>64</v>
      </c>
      <c r="AA94" s="225" t="s">
        <v>101</v>
      </c>
      <c r="AB94" s="225" t="s">
        <v>57</v>
      </c>
      <c r="AC94" s="243" t="s">
        <v>252</v>
      </c>
      <c r="AD94" s="233"/>
      <c r="AE94" s="268"/>
      <c r="AF94" s="235" t="str">
        <f t="shared" si="298"/>
        <v xml:space="preserve">                                                                </v>
      </c>
      <c r="AG94" s="174" t="str">
        <f t="shared" si="237"/>
        <v>NG</v>
      </c>
      <c r="AH94" s="297"/>
      <c r="AI94" s="276" t="str">
        <f>IF(OR(AE$8="判定対象外",AH$8="判定対象外",AH94="-"),"-",IF(AE94=AH94,"OK","NG"))</f>
        <v>OK</v>
      </c>
      <c r="AJ94" s="233"/>
      <c r="AK94" s="234"/>
      <c r="AL94" s="235" t="str">
        <f t="shared" si="281"/>
        <v xml:space="preserve">                                                                </v>
      </c>
      <c r="AM94" s="174" t="str">
        <f t="shared" si="324"/>
        <v>NG</v>
      </c>
      <c r="AN94" s="297"/>
      <c r="AO94" s="276" t="str">
        <f>IF(OR(AK$8="判定対象外",AN$8="判定対象外",AN94="-"),"-",IF(AK94=AN94,"OK","NG"))</f>
        <v>OK</v>
      </c>
      <c r="AP94" s="233"/>
      <c r="AQ94" s="268"/>
      <c r="AR94" s="235" t="str">
        <f t="shared" si="299"/>
        <v xml:space="preserve">                                                                </v>
      </c>
      <c r="AS94" s="174" t="str">
        <f t="shared" si="238"/>
        <v>NG</v>
      </c>
      <c r="AT94" s="297"/>
      <c r="AU94" s="276" t="str">
        <f>IF(OR(AQ$8="判定対象外",AT$8="判定対象外",AT94="-"),"-",IF(AQ94=AT94,"OK","NG"))</f>
        <v>OK</v>
      </c>
      <c r="AV94" s="233"/>
      <c r="AW94" s="268"/>
      <c r="AX94" s="235" t="str">
        <f t="shared" si="300"/>
        <v xml:space="preserve">                                                                </v>
      </c>
      <c r="AY94" s="174" t="str">
        <f t="shared" si="239"/>
        <v>NG</v>
      </c>
      <c r="AZ94" s="297"/>
      <c r="BA94" s="276" t="str">
        <f>IF(OR(AW$8="判定対象外",AZ$8="判定対象外",AZ94="-"),"-",IF(AW94=AZ94,"OK","NG"))</f>
        <v>OK</v>
      </c>
      <c r="BB94" s="233"/>
      <c r="BC94" s="268"/>
      <c r="BD94" s="235" t="str">
        <f t="shared" si="301"/>
        <v xml:space="preserve">                                                                </v>
      </c>
      <c r="BE94" s="174" t="str">
        <f t="shared" si="240"/>
        <v>NG</v>
      </c>
      <c r="BF94" s="297"/>
      <c r="BG94" s="276" t="str">
        <f>IF(OR(BC$8="判定対象外",BF$8="判定対象外",BF94="-"),"-",IF(BC94=BF94,"OK","NG"))</f>
        <v>OK</v>
      </c>
      <c r="BH94" s="233"/>
      <c r="BI94" s="268"/>
      <c r="BJ94" s="235" t="str">
        <f t="shared" si="302"/>
        <v xml:space="preserve">                                                                </v>
      </c>
      <c r="BK94" s="174" t="str">
        <f t="shared" si="241"/>
        <v>NG</v>
      </c>
      <c r="BL94" s="297"/>
      <c r="BM94" s="276" t="str">
        <f>IF(OR(BI$8="判定対象外",BL$8="判定対象外",BL94="-"),"-",IF(BI94=BL94,"OK","NG"))</f>
        <v>OK</v>
      </c>
      <c r="BN94" s="233"/>
      <c r="BO94" s="268"/>
      <c r="BP94" s="235" t="str">
        <f t="shared" si="303"/>
        <v xml:space="preserve">                                                                </v>
      </c>
      <c r="BQ94" s="174" t="str">
        <f t="shared" si="242"/>
        <v>NG</v>
      </c>
      <c r="BR94" s="297"/>
      <c r="BS94" s="276" t="str">
        <f>IF(OR(BO$8="判定対象外",BR$8="判定対象外",BR94="-"),"-",IF(BO94=BR94,"OK","NG"))</f>
        <v>OK</v>
      </c>
      <c r="BT94" s="233"/>
      <c r="BU94" s="268"/>
      <c r="BV94" s="235" t="str">
        <f t="shared" si="304"/>
        <v xml:space="preserve">                                                                </v>
      </c>
      <c r="BW94" s="174" t="str">
        <f t="shared" si="243"/>
        <v>NG</v>
      </c>
      <c r="BX94" s="297"/>
      <c r="BY94" s="276" t="str">
        <f>IF(OR(BU$8="判定対象外",BX$8="判定対象外",BX94="-"),"-",IF(BU94=BX94,"OK","NG"))</f>
        <v>OK</v>
      </c>
      <c r="BZ94" s="233"/>
      <c r="CA94" s="268"/>
      <c r="CB94" s="235" t="str">
        <f t="shared" si="305"/>
        <v xml:space="preserve">                                                                </v>
      </c>
      <c r="CC94" s="174" t="str">
        <f t="shared" si="244"/>
        <v>NG</v>
      </c>
      <c r="CD94" s="297"/>
      <c r="CE94" s="276" t="str">
        <f>IF(OR(CA$8="判定対象外",CD$8="判定対象外",CD94="-"),"-",IF(CA94=CD94,"OK","NG"))</f>
        <v>OK</v>
      </c>
      <c r="CF94" s="233"/>
      <c r="CG94" s="268"/>
      <c r="CH94" s="235" t="str">
        <f t="shared" si="306"/>
        <v xml:space="preserve">                                                                </v>
      </c>
      <c r="CI94" s="174" t="str">
        <f t="shared" si="245"/>
        <v>NG</v>
      </c>
      <c r="CJ94" s="297"/>
      <c r="CK94" s="276" t="str">
        <f>IF(OR(CG$8="判定対象外",CJ$8="判定対象外",CJ94="-"),"-",IF(CG94=CJ94,"OK","NG"))</f>
        <v>OK</v>
      </c>
      <c r="CL94" s="233"/>
      <c r="CM94" s="268"/>
      <c r="CN94" s="235" t="str">
        <f t="shared" si="307"/>
        <v xml:space="preserve">                                                                </v>
      </c>
      <c r="CO94" s="174" t="str">
        <f t="shared" si="246"/>
        <v>NG</v>
      </c>
      <c r="CP94" s="297"/>
      <c r="CQ94" s="276" t="str">
        <f>IF(OR(CM$8="判定対象外",CP$8="判定対象外",CP94="-"),"-",IF(CM94=CP94,"OK","NG"))</f>
        <v>OK</v>
      </c>
      <c r="CR94" s="233"/>
      <c r="CS94" s="268"/>
      <c r="CT94" s="235" t="str">
        <f t="shared" si="308"/>
        <v xml:space="preserve">                                                                </v>
      </c>
      <c r="CU94" s="174" t="str">
        <f t="shared" si="247"/>
        <v>NG</v>
      </c>
      <c r="CV94" s="297"/>
      <c r="CW94" s="276" t="str">
        <f>IF(OR(CS$8="判定対象外",CV$8="判定対象外",CV94="-"),"-",IF(CS94=CV94,"OK","NG"))</f>
        <v>OK</v>
      </c>
      <c r="CX94" s="233"/>
      <c r="CY94" s="268"/>
      <c r="CZ94" s="235" t="str">
        <f t="shared" si="309"/>
        <v xml:space="preserve">                                                                </v>
      </c>
      <c r="DA94" s="174" t="str">
        <f t="shared" si="248"/>
        <v>NG</v>
      </c>
      <c r="DB94" s="297"/>
      <c r="DC94" s="276" t="str">
        <f>IF(OR(CY$8="判定対象外",DB$8="判定対象外",DB94="-"),"-",IF(CY94=DB94,"OK","NG"))</f>
        <v>OK</v>
      </c>
      <c r="DD94" s="233"/>
      <c r="DE94" s="268"/>
      <c r="DF94" s="235" t="str">
        <f t="shared" si="310"/>
        <v xml:space="preserve">                                                                </v>
      </c>
      <c r="DG94" s="174" t="str">
        <f t="shared" si="249"/>
        <v>NG</v>
      </c>
      <c r="DH94" s="297"/>
      <c r="DI94" s="276" t="str">
        <f>IF(OR(DE$8="判定対象外",DH$8="判定対象外",DH94="-"),"-",IF(DE94=DH94,"OK","NG"))</f>
        <v>OK</v>
      </c>
      <c r="DJ94" s="233"/>
      <c r="DK94" s="268"/>
      <c r="DL94" s="235" t="str">
        <f t="shared" si="311"/>
        <v xml:space="preserve">                                                                </v>
      </c>
      <c r="DM94" s="174" t="str">
        <f t="shared" si="250"/>
        <v>NG</v>
      </c>
      <c r="DN94" s="297"/>
      <c r="DO94" s="276" t="str">
        <f>IF(OR(DK$8="判定対象外",DN$8="判定対象外",DN94="-"),"-",IF(DK94=DN94,"OK","NG"))</f>
        <v>OK</v>
      </c>
      <c r="DP94" s="233"/>
      <c r="DQ94" s="268"/>
      <c r="DR94" s="235" t="str">
        <f t="shared" si="312"/>
        <v xml:space="preserve">                                                                </v>
      </c>
      <c r="DS94" s="174" t="str">
        <f t="shared" si="215"/>
        <v>NG</v>
      </c>
      <c r="DT94" s="297"/>
      <c r="DU94" s="276" t="str">
        <f>IF(OR(DQ$8="判定対象外",DT$8="判定対象外",DT94="-"),"-",IF(DQ94=DT94,"OK","NG"))</f>
        <v>OK</v>
      </c>
      <c r="DV94" s="233"/>
      <c r="DW94" s="268"/>
      <c r="DX94" s="235" t="str">
        <f t="shared" si="313"/>
        <v xml:space="preserve">                                                                </v>
      </c>
      <c r="DY94" s="174" t="str">
        <f t="shared" si="216"/>
        <v>NG</v>
      </c>
      <c r="DZ94" s="297"/>
      <c r="EA94" s="276" t="str">
        <f>IF(OR(DW$8="判定対象外",DZ$8="判定対象外",DZ94="-"),"-",IF(DW94=DZ94,"OK","NG"))</f>
        <v>OK</v>
      </c>
      <c r="EB94" s="233"/>
      <c r="EC94" s="268"/>
      <c r="ED94" s="235" t="str">
        <f t="shared" si="314"/>
        <v xml:space="preserve">                                                                </v>
      </c>
      <c r="EE94" s="174" t="str">
        <f t="shared" si="217"/>
        <v>NG</v>
      </c>
      <c r="EF94" s="297"/>
      <c r="EG94" s="276" t="str">
        <f>IF(OR(EC$8="判定対象外",EF$8="判定対象外",EF94="-"),"-",IF(EC94=EF94,"OK","NG"))</f>
        <v>OK</v>
      </c>
      <c r="EH94" s="233"/>
      <c r="EI94" s="268"/>
      <c r="EJ94" s="235" t="str">
        <f t="shared" si="315"/>
        <v xml:space="preserve">                                                                </v>
      </c>
      <c r="EK94" s="174" t="str">
        <f t="shared" si="218"/>
        <v>NG</v>
      </c>
      <c r="EL94" s="297"/>
      <c r="EM94" s="276" t="str">
        <f>IF(OR(EI$8="判定対象外",EL$8="判定対象外",EL94="-"),"-",IF(EI94=EL94,"OK","NG"))</f>
        <v>OK</v>
      </c>
      <c r="EN94" s="233"/>
      <c r="EO94" s="268"/>
      <c r="EP94" s="235" t="str">
        <f t="shared" si="316"/>
        <v xml:space="preserve">                                                                </v>
      </c>
      <c r="EQ94" s="174" t="str">
        <f t="shared" si="219"/>
        <v>NG</v>
      </c>
      <c r="ER94" s="297"/>
      <c r="ES94" s="276" t="str">
        <f>IF(OR(EO$8="判定対象外",ER$8="判定対象外",ER94="-"),"-",IF(EO94=ER94,"OK","NG"))</f>
        <v>OK</v>
      </c>
      <c r="ET94" s="233"/>
      <c r="EU94" s="268"/>
      <c r="EV94" s="235" t="str">
        <f t="shared" si="317"/>
        <v xml:space="preserve">                                                                </v>
      </c>
      <c r="EW94" s="174" t="str">
        <f t="shared" si="220"/>
        <v>NG</v>
      </c>
      <c r="EX94" s="297"/>
      <c r="EY94" s="276" t="str">
        <f>IF(OR(EU$8="判定対象外",EX$8="判定対象外",EX94="-"),"-",IF(EU94=EX94,"OK","NG"))</f>
        <v>OK</v>
      </c>
      <c r="EZ94" s="233"/>
      <c r="FA94" s="268"/>
      <c r="FB94" s="235" t="str">
        <f t="shared" si="318"/>
        <v xml:space="preserve">                                                                </v>
      </c>
      <c r="FC94" s="174" t="str">
        <f t="shared" si="221"/>
        <v>NG</v>
      </c>
      <c r="FD94" s="297"/>
      <c r="FE94" s="276" t="str">
        <f>IF(OR(FA$8="判定対象外",FD$8="判定対象外",FD94="-"),"-",IF(FA94=FD94,"OK","NG"))</f>
        <v>OK</v>
      </c>
      <c r="FF94" s="233"/>
      <c r="FG94" s="268"/>
      <c r="FH94" s="235" t="str">
        <f t="shared" si="319"/>
        <v xml:space="preserve">                                                                </v>
      </c>
      <c r="FI94" s="174" t="str">
        <f t="shared" si="233"/>
        <v>NG</v>
      </c>
      <c r="FJ94" s="297"/>
      <c r="FK94" s="276" t="str">
        <f>IF(OR(FG$8="判定対象外",FJ$8="判定対象外",FJ94="-"),"-",IF(FG94=FJ94,"OK","NG"))</f>
        <v>OK</v>
      </c>
      <c r="FL94" s="233"/>
      <c r="FM94" s="268"/>
      <c r="FN94" s="235" t="str">
        <f t="shared" si="320"/>
        <v xml:space="preserve">                                                                </v>
      </c>
      <c r="FO94" s="174" t="str">
        <f t="shared" si="251"/>
        <v>NG</v>
      </c>
      <c r="FP94" s="297"/>
      <c r="FQ94" s="276" t="str">
        <f>IF(OR(FM$8="判定対象外",FP$8="判定対象外",FP94="-"),"-",IF(FM94=FP94,"OK","NG"))</f>
        <v>OK</v>
      </c>
      <c r="FR94" s="233"/>
      <c r="FS94" s="268"/>
      <c r="FT94" s="235" t="str">
        <f t="shared" si="321"/>
        <v xml:space="preserve">                                                                </v>
      </c>
      <c r="FU94" s="174" t="str">
        <f t="shared" si="252"/>
        <v>NG</v>
      </c>
      <c r="FV94" s="297"/>
      <c r="FW94" s="276" t="str">
        <f>IF(OR(FS$8="判定対象外",FV$8="判定対象外",FV94="-"),"-",IF(FS94=FV94,"OK","NG"))</f>
        <v>OK</v>
      </c>
      <c r="FX94" s="233"/>
      <c r="FY94" s="268"/>
      <c r="FZ94" s="235" t="str">
        <f t="shared" si="322"/>
        <v xml:space="preserve">                                                                </v>
      </c>
      <c r="GA94" s="174" t="str">
        <f t="shared" si="253"/>
        <v>NG</v>
      </c>
      <c r="GB94" s="297"/>
      <c r="GC94" s="276" t="str">
        <f>IF(OR(FY$8="判定対象外",GB$8="判定対象外",GB94="-"),"-",IF(FY94=GB94,"OK","NG"))</f>
        <v>OK</v>
      </c>
    </row>
    <row r="95" spans="1:185" s="237" customFormat="1" ht="92.25" customHeight="1">
      <c r="B95" s="216">
        <f t="shared" si="323"/>
        <v>88</v>
      </c>
      <c r="C95" s="220"/>
      <c r="D95" s="220"/>
      <c r="E95" s="220"/>
      <c r="F95" s="238" t="s">
        <v>352</v>
      </c>
      <c r="G95" s="168"/>
      <c r="H95" s="239"/>
      <c r="I95" s="225"/>
      <c r="J95" s="225"/>
      <c r="K95" s="226"/>
      <c r="L95" s="226"/>
      <c r="M95" s="279" t="s">
        <v>353</v>
      </c>
      <c r="N95" s="228"/>
      <c r="O95" s="229"/>
      <c r="P95" s="45">
        <f t="shared" si="235"/>
        <v>70</v>
      </c>
      <c r="Q95" s="230">
        <v>7</v>
      </c>
      <c r="R95" s="41" t="s">
        <v>81</v>
      </c>
      <c r="S95" s="185" t="s">
        <v>254</v>
      </c>
      <c r="T95" s="231"/>
      <c r="U95" s="41" t="s">
        <v>80</v>
      </c>
      <c r="V95" s="229"/>
      <c r="W95" s="232">
        <v>3</v>
      </c>
      <c r="X95" s="194" t="s">
        <v>261</v>
      </c>
      <c r="Y95" s="194">
        <v>7</v>
      </c>
      <c r="Z95" s="194">
        <v>7</v>
      </c>
      <c r="AA95" s="225" t="s">
        <v>260</v>
      </c>
      <c r="AB95" s="225" t="s">
        <v>57</v>
      </c>
      <c r="AC95" s="243"/>
      <c r="AD95" s="233"/>
      <c r="AE95" s="268"/>
      <c r="AF95" s="235" t="str">
        <f t="shared" si="298"/>
        <v xml:space="preserve">       </v>
      </c>
      <c r="AG95" s="174" t="str">
        <f t="shared" si="237"/>
        <v>NG</v>
      </c>
      <c r="AH95" s="297"/>
      <c r="AI95" s="276" t="str">
        <f>IF(OR(AE$8="判定対象外",AH$8="判定対象外",AH95="-"),"-",IF(AE95=AH95,"OK","NG"))</f>
        <v>OK</v>
      </c>
      <c r="AJ95" s="233"/>
      <c r="AK95" s="234"/>
      <c r="AL95" s="235" t="str">
        <f t="shared" si="281"/>
        <v xml:space="preserve">       </v>
      </c>
      <c r="AM95" s="174" t="str">
        <f t="shared" si="324"/>
        <v>NG</v>
      </c>
      <c r="AN95" s="269"/>
      <c r="AO95" s="276" t="str">
        <f>IF(OR(AK$8="判定対象外",AN$8="判定対象外",AN95="-"),"-",IF(AK95=AN95,"OK","NG"))</f>
        <v>OK</v>
      </c>
      <c r="AP95" s="233"/>
      <c r="AQ95" s="268"/>
      <c r="AR95" s="235" t="str">
        <f t="shared" si="299"/>
        <v xml:space="preserve">       </v>
      </c>
      <c r="AS95" s="174" t="str">
        <f t="shared" si="238"/>
        <v>NG</v>
      </c>
      <c r="AT95" s="297"/>
      <c r="AU95" s="276" t="str">
        <f>IF(OR(AQ$8="判定対象外",AT$8="判定対象外",AT95="-"),"-",IF(AQ95=AT95,"OK","NG"))</f>
        <v>OK</v>
      </c>
      <c r="AV95" s="233"/>
      <c r="AW95" s="268"/>
      <c r="AX95" s="235" t="str">
        <f t="shared" si="300"/>
        <v xml:space="preserve">       </v>
      </c>
      <c r="AY95" s="174" t="str">
        <f t="shared" si="239"/>
        <v>NG</v>
      </c>
      <c r="AZ95" s="297"/>
      <c r="BA95" s="276" t="str">
        <f>IF(OR(AW$8="判定対象外",AZ$8="判定対象外",AZ95="-"),"-",IF(AW95=AZ95,"OK","NG"))</f>
        <v>OK</v>
      </c>
      <c r="BB95" s="233"/>
      <c r="BC95" s="268"/>
      <c r="BD95" s="235" t="str">
        <f t="shared" si="301"/>
        <v xml:space="preserve">       </v>
      </c>
      <c r="BE95" s="174" t="str">
        <f t="shared" si="240"/>
        <v>NG</v>
      </c>
      <c r="BF95" s="297"/>
      <c r="BG95" s="276" t="str">
        <f>IF(OR(BC$8="判定対象外",BF$8="判定対象外",BF95="-"),"-",IF(BC95=BF95,"OK","NG"))</f>
        <v>OK</v>
      </c>
      <c r="BH95" s="233"/>
      <c r="BI95" s="268"/>
      <c r="BJ95" s="235" t="str">
        <f t="shared" si="302"/>
        <v xml:space="preserve">       </v>
      </c>
      <c r="BK95" s="174" t="str">
        <f t="shared" si="241"/>
        <v>NG</v>
      </c>
      <c r="BL95" s="297"/>
      <c r="BM95" s="276" t="str">
        <f>IF(OR(BI$8="判定対象外",BL$8="判定対象外",BL95="-"),"-",IF(BI95=BL95,"OK","NG"))</f>
        <v>OK</v>
      </c>
      <c r="BN95" s="233"/>
      <c r="BO95" s="268"/>
      <c r="BP95" s="235" t="str">
        <f t="shared" si="303"/>
        <v xml:space="preserve">       </v>
      </c>
      <c r="BQ95" s="174" t="str">
        <f t="shared" si="242"/>
        <v>NG</v>
      </c>
      <c r="BR95" s="297"/>
      <c r="BS95" s="276" t="str">
        <f>IF(OR(BO$8="判定対象外",BR$8="判定対象外",BR95="-"),"-",IF(BO95=BR95,"OK","NG"))</f>
        <v>OK</v>
      </c>
      <c r="BT95" s="233"/>
      <c r="BU95" s="268"/>
      <c r="BV95" s="235" t="str">
        <f t="shared" si="304"/>
        <v xml:space="preserve">       </v>
      </c>
      <c r="BW95" s="174" t="str">
        <f t="shared" si="243"/>
        <v>NG</v>
      </c>
      <c r="BX95" s="297"/>
      <c r="BY95" s="276" t="str">
        <f>IF(OR(BU$8="判定対象外",BX$8="判定対象外",BX95="-"),"-",IF(BU95=BX95,"OK","NG"))</f>
        <v>OK</v>
      </c>
      <c r="BZ95" s="233"/>
      <c r="CA95" s="268"/>
      <c r="CB95" s="235" t="str">
        <f t="shared" si="305"/>
        <v xml:space="preserve">       </v>
      </c>
      <c r="CC95" s="174" t="str">
        <f t="shared" si="244"/>
        <v>NG</v>
      </c>
      <c r="CD95" s="297"/>
      <c r="CE95" s="276" t="str">
        <f>IF(OR(CA$8="判定対象外",CD$8="判定対象外",CD95="-"),"-",IF(CA95=CD95,"OK","NG"))</f>
        <v>OK</v>
      </c>
      <c r="CF95" s="233"/>
      <c r="CG95" s="268"/>
      <c r="CH95" s="235" t="str">
        <f t="shared" si="306"/>
        <v xml:space="preserve">       </v>
      </c>
      <c r="CI95" s="174" t="str">
        <f t="shared" si="245"/>
        <v>NG</v>
      </c>
      <c r="CJ95" s="297"/>
      <c r="CK95" s="276" t="str">
        <f>IF(OR(CG$8="判定対象外",CJ$8="判定対象外",CJ95="-"),"-",IF(CG95=CJ95,"OK","NG"))</f>
        <v>OK</v>
      </c>
      <c r="CL95" s="233"/>
      <c r="CM95" s="268"/>
      <c r="CN95" s="235" t="str">
        <f t="shared" si="307"/>
        <v xml:space="preserve">       </v>
      </c>
      <c r="CO95" s="174" t="str">
        <f t="shared" si="246"/>
        <v>NG</v>
      </c>
      <c r="CP95" s="297"/>
      <c r="CQ95" s="276" t="str">
        <f>IF(OR(CM$8="判定対象外",CP$8="判定対象外",CP95="-"),"-",IF(CM95=CP95,"OK","NG"))</f>
        <v>OK</v>
      </c>
      <c r="CR95" s="233"/>
      <c r="CS95" s="268"/>
      <c r="CT95" s="235" t="str">
        <f t="shared" si="308"/>
        <v xml:space="preserve">       </v>
      </c>
      <c r="CU95" s="174" t="str">
        <f t="shared" si="247"/>
        <v>NG</v>
      </c>
      <c r="CV95" s="297"/>
      <c r="CW95" s="276" t="str">
        <f>IF(OR(CS$8="判定対象外",CV$8="判定対象外",CV95="-"),"-",IF(CS95=CV95,"OK","NG"))</f>
        <v>OK</v>
      </c>
      <c r="CX95" s="233"/>
      <c r="CY95" s="268"/>
      <c r="CZ95" s="235" t="str">
        <f t="shared" si="309"/>
        <v xml:space="preserve">       </v>
      </c>
      <c r="DA95" s="174" t="str">
        <f t="shared" si="248"/>
        <v>NG</v>
      </c>
      <c r="DB95" s="297"/>
      <c r="DC95" s="276" t="str">
        <f>IF(OR(CY$8="判定対象外",DB$8="判定対象外",DB95="-"),"-",IF(CY95=DB95,"OK","NG"))</f>
        <v>OK</v>
      </c>
      <c r="DD95" s="233"/>
      <c r="DE95" s="268"/>
      <c r="DF95" s="235" t="str">
        <f t="shared" si="310"/>
        <v xml:space="preserve">       </v>
      </c>
      <c r="DG95" s="174" t="str">
        <f t="shared" si="249"/>
        <v>NG</v>
      </c>
      <c r="DH95" s="297"/>
      <c r="DI95" s="276" t="str">
        <f>IF(OR(DE$8="判定対象外",DH$8="判定対象外",DH95="-"),"-",IF(DE95=DH95,"OK","NG"))</f>
        <v>OK</v>
      </c>
      <c r="DJ95" s="233"/>
      <c r="DK95" s="268"/>
      <c r="DL95" s="235" t="str">
        <f t="shared" si="311"/>
        <v xml:space="preserve">       </v>
      </c>
      <c r="DM95" s="174" t="str">
        <f t="shared" si="250"/>
        <v>NG</v>
      </c>
      <c r="DN95" s="297"/>
      <c r="DO95" s="276" t="str">
        <f>IF(OR(DK$8="判定対象外",DN$8="判定対象外",DN95="-"),"-",IF(DK95=DN95,"OK","NG"))</f>
        <v>OK</v>
      </c>
      <c r="DP95" s="233"/>
      <c r="DQ95" s="268"/>
      <c r="DR95" s="235" t="str">
        <f t="shared" si="312"/>
        <v xml:space="preserve">       </v>
      </c>
      <c r="DS95" s="174" t="str">
        <f t="shared" si="215"/>
        <v>NG</v>
      </c>
      <c r="DT95" s="297"/>
      <c r="DU95" s="276" t="str">
        <f>IF(OR(DQ$8="判定対象外",DT$8="判定対象外",DT95="-"),"-",IF(DQ95=DT95,"OK","NG"))</f>
        <v>OK</v>
      </c>
      <c r="DV95" s="233"/>
      <c r="DW95" s="268"/>
      <c r="DX95" s="235" t="str">
        <f t="shared" si="313"/>
        <v xml:space="preserve">       </v>
      </c>
      <c r="DY95" s="174" t="str">
        <f t="shared" si="216"/>
        <v>NG</v>
      </c>
      <c r="DZ95" s="297"/>
      <c r="EA95" s="276" t="str">
        <f>IF(OR(DW$8="判定対象外",DZ$8="判定対象外",DZ95="-"),"-",IF(DW95=DZ95,"OK","NG"))</f>
        <v>OK</v>
      </c>
      <c r="EB95" s="233"/>
      <c r="EC95" s="268"/>
      <c r="ED95" s="235" t="str">
        <f t="shared" si="314"/>
        <v xml:space="preserve">       </v>
      </c>
      <c r="EE95" s="174" t="str">
        <f t="shared" si="217"/>
        <v>NG</v>
      </c>
      <c r="EF95" s="297"/>
      <c r="EG95" s="276" t="str">
        <f>IF(OR(EC$8="判定対象外",EF$8="判定対象外",EF95="-"),"-",IF(EC95=EF95,"OK","NG"))</f>
        <v>OK</v>
      </c>
      <c r="EH95" s="233"/>
      <c r="EI95" s="268"/>
      <c r="EJ95" s="235" t="str">
        <f t="shared" si="315"/>
        <v xml:space="preserve">       </v>
      </c>
      <c r="EK95" s="174" t="str">
        <f t="shared" si="218"/>
        <v>NG</v>
      </c>
      <c r="EL95" s="297"/>
      <c r="EM95" s="276" t="str">
        <f>IF(OR(EI$8="判定対象外",EL$8="判定対象外",EL95="-"),"-",IF(EI95=EL95,"OK","NG"))</f>
        <v>OK</v>
      </c>
      <c r="EN95" s="233"/>
      <c r="EO95" s="268"/>
      <c r="EP95" s="235" t="str">
        <f t="shared" si="316"/>
        <v xml:space="preserve">       </v>
      </c>
      <c r="EQ95" s="174" t="str">
        <f t="shared" si="219"/>
        <v>NG</v>
      </c>
      <c r="ER95" s="297"/>
      <c r="ES95" s="276" t="str">
        <f>IF(OR(EO$8="判定対象外",ER$8="判定対象外",ER95="-"),"-",IF(EO95=ER95,"OK","NG"))</f>
        <v>OK</v>
      </c>
      <c r="ET95" s="233"/>
      <c r="EU95" s="268"/>
      <c r="EV95" s="235" t="str">
        <f t="shared" si="317"/>
        <v xml:space="preserve">       </v>
      </c>
      <c r="EW95" s="174" t="str">
        <f t="shared" si="220"/>
        <v>NG</v>
      </c>
      <c r="EX95" s="297"/>
      <c r="EY95" s="276" t="str">
        <f>IF(OR(EU$8="判定対象外",EX$8="判定対象外",EX95="-"),"-",IF(EU95=EX95,"OK","NG"))</f>
        <v>OK</v>
      </c>
      <c r="EZ95" s="233"/>
      <c r="FA95" s="268"/>
      <c r="FB95" s="235" t="str">
        <f t="shared" si="318"/>
        <v xml:space="preserve">       </v>
      </c>
      <c r="FC95" s="174" t="str">
        <f t="shared" si="221"/>
        <v>NG</v>
      </c>
      <c r="FD95" s="297"/>
      <c r="FE95" s="276" t="str">
        <f>IF(OR(FA$8="判定対象外",FD$8="判定対象外",FD95="-"),"-",IF(FA95=FD95,"OK","NG"))</f>
        <v>OK</v>
      </c>
      <c r="FF95" s="233"/>
      <c r="FG95" s="268"/>
      <c r="FH95" s="235" t="str">
        <f t="shared" si="319"/>
        <v xml:space="preserve">       </v>
      </c>
      <c r="FI95" s="174" t="str">
        <f t="shared" si="233"/>
        <v>NG</v>
      </c>
      <c r="FJ95" s="297"/>
      <c r="FK95" s="276" t="str">
        <f>IF(OR(FG$8="判定対象外",FJ$8="判定対象外",FJ95="-"),"-",IF(FG95=FJ95,"OK","NG"))</f>
        <v>OK</v>
      </c>
      <c r="FL95" s="233"/>
      <c r="FM95" s="268"/>
      <c r="FN95" s="235" t="str">
        <f t="shared" si="320"/>
        <v xml:space="preserve">       </v>
      </c>
      <c r="FO95" s="174" t="str">
        <f t="shared" si="251"/>
        <v>NG</v>
      </c>
      <c r="FP95" s="297"/>
      <c r="FQ95" s="276" t="str">
        <f>IF(OR(FM$8="判定対象外",FP$8="判定対象外",FP95="-"),"-",IF(FM95=FP95,"OK","NG"))</f>
        <v>OK</v>
      </c>
      <c r="FR95" s="233"/>
      <c r="FS95" s="268"/>
      <c r="FT95" s="235" t="str">
        <f t="shared" si="321"/>
        <v xml:space="preserve">       </v>
      </c>
      <c r="FU95" s="174" t="str">
        <f t="shared" si="252"/>
        <v>NG</v>
      </c>
      <c r="FV95" s="297"/>
      <c r="FW95" s="276" t="str">
        <f>IF(OR(FS$8="判定対象外",FV$8="判定対象外",FV95="-"),"-",IF(FS95=FV95,"OK","NG"))</f>
        <v>OK</v>
      </c>
      <c r="FX95" s="233"/>
      <c r="FY95" s="268"/>
      <c r="FZ95" s="235" t="str">
        <f t="shared" si="322"/>
        <v xml:space="preserve">       </v>
      </c>
      <c r="GA95" s="174" t="str">
        <f t="shared" si="253"/>
        <v>NG</v>
      </c>
      <c r="GB95" s="297"/>
      <c r="GC95" s="276" t="str">
        <f>IF(OR(FY$8="判定対象外",GB$8="判定対象外",GB95="-"),"-",IF(FY95=GB95,"OK","NG"))</f>
        <v>OK</v>
      </c>
    </row>
    <row r="96" spans="1:185" s="237" customFormat="1" ht="127.9" thickBot="1">
      <c r="A96" s="244"/>
      <c r="B96" s="286">
        <f t="shared" si="323"/>
        <v>89</v>
      </c>
      <c r="C96" s="245"/>
      <c r="D96" s="245"/>
      <c r="E96" s="245"/>
      <c r="F96" s="287" t="s">
        <v>354</v>
      </c>
      <c r="G96" s="288"/>
      <c r="H96" s="289"/>
      <c r="I96" s="290"/>
      <c r="J96" s="290"/>
      <c r="K96" s="290"/>
      <c r="L96" s="290"/>
      <c r="M96" s="291" t="s">
        <v>355</v>
      </c>
      <c r="N96" s="280"/>
      <c r="O96" s="284"/>
      <c r="P96" s="71">
        <f t="shared" si="235"/>
        <v>71</v>
      </c>
      <c r="Q96" s="74">
        <v>1</v>
      </c>
      <c r="R96" s="73">
        <v>9</v>
      </c>
      <c r="S96" s="74" t="s">
        <v>256</v>
      </c>
      <c r="T96" s="74"/>
      <c r="U96" s="73" t="s">
        <v>257</v>
      </c>
      <c r="V96" s="246"/>
      <c r="W96" s="76" t="str">
        <f>IF(C96&lt;&gt;"","0",IF(D96&lt;&gt;"","1",IF(E96&lt;&gt;"","2",IF(F96&lt;&gt;"","3",IF(G96&lt;&gt;"","4",IF(H96&lt;&gt;"","5"))))))</f>
        <v>3</v>
      </c>
      <c r="X96" s="77" t="s">
        <v>259</v>
      </c>
      <c r="Y96" s="77">
        <v>1</v>
      </c>
      <c r="Z96" s="77">
        <v>1</v>
      </c>
      <c r="AA96" s="247">
        <v>9</v>
      </c>
      <c r="AB96" s="68" t="s">
        <v>257</v>
      </c>
      <c r="AC96" s="248"/>
      <c r="AD96" s="249"/>
      <c r="AE96" s="300"/>
      <c r="AF96" s="253" t="str">
        <f t="shared" si="298"/>
        <v xml:space="preserve"> </v>
      </c>
      <c r="AG96" s="177" t="str">
        <f t="shared" si="237"/>
        <v>NG</v>
      </c>
      <c r="AH96" s="300"/>
      <c r="AI96" s="270" t="str">
        <f>IF(OR(AE$8="判定対象外",AH$8="判定対象外",AH96="-"),"-",IF(AE96=AH96,"OK","NG"))</f>
        <v>OK</v>
      </c>
      <c r="AJ96" s="249"/>
      <c r="AK96" s="250"/>
      <c r="AL96" s="253" t="str">
        <f t="shared" si="281"/>
        <v xml:space="preserve"> </v>
      </c>
      <c r="AM96" s="177" t="str">
        <f t="shared" si="324"/>
        <v>NG</v>
      </c>
      <c r="AN96" s="250"/>
      <c r="AO96" s="270" t="str">
        <f>IF(OR(AK$8="判定対象外",AN$8="判定対象外",AN96="-"),"-",IF(AK96=AN96,"OK","NG"))</f>
        <v>OK</v>
      </c>
      <c r="AP96" s="249"/>
      <c r="AQ96" s="300"/>
      <c r="AR96" s="253" t="str">
        <f t="shared" si="299"/>
        <v xml:space="preserve"> </v>
      </c>
      <c r="AS96" s="177" t="str">
        <f t="shared" si="238"/>
        <v>NG</v>
      </c>
      <c r="AT96" s="300"/>
      <c r="AU96" s="270" t="str">
        <f>IF(OR(AQ$8="判定対象外",AT$8="判定対象外",AT96="-"),"-",IF(AQ96=AT96,"OK","NG"))</f>
        <v>OK</v>
      </c>
      <c r="AV96" s="249"/>
      <c r="AW96" s="300"/>
      <c r="AX96" s="253" t="str">
        <f t="shared" si="300"/>
        <v xml:space="preserve"> </v>
      </c>
      <c r="AY96" s="177" t="str">
        <f t="shared" si="239"/>
        <v>NG</v>
      </c>
      <c r="AZ96" s="300"/>
      <c r="BA96" s="270" t="str">
        <f>IF(OR(AW$8="判定対象外",AZ$8="判定対象外",AZ96="-"),"-",IF(AW96=AZ96,"OK","NG"))</f>
        <v>OK</v>
      </c>
      <c r="BB96" s="249"/>
      <c r="BC96" s="300"/>
      <c r="BD96" s="253" t="str">
        <f t="shared" si="301"/>
        <v xml:space="preserve"> </v>
      </c>
      <c r="BE96" s="177" t="str">
        <f t="shared" si="240"/>
        <v>NG</v>
      </c>
      <c r="BF96" s="300"/>
      <c r="BG96" s="270" t="str">
        <f>IF(OR(BC$8="判定対象外",BF$8="判定対象外",BF96="-"),"-",IF(BC96=BF96,"OK","NG"))</f>
        <v>OK</v>
      </c>
      <c r="BH96" s="249"/>
      <c r="BI96" s="300"/>
      <c r="BJ96" s="253" t="str">
        <f t="shared" si="302"/>
        <v xml:space="preserve"> </v>
      </c>
      <c r="BK96" s="177" t="str">
        <f t="shared" si="241"/>
        <v>NG</v>
      </c>
      <c r="BL96" s="300"/>
      <c r="BM96" s="270" t="str">
        <f>IF(OR(BI$8="判定対象外",BL$8="判定対象外",BL96="-"),"-",IF(BI96=BL96,"OK","NG"))</f>
        <v>OK</v>
      </c>
      <c r="BN96" s="249"/>
      <c r="BO96" s="300"/>
      <c r="BP96" s="253" t="str">
        <f t="shared" si="303"/>
        <v xml:space="preserve"> </v>
      </c>
      <c r="BQ96" s="177" t="str">
        <f t="shared" si="242"/>
        <v>NG</v>
      </c>
      <c r="BR96" s="300"/>
      <c r="BS96" s="270" t="str">
        <f>IF(OR(BO$8="判定対象外",BR$8="判定対象外",BR96="-"),"-",IF(BO96=BR96,"OK","NG"))</f>
        <v>OK</v>
      </c>
      <c r="BT96" s="249"/>
      <c r="BU96" s="300"/>
      <c r="BV96" s="253" t="str">
        <f t="shared" si="304"/>
        <v xml:space="preserve"> </v>
      </c>
      <c r="BW96" s="177" t="str">
        <f t="shared" si="243"/>
        <v>NG</v>
      </c>
      <c r="BX96" s="300"/>
      <c r="BY96" s="270" t="str">
        <f>IF(OR(BU$8="判定対象外",BX$8="判定対象外",BX96="-"),"-",IF(BU96=BX96,"OK","NG"))</f>
        <v>OK</v>
      </c>
      <c r="BZ96" s="249"/>
      <c r="CA96" s="300"/>
      <c r="CB96" s="253" t="str">
        <f t="shared" si="305"/>
        <v xml:space="preserve"> </v>
      </c>
      <c r="CC96" s="177" t="str">
        <f t="shared" si="244"/>
        <v>NG</v>
      </c>
      <c r="CD96" s="300"/>
      <c r="CE96" s="270" t="str">
        <f>IF(OR(CA$8="判定対象外",CD$8="判定対象外",CD96="-"),"-",IF(CA96=CD96,"OK","NG"))</f>
        <v>OK</v>
      </c>
      <c r="CF96" s="249"/>
      <c r="CG96" s="300"/>
      <c r="CH96" s="253" t="str">
        <f t="shared" si="306"/>
        <v xml:space="preserve"> </v>
      </c>
      <c r="CI96" s="177" t="str">
        <f t="shared" si="245"/>
        <v>NG</v>
      </c>
      <c r="CJ96" s="300"/>
      <c r="CK96" s="270" t="str">
        <f>IF(OR(CG$8="判定対象外",CJ$8="判定対象外",CJ96="-"),"-",IF(CG96=CJ96,"OK","NG"))</f>
        <v>OK</v>
      </c>
      <c r="CL96" s="249"/>
      <c r="CM96" s="300"/>
      <c r="CN96" s="253" t="str">
        <f t="shared" si="307"/>
        <v xml:space="preserve"> </v>
      </c>
      <c r="CO96" s="177" t="str">
        <f t="shared" si="246"/>
        <v>NG</v>
      </c>
      <c r="CP96" s="300"/>
      <c r="CQ96" s="270" t="str">
        <f>IF(OR(CM$8="判定対象外",CP$8="判定対象外",CP96="-"),"-",IF(CM96=CP96,"OK","NG"))</f>
        <v>OK</v>
      </c>
      <c r="CR96" s="249"/>
      <c r="CS96" s="300"/>
      <c r="CT96" s="253" t="str">
        <f t="shared" si="308"/>
        <v xml:space="preserve"> </v>
      </c>
      <c r="CU96" s="177" t="str">
        <f t="shared" si="247"/>
        <v>NG</v>
      </c>
      <c r="CV96" s="300"/>
      <c r="CW96" s="270" t="str">
        <f>IF(OR(CS$8="判定対象外",CV$8="判定対象外",CV96="-"),"-",IF(CS96=CV96,"OK","NG"))</f>
        <v>OK</v>
      </c>
      <c r="CX96" s="249"/>
      <c r="CY96" s="300"/>
      <c r="CZ96" s="253" t="str">
        <f t="shared" si="309"/>
        <v xml:space="preserve"> </v>
      </c>
      <c r="DA96" s="177" t="str">
        <f t="shared" si="248"/>
        <v>NG</v>
      </c>
      <c r="DB96" s="300"/>
      <c r="DC96" s="270" t="str">
        <f>IF(OR(CY$8="判定対象外",DB$8="判定対象外",DB96="-"),"-",IF(CY96=DB96,"OK","NG"))</f>
        <v>OK</v>
      </c>
      <c r="DD96" s="249"/>
      <c r="DE96" s="300"/>
      <c r="DF96" s="253" t="str">
        <f t="shared" si="310"/>
        <v xml:space="preserve"> </v>
      </c>
      <c r="DG96" s="177" t="str">
        <f t="shared" si="249"/>
        <v>NG</v>
      </c>
      <c r="DH96" s="300"/>
      <c r="DI96" s="270" t="str">
        <f>IF(OR(DE$8="判定対象外",DH$8="判定対象外",DH96="-"),"-",IF(DE96=DH96,"OK","NG"))</f>
        <v>OK</v>
      </c>
      <c r="DJ96" s="249"/>
      <c r="DK96" s="300"/>
      <c r="DL96" s="253" t="str">
        <f t="shared" si="311"/>
        <v xml:space="preserve"> </v>
      </c>
      <c r="DM96" s="177" t="str">
        <f t="shared" si="250"/>
        <v>NG</v>
      </c>
      <c r="DN96" s="300"/>
      <c r="DO96" s="270" t="str">
        <f>IF(OR(DK$8="判定対象外",DN$8="判定対象外",DN96="-"),"-",IF(DK96=DN96,"OK","NG"))</f>
        <v>OK</v>
      </c>
      <c r="DP96" s="249"/>
      <c r="DQ96" s="300"/>
      <c r="DR96" s="253" t="str">
        <f t="shared" si="312"/>
        <v xml:space="preserve"> </v>
      </c>
      <c r="DS96" s="177" t="str">
        <f t="shared" si="215"/>
        <v>NG</v>
      </c>
      <c r="DT96" s="300"/>
      <c r="DU96" s="270" t="str">
        <f>IF(OR(DQ$8="判定対象外",DT$8="判定対象外",DT96="-"),"-",IF(DQ96=DT96,"OK","NG"))</f>
        <v>OK</v>
      </c>
      <c r="DV96" s="249"/>
      <c r="DW96" s="300"/>
      <c r="DX96" s="253" t="str">
        <f t="shared" si="313"/>
        <v xml:space="preserve"> </v>
      </c>
      <c r="DY96" s="177" t="str">
        <f t="shared" si="216"/>
        <v>NG</v>
      </c>
      <c r="DZ96" s="300"/>
      <c r="EA96" s="270" t="str">
        <f>IF(OR(DW$8="判定対象外",DZ$8="判定対象外",DZ96="-"),"-",IF(DW96=DZ96,"OK","NG"))</f>
        <v>OK</v>
      </c>
      <c r="EB96" s="249"/>
      <c r="EC96" s="300"/>
      <c r="ED96" s="253" t="str">
        <f t="shared" si="314"/>
        <v xml:space="preserve"> </v>
      </c>
      <c r="EE96" s="177" t="str">
        <f t="shared" si="217"/>
        <v>NG</v>
      </c>
      <c r="EF96" s="300"/>
      <c r="EG96" s="270" t="str">
        <f>IF(OR(EC$8="判定対象外",EF$8="判定対象外",EF96="-"),"-",IF(EC96=EF96,"OK","NG"))</f>
        <v>OK</v>
      </c>
      <c r="EH96" s="249"/>
      <c r="EI96" s="300"/>
      <c r="EJ96" s="253" t="str">
        <f t="shared" si="315"/>
        <v xml:space="preserve"> </v>
      </c>
      <c r="EK96" s="177" t="str">
        <f t="shared" si="218"/>
        <v>NG</v>
      </c>
      <c r="EL96" s="300"/>
      <c r="EM96" s="270" t="str">
        <f>IF(OR(EI$8="判定対象外",EL$8="判定対象外",EL96="-"),"-",IF(EI96=EL96,"OK","NG"))</f>
        <v>OK</v>
      </c>
      <c r="EN96" s="249"/>
      <c r="EO96" s="300"/>
      <c r="EP96" s="253" t="str">
        <f t="shared" si="316"/>
        <v xml:space="preserve"> </v>
      </c>
      <c r="EQ96" s="177" t="str">
        <f t="shared" si="219"/>
        <v>NG</v>
      </c>
      <c r="ER96" s="300"/>
      <c r="ES96" s="270" t="str">
        <f>IF(OR(EO$8="判定対象外",ER$8="判定対象外",ER96="-"),"-",IF(EO96=ER96,"OK","NG"))</f>
        <v>OK</v>
      </c>
      <c r="ET96" s="249"/>
      <c r="EU96" s="300"/>
      <c r="EV96" s="253" t="str">
        <f t="shared" si="317"/>
        <v xml:space="preserve"> </v>
      </c>
      <c r="EW96" s="177" t="str">
        <f t="shared" si="220"/>
        <v>NG</v>
      </c>
      <c r="EX96" s="300"/>
      <c r="EY96" s="270" t="str">
        <f>IF(OR(EU$8="判定対象外",EX$8="判定対象外",EX96="-"),"-",IF(EU96=EX96,"OK","NG"))</f>
        <v>OK</v>
      </c>
      <c r="EZ96" s="249"/>
      <c r="FA96" s="300"/>
      <c r="FB96" s="253" t="str">
        <f t="shared" si="318"/>
        <v xml:space="preserve"> </v>
      </c>
      <c r="FC96" s="177" t="str">
        <f t="shared" si="221"/>
        <v>NG</v>
      </c>
      <c r="FD96" s="300"/>
      <c r="FE96" s="270" t="str">
        <f>IF(OR(FA$8="判定対象外",FD$8="判定対象外",FD96="-"),"-",IF(FA96=FD96,"OK","NG"))</f>
        <v>OK</v>
      </c>
      <c r="FF96" s="249"/>
      <c r="FG96" s="300"/>
      <c r="FH96" s="253" t="str">
        <f t="shared" si="319"/>
        <v xml:space="preserve"> </v>
      </c>
      <c r="FI96" s="177" t="str">
        <f t="shared" si="233"/>
        <v>NG</v>
      </c>
      <c r="FJ96" s="300"/>
      <c r="FK96" s="270" t="str">
        <f>IF(OR(FG$8="判定対象外",FJ$8="判定対象外",FJ96="-"),"-",IF(FG96=FJ96,"OK","NG"))</f>
        <v>OK</v>
      </c>
      <c r="FL96" s="249"/>
      <c r="FM96" s="300"/>
      <c r="FN96" s="253" t="str">
        <f t="shared" si="320"/>
        <v xml:space="preserve"> </v>
      </c>
      <c r="FO96" s="177" t="str">
        <f t="shared" si="251"/>
        <v>NG</v>
      </c>
      <c r="FP96" s="300"/>
      <c r="FQ96" s="270" t="str">
        <f>IF(OR(FM$8="判定対象外",FP$8="判定対象外",FP96="-"),"-",IF(FM96=FP96,"OK","NG"))</f>
        <v>OK</v>
      </c>
      <c r="FR96" s="249"/>
      <c r="FS96" s="300"/>
      <c r="FT96" s="253" t="str">
        <f t="shared" si="321"/>
        <v xml:space="preserve"> </v>
      </c>
      <c r="FU96" s="177" t="str">
        <f t="shared" si="252"/>
        <v>NG</v>
      </c>
      <c r="FV96" s="300"/>
      <c r="FW96" s="270" t="str">
        <f>IF(OR(FS$8="判定対象外",FV$8="判定対象外",FV96="-"),"-",IF(FS96=FV96,"OK","NG"))</f>
        <v>OK</v>
      </c>
      <c r="FX96" s="249"/>
      <c r="FY96" s="300"/>
      <c r="FZ96" s="253" t="str">
        <f t="shared" si="322"/>
        <v xml:space="preserve"> </v>
      </c>
      <c r="GA96" s="177" t="str">
        <f t="shared" si="253"/>
        <v>NG</v>
      </c>
      <c r="GB96" s="300"/>
      <c r="GC96" s="270" t="str">
        <f>IF(OR(FY$8="判定対象外",GB$8="判定対象外",GB96="-"),"-",IF(FY96=GB96,"OK","NG"))</f>
        <v>OK</v>
      </c>
    </row>
    <row r="97" spans="2:185" s="52" customFormat="1" ht="18.75" customHeight="1" thickTop="1">
      <c r="B97" s="48">
        <f t="shared" si="323"/>
        <v>90</v>
      </c>
      <c r="C97" s="37"/>
      <c r="D97" s="37"/>
      <c r="E97" s="26" t="s">
        <v>315</v>
      </c>
      <c r="F97" s="254"/>
      <c r="G97" s="254"/>
      <c r="H97" s="28"/>
      <c r="I97" s="42" t="s">
        <v>1</v>
      </c>
      <c r="J97" s="42" t="s">
        <v>316</v>
      </c>
      <c r="K97" s="42"/>
      <c r="L97" s="42"/>
      <c r="M97" s="47" t="s">
        <v>317</v>
      </c>
      <c r="N97" s="281"/>
      <c r="O97" s="282"/>
      <c r="P97" s="20"/>
      <c r="Q97" s="21"/>
      <c r="R97" s="16"/>
      <c r="S97" s="283"/>
      <c r="T97" s="281"/>
      <c r="U97" s="16"/>
      <c r="V97" s="207"/>
      <c r="W97" s="22" t="str">
        <f>IF(C97&lt;&gt;"","0",IF(D97&lt;&gt;"","1",IF(E97&lt;&gt;"","2",IF(F97&lt;&gt;"","3",IF(G97&lt;&gt;"","4",IF(H97&lt;&gt;"","5"))))))</f>
        <v>2</v>
      </c>
      <c r="X97" s="47" t="s">
        <v>187</v>
      </c>
      <c r="Y97" s="47"/>
      <c r="Z97" s="47"/>
      <c r="AA97" s="42"/>
      <c r="AB97" s="42" t="s">
        <v>257</v>
      </c>
      <c r="AC97" s="251"/>
      <c r="AD97" s="160"/>
      <c r="AE97" s="141"/>
      <c r="AF97" s="203" t="str">
        <f t="shared" si="298"/>
        <v/>
      </c>
      <c r="AG97" s="174" t="str">
        <f t="shared" si="237"/>
        <v>OK</v>
      </c>
      <c r="AH97" s="141"/>
      <c r="AI97" s="278" t="s">
        <v>71</v>
      </c>
      <c r="AJ97" s="160"/>
      <c r="AK97" s="141"/>
      <c r="AL97" s="203" t="str">
        <f t="shared" si="281"/>
        <v/>
      </c>
      <c r="AM97" s="174" t="str">
        <f t="shared" si="324"/>
        <v>OK</v>
      </c>
      <c r="AN97" s="141"/>
      <c r="AO97" s="278" t="s">
        <v>71</v>
      </c>
      <c r="AP97" s="160"/>
      <c r="AQ97" s="141"/>
      <c r="AR97" s="203" t="str">
        <f t="shared" si="299"/>
        <v/>
      </c>
      <c r="AS97" s="174" t="str">
        <f t="shared" si="238"/>
        <v>OK</v>
      </c>
      <c r="AT97" s="141"/>
      <c r="AU97" s="278" t="s">
        <v>71</v>
      </c>
      <c r="AV97" s="160"/>
      <c r="AW97" s="141"/>
      <c r="AX97" s="203" t="str">
        <f t="shared" si="300"/>
        <v/>
      </c>
      <c r="AY97" s="174" t="str">
        <f t="shared" si="239"/>
        <v>OK</v>
      </c>
      <c r="AZ97" s="141"/>
      <c r="BA97" s="278" t="s">
        <v>71</v>
      </c>
      <c r="BB97" s="160"/>
      <c r="BC97" s="141"/>
      <c r="BD97" s="203" t="str">
        <f t="shared" si="301"/>
        <v/>
      </c>
      <c r="BE97" s="174" t="str">
        <f t="shared" si="240"/>
        <v>OK</v>
      </c>
      <c r="BF97" s="141"/>
      <c r="BG97" s="278" t="s">
        <v>71</v>
      </c>
      <c r="BH97" s="160"/>
      <c r="BI97" s="141"/>
      <c r="BJ97" s="203" t="str">
        <f t="shared" si="302"/>
        <v/>
      </c>
      <c r="BK97" s="174" t="str">
        <f t="shared" si="241"/>
        <v>OK</v>
      </c>
      <c r="BL97" s="141"/>
      <c r="BM97" s="278" t="s">
        <v>71</v>
      </c>
      <c r="BN97" s="160"/>
      <c r="BO97" s="141"/>
      <c r="BP97" s="203" t="str">
        <f t="shared" si="303"/>
        <v/>
      </c>
      <c r="BQ97" s="174" t="str">
        <f t="shared" si="242"/>
        <v>OK</v>
      </c>
      <c r="BR97" s="141"/>
      <c r="BS97" s="278" t="s">
        <v>71</v>
      </c>
      <c r="BT97" s="160"/>
      <c r="BU97" s="141"/>
      <c r="BV97" s="203" t="str">
        <f t="shared" si="304"/>
        <v/>
      </c>
      <c r="BW97" s="174" t="str">
        <f t="shared" si="243"/>
        <v>OK</v>
      </c>
      <c r="BX97" s="141"/>
      <c r="BY97" s="278" t="s">
        <v>71</v>
      </c>
      <c r="BZ97" s="160"/>
      <c r="CA97" s="141"/>
      <c r="CB97" s="203" t="str">
        <f t="shared" si="305"/>
        <v/>
      </c>
      <c r="CC97" s="174" t="str">
        <f t="shared" si="244"/>
        <v>OK</v>
      </c>
      <c r="CD97" s="141"/>
      <c r="CE97" s="278" t="s">
        <v>71</v>
      </c>
      <c r="CF97" s="160"/>
      <c r="CG97" s="141"/>
      <c r="CH97" s="203" t="str">
        <f t="shared" si="306"/>
        <v/>
      </c>
      <c r="CI97" s="174" t="str">
        <f t="shared" si="245"/>
        <v>OK</v>
      </c>
      <c r="CJ97" s="141"/>
      <c r="CK97" s="278" t="s">
        <v>71</v>
      </c>
      <c r="CL97" s="160"/>
      <c r="CM97" s="141"/>
      <c r="CN97" s="203" t="str">
        <f t="shared" si="307"/>
        <v/>
      </c>
      <c r="CO97" s="174" t="str">
        <f t="shared" si="246"/>
        <v>OK</v>
      </c>
      <c r="CP97" s="141"/>
      <c r="CQ97" s="278" t="s">
        <v>71</v>
      </c>
      <c r="CR97" s="160"/>
      <c r="CS97" s="141"/>
      <c r="CT97" s="203" t="str">
        <f t="shared" si="308"/>
        <v/>
      </c>
      <c r="CU97" s="174" t="str">
        <f t="shared" si="247"/>
        <v>OK</v>
      </c>
      <c r="CV97" s="141"/>
      <c r="CW97" s="278" t="s">
        <v>71</v>
      </c>
      <c r="CX97" s="160"/>
      <c r="CY97" s="141"/>
      <c r="CZ97" s="203" t="str">
        <f t="shared" si="309"/>
        <v/>
      </c>
      <c r="DA97" s="174" t="str">
        <f t="shared" si="248"/>
        <v>OK</v>
      </c>
      <c r="DB97" s="141"/>
      <c r="DC97" s="278" t="s">
        <v>71</v>
      </c>
      <c r="DD97" s="160"/>
      <c r="DE97" s="141"/>
      <c r="DF97" s="203" t="str">
        <f t="shared" si="310"/>
        <v/>
      </c>
      <c r="DG97" s="174" t="str">
        <f t="shared" si="249"/>
        <v>OK</v>
      </c>
      <c r="DH97" s="141"/>
      <c r="DI97" s="278" t="s">
        <v>71</v>
      </c>
      <c r="DJ97" s="160"/>
      <c r="DK97" s="141"/>
      <c r="DL97" s="203" t="str">
        <f t="shared" si="311"/>
        <v/>
      </c>
      <c r="DM97" s="174" t="str">
        <f t="shared" si="250"/>
        <v>OK</v>
      </c>
      <c r="DN97" s="141"/>
      <c r="DO97" s="278" t="s">
        <v>71</v>
      </c>
      <c r="DP97" s="160"/>
      <c r="DQ97" s="141"/>
      <c r="DR97" s="203" t="str">
        <f t="shared" si="312"/>
        <v/>
      </c>
      <c r="DS97" s="174" t="str">
        <f t="shared" si="215"/>
        <v>OK</v>
      </c>
      <c r="DT97" s="141"/>
      <c r="DU97" s="278" t="s">
        <v>71</v>
      </c>
      <c r="DV97" s="160"/>
      <c r="DW97" s="141"/>
      <c r="DX97" s="203" t="str">
        <f t="shared" si="313"/>
        <v/>
      </c>
      <c r="DY97" s="174" t="str">
        <f t="shared" si="216"/>
        <v>OK</v>
      </c>
      <c r="DZ97" s="141"/>
      <c r="EA97" s="278" t="s">
        <v>71</v>
      </c>
      <c r="EB97" s="160"/>
      <c r="EC97" s="141"/>
      <c r="ED97" s="203" t="str">
        <f t="shared" si="314"/>
        <v/>
      </c>
      <c r="EE97" s="174" t="str">
        <f t="shared" si="217"/>
        <v>OK</v>
      </c>
      <c r="EF97" s="141"/>
      <c r="EG97" s="278" t="s">
        <v>71</v>
      </c>
      <c r="EH97" s="160"/>
      <c r="EI97" s="141"/>
      <c r="EJ97" s="203" t="str">
        <f t="shared" si="315"/>
        <v/>
      </c>
      <c r="EK97" s="174" t="str">
        <f t="shared" si="218"/>
        <v>OK</v>
      </c>
      <c r="EL97" s="141"/>
      <c r="EM97" s="278" t="s">
        <v>71</v>
      </c>
      <c r="EN97" s="160"/>
      <c r="EO97" s="141"/>
      <c r="EP97" s="203" t="str">
        <f t="shared" si="316"/>
        <v/>
      </c>
      <c r="EQ97" s="174" t="str">
        <f t="shared" si="219"/>
        <v>OK</v>
      </c>
      <c r="ER97" s="141"/>
      <c r="ES97" s="278" t="s">
        <v>71</v>
      </c>
      <c r="ET97" s="160"/>
      <c r="EU97" s="141"/>
      <c r="EV97" s="203" t="str">
        <f t="shared" si="317"/>
        <v/>
      </c>
      <c r="EW97" s="174" t="str">
        <f t="shared" si="220"/>
        <v>OK</v>
      </c>
      <c r="EX97" s="141"/>
      <c r="EY97" s="278" t="s">
        <v>71</v>
      </c>
      <c r="EZ97" s="160"/>
      <c r="FA97" s="141"/>
      <c r="FB97" s="203" t="str">
        <f t="shared" si="318"/>
        <v/>
      </c>
      <c r="FC97" s="174" t="str">
        <f t="shared" si="221"/>
        <v>OK</v>
      </c>
      <c r="FD97" s="141"/>
      <c r="FE97" s="278" t="s">
        <v>71</v>
      </c>
      <c r="FF97" s="160"/>
      <c r="FG97" s="141"/>
      <c r="FH97" s="203" t="str">
        <f t="shared" si="319"/>
        <v/>
      </c>
      <c r="FI97" s="174" t="str">
        <f t="shared" si="233"/>
        <v>OK</v>
      </c>
      <c r="FJ97" s="141"/>
      <c r="FK97" s="278" t="s">
        <v>71</v>
      </c>
      <c r="FL97" s="160"/>
      <c r="FM97" s="141"/>
      <c r="FN97" s="203" t="str">
        <f t="shared" si="320"/>
        <v/>
      </c>
      <c r="FO97" s="174" t="str">
        <f t="shared" si="251"/>
        <v>OK</v>
      </c>
      <c r="FP97" s="141"/>
      <c r="FQ97" s="278" t="s">
        <v>71</v>
      </c>
      <c r="FR97" s="160"/>
      <c r="FS97" s="141"/>
      <c r="FT97" s="203" t="str">
        <f t="shared" si="321"/>
        <v/>
      </c>
      <c r="FU97" s="174" t="str">
        <f t="shared" si="252"/>
        <v>OK</v>
      </c>
      <c r="FV97" s="141"/>
      <c r="FW97" s="278" t="s">
        <v>71</v>
      </c>
      <c r="FX97" s="160"/>
      <c r="FY97" s="141"/>
      <c r="FZ97" s="203" t="str">
        <f t="shared" si="322"/>
        <v/>
      </c>
      <c r="GA97" s="174" t="str">
        <f t="shared" si="253"/>
        <v>OK</v>
      </c>
      <c r="GB97" s="141"/>
      <c r="GC97" s="278" t="s">
        <v>71</v>
      </c>
    </row>
    <row r="98" spans="2:185" s="52" customFormat="1" ht="63.75">
      <c r="B98" s="48">
        <f t="shared" si="323"/>
        <v>91</v>
      </c>
      <c r="C98" s="187"/>
      <c r="D98" s="37"/>
      <c r="E98" s="37"/>
      <c r="F98" s="188" t="s">
        <v>318</v>
      </c>
      <c r="G98" s="39"/>
      <c r="H98" s="40"/>
      <c r="I98" s="57"/>
      <c r="J98" s="57"/>
      <c r="K98" s="57"/>
      <c r="L98" s="42"/>
      <c r="M98" s="58" t="s">
        <v>319</v>
      </c>
      <c r="N98" s="47"/>
      <c r="O98" s="143"/>
      <c r="P98" s="45">
        <f>P96+1</f>
        <v>72</v>
      </c>
      <c r="Q98" s="200">
        <v>2</v>
      </c>
      <c r="R98" s="41" t="str">
        <f t="shared" ref="R98:R104" si="325">IF(AA98="M","NX",AA98)</f>
        <v>X</v>
      </c>
      <c r="S98" s="185" t="s">
        <v>99</v>
      </c>
      <c r="T98" s="43"/>
      <c r="U98" s="41" t="s">
        <v>80</v>
      </c>
      <c r="V98" s="212" t="s">
        <v>188</v>
      </c>
      <c r="W98" s="22" t="str">
        <f>IF(C98&lt;&gt;"","0",IF(D98&lt;&gt;"","1",IF(E98&lt;&gt;"","2",IF(F98&lt;&gt;"","3",IF(G98&lt;&gt;"","4",IF(H98&lt;&gt;"","5"))))))</f>
        <v>3</v>
      </c>
      <c r="X98" s="62" t="s">
        <v>189</v>
      </c>
      <c r="Y98" s="201">
        <v>2</v>
      </c>
      <c r="Z98" s="201">
        <v>2</v>
      </c>
      <c r="AA98" s="202" t="s">
        <v>163</v>
      </c>
      <c r="AB98" s="202" t="s">
        <v>57</v>
      </c>
      <c r="AC98" s="166"/>
      <c r="AD98" s="160"/>
      <c r="AE98" s="162"/>
      <c r="AF98" s="167" t="str">
        <f t="shared" si="298"/>
        <v xml:space="preserve">  </v>
      </c>
      <c r="AG98" s="174" t="str">
        <f t="shared" si="237"/>
        <v>NG</v>
      </c>
      <c r="AH98" s="162"/>
      <c r="AI98" s="276" t="str">
        <f>IF(OR(AE$8="判定対象外",AH$8="判定対象外",AH98="-"),"-",IF(AE98=AH98,"OK","NG"))</f>
        <v>OK</v>
      </c>
      <c r="AJ98" s="160"/>
      <c r="AK98" s="162"/>
      <c r="AL98" s="167" t="str">
        <f t="shared" si="281"/>
        <v xml:space="preserve">  </v>
      </c>
      <c r="AM98" s="174" t="str">
        <f t="shared" si="324"/>
        <v>NG</v>
      </c>
      <c r="AN98" s="162"/>
      <c r="AO98" s="276" t="str">
        <f>IF(OR(AK$8="判定対象外",AN$8="判定対象外",AN98="-"),"-",IF(AK98=AN98,"OK","NG"))</f>
        <v>OK</v>
      </c>
      <c r="AP98" s="160"/>
      <c r="AQ98" s="162"/>
      <c r="AR98" s="167" t="str">
        <f t="shared" si="299"/>
        <v xml:space="preserve">  </v>
      </c>
      <c r="AS98" s="174" t="str">
        <f t="shared" si="238"/>
        <v>NG</v>
      </c>
      <c r="AT98" s="162"/>
      <c r="AU98" s="276" t="str">
        <f>IF(OR(AQ$8="判定対象外",AT$8="判定対象外",AT98="-"),"-",IF(AQ98=AT98,"OK","NG"))</f>
        <v>OK</v>
      </c>
      <c r="AV98" s="160"/>
      <c r="AW98" s="162"/>
      <c r="AX98" s="167" t="str">
        <f t="shared" si="300"/>
        <v xml:space="preserve">  </v>
      </c>
      <c r="AY98" s="174" t="str">
        <f t="shared" si="239"/>
        <v>NG</v>
      </c>
      <c r="AZ98" s="162"/>
      <c r="BA98" s="276" t="str">
        <f>IF(OR(AW$8="判定対象外",AZ$8="判定対象外",AZ98="-"),"-",IF(AW98=AZ98,"OK","NG"))</f>
        <v>OK</v>
      </c>
      <c r="BB98" s="160"/>
      <c r="BC98" s="162"/>
      <c r="BD98" s="167" t="str">
        <f t="shared" si="301"/>
        <v xml:space="preserve">  </v>
      </c>
      <c r="BE98" s="174" t="str">
        <f t="shared" si="240"/>
        <v>NG</v>
      </c>
      <c r="BF98" s="162"/>
      <c r="BG98" s="276" t="str">
        <f>IF(OR(BC$8="判定対象外",BF$8="判定対象外",BF98="-"),"-",IF(BC98=BF98,"OK","NG"))</f>
        <v>OK</v>
      </c>
      <c r="BH98" s="160"/>
      <c r="BI98" s="162"/>
      <c r="BJ98" s="167" t="str">
        <f t="shared" si="302"/>
        <v xml:space="preserve">  </v>
      </c>
      <c r="BK98" s="174" t="str">
        <f t="shared" si="241"/>
        <v>NG</v>
      </c>
      <c r="BL98" s="162"/>
      <c r="BM98" s="276" t="str">
        <f>IF(OR(BI$8="判定対象外",BL$8="判定対象外",BL98="-"),"-",IF(BI98=BL98,"OK","NG"))</f>
        <v>OK</v>
      </c>
      <c r="BN98" s="160"/>
      <c r="BO98" s="162"/>
      <c r="BP98" s="167" t="str">
        <f t="shared" si="303"/>
        <v xml:space="preserve">  </v>
      </c>
      <c r="BQ98" s="174" t="str">
        <f t="shared" si="242"/>
        <v>NG</v>
      </c>
      <c r="BR98" s="162"/>
      <c r="BS98" s="276" t="str">
        <f>IF(OR(BO$8="判定対象外",BR$8="判定対象外",BR98="-"),"-",IF(BO98=BR98,"OK","NG"))</f>
        <v>OK</v>
      </c>
      <c r="BT98" s="160"/>
      <c r="BU98" s="162"/>
      <c r="BV98" s="167" t="str">
        <f t="shared" si="304"/>
        <v xml:space="preserve">  </v>
      </c>
      <c r="BW98" s="174" t="str">
        <f t="shared" si="243"/>
        <v>NG</v>
      </c>
      <c r="BX98" s="162"/>
      <c r="BY98" s="276" t="str">
        <f>IF(OR(BU$8="判定対象外",BX$8="判定対象外",BX98="-"),"-",IF(BU98=BX98,"OK","NG"))</f>
        <v>OK</v>
      </c>
      <c r="BZ98" s="160"/>
      <c r="CA98" s="162"/>
      <c r="CB98" s="167" t="str">
        <f t="shared" si="305"/>
        <v xml:space="preserve">  </v>
      </c>
      <c r="CC98" s="174" t="str">
        <f t="shared" si="244"/>
        <v>NG</v>
      </c>
      <c r="CD98" s="162"/>
      <c r="CE98" s="276" t="str">
        <f>IF(OR(CA$8="判定対象外",CD$8="判定対象外",CD98="-"),"-",IF(CA98=CD98,"OK","NG"))</f>
        <v>OK</v>
      </c>
      <c r="CF98" s="160"/>
      <c r="CG98" s="162"/>
      <c r="CH98" s="167" t="str">
        <f t="shared" si="306"/>
        <v xml:space="preserve">  </v>
      </c>
      <c r="CI98" s="174" t="str">
        <f t="shared" si="245"/>
        <v>NG</v>
      </c>
      <c r="CJ98" s="162"/>
      <c r="CK98" s="276" t="str">
        <f>IF(OR(CG$8="判定対象外",CJ$8="判定対象外",CJ98="-"),"-",IF(CG98=CJ98,"OK","NG"))</f>
        <v>OK</v>
      </c>
      <c r="CL98" s="160"/>
      <c r="CM98" s="162"/>
      <c r="CN98" s="167" t="str">
        <f t="shared" si="307"/>
        <v xml:space="preserve">  </v>
      </c>
      <c r="CO98" s="174" t="str">
        <f t="shared" si="246"/>
        <v>NG</v>
      </c>
      <c r="CP98" s="162"/>
      <c r="CQ98" s="276" t="str">
        <f>IF(OR(CM$8="判定対象外",CP$8="判定対象外",CP98="-"),"-",IF(CM98=CP98,"OK","NG"))</f>
        <v>OK</v>
      </c>
      <c r="CR98" s="160"/>
      <c r="CS98" s="162"/>
      <c r="CT98" s="167" t="str">
        <f t="shared" si="308"/>
        <v xml:space="preserve">  </v>
      </c>
      <c r="CU98" s="174" t="str">
        <f t="shared" si="247"/>
        <v>NG</v>
      </c>
      <c r="CV98" s="162"/>
      <c r="CW98" s="276" t="str">
        <f>IF(OR(CS$8="判定対象外",CV$8="判定対象外",CV98="-"),"-",IF(CS98=CV98,"OK","NG"))</f>
        <v>OK</v>
      </c>
      <c r="CX98" s="160"/>
      <c r="CY98" s="162"/>
      <c r="CZ98" s="167" t="str">
        <f t="shared" si="309"/>
        <v xml:space="preserve">  </v>
      </c>
      <c r="DA98" s="174" t="str">
        <f t="shared" si="248"/>
        <v>NG</v>
      </c>
      <c r="DB98" s="162"/>
      <c r="DC98" s="276" t="str">
        <f>IF(OR(CY$8="判定対象外",DB$8="判定対象外",DB98="-"),"-",IF(CY98=DB98,"OK","NG"))</f>
        <v>OK</v>
      </c>
      <c r="DD98" s="160"/>
      <c r="DE98" s="162"/>
      <c r="DF98" s="167" t="str">
        <f t="shared" si="310"/>
        <v xml:space="preserve">  </v>
      </c>
      <c r="DG98" s="174" t="str">
        <f t="shared" si="249"/>
        <v>NG</v>
      </c>
      <c r="DH98" s="162"/>
      <c r="DI98" s="276" t="str">
        <f>IF(OR(DE$8="判定対象外",DH$8="判定対象外",DH98="-"),"-",IF(DE98=DH98,"OK","NG"))</f>
        <v>OK</v>
      </c>
      <c r="DJ98" s="160"/>
      <c r="DK98" s="162"/>
      <c r="DL98" s="167" t="str">
        <f t="shared" si="311"/>
        <v xml:space="preserve">  </v>
      </c>
      <c r="DM98" s="174" t="str">
        <f t="shared" si="250"/>
        <v>NG</v>
      </c>
      <c r="DN98" s="162"/>
      <c r="DO98" s="276" t="str">
        <f>IF(OR(DK$8="判定対象外",DN$8="判定対象外",DN98="-"),"-",IF(DK98=DN98,"OK","NG"))</f>
        <v>OK</v>
      </c>
      <c r="DP98" s="160"/>
      <c r="DQ98" s="162"/>
      <c r="DR98" s="167" t="str">
        <f t="shared" si="312"/>
        <v xml:space="preserve">  </v>
      </c>
      <c r="DS98" s="174" t="str">
        <f t="shared" si="215"/>
        <v>NG</v>
      </c>
      <c r="DT98" s="162"/>
      <c r="DU98" s="276" t="str">
        <f>IF(OR(DQ$8="判定対象外",DT$8="判定対象外",DT98="-"),"-",IF(DQ98=DT98,"OK","NG"))</f>
        <v>OK</v>
      </c>
      <c r="DV98" s="160"/>
      <c r="DW98" s="162"/>
      <c r="DX98" s="167" t="str">
        <f t="shared" si="313"/>
        <v xml:space="preserve">  </v>
      </c>
      <c r="DY98" s="174" t="str">
        <f t="shared" si="216"/>
        <v>NG</v>
      </c>
      <c r="DZ98" s="162"/>
      <c r="EA98" s="276" t="str">
        <f>IF(OR(DW$8="判定対象外",DZ$8="判定対象外",DZ98="-"),"-",IF(DW98=DZ98,"OK","NG"))</f>
        <v>OK</v>
      </c>
      <c r="EB98" s="160"/>
      <c r="EC98" s="162"/>
      <c r="ED98" s="167" t="str">
        <f t="shared" si="314"/>
        <v xml:space="preserve">  </v>
      </c>
      <c r="EE98" s="174" t="str">
        <f t="shared" si="217"/>
        <v>NG</v>
      </c>
      <c r="EF98" s="162"/>
      <c r="EG98" s="276" t="str">
        <f>IF(OR(EC$8="判定対象外",EF$8="判定対象外",EF98="-"),"-",IF(EC98=EF98,"OK","NG"))</f>
        <v>OK</v>
      </c>
      <c r="EH98" s="160"/>
      <c r="EI98" s="162"/>
      <c r="EJ98" s="167" t="str">
        <f t="shared" si="315"/>
        <v xml:space="preserve">  </v>
      </c>
      <c r="EK98" s="174" t="str">
        <f t="shared" si="218"/>
        <v>NG</v>
      </c>
      <c r="EL98" s="162"/>
      <c r="EM98" s="276" t="str">
        <f>IF(OR(EI$8="判定対象外",EL$8="判定対象外",EL98="-"),"-",IF(EI98=EL98,"OK","NG"))</f>
        <v>OK</v>
      </c>
      <c r="EN98" s="160"/>
      <c r="EO98" s="162"/>
      <c r="EP98" s="167" t="str">
        <f t="shared" si="316"/>
        <v xml:space="preserve">  </v>
      </c>
      <c r="EQ98" s="174" t="str">
        <f t="shared" si="219"/>
        <v>NG</v>
      </c>
      <c r="ER98" s="162"/>
      <c r="ES98" s="276" t="str">
        <f>IF(OR(EO$8="判定対象外",ER$8="判定対象外",ER98="-"),"-",IF(EO98=ER98,"OK","NG"))</f>
        <v>OK</v>
      </c>
      <c r="ET98" s="160"/>
      <c r="EU98" s="162"/>
      <c r="EV98" s="167" t="str">
        <f t="shared" si="317"/>
        <v xml:space="preserve">  </v>
      </c>
      <c r="EW98" s="174" t="str">
        <f t="shared" si="220"/>
        <v>NG</v>
      </c>
      <c r="EX98" s="162"/>
      <c r="EY98" s="276" t="str">
        <f>IF(OR(EU$8="判定対象外",EX$8="判定対象外",EX98="-"),"-",IF(EU98=EX98,"OK","NG"))</f>
        <v>OK</v>
      </c>
      <c r="EZ98" s="160"/>
      <c r="FA98" s="162"/>
      <c r="FB98" s="167" t="str">
        <f t="shared" si="318"/>
        <v xml:space="preserve">  </v>
      </c>
      <c r="FC98" s="174" t="str">
        <f t="shared" si="221"/>
        <v>NG</v>
      </c>
      <c r="FD98" s="162"/>
      <c r="FE98" s="276" t="str">
        <f>IF(OR(FA$8="判定対象外",FD$8="判定対象外",FD98="-"),"-",IF(FA98=FD98,"OK","NG"))</f>
        <v>OK</v>
      </c>
      <c r="FF98" s="160"/>
      <c r="FG98" s="162"/>
      <c r="FH98" s="167" t="str">
        <f t="shared" si="319"/>
        <v xml:space="preserve">  </v>
      </c>
      <c r="FI98" s="174" t="str">
        <f t="shared" si="233"/>
        <v>NG</v>
      </c>
      <c r="FJ98" s="162"/>
      <c r="FK98" s="276" t="str">
        <f>IF(OR(FG$8="判定対象外",FJ$8="判定対象外",FJ98="-"),"-",IF(FG98=FJ98,"OK","NG"))</f>
        <v>OK</v>
      </c>
      <c r="FL98" s="160"/>
      <c r="FM98" s="162"/>
      <c r="FN98" s="167" t="str">
        <f t="shared" si="320"/>
        <v xml:space="preserve">  </v>
      </c>
      <c r="FO98" s="174" t="str">
        <f t="shared" si="251"/>
        <v>NG</v>
      </c>
      <c r="FP98" s="162"/>
      <c r="FQ98" s="276" t="str">
        <f>IF(OR(FM$8="判定対象外",FP$8="判定対象外",FP98="-"),"-",IF(FM98=FP98,"OK","NG"))</f>
        <v>OK</v>
      </c>
      <c r="FR98" s="160"/>
      <c r="FS98" s="162"/>
      <c r="FT98" s="167" t="str">
        <f t="shared" si="321"/>
        <v xml:space="preserve">  </v>
      </c>
      <c r="FU98" s="174" t="str">
        <f t="shared" si="252"/>
        <v>NG</v>
      </c>
      <c r="FV98" s="162"/>
      <c r="FW98" s="276" t="str">
        <f>IF(OR(FS$8="判定対象外",FV$8="判定対象外",FV98="-"),"-",IF(FS98=FV98,"OK","NG"))</f>
        <v>OK</v>
      </c>
      <c r="FX98" s="160"/>
      <c r="FY98" s="162"/>
      <c r="FZ98" s="167" t="str">
        <f t="shared" si="322"/>
        <v xml:space="preserve">  </v>
      </c>
      <c r="GA98" s="174" t="str">
        <f t="shared" si="253"/>
        <v>NG</v>
      </c>
      <c r="GB98" s="162"/>
      <c r="GC98" s="276" t="str">
        <f>IF(OR(FY$8="判定対象外",GB$8="判定対象外",GB98="-"),"-",IF(FY98=GB98,"OK","NG"))</f>
        <v>OK</v>
      </c>
    </row>
    <row r="99" spans="2:185" s="52" customFormat="1" ht="344.25">
      <c r="B99" s="48">
        <f t="shared" si="323"/>
        <v>92</v>
      </c>
      <c r="C99" s="37"/>
      <c r="D99" s="37"/>
      <c r="E99" s="37"/>
      <c r="F99" s="188" t="s">
        <v>320</v>
      </c>
      <c r="G99" s="39"/>
      <c r="H99" s="40"/>
      <c r="I99" s="42"/>
      <c r="J99" s="42" t="s">
        <v>316</v>
      </c>
      <c r="K99" s="42"/>
      <c r="L99" s="42"/>
      <c r="M99" s="189" t="s">
        <v>321</v>
      </c>
      <c r="N99" s="63"/>
      <c r="O99" s="143"/>
      <c r="P99" s="45">
        <f>P98+1</f>
        <v>73</v>
      </c>
      <c r="Q99" s="46">
        <v>2</v>
      </c>
      <c r="R99" s="41" t="str">
        <f t="shared" si="325"/>
        <v>X</v>
      </c>
      <c r="S99" s="185" t="s">
        <v>100</v>
      </c>
      <c r="T99" s="43"/>
      <c r="U99" s="41" t="s">
        <v>80</v>
      </c>
      <c r="V99" s="44"/>
      <c r="W99" s="22">
        <v>3</v>
      </c>
      <c r="X99" s="47" t="s">
        <v>262</v>
      </c>
      <c r="Y99" s="47">
        <v>2</v>
      </c>
      <c r="Z99" s="47">
        <v>2</v>
      </c>
      <c r="AA99" s="42" t="s">
        <v>163</v>
      </c>
      <c r="AB99" s="42" t="s">
        <v>57</v>
      </c>
      <c r="AC99" s="166"/>
      <c r="AD99" s="160"/>
      <c r="AE99" s="162"/>
      <c r="AF99" s="167" t="str">
        <f t="shared" si="298"/>
        <v xml:space="preserve">  </v>
      </c>
      <c r="AG99" s="174" t="str">
        <f t="shared" si="237"/>
        <v>NG</v>
      </c>
      <c r="AH99" s="162"/>
      <c r="AI99" s="276" t="str">
        <f>IF(OR(AE$8="判定対象外",AH$8="判定対象外",AH99="-"),"-",IF(AE99=AH99,"OK","NG"))</f>
        <v>OK</v>
      </c>
      <c r="AJ99" s="160"/>
      <c r="AK99" s="162"/>
      <c r="AL99" s="167" t="str">
        <f t="shared" si="281"/>
        <v xml:space="preserve">  </v>
      </c>
      <c r="AM99" s="174" t="str">
        <f t="shared" si="324"/>
        <v>NG</v>
      </c>
      <c r="AN99" s="162"/>
      <c r="AO99" s="276" t="str">
        <f>IF(OR(AK$8="判定対象外",AN$8="判定対象外",AN99="-"),"-",IF(AK99=AN99,"OK","NG"))</f>
        <v>OK</v>
      </c>
      <c r="AP99" s="160"/>
      <c r="AQ99" s="162"/>
      <c r="AR99" s="167" t="str">
        <f t="shared" si="299"/>
        <v xml:space="preserve">  </v>
      </c>
      <c r="AS99" s="174" t="str">
        <f t="shared" si="238"/>
        <v>NG</v>
      </c>
      <c r="AT99" s="162"/>
      <c r="AU99" s="276" t="str">
        <f>IF(OR(AQ$8="判定対象外",AT$8="判定対象外",AT99="-"),"-",IF(AQ99=AT99,"OK","NG"))</f>
        <v>OK</v>
      </c>
      <c r="AV99" s="160"/>
      <c r="AW99" s="162"/>
      <c r="AX99" s="167" t="str">
        <f t="shared" si="300"/>
        <v xml:space="preserve">  </v>
      </c>
      <c r="AY99" s="174" t="str">
        <f t="shared" si="239"/>
        <v>NG</v>
      </c>
      <c r="AZ99" s="162"/>
      <c r="BA99" s="276" t="str">
        <f>IF(OR(AW$8="判定対象外",AZ$8="判定対象外",AZ99="-"),"-",IF(AW99=AZ99,"OK","NG"))</f>
        <v>OK</v>
      </c>
      <c r="BB99" s="160"/>
      <c r="BC99" s="162"/>
      <c r="BD99" s="167" t="str">
        <f t="shared" si="301"/>
        <v xml:space="preserve">  </v>
      </c>
      <c r="BE99" s="174" t="str">
        <f t="shared" si="240"/>
        <v>NG</v>
      </c>
      <c r="BF99" s="162"/>
      <c r="BG99" s="276" t="str">
        <f>IF(OR(BC$8="判定対象外",BF$8="判定対象外",BF99="-"),"-",IF(BC99=BF99,"OK","NG"))</f>
        <v>OK</v>
      </c>
      <c r="BH99" s="160"/>
      <c r="BI99" s="162"/>
      <c r="BJ99" s="167" t="str">
        <f t="shared" si="302"/>
        <v xml:space="preserve">  </v>
      </c>
      <c r="BK99" s="174" t="str">
        <f t="shared" si="241"/>
        <v>NG</v>
      </c>
      <c r="BL99" s="162"/>
      <c r="BM99" s="276" t="str">
        <f>IF(OR(BI$8="判定対象外",BL$8="判定対象外",BL99="-"),"-",IF(BI99=BL99,"OK","NG"))</f>
        <v>OK</v>
      </c>
      <c r="BN99" s="160"/>
      <c r="BO99" s="162"/>
      <c r="BP99" s="167" t="str">
        <f t="shared" si="303"/>
        <v xml:space="preserve">  </v>
      </c>
      <c r="BQ99" s="174" t="str">
        <f t="shared" si="242"/>
        <v>NG</v>
      </c>
      <c r="BR99" s="162"/>
      <c r="BS99" s="276" t="str">
        <f>IF(OR(BO$8="判定対象外",BR$8="判定対象外",BR99="-"),"-",IF(BO99=BR99,"OK","NG"))</f>
        <v>OK</v>
      </c>
      <c r="BT99" s="160"/>
      <c r="BU99" s="162"/>
      <c r="BV99" s="167" t="str">
        <f t="shared" si="304"/>
        <v xml:space="preserve">  </v>
      </c>
      <c r="BW99" s="174" t="str">
        <f t="shared" si="243"/>
        <v>NG</v>
      </c>
      <c r="BX99" s="162"/>
      <c r="BY99" s="276" t="str">
        <f>IF(OR(BU$8="判定対象外",BX$8="判定対象外",BX99="-"),"-",IF(BU99=BX99,"OK","NG"))</f>
        <v>OK</v>
      </c>
      <c r="BZ99" s="160"/>
      <c r="CA99" s="162"/>
      <c r="CB99" s="167" t="str">
        <f t="shared" si="305"/>
        <v xml:space="preserve">  </v>
      </c>
      <c r="CC99" s="174" t="str">
        <f t="shared" si="244"/>
        <v>NG</v>
      </c>
      <c r="CD99" s="162"/>
      <c r="CE99" s="276" t="str">
        <f>IF(OR(CA$8="判定対象外",CD$8="判定対象外",CD99="-"),"-",IF(CA99=CD99,"OK","NG"))</f>
        <v>OK</v>
      </c>
      <c r="CF99" s="160"/>
      <c r="CG99" s="162"/>
      <c r="CH99" s="167" t="str">
        <f t="shared" si="306"/>
        <v xml:space="preserve">  </v>
      </c>
      <c r="CI99" s="174" t="str">
        <f t="shared" si="245"/>
        <v>NG</v>
      </c>
      <c r="CJ99" s="162"/>
      <c r="CK99" s="276" t="str">
        <f>IF(OR(CG$8="判定対象外",CJ$8="判定対象外",CJ99="-"),"-",IF(CG99=CJ99,"OK","NG"))</f>
        <v>OK</v>
      </c>
      <c r="CL99" s="160"/>
      <c r="CM99" s="162"/>
      <c r="CN99" s="167" t="str">
        <f t="shared" si="307"/>
        <v xml:space="preserve">  </v>
      </c>
      <c r="CO99" s="174" t="str">
        <f t="shared" si="246"/>
        <v>NG</v>
      </c>
      <c r="CP99" s="162"/>
      <c r="CQ99" s="276" t="str">
        <f>IF(OR(CM$8="判定対象外",CP$8="判定対象外",CP99="-"),"-",IF(CM99=CP99,"OK","NG"))</f>
        <v>OK</v>
      </c>
      <c r="CR99" s="160"/>
      <c r="CS99" s="162"/>
      <c r="CT99" s="167" t="str">
        <f t="shared" si="308"/>
        <v xml:space="preserve">  </v>
      </c>
      <c r="CU99" s="174" t="str">
        <f t="shared" si="247"/>
        <v>NG</v>
      </c>
      <c r="CV99" s="162"/>
      <c r="CW99" s="276" t="str">
        <f>IF(OR(CS$8="判定対象外",CV$8="判定対象外",CV99="-"),"-",IF(CS99=CV99,"OK","NG"))</f>
        <v>OK</v>
      </c>
      <c r="CX99" s="160"/>
      <c r="CY99" s="162"/>
      <c r="CZ99" s="167" t="str">
        <f t="shared" si="309"/>
        <v xml:space="preserve">  </v>
      </c>
      <c r="DA99" s="174" t="str">
        <f t="shared" si="248"/>
        <v>NG</v>
      </c>
      <c r="DB99" s="162"/>
      <c r="DC99" s="276" t="str">
        <f>IF(OR(CY$8="判定対象外",DB$8="判定対象外",DB99="-"),"-",IF(CY99=DB99,"OK","NG"))</f>
        <v>OK</v>
      </c>
      <c r="DD99" s="160"/>
      <c r="DE99" s="162"/>
      <c r="DF99" s="167" t="str">
        <f t="shared" si="310"/>
        <v xml:space="preserve">  </v>
      </c>
      <c r="DG99" s="174" t="str">
        <f t="shared" si="249"/>
        <v>NG</v>
      </c>
      <c r="DH99" s="162"/>
      <c r="DI99" s="276" t="str">
        <f>IF(OR(DE$8="判定対象外",DH$8="判定対象外",DH99="-"),"-",IF(DE99=DH99,"OK","NG"))</f>
        <v>OK</v>
      </c>
      <c r="DJ99" s="160"/>
      <c r="DK99" s="162"/>
      <c r="DL99" s="167" t="str">
        <f t="shared" si="311"/>
        <v xml:space="preserve">  </v>
      </c>
      <c r="DM99" s="174" t="str">
        <f t="shared" si="250"/>
        <v>NG</v>
      </c>
      <c r="DN99" s="162"/>
      <c r="DO99" s="276" t="str">
        <f>IF(OR(DK$8="判定対象外",DN$8="判定対象外",DN99="-"),"-",IF(DK99=DN99,"OK","NG"))</f>
        <v>OK</v>
      </c>
      <c r="DP99" s="160"/>
      <c r="DQ99" s="162"/>
      <c r="DR99" s="167" t="str">
        <f t="shared" si="312"/>
        <v xml:space="preserve">  </v>
      </c>
      <c r="DS99" s="174" t="str">
        <f t="shared" si="215"/>
        <v>NG</v>
      </c>
      <c r="DT99" s="162"/>
      <c r="DU99" s="276" t="str">
        <f>IF(OR(DQ$8="判定対象外",DT$8="判定対象外",DT99="-"),"-",IF(DQ99=DT99,"OK","NG"))</f>
        <v>OK</v>
      </c>
      <c r="DV99" s="160"/>
      <c r="DW99" s="162"/>
      <c r="DX99" s="167" t="str">
        <f t="shared" si="313"/>
        <v xml:space="preserve">  </v>
      </c>
      <c r="DY99" s="174" t="str">
        <f t="shared" si="216"/>
        <v>NG</v>
      </c>
      <c r="DZ99" s="162"/>
      <c r="EA99" s="276" t="str">
        <f>IF(OR(DW$8="判定対象外",DZ$8="判定対象外",DZ99="-"),"-",IF(DW99=DZ99,"OK","NG"))</f>
        <v>OK</v>
      </c>
      <c r="EB99" s="160"/>
      <c r="EC99" s="162"/>
      <c r="ED99" s="167" t="str">
        <f t="shared" si="314"/>
        <v xml:space="preserve">  </v>
      </c>
      <c r="EE99" s="174" t="str">
        <f t="shared" si="217"/>
        <v>NG</v>
      </c>
      <c r="EF99" s="162"/>
      <c r="EG99" s="276" t="str">
        <f>IF(OR(EC$8="判定対象外",EF$8="判定対象外",EF99="-"),"-",IF(EC99=EF99,"OK","NG"))</f>
        <v>OK</v>
      </c>
      <c r="EH99" s="160"/>
      <c r="EI99" s="162"/>
      <c r="EJ99" s="167" t="str">
        <f t="shared" si="315"/>
        <v xml:space="preserve">  </v>
      </c>
      <c r="EK99" s="174" t="str">
        <f t="shared" si="218"/>
        <v>NG</v>
      </c>
      <c r="EL99" s="162"/>
      <c r="EM99" s="276" t="str">
        <f>IF(OR(EI$8="判定対象外",EL$8="判定対象外",EL99="-"),"-",IF(EI99=EL99,"OK","NG"))</f>
        <v>OK</v>
      </c>
      <c r="EN99" s="160"/>
      <c r="EO99" s="162"/>
      <c r="EP99" s="167" t="str">
        <f t="shared" si="316"/>
        <v xml:space="preserve">  </v>
      </c>
      <c r="EQ99" s="174" t="str">
        <f t="shared" si="219"/>
        <v>NG</v>
      </c>
      <c r="ER99" s="162"/>
      <c r="ES99" s="276" t="str">
        <f>IF(OR(EO$8="判定対象外",ER$8="判定対象外",ER99="-"),"-",IF(EO99=ER99,"OK","NG"))</f>
        <v>OK</v>
      </c>
      <c r="ET99" s="160"/>
      <c r="EU99" s="162"/>
      <c r="EV99" s="167" t="str">
        <f t="shared" si="317"/>
        <v xml:space="preserve">  </v>
      </c>
      <c r="EW99" s="174" t="str">
        <f t="shared" si="220"/>
        <v>NG</v>
      </c>
      <c r="EX99" s="162"/>
      <c r="EY99" s="276" t="str">
        <f>IF(OR(EU$8="判定対象外",EX$8="判定対象外",EX99="-"),"-",IF(EU99=EX99,"OK","NG"))</f>
        <v>OK</v>
      </c>
      <c r="EZ99" s="160"/>
      <c r="FA99" s="162"/>
      <c r="FB99" s="167" t="str">
        <f t="shared" si="318"/>
        <v xml:space="preserve">  </v>
      </c>
      <c r="FC99" s="174" t="str">
        <f t="shared" si="221"/>
        <v>NG</v>
      </c>
      <c r="FD99" s="162"/>
      <c r="FE99" s="276" t="str">
        <f>IF(OR(FA$8="判定対象外",FD$8="判定対象外",FD99="-"),"-",IF(FA99=FD99,"OK","NG"))</f>
        <v>OK</v>
      </c>
      <c r="FF99" s="160"/>
      <c r="FG99" s="162"/>
      <c r="FH99" s="167" t="str">
        <f t="shared" si="319"/>
        <v xml:space="preserve">  </v>
      </c>
      <c r="FI99" s="174" t="str">
        <f t="shared" si="233"/>
        <v>NG</v>
      </c>
      <c r="FJ99" s="162"/>
      <c r="FK99" s="276" t="str">
        <f>IF(OR(FG$8="判定対象外",FJ$8="判定対象外",FJ99="-"),"-",IF(FG99=FJ99,"OK","NG"))</f>
        <v>OK</v>
      </c>
      <c r="FL99" s="160"/>
      <c r="FM99" s="162"/>
      <c r="FN99" s="167" t="str">
        <f t="shared" si="320"/>
        <v xml:space="preserve">  </v>
      </c>
      <c r="FO99" s="174" t="str">
        <f t="shared" si="251"/>
        <v>NG</v>
      </c>
      <c r="FP99" s="162"/>
      <c r="FQ99" s="276" t="str">
        <f>IF(OR(FM$8="判定対象外",FP$8="判定対象外",FP99="-"),"-",IF(FM99=FP99,"OK","NG"))</f>
        <v>OK</v>
      </c>
      <c r="FR99" s="160"/>
      <c r="FS99" s="162"/>
      <c r="FT99" s="167" t="str">
        <f t="shared" si="321"/>
        <v xml:space="preserve">  </v>
      </c>
      <c r="FU99" s="174" t="str">
        <f t="shared" si="252"/>
        <v>NG</v>
      </c>
      <c r="FV99" s="162"/>
      <c r="FW99" s="276" t="str">
        <f>IF(OR(FS$8="判定対象外",FV$8="判定対象外",FV99="-"),"-",IF(FS99=FV99,"OK","NG"))</f>
        <v>OK</v>
      </c>
      <c r="FX99" s="160"/>
      <c r="FY99" s="162"/>
      <c r="FZ99" s="167" t="str">
        <f t="shared" si="322"/>
        <v xml:space="preserve">  </v>
      </c>
      <c r="GA99" s="174" t="str">
        <f t="shared" si="253"/>
        <v>NG</v>
      </c>
      <c r="GB99" s="162"/>
      <c r="GC99" s="276" t="str">
        <f>IF(OR(FY$8="判定対象外",GB$8="判定対象外",GB99="-"),"-",IF(FY99=GB99,"OK","NG"))</f>
        <v>OK</v>
      </c>
    </row>
    <row r="100" spans="2:185" s="52" customFormat="1">
      <c r="B100" s="48">
        <f t="shared" si="323"/>
        <v>93</v>
      </c>
      <c r="C100" s="37"/>
      <c r="D100" s="37"/>
      <c r="E100" s="37"/>
      <c r="F100" s="49" t="s">
        <v>322</v>
      </c>
      <c r="G100" s="39"/>
      <c r="H100" s="40"/>
      <c r="I100" s="42"/>
      <c r="J100" s="42"/>
      <c r="K100" s="42"/>
      <c r="L100" s="42"/>
      <c r="M100" s="213" t="s">
        <v>323</v>
      </c>
      <c r="N100" s="63"/>
      <c r="O100" s="143"/>
      <c r="P100" s="45">
        <f t="shared" ref="P100:P126" si="326">P99+1</f>
        <v>74</v>
      </c>
      <c r="Q100" s="46">
        <v>2</v>
      </c>
      <c r="R100" s="41" t="str">
        <f t="shared" si="325"/>
        <v>X</v>
      </c>
      <c r="S100" s="185" t="s">
        <v>190</v>
      </c>
      <c r="T100" s="43"/>
      <c r="U100" s="41" t="s">
        <v>80</v>
      </c>
      <c r="V100" s="44"/>
      <c r="W100" s="22">
        <v>3</v>
      </c>
      <c r="X100" s="47" t="s">
        <v>191</v>
      </c>
      <c r="Y100" s="47">
        <v>2</v>
      </c>
      <c r="Z100" s="47">
        <v>2</v>
      </c>
      <c r="AA100" s="42" t="s">
        <v>163</v>
      </c>
      <c r="AB100" s="42" t="s">
        <v>57</v>
      </c>
      <c r="AC100" s="166"/>
      <c r="AD100" s="160"/>
      <c r="AE100" s="141"/>
      <c r="AF100" s="203" t="str">
        <f t="shared" si="298"/>
        <v xml:space="preserve">  </v>
      </c>
      <c r="AG100" s="174" t="str">
        <f t="shared" si="237"/>
        <v>NG</v>
      </c>
      <c r="AH100" s="141"/>
      <c r="AI100" s="172" t="s">
        <v>71</v>
      </c>
      <c r="AJ100" s="160"/>
      <c r="AK100" s="141"/>
      <c r="AL100" s="203" t="str">
        <f t="shared" si="281"/>
        <v xml:space="preserve">  </v>
      </c>
      <c r="AM100" s="174" t="str">
        <f t="shared" si="324"/>
        <v>NG</v>
      </c>
      <c r="AN100" s="141"/>
      <c r="AO100" s="172" t="s">
        <v>71</v>
      </c>
      <c r="AP100" s="160"/>
      <c r="AQ100" s="141"/>
      <c r="AR100" s="203" t="str">
        <f t="shared" si="299"/>
        <v xml:space="preserve">  </v>
      </c>
      <c r="AS100" s="174" t="str">
        <f t="shared" si="238"/>
        <v>NG</v>
      </c>
      <c r="AT100" s="141"/>
      <c r="AU100" s="172" t="s">
        <v>71</v>
      </c>
      <c r="AV100" s="160"/>
      <c r="AW100" s="141"/>
      <c r="AX100" s="203" t="str">
        <f t="shared" si="300"/>
        <v xml:space="preserve">  </v>
      </c>
      <c r="AY100" s="174" t="str">
        <f t="shared" si="239"/>
        <v>NG</v>
      </c>
      <c r="AZ100" s="141"/>
      <c r="BA100" s="172" t="s">
        <v>71</v>
      </c>
      <c r="BB100" s="160"/>
      <c r="BC100" s="141"/>
      <c r="BD100" s="203" t="str">
        <f t="shared" si="301"/>
        <v xml:space="preserve">  </v>
      </c>
      <c r="BE100" s="174" t="str">
        <f t="shared" si="240"/>
        <v>NG</v>
      </c>
      <c r="BF100" s="141"/>
      <c r="BG100" s="172" t="s">
        <v>71</v>
      </c>
      <c r="BH100" s="160"/>
      <c r="BI100" s="141"/>
      <c r="BJ100" s="203" t="str">
        <f t="shared" si="302"/>
        <v xml:space="preserve">  </v>
      </c>
      <c r="BK100" s="174" t="str">
        <f t="shared" si="241"/>
        <v>NG</v>
      </c>
      <c r="BL100" s="141"/>
      <c r="BM100" s="172" t="s">
        <v>71</v>
      </c>
      <c r="BN100" s="160"/>
      <c r="BO100" s="141"/>
      <c r="BP100" s="203" t="str">
        <f t="shared" si="303"/>
        <v xml:space="preserve">  </v>
      </c>
      <c r="BQ100" s="174" t="str">
        <f t="shared" si="242"/>
        <v>NG</v>
      </c>
      <c r="BR100" s="141"/>
      <c r="BS100" s="172" t="s">
        <v>71</v>
      </c>
      <c r="BT100" s="160"/>
      <c r="BU100" s="141"/>
      <c r="BV100" s="203" t="str">
        <f t="shared" si="304"/>
        <v xml:space="preserve">  </v>
      </c>
      <c r="BW100" s="174" t="str">
        <f t="shared" si="243"/>
        <v>NG</v>
      </c>
      <c r="BX100" s="141"/>
      <c r="BY100" s="172" t="s">
        <v>71</v>
      </c>
      <c r="BZ100" s="160"/>
      <c r="CA100" s="141"/>
      <c r="CB100" s="203" t="str">
        <f t="shared" si="305"/>
        <v xml:space="preserve">  </v>
      </c>
      <c r="CC100" s="174" t="str">
        <f t="shared" si="244"/>
        <v>NG</v>
      </c>
      <c r="CD100" s="141"/>
      <c r="CE100" s="172" t="s">
        <v>71</v>
      </c>
      <c r="CF100" s="160"/>
      <c r="CG100" s="141"/>
      <c r="CH100" s="203" t="str">
        <f t="shared" si="306"/>
        <v xml:space="preserve">  </v>
      </c>
      <c r="CI100" s="174" t="str">
        <f t="shared" si="245"/>
        <v>NG</v>
      </c>
      <c r="CJ100" s="141"/>
      <c r="CK100" s="172" t="s">
        <v>71</v>
      </c>
      <c r="CL100" s="160"/>
      <c r="CM100" s="141"/>
      <c r="CN100" s="203" t="str">
        <f t="shared" si="307"/>
        <v xml:space="preserve">  </v>
      </c>
      <c r="CO100" s="174" t="str">
        <f t="shared" si="246"/>
        <v>NG</v>
      </c>
      <c r="CP100" s="141"/>
      <c r="CQ100" s="172" t="s">
        <v>71</v>
      </c>
      <c r="CR100" s="160"/>
      <c r="CS100" s="141"/>
      <c r="CT100" s="203" t="str">
        <f t="shared" si="308"/>
        <v xml:space="preserve">  </v>
      </c>
      <c r="CU100" s="174" t="str">
        <f t="shared" si="247"/>
        <v>NG</v>
      </c>
      <c r="CV100" s="141"/>
      <c r="CW100" s="172" t="s">
        <v>71</v>
      </c>
      <c r="CX100" s="160"/>
      <c r="CY100" s="141"/>
      <c r="CZ100" s="203" t="str">
        <f t="shared" si="309"/>
        <v xml:space="preserve">  </v>
      </c>
      <c r="DA100" s="174" t="str">
        <f t="shared" si="248"/>
        <v>NG</v>
      </c>
      <c r="DB100" s="141"/>
      <c r="DC100" s="172" t="s">
        <v>71</v>
      </c>
      <c r="DD100" s="160"/>
      <c r="DE100" s="141"/>
      <c r="DF100" s="203" t="str">
        <f t="shared" si="310"/>
        <v xml:space="preserve">  </v>
      </c>
      <c r="DG100" s="174" t="str">
        <f t="shared" si="249"/>
        <v>NG</v>
      </c>
      <c r="DH100" s="141"/>
      <c r="DI100" s="172" t="s">
        <v>71</v>
      </c>
      <c r="DJ100" s="160"/>
      <c r="DK100" s="141"/>
      <c r="DL100" s="203" t="str">
        <f t="shared" si="311"/>
        <v xml:space="preserve">  </v>
      </c>
      <c r="DM100" s="174" t="str">
        <f t="shared" si="250"/>
        <v>NG</v>
      </c>
      <c r="DN100" s="141"/>
      <c r="DO100" s="172" t="s">
        <v>71</v>
      </c>
      <c r="DP100" s="160"/>
      <c r="DQ100" s="141"/>
      <c r="DR100" s="203" t="str">
        <f t="shared" si="312"/>
        <v xml:space="preserve">  </v>
      </c>
      <c r="DS100" s="174" t="str">
        <f t="shared" si="215"/>
        <v>NG</v>
      </c>
      <c r="DT100" s="141"/>
      <c r="DU100" s="172" t="s">
        <v>71</v>
      </c>
      <c r="DV100" s="160"/>
      <c r="DW100" s="141"/>
      <c r="DX100" s="203" t="str">
        <f t="shared" si="313"/>
        <v xml:space="preserve">  </v>
      </c>
      <c r="DY100" s="174" t="str">
        <f t="shared" si="216"/>
        <v>NG</v>
      </c>
      <c r="DZ100" s="141"/>
      <c r="EA100" s="172" t="s">
        <v>71</v>
      </c>
      <c r="EB100" s="160"/>
      <c r="EC100" s="141"/>
      <c r="ED100" s="203" t="str">
        <f t="shared" si="314"/>
        <v xml:space="preserve">  </v>
      </c>
      <c r="EE100" s="174" t="str">
        <f t="shared" si="217"/>
        <v>NG</v>
      </c>
      <c r="EF100" s="141"/>
      <c r="EG100" s="172" t="s">
        <v>71</v>
      </c>
      <c r="EH100" s="160"/>
      <c r="EI100" s="141"/>
      <c r="EJ100" s="203" t="str">
        <f t="shared" si="315"/>
        <v xml:space="preserve">  </v>
      </c>
      <c r="EK100" s="174" t="str">
        <f t="shared" si="218"/>
        <v>NG</v>
      </c>
      <c r="EL100" s="141"/>
      <c r="EM100" s="172" t="s">
        <v>71</v>
      </c>
      <c r="EN100" s="160"/>
      <c r="EO100" s="141"/>
      <c r="EP100" s="203" t="str">
        <f t="shared" si="316"/>
        <v xml:space="preserve">  </v>
      </c>
      <c r="EQ100" s="174" t="str">
        <f t="shared" si="219"/>
        <v>NG</v>
      </c>
      <c r="ER100" s="141"/>
      <c r="ES100" s="172" t="s">
        <v>71</v>
      </c>
      <c r="ET100" s="160"/>
      <c r="EU100" s="141"/>
      <c r="EV100" s="203" t="str">
        <f t="shared" si="317"/>
        <v xml:space="preserve">  </v>
      </c>
      <c r="EW100" s="174" t="str">
        <f t="shared" si="220"/>
        <v>NG</v>
      </c>
      <c r="EX100" s="141"/>
      <c r="EY100" s="172" t="s">
        <v>71</v>
      </c>
      <c r="EZ100" s="160"/>
      <c r="FA100" s="141"/>
      <c r="FB100" s="203" t="str">
        <f t="shared" si="318"/>
        <v xml:space="preserve">  </v>
      </c>
      <c r="FC100" s="174" t="str">
        <f t="shared" si="221"/>
        <v>NG</v>
      </c>
      <c r="FD100" s="141"/>
      <c r="FE100" s="172" t="s">
        <v>71</v>
      </c>
      <c r="FF100" s="160"/>
      <c r="FG100" s="141"/>
      <c r="FH100" s="203" t="str">
        <f t="shared" si="319"/>
        <v xml:space="preserve">  </v>
      </c>
      <c r="FI100" s="174" t="str">
        <f t="shared" si="233"/>
        <v>NG</v>
      </c>
      <c r="FJ100" s="141"/>
      <c r="FK100" s="172" t="s">
        <v>71</v>
      </c>
      <c r="FL100" s="160"/>
      <c r="FM100" s="141"/>
      <c r="FN100" s="203" t="str">
        <f t="shared" si="320"/>
        <v xml:space="preserve">  </v>
      </c>
      <c r="FO100" s="174" t="str">
        <f t="shared" si="251"/>
        <v>NG</v>
      </c>
      <c r="FP100" s="141"/>
      <c r="FQ100" s="172" t="s">
        <v>71</v>
      </c>
      <c r="FR100" s="160"/>
      <c r="FS100" s="141"/>
      <c r="FT100" s="203" t="str">
        <f t="shared" si="321"/>
        <v xml:space="preserve">  </v>
      </c>
      <c r="FU100" s="174" t="str">
        <f t="shared" si="252"/>
        <v>NG</v>
      </c>
      <c r="FV100" s="141"/>
      <c r="FW100" s="172" t="s">
        <v>71</v>
      </c>
      <c r="FX100" s="160"/>
      <c r="FY100" s="141"/>
      <c r="FZ100" s="203" t="str">
        <f t="shared" si="322"/>
        <v xml:space="preserve">  </v>
      </c>
      <c r="GA100" s="174" t="str">
        <f t="shared" si="253"/>
        <v>NG</v>
      </c>
      <c r="GB100" s="141"/>
      <c r="GC100" s="172" t="s">
        <v>71</v>
      </c>
    </row>
    <row r="101" spans="2:185" s="52" customFormat="1">
      <c r="B101" s="48">
        <f t="shared" si="323"/>
        <v>94</v>
      </c>
      <c r="C101" s="37"/>
      <c r="D101" s="37"/>
      <c r="E101" s="37"/>
      <c r="F101" s="49" t="s">
        <v>192</v>
      </c>
      <c r="G101" s="39"/>
      <c r="H101" s="40"/>
      <c r="I101" s="42"/>
      <c r="J101" s="42" t="s">
        <v>316</v>
      </c>
      <c r="K101" s="42"/>
      <c r="L101" s="42"/>
      <c r="M101" s="47" t="s">
        <v>324</v>
      </c>
      <c r="N101" s="47"/>
      <c r="O101" s="143"/>
      <c r="P101" s="45">
        <f t="shared" si="326"/>
        <v>75</v>
      </c>
      <c r="Q101" s="46">
        <v>255</v>
      </c>
      <c r="R101" s="41" t="str">
        <f t="shared" si="325"/>
        <v>NX</v>
      </c>
      <c r="S101" s="185" t="s">
        <v>193</v>
      </c>
      <c r="T101" s="43"/>
      <c r="U101" s="41" t="s">
        <v>80</v>
      </c>
      <c r="V101" s="44"/>
      <c r="W101" s="22">
        <v>3</v>
      </c>
      <c r="X101" s="47" t="s">
        <v>194</v>
      </c>
      <c r="Y101" s="47">
        <v>1</v>
      </c>
      <c r="Z101" s="47">
        <v>255</v>
      </c>
      <c r="AA101" s="42" t="s">
        <v>195</v>
      </c>
      <c r="AB101" s="42" t="s">
        <v>57</v>
      </c>
      <c r="AC101" s="166"/>
      <c r="AD101" s="160"/>
      <c r="AE101" s="162"/>
      <c r="AF101" s="204" t="str">
        <f t="shared" si="298"/>
        <v xml:space="preserve">                                                                                                                                                                                                                                                               </v>
      </c>
      <c r="AG101" s="174" t="str">
        <f t="shared" si="237"/>
        <v>NG</v>
      </c>
      <c r="AH101" s="162"/>
      <c r="AI101" s="276" t="str">
        <f>IF(OR(AE$8="判定対象外",AH$8="判定対象外",AH101="-"),"-",IF(AE101=AH101,"OK","NG"))</f>
        <v>OK</v>
      </c>
      <c r="AJ101" s="160"/>
      <c r="AK101" s="162"/>
      <c r="AL101" s="204" t="str">
        <f t="shared" si="281"/>
        <v xml:space="preserve">                                                                                                                                                                                                                                                               </v>
      </c>
      <c r="AM101" s="174" t="str">
        <f t="shared" si="324"/>
        <v>NG</v>
      </c>
      <c r="AN101" s="162"/>
      <c r="AO101" s="276" t="str">
        <f>IF(OR(AK$8="判定対象外",AN$8="判定対象外",AN101="-"),"-",IF(AK101=AN101,"OK","NG"))</f>
        <v>OK</v>
      </c>
      <c r="AP101" s="160"/>
      <c r="AQ101" s="162"/>
      <c r="AR101" s="204" t="str">
        <f t="shared" si="299"/>
        <v xml:space="preserve">                                                                                                                                                                                                                                                               </v>
      </c>
      <c r="AS101" s="174" t="str">
        <f t="shared" si="238"/>
        <v>NG</v>
      </c>
      <c r="AT101" s="162"/>
      <c r="AU101" s="276" t="str">
        <f>IF(OR(AQ$8="判定対象外",AT$8="判定対象外",AT101="-"),"-",IF(AQ101=AT101,"OK","NG"))</f>
        <v>OK</v>
      </c>
      <c r="AV101" s="160"/>
      <c r="AW101" s="162"/>
      <c r="AX101" s="204" t="str">
        <f t="shared" si="300"/>
        <v xml:space="preserve">                                                                                                                                                                                                                                                               </v>
      </c>
      <c r="AY101" s="174" t="str">
        <f t="shared" si="239"/>
        <v>NG</v>
      </c>
      <c r="AZ101" s="162"/>
      <c r="BA101" s="276" t="str">
        <f>IF(OR(AW$8="判定対象外",AZ$8="判定対象外",AZ101="-"),"-",IF(AW101=AZ101,"OK","NG"))</f>
        <v>OK</v>
      </c>
      <c r="BB101" s="160"/>
      <c r="BC101" s="162"/>
      <c r="BD101" s="204" t="str">
        <f t="shared" si="301"/>
        <v xml:space="preserve">                                                                                                                                                                                                                                                               </v>
      </c>
      <c r="BE101" s="174" t="str">
        <f t="shared" si="240"/>
        <v>NG</v>
      </c>
      <c r="BF101" s="162"/>
      <c r="BG101" s="276" t="str">
        <f>IF(OR(BC$8="判定対象外",BF$8="判定対象外",BF101="-"),"-",IF(BC101=BF101,"OK","NG"))</f>
        <v>OK</v>
      </c>
      <c r="BH101" s="160"/>
      <c r="BI101" s="162"/>
      <c r="BJ101" s="204" t="str">
        <f t="shared" si="302"/>
        <v xml:space="preserve">                                                                                                                                                                                                                                                               </v>
      </c>
      <c r="BK101" s="174" t="str">
        <f t="shared" si="241"/>
        <v>NG</v>
      </c>
      <c r="BL101" s="162"/>
      <c r="BM101" s="276" t="str">
        <f>IF(OR(BI$8="判定対象外",BL$8="判定対象外",BL101="-"),"-",IF(BI101=BL101,"OK","NG"))</f>
        <v>OK</v>
      </c>
      <c r="BN101" s="160"/>
      <c r="BO101" s="162"/>
      <c r="BP101" s="204" t="str">
        <f t="shared" si="303"/>
        <v xml:space="preserve">                                                                                                                                                                                                                                                               </v>
      </c>
      <c r="BQ101" s="174" t="str">
        <f t="shared" si="242"/>
        <v>NG</v>
      </c>
      <c r="BR101" s="162"/>
      <c r="BS101" s="276" t="str">
        <f>IF(OR(BO$8="判定対象外",BR$8="判定対象外",BR101="-"),"-",IF(BO101=BR101,"OK","NG"))</f>
        <v>OK</v>
      </c>
      <c r="BT101" s="160"/>
      <c r="BU101" s="162"/>
      <c r="BV101" s="204" t="str">
        <f t="shared" si="304"/>
        <v xml:space="preserve">                                                                                                                                                                                                                                                               </v>
      </c>
      <c r="BW101" s="174" t="str">
        <f t="shared" si="243"/>
        <v>NG</v>
      </c>
      <c r="BX101" s="162"/>
      <c r="BY101" s="276" t="str">
        <f>IF(OR(BU$8="判定対象外",BX$8="判定対象外",BX101="-"),"-",IF(BU101=BX101,"OK","NG"))</f>
        <v>OK</v>
      </c>
      <c r="BZ101" s="160"/>
      <c r="CA101" s="162"/>
      <c r="CB101" s="204" t="str">
        <f t="shared" si="305"/>
        <v xml:space="preserve">                                                                                                                                                                                                                                                               </v>
      </c>
      <c r="CC101" s="174" t="str">
        <f t="shared" si="244"/>
        <v>NG</v>
      </c>
      <c r="CD101" s="162"/>
      <c r="CE101" s="276" t="str">
        <f>IF(OR(CA$8="判定対象外",CD$8="判定対象外",CD101="-"),"-",IF(CA101=CD101,"OK","NG"))</f>
        <v>OK</v>
      </c>
      <c r="CF101" s="160"/>
      <c r="CG101" s="162"/>
      <c r="CH101" s="204" t="str">
        <f t="shared" si="306"/>
        <v xml:space="preserve">                                                                                                                                                                                                                                                               </v>
      </c>
      <c r="CI101" s="174" t="str">
        <f t="shared" si="245"/>
        <v>NG</v>
      </c>
      <c r="CJ101" s="162"/>
      <c r="CK101" s="276" t="str">
        <f>IF(OR(CG$8="判定対象外",CJ$8="判定対象外",CJ101="-"),"-",IF(CG101=CJ101,"OK","NG"))</f>
        <v>OK</v>
      </c>
      <c r="CL101" s="160"/>
      <c r="CM101" s="162"/>
      <c r="CN101" s="204" t="str">
        <f t="shared" si="307"/>
        <v xml:space="preserve">                                                                                                                                                                                                                                                               </v>
      </c>
      <c r="CO101" s="174" t="str">
        <f t="shared" si="246"/>
        <v>NG</v>
      </c>
      <c r="CP101" s="162"/>
      <c r="CQ101" s="276" t="str">
        <f>IF(OR(CM$8="判定対象外",CP$8="判定対象外",CP101="-"),"-",IF(CM101=CP101,"OK","NG"))</f>
        <v>OK</v>
      </c>
      <c r="CR101" s="160"/>
      <c r="CS101" s="162"/>
      <c r="CT101" s="204" t="str">
        <f t="shared" si="308"/>
        <v xml:space="preserve">                                                                                                                                                                                                                                                               </v>
      </c>
      <c r="CU101" s="174" t="str">
        <f t="shared" si="247"/>
        <v>NG</v>
      </c>
      <c r="CV101" s="162"/>
      <c r="CW101" s="276" t="str">
        <f>IF(OR(CS$8="判定対象外",CV$8="判定対象外",CV101="-"),"-",IF(CS101=CV101,"OK","NG"))</f>
        <v>OK</v>
      </c>
      <c r="CX101" s="160"/>
      <c r="CY101" s="162"/>
      <c r="CZ101" s="204" t="str">
        <f t="shared" si="309"/>
        <v xml:space="preserve">                                                                                                                                                                                                                                                               </v>
      </c>
      <c r="DA101" s="174" t="str">
        <f t="shared" si="248"/>
        <v>NG</v>
      </c>
      <c r="DB101" s="162"/>
      <c r="DC101" s="276" t="str">
        <f>IF(OR(CY$8="判定対象外",DB$8="判定対象外",DB101="-"),"-",IF(CY101=DB101,"OK","NG"))</f>
        <v>OK</v>
      </c>
      <c r="DD101" s="160"/>
      <c r="DE101" s="162"/>
      <c r="DF101" s="204" t="str">
        <f t="shared" si="310"/>
        <v xml:space="preserve">                                                                                                                                                                                                                                                               </v>
      </c>
      <c r="DG101" s="174" t="str">
        <f t="shared" si="249"/>
        <v>NG</v>
      </c>
      <c r="DH101" s="162"/>
      <c r="DI101" s="276" t="str">
        <f>IF(OR(DE$8="判定対象外",DH$8="判定対象外",DH101="-"),"-",IF(DE101=DH101,"OK","NG"))</f>
        <v>OK</v>
      </c>
      <c r="DJ101" s="160"/>
      <c r="DK101" s="162"/>
      <c r="DL101" s="204" t="str">
        <f t="shared" si="311"/>
        <v xml:space="preserve">                                                                                                                                                                                                                                                               </v>
      </c>
      <c r="DM101" s="174" t="str">
        <f t="shared" si="250"/>
        <v>NG</v>
      </c>
      <c r="DN101" s="162"/>
      <c r="DO101" s="276" t="str">
        <f>IF(OR(DK$8="判定対象外",DN$8="判定対象外",DN101="-"),"-",IF(DK101=DN101,"OK","NG"))</f>
        <v>OK</v>
      </c>
      <c r="DP101" s="160"/>
      <c r="DQ101" s="162"/>
      <c r="DR101" s="204" t="str">
        <f t="shared" si="312"/>
        <v xml:space="preserve">                                                                                                                                                                                                                                                               </v>
      </c>
      <c r="DS101" s="174" t="str">
        <f t="shared" si="215"/>
        <v>NG</v>
      </c>
      <c r="DT101" s="162"/>
      <c r="DU101" s="276" t="str">
        <f>IF(OR(DQ$8="判定対象外",DT$8="判定対象外",DT101="-"),"-",IF(DQ101=DT101,"OK","NG"))</f>
        <v>OK</v>
      </c>
      <c r="DV101" s="160"/>
      <c r="DW101" s="162"/>
      <c r="DX101" s="204" t="str">
        <f t="shared" si="313"/>
        <v xml:space="preserve">                                                                                                                                                                                                                                                               </v>
      </c>
      <c r="DY101" s="174" t="str">
        <f t="shared" si="216"/>
        <v>NG</v>
      </c>
      <c r="DZ101" s="162"/>
      <c r="EA101" s="276" t="str">
        <f>IF(OR(DW$8="判定対象外",DZ$8="判定対象外",DZ101="-"),"-",IF(DW101=DZ101,"OK","NG"))</f>
        <v>OK</v>
      </c>
      <c r="EB101" s="160"/>
      <c r="EC101" s="162"/>
      <c r="ED101" s="204" t="str">
        <f t="shared" si="314"/>
        <v xml:space="preserve">                                                                                                                                                                                                                                                               </v>
      </c>
      <c r="EE101" s="174" t="str">
        <f t="shared" si="217"/>
        <v>NG</v>
      </c>
      <c r="EF101" s="162"/>
      <c r="EG101" s="276" t="str">
        <f>IF(OR(EC$8="判定対象外",EF$8="判定対象外",EF101="-"),"-",IF(EC101=EF101,"OK","NG"))</f>
        <v>OK</v>
      </c>
      <c r="EH101" s="160"/>
      <c r="EI101" s="162"/>
      <c r="EJ101" s="204" t="str">
        <f t="shared" si="315"/>
        <v xml:space="preserve">                                                                                                                                                                                                                                                               </v>
      </c>
      <c r="EK101" s="174" t="str">
        <f t="shared" si="218"/>
        <v>NG</v>
      </c>
      <c r="EL101" s="162"/>
      <c r="EM101" s="276" t="str">
        <f>IF(OR(EI$8="判定対象外",EL$8="判定対象外",EL101="-"),"-",IF(EI101=EL101,"OK","NG"))</f>
        <v>OK</v>
      </c>
      <c r="EN101" s="160"/>
      <c r="EO101" s="162"/>
      <c r="EP101" s="204" t="str">
        <f t="shared" si="316"/>
        <v xml:space="preserve">                                                                                                                                                                                                                                                               </v>
      </c>
      <c r="EQ101" s="174" t="str">
        <f t="shared" si="219"/>
        <v>NG</v>
      </c>
      <c r="ER101" s="162"/>
      <c r="ES101" s="276" t="str">
        <f>IF(OR(EO$8="判定対象外",ER$8="判定対象外",ER101="-"),"-",IF(EO101=ER101,"OK","NG"))</f>
        <v>OK</v>
      </c>
      <c r="ET101" s="160"/>
      <c r="EU101" s="162"/>
      <c r="EV101" s="204" t="str">
        <f t="shared" si="317"/>
        <v xml:space="preserve">                                                                                                                                                                                                                                                               </v>
      </c>
      <c r="EW101" s="174" t="str">
        <f t="shared" si="220"/>
        <v>NG</v>
      </c>
      <c r="EX101" s="162"/>
      <c r="EY101" s="276" t="str">
        <f>IF(OR(EU$8="判定対象外",EX$8="判定対象外",EX101="-"),"-",IF(EU101=EX101,"OK","NG"))</f>
        <v>OK</v>
      </c>
      <c r="EZ101" s="160"/>
      <c r="FA101" s="162"/>
      <c r="FB101" s="204" t="str">
        <f t="shared" si="318"/>
        <v xml:space="preserve">                                                                                                                                                                                                                                                               </v>
      </c>
      <c r="FC101" s="174" t="str">
        <f t="shared" si="221"/>
        <v>NG</v>
      </c>
      <c r="FD101" s="162"/>
      <c r="FE101" s="276" t="str">
        <f>IF(OR(FA$8="判定対象外",FD$8="判定対象外",FD101="-"),"-",IF(FA101=FD101,"OK","NG"))</f>
        <v>OK</v>
      </c>
      <c r="FF101" s="160"/>
      <c r="FG101" s="162"/>
      <c r="FH101" s="204" t="str">
        <f t="shared" si="319"/>
        <v xml:space="preserve">                                                                                                                                                                                                                                                               </v>
      </c>
      <c r="FI101" s="174" t="str">
        <f t="shared" si="233"/>
        <v>NG</v>
      </c>
      <c r="FJ101" s="162"/>
      <c r="FK101" s="276" t="str">
        <f>IF(OR(FG$8="判定対象外",FJ$8="判定対象外",FJ101="-"),"-",IF(FG101=FJ101,"OK","NG"))</f>
        <v>OK</v>
      </c>
      <c r="FL101" s="160"/>
      <c r="FM101" s="162"/>
      <c r="FN101" s="204" t="str">
        <f t="shared" si="320"/>
        <v xml:space="preserve">                                                                                                                                                                                                                                                               </v>
      </c>
      <c r="FO101" s="174" t="str">
        <f t="shared" si="251"/>
        <v>NG</v>
      </c>
      <c r="FP101" s="162"/>
      <c r="FQ101" s="276" t="str">
        <f>IF(OR(FM$8="判定対象外",FP$8="判定対象外",FP101="-"),"-",IF(FM101=FP101,"OK","NG"))</f>
        <v>OK</v>
      </c>
      <c r="FR101" s="160"/>
      <c r="FS101" s="162"/>
      <c r="FT101" s="204" t="str">
        <f t="shared" si="321"/>
        <v xml:space="preserve">                                                                                                                                                                                                                                                               </v>
      </c>
      <c r="FU101" s="174" t="str">
        <f t="shared" si="252"/>
        <v>NG</v>
      </c>
      <c r="FV101" s="162"/>
      <c r="FW101" s="276" t="str">
        <f>IF(OR(FS$8="判定対象外",FV$8="判定対象外",FV101="-"),"-",IF(FS101=FV101,"OK","NG"))</f>
        <v>OK</v>
      </c>
      <c r="FX101" s="160"/>
      <c r="FY101" s="162"/>
      <c r="FZ101" s="204" t="str">
        <f t="shared" si="322"/>
        <v xml:space="preserve">                                                                                                                                                                                                                                                               </v>
      </c>
      <c r="GA101" s="174" t="str">
        <f t="shared" si="253"/>
        <v>NG</v>
      </c>
      <c r="GB101" s="162"/>
      <c r="GC101" s="276" t="str">
        <f>IF(OR(FY$8="判定対象外",GB$8="判定対象外",GB101="-"),"-",IF(FY101=GB101,"OK","NG"))</f>
        <v>OK</v>
      </c>
    </row>
    <row r="102" spans="2:185" s="52" customFormat="1">
      <c r="B102" s="53">
        <f t="shared" si="323"/>
        <v>95</v>
      </c>
      <c r="C102" s="37"/>
      <c r="D102" s="37"/>
      <c r="E102" s="37"/>
      <c r="F102" s="54" t="s">
        <v>325</v>
      </c>
      <c r="G102" s="54"/>
      <c r="H102" s="55"/>
      <c r="I102" s="57"/>
      <c r="J102" s="57"/>
      <c r="K102" s="57"/>
      <c r="L102" s="57"/>
      <c r="M102" s="58" t="s">
        <v>326</v>
      </c>
      <c r="N102" s="62"/>
      <c r="O102" s="150"/>
      <c r="P102" s="45">
        <f t="shared" si="326"/>
        <v>76</v>
      </c>
      <c r="Q102" s="60">
        <v>256</v>
      </c>
      <c r="R102" s="41" t="str">
        <f t="shared" si="325"/>
        <v>NX</v>
      </c>
      <c r="S102" s="185" t="s">
        <v>196</v>
      </c>
      <c r="T102" s="43"/>
      <c r="U102" s="41" t="s">
        <v>80</v>
      </c>
      <c r="V102" s="44"/>
      <c r="W102" s="61">
        <v>3</v>
      </c>
      <c r="X102" s="62" t="s">
        <v>197</v>
      </c>
      <c r="Y102" s="62">
        <v>1</v>
      </c>
      <c r="Z102" s="62">
        <v>256</v>
      </c>
      <c r="AA102" s="57" t="s">
        <v>101</v>
      </c>
      <c r="AB102" s="57" t="s">
        <v>80</v>
      </c>
      <c r="AC102" s="214"/>
      <c r="AD102" s="160"/>
      <c r="AE102" s="141"/>
      <c r="AF102" s="203" t="str">
        <f t="shared" si="298"/>
        <v xml:space="preserve">                                                                                                                                                                                                                                                                </v>
      </c>
      <c r="AG102" s="174" t="str">
        <f t="shared" si="237"/>
        <v>NG</v>
      </c>
      <c r="AH102" s="141"/>
      <c r="AI102" s="172" t="s">
        <v>71</v>
      </c>
      <c r="AJ102" s="160"/>
      <c r="AK102" s="141"/>
      <c r="AL102" s="203" t="str">
        <f t="shared" si="281"/>
        <v xml:space="preserve">                                                                                                                                                                                                                                                                </v>
      </c>
      <c r="AM102" s="174" t="str">
        <f t="shared" si="324"/>
        <v>NG</v>
      </c>
      <c r="AN102" s="141"/>
      <c r="AO102" s="172" t="s">
        <v>71</v>
      </c>
      <c r="AP102" s="160"/>
      <c r="AQ102" s="141"/>
      <c r="AR102" s="203" t="str">
        <f t="shared" si="299"/>
        <v xml:space="preserve">                                                                                                                                                                                                                                                                </v>
      </c>
      <c r="AS102" s="174" t="str">
        <f t="shared" si="238"/>
        <v>NG</v>
      </c>
      <c r="AT102" s="141"/>
      <c r="AU102" s="172" t="s">
        <v>71</v>
      </c>
      <c r="AV102" s="160"/>
      <c r="AW102" s="141"/>
      <c r="AX102" s="203" t="str">
        <f t="shared" si="300"/>
        <v xml:space="preserve">                                                                                                                                                                                                                                                                </v>
      </c>
      <c r="AY102" s="174" t="str">
        <f t="shared" si="239"/>
        <v>NG</v>
      </c>
      <c r="AZ102" s="141"/>
      <c r="BA102" s="172" t="s">
        <v>71</v>
      </c>
      <c r="BB102" s="160"/>
      <c r="BC102" s="141"/>
      <c r="BD102" s="203" t="str">
        <f t="shared" si="301"/>
        <v xml:space="preserve">                                                                                                                                                                                                                                                                </v>
      </c>
      <c r="BE102" s="174" t="str">
        <f t="shared" si="240"/>
        <v>NG</v>
      </c>
      <c r="BF102" s="141"/>
      <c r="BG102" s="172" t="s">
        <v>71</v>
      </c>
      <c r="BH102" s="160"/>
      <c r="BI102" s="141"/>
      <c r="BJ102" s="203" t="str">
        <f t="shared" si="302"/>
        <v xml:space="preserve">                                                                                                                                                                                                                                                                </v>
      </c>
      <c r="BK102" s="174" t="str">
        <f t="shared" si="241"/>
        <v>NG</v>
      </c>
      <c r="BL102" s="141"/>
      <c r="BM102" s="172" t="s">
        <v>71</v>
      </c>
      <c r="BN102" s="160"/>
      <c r="BO102" s="141"/>
      <c r="BP102" s="203" t="str">
        <f t="shared" si="303"/>
        <v xml:space="preserve">                                                                                                                                                                                                                                                                </v>
      </c>
      <c r="BQ102" s="174" t="str">
        <f t="shared" si="242"/>
        <v>NG</v>
      </c>
      <c r="BR102" s="141"/>
      <c r="BS102" s="172" t="s">
        <v>71</v>
      </c>
      <c r="BT102" s="160"/>
      <c r="BU102" s="141"/>
      <c r="BV102" s="203" t="str">
        <f t="shared" si="304"/>
        <v xml:space="preserve">                                                                                                                                                                                                                                                                </v>
      </c>
      <c r="BW102" s="174" t="str">
        <f t="shared" si="243"/>
        <v>NG</v>
      </c>
      <c r="BX102" s="141"/>
      <c r="BY102" s="172" t="s">
        <v>71</v>
      </c>
      <c r="BZ102" s="160"/>
      <c r="CA102" s="141"/>
      <c r="CB102" s="203" t="str">
        <f t="shared" si="305"/>
        <v xml:space="preserve">                                                                                                                                                                                                                                                                </v>
      </c>
      <c r="CC102" s="174" t="str">
        <f t="shared" si="244"/>
        <v>NG</v>
      </c>
      <c r="CD102" s="141"/>
      <c r="CE102" s="172" t="s">
        <v>71</v>
      </c>
      <c r="CF102" s="160"/>
      <c r="CG102" s="141"/>
      <c r="CH102" s="203" t="str">
        <f t="shared" si="306"/>
        <v xml:space="preserve">                                                                                                                                                                                                                                                                </v>
      </c>
      <c r="CI102" s="174" t="str">
        <f t="shared" si="245"/>
        <v>NG</v>
      </c>
      <c r="CJ102" s="141"/>
      <c r="CK102" s="172" t="s">
        <v>71</v>
      </c>
      <c r="CL102" s="160"/>
      <c r="CM102" s="141"/>
      <c r="CN102" s="203" t="str">
        <f t="shared" si="307"/>
        <v xml:space="preserve">                                                                                                                                                                                                                                                                </v>
      </c>
      <c r="CO102" s="174" t="str">
        <f t="shared" si="246"/>
        <v>NG</v>
      </c>
      <c r="CP102" s="141"/>
      <c r="CQ102" s="172" t="s">
        <v>71</v>
      </c>
      <c r="CR102" s="160"/>
      <c r="CS102" s="141"/>
      <c r="CT102" s="203" t="str">
        <f t="shared" si="308"/>
        <v xml:space="preserve">                                                                                                                                                                                                                                                                </v>
      </c>
      <c r="CU102" s="174" t="str">
        <f t="shared" si="247"/>
        <v>NG</v>
      </c>
      <c r="CV102" s="141"/>
      <c r="CW102" s="172" t="s">
        <v>71</v>
      </c>
      <c r="CX102" s="160"/>
      <c r="CY102" s="141"/>
      <c r="CZ102" s="203" t="str">
        <f t="shared" si="309"/>
        <v xml:space="preserve">                                                                                                                                                                                                                                                                </v>
      </c>
      <c r="DA102" s="174" t="str">
        <f t="shared" si="248"/>
        <v>NG</v>
      </c>
      <c r="DB102" s="141"/>
      <c r="DC102" s="172" t="s">
        <v>71</v>
      </c>
      <c r="DD102" s="160"/>
      <c r="DE102" s="141"/>
      <c r="DF102" s="203" t="str">
        <f t="shared" si="310"/>
        <v xml:space="preserve">                                                                                                                                                                                                                                                                </v>
      </c>
      <c r="DG102" s="174" t="str">
        <f t="shared" si="249"/>
        <v>NG</v>
      </c>
      <c r="DH102" s="141"/>
      <c r="DI102" s="172" t="s">
        <v>71</v>
      </c>
      <c r="DJ102" s="160"/>
      <c r="DK102" s="141"/>
      <c r="DL102" s="203" t="str">
        <f t="shared" si="311"/>
        <v xml:space="preserve">                                                                                                                                                                                                                                                                </v>
      </c>
      <c r="DM102" s="174" t="str">
        <f t="shared" si="250"/>
        <v>NG</v>
      </c>
      <c r="DN102" s="141"/>
      <c r="DO102" s="172" t="s">
        <v>71</v>
      </c>
      <c r="DP102" s="160"/>
      <c r="DQ102" s="141"/>
      <c r="DR102" s="203" t="str">
        <f t="shared" si="312"/>
        <v xml:space="preserve">                                                                                                                                                                                                                                                                </v>
      </c>
      <c r="DS102" s="174" t="str">
        <f t="shared" si="215"/>
        <v>NG</v>
      </c>
      <c r="DT102" s="141"/>
      <c r="DU102" s="172" t="s">
        <v>71</v>
      </c>
      <c r="DV102" s="160"/>
      <c r="DW102" s="141"/>
      <c r="DX102" s="203" t="str">
        <f t="shared" si="313"/>
        <v xml:space="preserve">                                                                                                                                                                                                                                                                </v>
      </c>
      <c r="DY102" s="174" t="str">
        <f t="shared" si="216"/>
        <v>NG</v>
      </c>
      <c r="DZ102" s="141"/>
      <c r="EA102" s="172" t="s">
        <v>71</v>
      </c>
      <c r="EB102" s="160"/>
      <c r="EC102" s="141"/>
      <c r="ED102" s="203" t="str">
        <f t="shared" si="314"/>
        <v xml:space="preserve">                                                                                                                                                                                                                                                                </v>
      </c>
      <c r="EE102" s="174" t="str">
        <f t="shared" si="217"/>
        <v>NG</v>
      </c>
      <c r="EF102" s="141"/>
      <c r="EG102" s="172" t="s">
        <v>71</v>
      </c>
      <c r="EH102" s="160"/>
      <c r="EI102" s="141"/>
      <c r="EJ102" s="203" t="str">
        <f t="shared" si="315"/>
        <v xml:space="preserve">                                                                                                                                                                                                                                                                </v>
      </c>
      <c r="EK102" s="174" t="str">
        <f t="shared" si="218"/>
        <v>NG</v>
      </c>
      <c r="EL102" s="141"/>
      <c r="EM102" s="172" t="s">
        <v>71</v>
      </c>
      <c r="EN102" s="160"/>
      <c r="EO102" s="141"/>
      <c r="EP102" s="203" t="str">
        <f t="shared" si="316"/>
        <v xml:space="preserve">                                                                                                                                                                                                                                                                </v>
      </c>
      <c r="EQ102" s="174" t="str">
        <f t="shared" si="219"/>
        <v>NG</v>
      </c>
      <c r="ER102" s="141"/>
      <c r="ES102" s="172" t="s">
        <v>71</v>
      </c>
      <c r="ET102" s="160"/>
      <c r="EU102" s="141"/>
      <c r="EV102" s="203" t="str">
        <f t="shared" si="317"/>
        <v xml:space="preserve">                                                                                                                                                                                                                                                                </v>
      </c>
      <c r="EW102" s="174" t="str">
        <f t="shared" si="220"/>
        <v>NG</v>
      </c>
      <c r="EX102" s="141"/>
      <c r="EY102" s="172" t="s">
        <v>71</v>
      </c>
      <c r="EZ102" s="160"/>
      <c r="FA102" s="141"/>
      <c r="FB102" s="203" t="str">
        <f t="shared" si="318"/>
        <v xml:space="preserve">                                                                                                                                                                                                                                                                </v>
      </c>
      <c r="FC102" s="174" t="str">
        <f t="shared" si="221"/>
        <v>NG</v>
      </c>
      <c r="FD102" s="141"/>
      <c r="FE102" s="172" t="s">
        <v>71</v>
      </c>
      <c r="FF102" s="160"/>
      <c r="FG102" s="141"/>
      <c r="FH102" s="203" t="str">
        <f t="shared" si="319"/>
        <v xml:space="preserve">                                                                                                                                                                                                                                                                </v>
      </c>
      <c r="FI102" s="174" t="str">
        <f t="shared" si="233"/>
        <v>NG</v>
      </c>
      <c r="FJ102" s="141"/>
      <c r="FK102" s="172" t="s">
        <v>71</v>
      </c>
      <c r="FL102" s="160"/>
      <c r="FM102" s="141"/>
      <c r="FN102" s="203" t="str">
        <f t="shared" si="320"/>
        <v xml:space="preserve">                                                                                                                                                                                                                                                                </v>
      </c>
      <c r="FO102" s="174" t="str">
        <f t="shared" si="251"/>
        <v>NG</v>
      </c>
      <c r="FP102" s="141"/>
      <c r="FQ102" s="172" t="s">
        <v>71</v>
      </c>
      <c r="FR102" s="160"/>
      <c r="FS102" s="141"/>
      <c r="FT102" s="203" t="str">
        <f t="shared" si="321"/>
        <v xml:space="preserve">                                                                                                                                                                                                                                                                </v>
      </c>
      <c r="FU102" s="174" t="str">
        <f t="shared" si="252"/>
        <v>NG</v>
      </c>
      <c r="FV102" s="141"/>
      <c r="FW102" s="172" t="s">
        <v>71</v>
      </c>
      <c r="FX102" s="160"/>
      <c r="FY102" s="141"/>
      <c r="FZ102" s="203" t="str">
        <f t="shared" si="322"/>
        <v xml:space="preserve">                                                                                                                                                                                                                                                                </v>
      </c>
      <c r="GA102" s="174" t="str">
        <f t="shared" si="253"/>
        <v>NG</v>
      </c>
      <c r="GB102" s="141"/>
      <c r="GC102" s="172" t="s">
        <v>71</v>
      </c>
    </row>
    <row r="103" spans="2:185" s="52" customFormat="1" ht="63.75">
      <c r="B103" s="48">
        <f t="shared" si="323"/>
        <v>96</v>
      </c>
      <c r="C103" s="37"/>
      <c r="D103" s="37"/>
      <c r="E103" s="37"/>
      <c r="F103" s="49" t="s">
        <v>198</v>
      </c>
      <c r="G103" s="39"/>
      <c r="H103" s="40"/>
      <c r="I103" s="42"/>
      <c r="J103" s="42"/>
      <c r="K103" s="42"/>
      <c r="L103" s="42"/>
      <c r="M103" s="63" t="s">
        <v>327</v>
      </c>
      <c r="N103" s="47"/>
      <c r="O103" s="143"/>
      <c r="P103" s="45">
        <f t="shared" si="326"/>
        <v>77</v>
      </c>
      <c r="Q103" s="46">
        <v>256</v>
      </c>
      <c r="R103" s="41" t="str">
        <f t="shared" si="325"/>
        <v>NX</v>
      </c>
      <c r="S103" s="185" t="s">
        <v>199</v>
      </c>
      <c r="T103" s="43"/>
      <c r="U103" s="41" t="s">
        <v>80</v>
      </c>
      <c r="V103" s="44"/>
      <c r="W103" s="22">
        <v>3</v>
      </c>
      <c r="X103" s="47" t="s">
        <v>200</v>
      </c>
      <c r="Y103" s="47">
        <v>1</v>
      </c>
      <c r="Z103" s="47">
        <v>256</v>
      </c>
      <c r="AA103" s="42" t="s">
        <v>195</v>
      </c>
      <c r="AB103" s="42" t="s">
        <v>80</v>
      </c>
      <c r="AC103" s="166"/>
      <c r="AD103" s="160"/>
      <c r="AE103" s="162"/>
      <c r="AF103" s="167" t="str">
        <f t="shared" si="298"/>
        <v xml:space="preserve">                                                                                                                                                                                                                                                                </v>
      </c>
      <c r="AG103" s="174" t="str">
        <f t="shared" si="237"/>
        <v>NG</v>
      </c>
      <c r="AH103" s="162"/>
      <c r="AI103" s="276" t="str">
        <f t="shared" ref="AI103:AI108" si="327">IF(OR(AE$8="判定対象外",AH$8="判定対象外",AH103="-"),"-",IF(AE103=AH103,"OK","NG"))</f>
        <v>OK</v>
      </c>
      <c r="AJ103" s="160"/>
      <c r="AK103" s="162"/>
      <c r="AL103" s="167" t="str">
        <f t="shared" si="281"/>
        <v xml:space="preserve">                                                                                                                                                                                                                                                                </v>
      </c>
      <c r="AM103" s="174" t="str">
        <f t="shared" si="324"/>
        <v>NG</v>
      </c>
      <c r="AN103" s="162"/>
      <c r="AO103" s="276" t="str">
        <f t="shared" ref="AO103:AO108" si="328">IF(OR(AK$8="判定対象外",AN$8="判定対象外",AN103="-"),"-",IF(AK103=AN103,"OK","NG"))</f>
        <v>OK</v>
      </c>
      <c r="AP103" s="160"/>
      <c r="AQ103" s="162"/>
      <c r="AR103" s="167" t="str">
        <f t="shared" si="299"/>
        <v xml:space="preserve">                                                                                                                                                                                                                                                                </v>
      </c>
      <c r="AS103" s="174" t="str">
        <f t="shared" si="238"/>
        <v>NG</v>
      </c>
      <c r="AT103" s="162"/>
      <c r="AU103" s="276" t="str">
        <f t="shared" ref="AU103:AU108" si="329">IF(OR(AQ$8="判定対象外",AT$8="判定対象外",AT103="-"),"-",IF(AQ103=AT103,"OK","NG"))</f>
        <v>OK</v>
      </c>
      <c r="AV103" s="160"/>
      <c r="AW103" s="162"/>
      <c r="AX103" s="167" t="str">
        <f t="shared" si="300"/>
        <v xml:space="preserve">                                                                                                                                                                                                                                                                </v>
      </c>
      <c r="AY103" s="174" t="str">
        <f t="shared" si="239"/>
        <v>NG</v>
      </c>
      <c r="AZ103" s="162"/>
      <c r="BA103" s="276" t="str">
        <f t="shared" ref="BA103:BA108" si="330">IF(OR(AW$8="判定対象外",AZ$8="判定対象外",AZ103="-"),"-",IF(AW103=AZ103,"OK","NG"))</f>
        <v>OK</v>
      </c>
      <c r="BB103" s="160"/>
      <c r="BC103" s="162"/>
      <c r="BD103" s="167" t="str">
        <f t="shared" si="301"/>
        <v xml:space="preserve">                                                                                                                                                                                                                                                                </v>
      </c>
      <c r="BE103" s="174" t="str">
        <f t="shared" si="240"/>
        <v>NG</v>
      </c>
      <c r="BF103" s="162"/>
      <c r="BG103" s="276" t="str">
        <f t="shared" ref="BG103:BG108" si="331">IF(OR(BC$8="判定対象外",BF$8="判定対象外",BF103="-"),"-",IF(BC103=BF103,"OK","NG"))</f>
        <v>OK</v>
      </c>
      <c r="BH103" s="160"/>
      <c r="BI103" s="162"/>
      <c r="BJ103" s="167" t="str">
        <f t="shared" si="302"/>
        <v xml:space="preserve">                                                                                                                                                                                                                                                                </v>
      </c>
      <c r="BK103" s="174" t="str">
        <f t="shared" si="241"/>
        <v>NG</v>
      </c>
      <c r="BL103" s="162"/>
      <c r="BM103" s="276" t="str">
        <f t="shared" ref="BM103:BM108" si="332">IF(OR(BI$8="判定対象外",BL$8="判定対象外",BL103="-"),"-",IF(BI103=BL103,"OK","NG"))</f>
        <v>OK</v>
      </c>
      <c r="BN103" s="160"/>
      <c r="BO103" s="162"/>
      <c r="BP103" s="167" t="str">
        <f t="shared" si="303"/>
        <v xml:space="preserve">                                                                                                                                                                                                                                                                </v>
      </c>
      <c r="BQ103" s="174" t="str">
        <f t="shared" si="242"/>
        <v>NG</v>
      </c>
      <c r="BR103" s="162"/>
      <c r="BS103" s="276" t="str">
        <f t="shared" ref="BS103:BS108" si="333">IF(OR(BO$8="判定対象外",BR$8="判定対象外",BR103="-"),"-",IF(BO103=BR103,"OK","NG"))</f>
        <v>OK</v>
      </c>
      <c r="BT103" s="160"/>
      <c r="BU103" s="162"/>
      <c r="BV103" s="167" t="str">
        <f t="shared" si="304"/>
        <v xml:space="preserve">                                                                                                                                                                                                                                                                </v>
      </c>
      <c r="BW103" s="174" t="str">
        <f t="shared" si="243"/>
        <v>NG</v>
      </c>
      <c r="BX103" s="162"/>
      <c r="BY103" s="276" t="str">
        <f t="shared" ref="BY103:BY108" si="334">IF(OR(BU$8="判定対象外",BX$8="判定対象外",BX103="-"),"-",IF(BU103=BX103,"OK","NG"))</f>
        <v>OK</v>
      </c>
      <c r="BZ103" s="160"/>
      <c r="CA103" s="162"/>
      <c r="CB103" s="167" t="str">
        <f t="shared" si="305"/>
        <v xml:space="preserve">                                                                                                                                                                                                                                                                </v>
      </c>
      <c r="CC103" s="174" t="str">
        <f t="shared" si="244"/>
        <v>NG</v>
      </c>
      <c r="CD103" s="162"/>
      <c r="CE103" s="276" t="str">
        <f t="shared" ref="CE103:CE108" si="335">IF(OR(CA$8="判定対象外",CD$8="判定対象外",CD103="-"),"-",IF(CA103=CD103,"OK","NG"))</f>
        <v>OK</v>
      </c>
      <c r="CF103" s="160"/>
      <c r="CG103" s="162"/>
      <c r="CH103" s="167" t="str">
        <f t="shared" si="306"/>
        <v xml:space="preserve">                                                                                                                                                                                                                                                                </v>
      </c>
      <c r="CI103" s="174" t="str">
        <f t="shared" si="245"/>
        <v>NG</v>
      </c>
      <c r="CJ103" s="162"/>
      <c r="CK103" s="276" t="str">
        <f t="shared" ref="CK103:CK108" si="336">IF(OR(CG$8="判定対象外",CJ$8="判定対象外",CJ103="-"),"-",IF(CG103=CJ103,"OK","NG"))</f>
        <v>OK</v>
      </c>
      <c r="CL103" s="160"/>
      <c r="CM103" s="162"/>
      <c r="CN103" s="167" t="str">
        <f t="shared" si="307"/>
        <v xml:space="preserve">                                                                                                                                                                                                                                                                </v>
      </c>
      <c r="CO103" s="174" t="str">
        <f t="shared" si="246"/>
        <v>NG</v>
      </c>
      <c r="CP103" s="162"/>
      <c r="CQ103" s="276" t="str">
        <f t="shared" ref="CQ103:CQ108" si="337">IF(OR(CM$8="判定対象外",CP$8="判定対象外",CP103="-"),"-",IF(CM103=CP103,"OK","NG"))</f>
        <v>OK</v>
      </c>
      <c r="CR103" s="160"/>
      <c r="CS103" s="162"/>
      <c r="CT103" s="167" t="str">
        <f t="shared" si="308"/>
        <v xml:space="preserve">                                                                                                                                                                                                                                                                </v>
      </c>
      <c r="CU103" s="174" t="str">
        <f t="shared" si="247"/>
        <v>NG</v>
      </c>
      <c r="CV103" s="162"/>
      <c r="CW103" s="276" t="str">
        <f t="shared" ref="CW103:CW108" si="338">IF(OR(CS$8="判定対象外",CV$8="判定対象外",CV103="-"),"-",IF(CS103=CV103,"OK","NG"))</f>
        <v>OK</v>
      </c>
      <c r="CX103" s="160"/>
      <c r="CY103" s="162"/>
      <c r="CZ103" s="167" t="str">
        <f t="shared" si="309"/>
        <v xml:space="preserve">                                                                                                                                                                                                                                                                </v>
      </c>
      <c r="DA103" s="174" t="str">
        <f t="shared" si="248"/>
        <v>NG</v>
      </c>
      <c r="DB103" s="162"/>
      <c r="DC103" s="276" t="str">
        <f t="shared" ref="DC103:DC108" si="339">IF(OR(CY$8="判定対象外",DB$8="判定対象外",DB103="-"),"-",IF(CY103=DB103,"OK","NG"))</f>
        <v>OK</v>
      </c>
      <c r="DD103" s="160"/>
      <c r="DE103" s="162"/>
      <c r="DF103" s="167" t="str">
        <f t="shared" si="310"/>
        <v xml:space="preserve">                                                                                                                                                                                                                                                                </v>
      </c>
      <c r="DG103" s="174" t="str">
        <f t="shared" si="249"/>
        <v>NG</v>
      </c>
      <c r="DH103" s="162"/>
      <c r="DI103" s="276" t="str">
        <f t="shared" ref="DI103:DI108" si="340">IF(OR(DE$8="判定対象外",DH$8="判定対象外",DH103="-"),"-",IF(DE103=DH103,"OK","NG"))</f>
        <v>OK</v>
      </c>
      <c r="DJ103" s="160"/>
      <c r="DK103" s="162"/>
      <c r="DL103" s="167" t="str">
        <f t="shared" si="311"/>
        <v xml:space="preserve">                                                                                                                                                                                                                                                                </v>
      </c>
      <c r="DM103" s="174" t="str">
        <f t="shared" si="250"/>
        <v>NG</v>
      </c>
      <c r="DN103" s="162"/>
      <c r="DO103" s="276" t="str">
        <f t="shared" ref="DO103:DO108" si="341">IF(OR(DK$8="判定対象外",DN$8="判定対象外",DN103="-"),"-",IF(DK103=DN103,"OK","NG"))</f>
        <v>OK</v>
      </c>
      <c r="DP103" s="160"/>
      <c r="DQ103" s="162"/>
      <c r="DR103" s="167" t="str">
        <f t="shared" si="312"/>
        <v xml:space="preserve">                                                                                                                                                                                                                                                                </v>
      </c>
      <c r="DS103" s="174" t="str">
        <f t="shared" si="215"/>
        <v>NG</v>
      </c>
      <c r="DT103" s="162"/>
      <c r="DU103" s="276" t="str">
        <f t="shared" ref="DU103:DU108" si="342">IF(OR(DQ$8="判定対象外",DT$8="判定対象外",DT103="-"),"-",IF(DQ103=DT103,"OK","NG"))</f>
        <v>OK</v>
      </c>
      <c r="DV103" s="160"/>
      <c r="DW103" s="162"/>
      <c r="DX103" s="167" t="str">
        <f t="shared" si="313"/>
        <v xml:space="preserve">                                                                                                                                                                                                                                                                </v>
      </c>
      <c r="DY103" s="174" t="str">
        <f t="shared" si="216"/>
        <v>NG</v>
      </c>
      <c r="DZ103" s="162"/>
      <c r="EA103" s="276" t="str">
        <f t="shared" ref="EA103:EA108" si="343">IF(OR(DW$8="判定対象外",DZ$8="判定対象外",DZ103="-"),"-",IF(DW103=DZ103,"OK","NG"))</f>
        <v>OK</v>
      </c>
      <c r="EB103" s="160"/>
      <c r="EC103" s="162"/>
      <c r="ED103" s="167" t="str">
        <f t="shared" si="314"/>
        <v xml:space="preserve">                                                                                                                                                                                                                                                                </v>
      </c>
      <c r="EE103" s="174" t="str">
        <f t="shared" si="217"/>
        <v>NG</v>
      </c>
      <c r="EF103" s="162"/>
      <c r="EG103" s="276" t="str">
        <f t="shared" ref="EG103:EG108" si="344">IF(OR(EC$8="判定対象外",EF$8="判定対象外",EF103="-"),"-",IF(EC103=EF103,"OK","NG"))</f>
        <v>OK</v>
      </c>
      <c r="EH103" s="160"/>
      <c r="EI103" s="162"/>
      <c r="EJ103" s="167" t="str">
        <f t="shared" si="315"/>
        <v xml:space="preserve">                                                                                                                                                                                                                                                                </v>
      </c>
      <c r="EK103" s="174" t="str">
        <f t="shared" si="218"/>
        <v>NG</v>
      </c>
      <c r="EL103" s="162"/>
      <c r="EM103" s="276" t="str">
        <f t="shared" ref="EM103:EM108" si="345">IF(OR(EI$8="判定対象外",EL$8="判定対象外",EL103="-"),"-",IF(EI103=EL103,"OK","NG"))</f>
        <v>OK</v>
      </c>
      <c r="EN103" s="160"/>
      <c r="EO103" s="162"/>
      <c r="EP103" s="167" t="str">
        <f t="shared" si="316"/>
        <v xml:space="preserve">                                                                                                                                                                                                                                                                </v>
      </c>
      <c r="EQ103" s="174" t="str">
        <f t="shared" si="219"/>
        <v>NG</v>
      </c>
      <c r="ER103" s="162"/>
      <c r="ES103" s="276" t="str">
        <f t="shared" ref="ES103:ES108" si="346">IF(OR(EO$8="判定対象外",ER$8="判定対象外",ER103="-"),"-",IF(EO103=ER103,"OK","NG"))</f>
        <v>OK</v>
      </c>
      <c r="ET103" s="160"/>
      <c r="EU103" s="162"/>
      <c r="EV103" s="167" t="str">
        <f t="shared" si="317"/>
        <v xml:space="preserve">                                                                                                                                                                                                                                                                </v>
      </c>
      <c r="EW103" s="174" t="str">
        <f t="shared" si="220"/>
        <v>NG</v>
      </c>
      <c r="EX103" s="162"/>
      <c r="EY103" s="276" t="str">
        <f t="shared" ref="EY103:EY108" si="347">IF(OR(EU$8="判定対象外",EX$8="判定対象外",EX103="-"),"-",IF(EU103=EX103,"OK","NG"))</f>
        <v>OK</v>
      </c>
      <c r="EZ103" s="160"/>
      <c r="FA103" s="162"/>
      <c r="FB103" s="167" t="str">
        <f t="shared" si="318"/>
        <v xml:space="preserve">                                                                                                                                                                                                                                                                </v>
      </c>
      <c r="FC103" s="174" t="str">
        <f t="shared" si="221"/>
        <v>NG</v>
      </c>
      <c r="FD103" s="162"/>
      <c r="FE103" s="276" t="str">
        <f t="shared" ref="FE103:FE108" si="348">IF(OR(FA$8="判定対象外",FD$8="判定対象外",FD103="-"),"-",IF(FA103=FD103,"OK","NG"))</f>
        <v>OK</v>
      </c>
      <c r="FF103" s="160"/>
      <c r="FG103" s="162"/>
      <c r="FH103" s="167" t="str">
        <f t="shared" si="319"/>
        <v xml:space="preserve">                                                                                                                                                                                                                                                                </v>
      </c>
      <c r="FI103" s="174" t="str">
        <f t="shared" si="233"/>
        <v>NG</v>
      </c>
      <c r="FJ103" s="162"/>
      <c r="FK103" s="276" t="str">
        <f t="shared" ref="FK103:FK108" si="349">IF(OR(FG$8="判定対象外",FJ$8="判定対象外",FJ103="-"),"-",IF(FG103=FJ103,"OK","NG"))</f>
        <v>OK</v>
      </c>
      <c r="FL103" s="160"/>
      <c r="FM103" s="162"/>
      <c r="FN103" s="167" t="str">
        <f t="shared" si="320"/>
        <v xml:space="preserve">                                                                                                                                                                                                                                                                </v>
      </c>
      <c r="FO103" s="174" t="str">
        <f t="shared" si="251"/>
        <v>NG</v>
      </c>
      <c r="FP103" s="162"/>
      <c r="FQ103" s="276" t="str">
        <f t="shared" ref="FQ103:FQ108" si="350">IF(OR(FM$8="判定対象外",FP$8="判定対象外",FP103="-"),"-",IF(FM103=FP103,"OK","NG"))</f>
        <v>OK</v>
      </c>
      <c r="FR103" s="160"/>
      <c r="FS103" s="162"/>
      <c r="FT103" s="167" t="str">
        <f t="shared" si="321"/>
        <v xml:space="preserve">                                                                                                                                                                                                                                                                </v>
      </c>
      <c r="FU103" s="174" t="str">
        <f t="shared" si="252"/>
        <v>NG</v>
      </c>
      <c r="FV103" s="162"/>
      <c r="FW103" s="276" t="str">
        <f t="shared" ref="FW103:FW108" si="351">IF(OR(FS$8="判定対象外",FV$8="判定対象外",FV103="-"),"-",IF(FS103=FV103,"OK","NG"))</f>
        <v>OK</v>
      </c>
      <c r="FX103" s="160"/>
      <c r="FY103" s="162"/>
      <c r="FZ103" s="167" t="str">
        <f t="shared" si="322"/>
        <v xml:space="preserve">                                                                                                                                                                                                                                                                </v>
      </c>
      <c r="GA103" s="174" t="str">
        <f t="shared" si="253"/>
        <v>NG</v>
      </c>
      <c r="GB103" s="162"/>
      <c r="GC103" s="276" t="str">
        <f t="shared" ref="GC103:GC108" si="352">IF(OR(FY$8="判定対象外",GB$8="判定対象外",GB103="-"),"-",IF(FY103=GB103,"OK","NG"))</f>
        <v>OK</v>
      </c>
    </row>
    <row r="104" spans="2:185" s="52" customFormat="1" ht="63.75">
      <c r="B104" s="48">
        <f t="shared" si="323"/>
        <v>97</v>
      </c>
      <c r="C104" s="37"/>
      <c r="D104" s="37"/>
      <c r="E104" s="37"/>
      <c r="F104" s="49" t="s">
        <v>201</v>
      </c>
      <c r="G104" s="39"/>
      <c r="H104" s="40"/>
      <c r="I104" s="42"/>
      <c r="J104" s="42"/>
      <c r="K104" s="42"/>
      <c r="L104" s="42"/>
      <c r="M104" s="63" t="s">
        <v>328</v>
      </c>
      <c r="N104" s="47"/>
      <c r="O104" s="143"/>
      <c r="P104" s="45">
        <f t="shared" si="326"/>
        <v>78</v>
      </c>
      <c r="Q104" s="46">
        <v>256</v>
      </c>
      <c r="R104" s="41" t="str">
        <f t="shared" si="325"/>
        <v>NX</v>
      </c>
      <c r="S104" s="185" t="s">
        <v>202</v>
      </c>
      <c r="T104" s="43"/>
      <c r="U104" s="41" t="s">
        <v>80</v>
      </c>
      <c r="V104" s="44"/>
      <c r="W104" s="22">
        <v>3</v>
      </c>
      <c r="X104" s="47" t="s">
        <v>203</v>
      </c>
      <c r="Y104" s="47">
        <v>1</v>
      </c>
      <c r="Z104" s="47">
        <v>256</v>
      </c>
      <c r="AA104" s="42" t="s">
        <v>195</v>
      </c>
      <c r="AB104" s="42" t="s">
        <v>80</v>
      </c>
      <c r="AC104" s="166"/>
      <c r="AD104" s="160"/>
      <c r="AE104" s="162"/>
      <c r="AF104" s="167" t="str">
        <f t="shared" si="298"/>
        <v xml:space="preserve">                                                                                                                                                                                                                                                                </v>
      </c>
      <c r="AG104" s="174" t="str">
        <f t="shared" si="237"/>
        <v>NG</v>
      </c>
      <c r="AH104" s="162"/>
      <c r="AI104" s="276" t="str">
        <f t="shared" si="327"/>
        <v>OK</v>
      </c>
      <c r="AJ104" s="160"/>
      <c r="AK104" s="162"/>
      <c r="AL104" s="167" t="str">
        <f t="shared" si="281"/>
        <v xml:space="preserve">                                                                                                                                                                                                                                                                </v>
      </c>
      <c r="AM104" s="174" t="str">
        <f t="shared" si="324"/>
        <v>NG</v>
      </c>
      <c r="AN104" s="162"/>
      <c r="AO104" s="276" t="str">
        <f t="shared" si="328"/>
        <v>OK</v>
      </c>
      <c r="AP104" s="160"/>
      <c r="AQ104" s="162"/>
      <c r="AR104" s="167" t="str">
        <f t="shared" si="299"/>
        <v xml:space="preserve">                                                                                                                                                                                                                                                                </v>
      </c>
      <c r="AS104" s="174" t="str">
        <f t="shared" si="238"/>
        <v>NG</v>
      </c>
      <c r="AT104" s="162"/>
      <c r="AU104" s="276" t="str">
        <f t="shared" si="329"/>
        <v>OK</v>
      </c>
      <c r="AV104" s="160"/>
      <c r="AW104" s="162"/>
      <c r="AX104" s="167" t="str">
        <f t="shared" si="300"/>
        <v xml:space="preserve">                                                                                                                                                                                                                                                                </v>
      </c>
      <c r="AY104" s="174" t="str">
        <f t="shared" si="239"/>
        <v>NG</v>
      </c>
      <c r="AZ104" s="162"/>
      <c r="BA104" s="276" t="str">
        <f t="shared" si="330"/>
        <v>OK</v>
      </c>
      <c r="BB104" s="160"/>
      <c r="BC104" s="162"/>
      <c r="BD104" s="167" t="str">
        <f t="shared" si="301"/>
        <v xml:space="preserve">                                                                                                                                                                                                                                                                </v>
      </c>
      <c r="BE104" s="174" t="str">
        <f t="shared" si="240"/>
        <v>NG</v>
      </c>
      <c r="BF104" s="162"/>
      <c r="BG104" s="276" t="str">
        <f t="shared" si="331"/>
        <v>OK</v>
      </c>
      <c r="BH104" s="160"/>
      <c r="BI104" s="162"/>
      <c r="BJ104" s="167" t="str">
        <f t="shared" si="302"/>
        <v xml:space="preserve">                                                                                                                                                                                                                                                                </v>
      </c>
      <c r="BK104" s="174" t="str">
        <f t="shared" si="241"/>
        <v>NG</v>
      </c>
      <c r="BL104" s="162"/>
      <c r="BM104" s="276" t="str">
        <f t="shared" si="332"/>
        <v>OK</v>
      </c>
      <c r="BN104" s="160"/>
      <c r="BO104" s="162"/>
      <c r="BP104" s="167" t="str">
        <f t="shared" si="303"/>
        <v xml:space="preserve">                                                                                                                                                                                                                                                                </v>
      </c>
      <c r="BQ104" s="174" t="str">
        <f t="shared" si="242"/>
        <v>NG</v>
      </c>
      <c r="BR104" s="162"/>
      <c r="BS104" s="276" t="str">
        <f t="shared" si="333"/>
        <v>OK</v>
      </c>
      <c r="BT104" s="160"/>
      <c r="BU104" s="162"/>
      <c r="BV104" s="167" t="str">
        <f t="shared" si="304"/>
        <v xml:space="preserve">                                                                                                                                                                                                                                                                </v>
      </c>
      <c r="BW104" s="174" t="str">
        <f t="shared" si="243"/>
        <v>NG</v>
      </c>
      <c r="BX104" s="162"/>
      <c r="BY104" s="276" t="str">
        <f t="shared" si="334"/>
        <v>OK</v>
      </c>
      <c r="BZ104" s="160"/>
      <c r="CA104" s="162"/>
      <c r="CB104" s="167" t="str">
        <f t="shared" si="305"/>
        <v xml:space="preserve">                                                                                                                                                                                                                                                                </v>
      </c>
      <c r="CC104" s="174" t="str">
        <f t="shared" si="244"/>
        <v>NG</v>
      </c>
      <c r="CD104" s="162"/>
      <c r="CE104" s="276" t="str">
        <f t="shared" si="335"/>
        <v>OK</v>
      </c>
      <c r="CF104" s="160"/>
      <c r="CG104" s="162"/>
      <c r="CH104" s="167" t="str">
        <f t="shared" si="306"/>
        <v xml:space="preserve">                                                                                                                                                                                                                                                                </v>
      </c>
      <c r="CI104" s="174" t="str">
        <f t="shared" si="245"/>
        <v>NG</v>
      </c>
      <c r="CJ104" s="162"/>
      <c r="CK104" s="276" t="str">
        <f t="shared" si="336"/>
        <v>OK</v>
      </c>
      <c r="CL104" s="160"/>
      <c r="CM104" s="162"/>
      <c r="CN104" s="167" t="str">
        <f t="shared" si="307"/>
        <v xml:space="preserve">                                                                                                                                                                                                                                                                </v>
      </c>
      <c r="CO104" s="174" t="str">
        <f t="shared" si="246"/>
        <v>NG</v>
      </c>
      <c r="CP104" s="162"/>
      <c r="CQ104" s="276" t="str">
        <f t="shared" si="337"/>
        <v>OK</v>
      </c>
      <c r="CR104" s="160"/>
      <c r="CS104" s="162"/>
      <c r="CT104" s="167" t="str">
        <f t="shared" si="308"/>
        <v xml:space="preserve">                                                                                                                                                                                                                                                                </v>
      </c>
      <c r="CU104" s="174" t="str">
        <f t="shared" si="247"/>
        <v>NG</v>
      </c>
      <c r="CV104" s="162"/>
      <c r="CW104" s="276" t="str">
        <f t="shared" si="338"/>
        <v>OK</v>
      </c>
      <c r="CX104" s="160"/>
      <c r="CY104" s="162"/>
      <c r="CZ104" s="167" t="str">
        <f t="shared" si="309"/>
        <v xml:space="preserve">                                                                                                                                                                                                                                                                </v>
      </c>
      <c r="DA104" s="174" t="str">
        <f t="shared" si="248"/>
        <v>NG</v>
      </c>
      <c r="DB104" s="162"/>
      <c r="DC104" s="276" t="str">
        <f t="shared" si="339"/>
        <v>OK</v>
      </c>
      <c r="DD104" s="160"/>
      <c r="DE104" s="162"/>
      <c r="DF104" s="167" t="str">
        <f t="shared" si="310"/>
        <v xml:space="preserve">                                                                                                                                                                                                                                                                </v>
      </c>
      <c r="DG104" s="174" t="str">
        <f t="shared" si="249"/>
        <v>NG</v>
      </c>
      <c r="DH104" s="162"/>
      <c r="DI104" s="276" t="str">
        <f t="shared" si="340"/>
        <v>OK</v>
      </c>
      <c r="DJ104" s="160"/>
      <c r="DK104" s="162"/>
      <c r="DL104" s="167" t="str">
        <f t="shared" si="311"/>
        <v xml:space="preserve">                                                                                                                                                                                                                                                                </v>
      </c>
      <c r="DM104" s="174" t="str">
        <f t="shared" si="250"/>
        <v>NG</v>
      </c>
      <c r="DN104" s="162"/>
      <c r="DO104" s="276" t="str">
        <f t="shared" si="341"/>
        <v>OK</v>
      </c>
      <c r="DP104" s="160"/>
      <c r="DQ104" s="162"/>
      <c r="DR104" s="167" t="str">
        <f t="shared" si="312"/>
        <v xml:space="preserve">                                                                                                                                                                                                                                                                </v>
      </c>
      <c r="DS104" s="174" t="str">
        <f t="shared" si="215"/>
        <v>NG</v>
      </c>
      <c r="DT104" s="162"/>
      <c r="DU104" s="276" t="str">
        <f t="shared" si="342"/>
        <v>OK</v>
      </c>
      <c r="DV104" s="160"/>
      <c r="DW104" s="162"/>
      <c r="DX104" s="167" t="str">
        <f t="shared" si="313"/>
        <v xml:space="preserve">                                                                                                                                                                                                                                                                </v>
      </c>
      <c r="DY104" s="174" t="str">
        <f t="shared" si="216"/>
        <v>NG</v>
      </c>
      <c r="DZ104" s="162"/>
      <c r="EA104" s="276" t="str">
        <f t="shared" si="343"/>
        <v>OK</v>
      </c>
      <c r="EB104" s="160"/>
      <c r="EC104" s="162"/>
      <c r="ED104" s="167" t="str">
        <f t="shared" si="314"/>
        <v xml:space="preserve">                                                                                                                                                                                                                                                                </v>
      </c>
      <c r="EE104" s="174" t="str">
        <f t="shared" si="217"/>
        <v>NG</v>
      </c>
      <c r="EF104" s="162"/>
      <c r="EG104" s="276" t="str">
        <f t="shared" si="344"/>
        <v>OK</v>
      </c>
      <c r="EH104" s="160"/>
      <c r="EI104" s="162"/>
      <c r="EJ104" s="167" t="str">
        <f t="shared" si="315"/>
        <v xml:space="preserve">                                                                                                                                                                                                                                                                </v>
      </c>
      <c r="EK104" s="174" t="str">
        <f t="shared" si="218"/>
        <v>NG</v>
      </c>
      <c r="EL104" s="162"/>
      <c r="EM104" s="276" t="str">
        <f t="shared" si="345"/>
        <v>OK</v>
      </c>
      <c r="EN104" s="160"/>
      <c r="EO104" s="162"/>
      <c r="EP104" s="167" t="str">
        <f t="shared" si="316"/>
        <v xml:space="preserve">                                                                                                                                                                                                                                                                </v>
      </c>
      <c r="EQ104" s="174" t="str">
        <f t="shared" si="219"/>
        <v>NG</v>
      </c>
      <c r="ER104" s="162"/>
      <c r="ES104" s="276" t="str">
        <f t="shared" si="346"/>
        <v>OK</v>
      </c>
      <c r="ET104" s="160"/>
      <c r="EU104" s="162"/>
      <c r="EV104" s="167" t="str">
        <f t="shared" si="317"/>
        <v xml:space="preserve">                                                                                                                                                                                                                                                                </v>
      </c>
      <c r="EW104" s="174" t="str">
        <f t="shared" si="220"/>
        <v>NG</v>
      </c>
      <c r="EX104" s="162"/>
      <c r="EY104" s="276" t="str">
        <f t="shared" si="347"/>
        <v>OK</v>
      </c>
      <c r="EZ104" s="160"/>
      <c r="FA104" s="162"/>
      <c r="FB104" s="167" t="str">
        <f t="shared" si="318"/>
        <v xml:space="preserve">                                                                                                                                                                                                                                                                </v>
      </c>
      <c r="FC104" s="174" t="str">
        <f t="shared" si="221"/>
        <v>NG</v>
      </c>
      <c r="FD104" s="162"/>
      <c r="FE104" s="276" t="str">
        <f t="shared" si="348"/>
        <v>OK</v>
      </c>
      <c r="FF104" s="160"/>
      <c r="FG104" s="162"/>
      <c r="FH104" s="167" t="str">
        <f t="shared" si="319"/>
        <v xml:space="preserve">                                                                                                                                                                                                                                                                </v>
      </c>
      <c r="FI104" s="174" t="str">
        <f t="shared" si="233"/>
        <v>NG</v>
      </c>
      <c r="FJ104" s="162"/>
      <c r="FK104" s="276" t="str">
        <f t="shared" si="349"/>
        <v>OK</v>
      </c>
      <c r="FL104" s="160"/>
      <c r="FM104" s="162"/>
      <c r="FN104" s="167" t="str">
        <f t="shared" si="320"/>
        <v xml:space="preserve">                                                                                                                                                                                                                                                                </v>
      </c>
      <c r="FO104" s="174" t="str">
        <f t="shared" si="251"/>
        <v>NG</v>
      </c>
      <c r="FP104" s="162"/>
      <c r="FQ104" s="276" t="str">
        <f t="shared" si="350"/>
        <v>OK</v>
      </c>
      <c r="FR104" s="160"/>
      <c r="FS104" s="162"/>
      <c r="FT104" s="167" t="str">
        <f t="shared" si="321"/>
        <v xml:space="preserve">                                                                                                                                                                                                                                                                </v>
      </c>
      <c r="FU104" s="174" t="str">
        <f t="shared" si="252"/>
        <v>NG</v>
      </c>
      <c r="FV104" s="162"/>
      <c r="FW104" s="276" t="str">
        <f t="shared" si="351"/>
        <v>OK</v>
      </c>
      <c r="FX104" s="160"/>
      <c r="FY104" s="162"/>
      <c r="FZ104" s="167" t="str">
        <f t="shared" si="322"/>
        <v xml:space="preserve">                                                                                                                                                                                                                                                                </v>
      </c>
      <c r="GA104" s="174" t="str">
        <f t="shared" si="253"/>
        <v>NG</v>
      </c>
      <c r="GB104" s="162"/>
      <c r="GC104" s="276" t="str">
        <f t="shared" si="352"/>
        <v>OK</v>
      </c>
    </row>
    <row r="105" spans="2:185" s="52" customFormat="1" ht="69" customHeight="1">
      <c r="B105" s="53">
        <f t="shared" si="323"/>
        <v>98</v>
      </c>
      <c r="C105" s="37"/>
      <c r="D105" s="37"/>
      <c r="E105" s="37"/>
      <c r="F105" s="188" t="s">
        <v>329</v>
      </c>
      <c r="G105" s="39"/>
      <c r="H105" s="40"/>
      <c r="I105" s="42"/>
      <c r="J105" s="42" t="s">
        <v>316</v>
      </c>
      <c r="K105" s="42"/>
      <c r="L105" s="42"/>
      <c r="M105" s="63" t="s">
        <v>330</v>
      </c>
      <c r="N105" s="47"/>
      <c r="O105" s="143"/>
      <c r="P105" s="45">
        <f t="shared" si="326"/>
        <v>79</v>
      </c>
      <c r="Q105" s="46">
        <v>1</v>
      </c>
      <c r="R105" s="41" t="s">
        <v>81</v>
      </c>
      <c r="S105" s="185" t="s">
        <v>204</v>
      </c>
      <c r="T105" s="43"/>
      <c r="U105" s="41" t="s">
        <v>80</v>
      </c>
      <c r="V105" s="44"/>
      <c r="W105" s="22">
        <v>3</v>
      </c>
      <c r="X105" s="47" t="s">
        <v>205</v>
      </c>
      <c r="Y105" s="47">
        <v>1</v>
      </c>
      <c r="Z105" s="47">
        <v>1</v>
      </c>
      <c r="AA105" s="42">
        <v>9</v>
      </c>
      <c r="AB105" s="42" t="s">
        <v>57</v>
      </c>
      <c r="AC105" s="166"/>
      <c r="AD105" s="160"/>
      <c r="AE105" s="162"/>
      <c r="AF105" s="203" t="str">
        <f t="shared" si="298"/>
        <v xml:space="preserve"> </v>
      </c>
      <c r="AG105" s="174" t="str">
        <f t="shared" si="237"/>
        <v>NG</v>
      </c>
      <c r="AH105" s="162"/>
      <c r="AI105" s="276" t="str">
        <f t="shared" si="327"/>
        <v>OK</v>
      </c>
      <c r="AJ105" s="160"/>
      <c r="AK105" s="162"/>
      <c r="AL105" s="203" t="str">
        <f t="shared" si="281"/>
        <v xml:space="preserve"> </v>
      </c>
      <c r="AM105" s="174" t="str">
        <f t="shared" si="324"/>
        <v>NG</v>
      </c>
      <c r="AN105" s="162"/>
      <c r="AO105" s="276" t="str">
        <f t="shared" si="328"/>
        <v>OK</v>
      </c>
      <c r="AP105" s="160"/>
      <c r="AQ105" s="162"/>
      <c r="AR105" s="203" t="str">
        <f t="shared" si="299"/>
        <v xml:space="preserve"> </v>
      </c>
      <c r="AS105" s="174" t="str">
        <f t="shared" si="238"/>
        <v>NG</v>
      </c>
      <c r="AT105" s="162"/>
      <c r="AU105" s="276" t="str">
        <f t="shared" si="329"/>
        <v>OK</v>
      </c>
      <c r="AV105" s="160"/>
      <c r="AW105" s="162"/>
      <c r="AX105" s="203" t="str">
        <f t="shared" si="300"/>
        <v xml:space="preserve"> </v>
      </c>
      <c r="AY105" s="174" t="str">
        <f t="shared" si="239"/>
        <v>NG</v>
      </c>
      <c r="AZ105" s="162"/>
      <c r="BA105" s="276" t="str">
        <f t="shared" si="330"/>
        <v>OK</v>
      </c>
      <c r="BB105" s="160"/>
      <c r="BC105" s="162"/>
      <c r="BD105" s="203" t="str">
        <f t="shared" si="301"/>
        <v xml:space="preserve"> </v>
      </c>
      <c r="BE105" s="174" t="str">
        <f t="shared" si="240"/>
        <v>NG</v>
      </c>
      <c r="BF105" s="162"/>
      <c r="BG105" s="276" t="str">
        <f t="shared" si="331"/>
        <v>OK</v>
      </c>
      <c r="BH105" s="160"/>
      <c r="BI105" s="162"/>
      <c r="BJ105" s="203" t="str">
        <f t="shared" si="302"/>
        <v xml:space="preserve"> </v>
      </c>
      <c r="BK105" s="174" t="str">
        <f t="shared" si="241"/>
        <v>NG</v>
      </c>
      <c r="BL105" s="162"/>
      <c r="BM105" s="276" t="str">
        <f t="shared" si="332"/>
        <v>OK</v>
      </c>
      <c r="BN105" s="160"/>
      <c r="BO105" s="162"/>
      <c r="BP105" s="203" t="str">
        <f t="shared" si="303"/>
        <v xml:space="preserve"> </v>
      </c>
      <c r="BQ105" s="174" t="str">
        <f t="shared" si="242"/>
        <v>NG</v>
      </c>
      <c r="BR105" s="162"/>
      <c r="BS105" s="276" t="str">
        <f t="shared" si="333"/>
        <v>OK</v>
      </c>
      <c r="BT105" s="160"/>
      <c r="BU105" s="162"/>
      <c r="BV105" s="203" t="str">
        <f t="shared" si="304"/>
        <v xml:space="preserve"> </v>
      </c>
      <c r="BW105" s="174" t="str">
        <f t="shared" si="243"/>
        <v>NG</v>
      </c>
      <c r="BX105" s="162"/>
      <c r="BY105" s="276" t="str">
        <f t="shared" si="334"/>
        <v>OK</v>
      </c>
      <c r="BZ105" s="160"/>
      <c r="CA105" s="162"/>
      <c r="CB105" s="203" t="str">
        <f t="shared" si="305"/>
        <v xml:space="preserve"> </v>
      </c>
      <c r="CC105" s="174" t="str">
        <f t="shared" si="244"/>
        <v>NG</v>
      </c>
      <c r="CD105" s="162"/>
      <c r="CE105" s="276" t="str">
        <f t="shared" si="335"/>
        <v>OK</v>
      </c>
      <c r="CF105" s="160"/>
      <c r="CG105" s="162"/>
      <c r="CH105" s="203" t="str">
        <f t="shared" si="306"/>
        <v xml:space="preserve"> </v>
      </c>
      <c r="CI105" s="174" t="str">
        <f t="shared" si="245"/>
        <v>NG</v>
      </c>
      <c r="CJ105" s="162"/>
      <c r="CK105" s="276" t="str">
        <f t="shared" si="336"/>
        <v>OK</v>
      </c>
      <c r="CL105" s="160"/>
      <c r="CM105" s="162"/>
      <c r="CN105" s="203" t="str">
        <f t="shared" si="307"/>
        <v xml:space="preserve"> </v>
      </c>
      <c r="CO105" s="174" t="str">
        <f t="shared" si="246"/>
        <v>NG</v>
      </c>
      <c r="CP105" s="162"/>
      <c r="CQ105" s="276" t="str">
        <f t="shared" si="337"/>
        <v>OK</v>
      </c>
      <c r="CR105" s="160"/>
      <c r="CS105" s="162"/>
      <c r="CT105" s="203" t="str">
        <f t="shared" si="308"/>
        <v xml:space="preserve"> </v>
      </c>
      <c r="CU105" s="174" t="str">
        <f t="shared" si="247"/>
        <v>NG</v>
      </c>
      <c r="CV105" s="162"/>
      <c r="CW105" s="276" t="str">
        <f t="shared" si="338"/>
        <v>OK</v>
      </c>
      <c r="CX105" s="160"/>
      <c r="CY105" s="162"/>
      <c r="CZ105" s="203" t="str">
        <f t="shared" si="309"/>
        <v xml:space="preserve"> </v>
      </c>
      <c r="DA105" s="174" t="str">
        <f t="shared" si="248"/>
        <v>NG</v>
      </c>
      <c r="DB105" s="162"/>
      <c r="DC105" s="276" t="str">
        <f t="shared" si="339"/>
        <v>OK</v>
      </c>
      <c r="DD105" s="160"/>
      <c r="DE105" s="162"/>
      <c r="DF105" s="203" t="str">
        <f t="shared" si="310"/>
        <v xml:space="preserve"> </v>
      </c>
      <c r="DG105" s="174" t="str">
        <f t="shared" si="249"/>
        <v>NG</v>
      </c>
      <c r="DH105" s="162"/>
      <c r="DI105" s="276" t="str">
        <f t="shared" si="340"/>
        <v>OK</v>
      </c>
      <c r="DJ105" s="160"/>
      <c r="DK105" s="162"/>
      <c r="DL105" s="203" t="str">
        <f t="shared" si="311"/>
        <v xml:space="preserve"> </v>
      </c>
      <c r="DM105" s="174" t="str">
        <f t="shared" si="250"/>
        <v>NG</v>
      </c>
      <c r="DN105" s="162"/>
      <c r="DO105" s="276" t="str">
        <f t="shared" si="341"/>
        <v>OK</v>
      </c>
      <c r="DP105" s="160"/>
      <c r="DQ105" s="162"/>
      <c r="DR105" s="203" t="str">
        <f t="shared" si="312"/>
        <v xml:space="preserve"> </v>
      </c>
      <c r="DS105" s="174" t="str">
        <f t="shared" si="215"/>
        <v>NG</v>
      </c>
      <c r="DT105" s="162"/>
      <c r="DU105" s="276" t="str">
        <f t="shared" si="342"/>
        <v>OK</v>
      </c>
      <c r="DV105" s="160"/>
      <c r="DW105" s="162"/>
      <c r="DX105" s="203" t="str">
        <f t="shared" si="313"/>
        <v xml:space="preserve"> </v>
      </c>
      <c r="DY105" s="174" t="str">
        <f t="shared" si="216"/>
        <v>NG</v>
      </c>
      <c r="DZ105" s="162"/>
      <c r="EA105" s="276" t="str">
        <f t="shared" si="343"/>
        <v>OK</v>
      </c>
      <c r="EB105" s="160"/>
      <c r="EC105" s="162"/>
      <c r="ED105" s="203" t="str">
        <f t="shared" si="314"/>
        <v xml:space="preserve"> </v>
      </c>
      <c r="EE105" s="174" t="str">
        <f t="shared" si="217"/>
        <v>NG</v>
      </c>
      <c r="EF105" s="162"/>
      <c r="EG105" s="276" t="str">
        <f t="shared" si="344"/>
        <v>OK</v>
      </c>
      <c r="EH105" s="160"/>
      <c r="EI105" s="162"/>
      <c r="EJ105" s="203" t="str">
        <f t="shared" si="315"/>
        <v xml:space="preserve"> </v>
      </c>
      <c r="EK105" s="174" t="str">
        <f t="shared" si="218"/>
        <v>NG</v>
      </c>
      <c r="EL105" s="162"/>
      <c r="EM105" s="276" t="str">
        <f t="shared" si="345"/>
        <v>OK</v>
      </c>
      <c r="EN105" s="160"/>
      <c r="EO105" s="162"/>
      <c r="EP105" s="203" t="str">
        <f t="shared" si="316"/>
        <v xml:space="preserve"> </v>
      </c>
      <c r="EQ105" s="174" t="str">
        <f t="shared" si="219"/>
        <v>NG</v>
      </c>
      <c r="ER105" s="162"/>
      <c r="ES105" s="276" t="str">
        <f t="shared" si="346"/>
        <v>OK</v>
      </c>
      <c r="ET105" s="160"/>
      <c r="EU105" s="162"/>
      <c r="EV105" s="203" t="str">
        <f t="shared" si="317"/>
        <v xml:space="preserve"> </v>
      </c>
      <c r="EW105" s="174" t="str">
        <f t="shared" si="220"/>
        <v>NG</v>
      </c>
      <c r="EX105" s="162"/>
      <c r="EY105" s="276" t="str">
        <f t="shared" si="347"/>
        <v>OK</v>
      </c>
      <c r="EZ105" s="160"/>
      <c r="FA105" s="162"/>
      <c r="FB105" s="203" t="str">
        <f t="shared" si="318"/>
        <v xml:space="preserve"> </v>
      </c>
      <c r="FC105" s="174" t="str">
        <f t="shared" si="221"/>
        <v>NG</v>
      </c>
      <c r="FD105" s="162"/>
      <c r="FE105" s="276" t="str">
        <f t="shared" si="348"/>
        <v>OK</v>
      </c>
      <c r="FF105" s="160"/>
      <c r="FG105" s="162"/>
      <c r="FH105" s="203" t="str">
        <f t="shared" si="319"/>
        <v xml:space="preserve"> </v>
      </c>
      <c r="FI105" s="174" t="str">
        <f t="shared" si="233"/>
        <v>NG</v>
      </c>
      <c r="FJ105" s="162"/>
      <c r="FK105" s="276" t="str">
        <f t="shared" si="349"/>
        <v>OK</v>
      </c>
      <c r="FL105" s="160"/>
      <c r="FM105" s="162"/>
      <c r="FN105" s="203" t="str">
        <f t="shared" si="320"/>
        <v xml:space="preserve"> </v>
      </c>
      <c r="FO105" s="174" t="str">
        <f t="shared" si="251"/>
        <v>NG</v>
      </c>
      <c r="FP105" s="162"/>
      <c r="FQ105" s="276" t="str">
        <f t="shared" si="350"/>
        <v>OK</v>
      </c>
      <c r="FR105" s="160"/>
      <c r="FS105" s="162"/>
      <c r="FT105" s="203" t="str">
        <f t="shared" si="321"/>
        <v xml:space="preserve"> </v>
      </c>
      <c r="FU105" s="174" t="str">
        <f t="shared" si="252"/>
        <v>NG</v>
      </c>
      <c r="FV105" s="162"/>
      <c r="FW105" s="276" t="str">
        <f t="shared" si="351"/>
        <v>OK</v>
      </c>
      <c r="FX105" s="160"/>
      <c r="FY105" s="162"/>
      <c r="FZ105" s="203" t="str">
        <f t="shared" si="322"/>
        <v xml:space="preserve"> </v>
      </c>
      <c r="GA105" s="174" t="str">
        <f t="shared" si="253"/>
        <v>NG</v>
      </c>
      <c r="GB105" s="162"/>
      <c r="GC105" s="276" t="str">
        <f t="shared" si="352"/>
        <v>OK</v>
      </c>
    </row>
    <row r="106" spans="2:185" s="52" customFormat="1" ht="114.75">
      <c r="B106" s="48">
        <f t="shared" si="323"/>
        <v>99</v>
      </c>
      <c r="C106" s="37"/>
      <c r="D106" s="37"/>
      <c r="E106" s="37"/>
      <c r="F106" s="49" t="s">
        <v>206</v>
      </c>
      <c r="G106" s="39"/>
      <c r="H106" s="40"/>
      <c r="I106" s="42"/>
      <c r="J106" s="42"/>
      <c r="K106" s="42"/>
      <c r="L106" s="42"/>
      <c r="M106" s="163" t="s">
        <v>331</v>
      </c>
      <c r="N106" s="47"/>
      <c r="O106" s="143"/>
      <c r="P106" s="45">
        <f t="shared" si="326"/>
        <v>80</v>
      </c>
      <c r="Q106" s="46">
        <v>1</v>
      </c>
      <c r="R106" s="41" t="s">
        <v>81</v>
      </c>
      <c r="S106" s="185" t="s">
        <v>207</v>
      </c>
      <c r="T106" s="43"/>
      <c r="U106" s="41" t="s">
        <v>80</v>
      </c>
      <c r="V106" s="44"/>
      <c r="W106" s="22">
        <v>3</v>
      </c>
      <c r="X106" s="47" t="s">
        <v>98</v>
      </c>
      <c r="Y106" s="47">
        <v>1</v>
      </c>
      <c r="Z106" s="47">
        <v>1</v>
      </c>
      <c r="AA106" s="42">
        <v>9</v>
      </c>
      <c r="AB106" s="42" t="s">
        <v>57</v>
      </c>
      <c r="AC106" s="215"/>
      <c r="AD106" s="160"/>
      <c r="AE106" s="162"/>
      <c r="AF106" s="203" t="str">
        <f t="shared" si="298"/>
        <v xml:space="preserve"> </v>
      </c>
      <c r="AG106" s="174" t="str">
        <f t="shared" si="237"/>
        <v>NG</v>
      </c>
      <c r="AH106" s="162"/>
      <c r="AI106" s="276" t="str">
        <f t="shared" si="327"/>
        <v>OK</v>
      </c>
      <c r="AJ106" s="160"/>
      <c r="AK106" s="162"/>
      <c r="AL106" s="203" t="str">
        <f t="shared" si="281"/>
        <v xml:space="preserve"> </v>
      </c>
      <c r="AM106" s="174" t="str">
        <f t="shared" si="324"/>
        <v>NG</v>
      </c>
      <c r="AN106" s="162"/>
      <c r="AO106" s="276" t="str">
        <f t="shared" si="328"/>
        <v>OK</v>
      </c>
      <c r="AP106" s="160"/>
      <c r="AQ106" s="162"/>
      <c r="AR106" s="203" t="str">
        <f t="shared" si="299"/>
        <v xml:space="preserve"> </v>
      </c>
      <c r="AS106" s="174" t="str">
        <f t="shared" si="238"/>
        <v>NG</v>
      </c>
      <c r="AT106" s="162"/>
      <c r="AU106" s="276" t="str">
        <f t="shared" si="329"/>
        <v>OK</v>
      </c>
      <c r="AV106" s="160"/>
      <c r="AW106" s="162"/>
      <c r="AX106" s="203" t="str">
        <f t="shared" si="300"/>
        <v xml:space="preserve"> </v>
      </c>
      <c r="AY106" s="174" t="str">
        <f t="shared" si="239"/>
        <v>NG</v>
      </c>
      <c r="AZ106" s="162"/>
      <c r="BA106" s="276" t="str">
        <f t="shared" si="330"/>
        <v>OK</v>
      </c>
      <c r="BB106" s="160"/>
      <c r="BC106" s="162"/>
      <c r="BD106" s="203" t="str">
        <f t="shared" si="301"/>
        <v xml:space="preserve"> </v>
      </c>
      <c r="BE106" s="174" t="str">
        <f t="shared" si="240"/>
        <v>NG</v>
      </c>
      <c r="BF106" s="162"/>
      <c r="BG106" s="276" t="str">
        <f t="shared" si="331"/>
        <v>OK</v>
      </c>
      <c r="BH106" s="160"/>
      <c r="BI106" s="162"/>
      <c r="BJ106" s="203" t="str">
        <f t="shared" si="302"/>
        <v xml:space="preserve"> </v>
      </c>
      <c r="BK106" s="174" t="str">
        <f t="shared" si="241"/>
        <v>NG</v>
      </c>
      <c r="BL106" s="162"/>
      <c r="BM106" s="276" t="str">
        <f t="shared" si="332"/>
        <v>OK</v>
      </c>
      <c r="BN106" s="160"/>
      <c r="BO106" s="162"/>
      <c r="BP106" s="203" t="str">
        <f t="shared" si="303"/>
        <v xml:space="preserve"> </v>
      </c>
      <c r="BQ106" s="174" t="str">
        <f t="shared" si="242"/>
        <v>NG</v>
      </c>
      <c r="BR106" s="162"/>
      <c r="BS106" s="276" t="str">
        <f t="shared" si="333"/>
        <v>OK</v>
      </c>
      <c r="BT106" s="160"/>
      <c r="BU106" s="162"/>
      <c r="BV106" s="203" t="str">
        <f t="shared" si="304"/>
        <v xml:space="preserve"> </v>
      </c>
      <c r="BW106" s="174" t="str">
        <f t="shared" si="243"/>
        <v>NG</v>
      </c>
      <c r="BX106" s="162"/>
      <c r="BY106" s="276" t="str">
        <f t="shared" si="334"/>
        <v>OK</v>
      </c>
      <c r="BZ106" s="160"/>
      <c r="CA106" s="162"/>
      <c r="CB106" s="203" t="str">
        <f t="shared" si="305"/>
        <v xml:space="preserve"> </v>
      </c>
      <c r="CC106" s="174" t="str">
        <f t="shared" si="244"/>
        <v>NG</v>
      </c>
      <c r="CD106" s="162"/>
      <c r="CE106" s="276" t="str">
        <f t="shared" si="335"/>
        <v>OK</v>
      </c>
      <c r="CF106" s="160"/>
      <c r="CG106" s="162"/>
      <c r="CH106" s="203" t="str">
        <f t="shared" si="306"/>
        <v xml:space="preserve"> </v>
      </c>
      <c r="CI106" s="174" t="str">
        <f t="shared" si="245"/>
        <v>NG</v>
      </c>
      <c r="CJ106" s="162"/>
      <c r="CK106" s="276" t="str">
        <f t="shared" si="336"/>
        <v>OK</v>
      </c>
      <c r="CL106" s="160"/>
      <c r="CM106" s="162"/>
      <c r="CN106" s="203" t="str">
        <f t="shared" si="307"/>
        <v xml:space="preserve"> </v>
      </c>
      <c r="CO106" s="174" t="str">
        <f t="shared" si="246"/>
        <v>NG</v>
      </c>
      <c r="CP106" s="162"/>
      <c r="CQ106" s="276" t="str">
        <f t="shared" si="337"/>
        <v>OK</v>
      </c>
      <c r="CR106" s="160"/>
      <c r="CS106" s="162"/>
      <c r="CT106" s="203" t="str">
        <f t="shared" si="308"/>
        <v xml:space="preserve"> </v>
      </c>
      <c r="CU106" s="174" t="str">
        <f t="shared" si="247"/>
        <v>NG</v>
      </c>
      <c r="CV106" s="162"/>
      <c r="CW106" s="276" t="str">
        <f t="shared" si="338"/>
        <v>OK</v>
      </c>
      <c r="CX106" s="160"/>
      <c r="CY106" s="162"/>
      <c r="CZ106" s="203" t="str">
        <f t="shared" si="309"/>
        <v xml:space="preserve"> </v>
      </c>
      <c r="DA106" s="174" t="str">
        <f t="shared" si="248"/>
        <v>NG</v>
      </c>
      <c r="DB106" s="162"/>
      <c r="DC106" s="276" t="str">
        <f t="shared" si="339"/>
        <v>OK</v>
      </c>
      <c r="DD106" s="160"/>
      <c r="DE106" s="162"/>
      <c r="DF106" s="203" t="str">
        <f t="shared" si="310"/>
        <v xml:space="preserve"> </v>
      </c>
      <c r="DG106" s="174" t="str">
        <f t="shared" si="249"/>
        <v>NG</v>
      </c>
      <c r="DH106" s="162"/>
      <c r="DI106" s="276" t="str">
        <f t="shared" si="340"/>
        <v>OK</v>
      </c>
      <c r="DJ106" s="160"/>
      <c r="DK106" s="162"/>
      <c r="DL106" s="203" t="str">
        <f t="shared" si="311"/>
        <v xml:space="preserve"> </v>
      </c>
      <c r="DM106" s="174" t="str">
        <f t="shared" si="250"/>
        <v>NG</v>
      </c>
      <c r="DN106" s="162"/>
      <c r="DO106" s="276" t="str">
        <f t="shared" si="341"/>
        <v>OK</v>
      </c>
      <c r="DP106" s="160"/>
      <c r="DQ106" s="162"/>
      <c r="DR106" s="203" t="str">
        <f t="shared" si="312"/>
        <v xml:space="preserve"> </v>
      </c>
      <c r="DS106" s="174" t="str">
        <f t="shared" si="215"/>
        <v>NG</v>
      </c>
      <c r="DT106" s="162"/>
      <c r="DU106" s="276" t="str">
        <f t="shared" si="342"/>
        <v>OK</v>
      </c>
      <c r="DV106" s="160"/>
      <c r="DW106" s="162"/>
      <c r="DX106" s="203" t="str">
        <f t="shared" si="313"/>
        <v xml:space="preserve"> </v>
      </c>
      <c r="DY106" s="174" t="str">
        <f t="shared" si="216"/>
        <v>NG</v>
      </c>
      <c r="DZ106" s="162"/>
      <c r="EA106" s="276" t="str">
        <f t="shared" si="343"/>
        <v>OK</v>
      </c>
      <c r="EB106" s="160"/>
      <c r="EC106" s="162"/>
      <c r="ED106" s="203" t="str">
        <f t="shared" si="314"/>
        <v xml:space="preserve"> </v>
      </c>
      <c r="EE106" s="174" t="str">
        <f t="shared" si="217"/>
        <v>NG</v>
      </c>
      <c r="EF106" s="162"/>
      <c r="EG106" s="276" t="str">
        <f t="shared" si="344"/>
        <v>OK</v>
      </c>
      <c r="EH106" s="160"/>
      <c r="EI106" s="162"/>
      <c r="EJ106" s="203" t="str">
        <f t="shared" si="315"/>
        <v xml:space="preserve"> </v>
      </c>
      <c r="EK106" s="174" t="str">
        <f t="shared" si="218"/>
        <v>NG</v>
      </c>
      <c r="EL106" s="162"/>
      <c r="EM106" s="276" t="str">
        <f t="shared" si="345"/>
        <v>OK</v>
      </c>
      <c r="EN106" s="160"/>
      <c r="EO106" s="162"/>
      <c r="EP106" s="203" t="str">
        <f t="shared" si="316"/>
        <v xml:space="preserve"> </v>
      </c>
      <c r="EQ106" s="174" t="str">
        <f t="shared" si="219"/>
        <v>NG</v>
      </c>
      <c r="ER106" s="162"/>
      <c r="ES106" s="276" t="str">
        <f t="shared" si="346"/>
        <v>OK</v>
      </c>
      <c r="ET106" s="160"/>
      <c r="EU106" s="162"/>
      <c r="EV106" s="203" t="str">
        <f t="shared" si="317"/>
        <v xml:space="preserve"> </v>
      </c>
      <c r="EW106" s="174" t="str">
        <f t="shared" si="220"/>
        <v>NG</v>
      </c>
      <c r="EX106" s="162"/>
      <c r="EY106" s="276" t="str">
        <f t="shared" si="347"/>
        <v>OK</v>
      </c>
      <c r="EZ106" s="160"/>
      <c r="FA106" s="162"/>
      <c r="FB106" s="203" t="str">
        <f t="shared" si="318"/>
        <v xml:space="preserve"> </v>
      </c>
      <c r="FC106" s="174" t="str">
        <f t="shared" si="221"/>
        <v>NG</v>
      </c>
      <c r="FD106" s="162"/>
      <c r="FE106" s="276" t="str">
        <f t="shared" si="348"/>
        <v>OK</v>
      </c>
      <c r="FF106" s="160"/>
      <c r="FG106" s="162"/>
      <c r="FH106" s="203" t="str">
        <f t="shared" si="319"/>
        <v xml:space="preserve"> </v>
      </c>
      <c r="FI106" s="174" t="str">
        <f t="shared" si="233"/>
        <v>NG</v>
      </c>
      <c r="FJ106" s="162"/>
      <c r="FK106" s="276" t="str">
        <f t="shared" si="349"/>
        <v>OK</v>
      </c>
      <c r="FL106" s="160"/>
      <c r="FM106" s="162"/>
      <c r="FN106" s="203" t="str">
        <f t="shared" si="320"/>
        <v xml:space="preserve"> </v>
      </c>
      <c r="FO106" s="174" t="str">
        <f t="shared" si="251"/>
        <v>NG</v>
      </c>
      <c r="FP106" s="162"/>
      <c r="FQ106" s="276" t="str">
        <f t="shared" si="350"/>
        <v>OK</v>
      </c>
      <c r="FR106" s="160"/>
      <c r="FS106" s="162"/>
      <c r="FT106" s="203" t="str">
        <f t="shared" si="321"/>
        <v xml:space="preserve"> </v>
      </c>
      <c r="FU106" s="174" t="str">
        <f t="shared" si="252"/>
        <v>NG</v>
      </c>
      <c r="FV106" s="162"/>
      <c r="FW106" s="276" t="str">
        <f t="shared" si="351"/>
        <v>OK</v>
      </c>
      <c r="FX106" s="160"/>
      <c r="FY106" s="162"/>
      <c r="FZ106" s="203" t="str">
        <f t="shared" si="322"/>
        <v xml:space="preserve"> </v>
      </c>
      <c r="GA106" s="174" t="str">
        <f t="shared" si="253"/>
        <v>NG</v>
      </c>
      <c r="GB106" s="162"/>
      <c r="GC106" s="276" t="str">
        <f t="shared" si="352"/>
        <v>OK</v>
      </c>
    </row>
    <row r="107" spans="2:185" s="52" customFormat="1" ht="129" customHeight="1">
      <c r="B107" s="216">
        <f t="shared" si="323"/>
        <v>100</v>
      </c>
      <c r="C107" s="37"/>
      <c r="D107" s="37"/>
      <c r="E107" s="37"/>
      <c r="F107" s="188" t="s">
        <v>332</v>
      </c>
      <c r="G107" s="39"/>
      <c r="H107" s="40"/>
      <c r="I107" s="42"/>
      <c r="J107" s="42"/>
      <c r="K107" s="42"/>
      <c r="L107" s="42"/>
      <c r="M107" s="63" t="s">
        <v>333</v>
      </c>
      <c r="N107" s="47"/>
      <c r="O107" s="143"/>
      <c r="P107" s="45">
        <f t="shared" si="326"/>
        <v>81</v>
      </c>
      <c r="Q107" s="46">
        <v>1</v>
      </c>
      <c r="R107" s="41" t="str">
        <f t="shared" ref="R107:R124" si="353">IF(AA107="M","NX",AA107)</f>
        <v>X</v>
      </c>
      <c r="S107" s="185" t="s">
        <v>208</v>
      </c>
      <c r="T107" s="43"/>
      <c r="U107" s="41" t="s">
        <v>80</v>
      </c>
      <c r="V107" s="44"/>
      <c r="W107" s="22">
        <v>3</v>
      </c>
      <c r="X107" s="47" t="s">
        <v>209</v>
      </c>
      <c r="Y107" s="47">
        <v>1</v>
      </c>
      <c r="Z107" s="47">
        <v>1</v>
      </c>
      <c r="AA107" s="42" t="s">
        <v>81</v>
      </c>
      <c r="AB107" s="42" t="s">
        <v>80</v>
      </c>
      <c r="AC107" s="166"/>
      <c r="AD107" s="160"/>
      <c r="AE107" s="162"/>
      <c r="AF107" s="203" t="str">
        <f t="shared" si="298"/>
        <v xml:space="preserve"> </v>
      </c>
      <c r="AG107" s="174" t="str">
        <f t="shared" si="237"/>
        <v>NG</v>
      </c>
      <c r="AH107" s="162"/>
      <c r="AI107" s="276" t="str">
        <f t="shared" si="327"/>
        <v>OK</v>
      </c>
      <c r="AJ107" s="160"/>
      <c r="AK107" s="162"/>
      <c r="AL107" s="203" t="str">
        <f t="shared" si="281"/>
        <v xml:space="preserve"> </v>
      </c>
      <c r="AM107" s="174" t="str">
        <f t="shared" si="324"/>
        <v>NG</v>
      </c>
      <c r="AN107" s="162"/>
      <c r="AO107" s="276" t="str">
        <f t="shared" si="328"/>
        <v>OK</v>
      </c>
      <c r="AP107" s="160"/>
      <c r="AQ107" s="162"/>
      <c r="AR107" s="203" t="str">
        <f t="shared" si="299"/>
        <v xml:space="preserve"> </v>
      </c>
      <c r="AS107" s="174" t="str">
        <f t="shared" si="238"/>
        <v>NG</v>
      </c>
      <c r="AT107" s="162"/>
      <c r="AU107" s="276" t="str">
        <f t="shared" si="329"/>
        <v>OK</v>
      </c>
      <c r="AV107" s="160"/>
      <c r="AW107" s="162"/>
      <c r="AX107" s="203" t="str">
        <f t="shared" si="300"/>
        <v xml:space="preserve"> </v>
      </c>
      <c r="AY107" s="174" t="str">
        <f t="shared" si="239"/>
        <v>NG</v>
      </c>
      <c r="AZ107" s="162"/>
      <c r="BA107" s="276" t="str">
        <f t="shared" si="330"/>
        <v>OK</v>
      </c>
      <c r="BB107" s="160"/>
      <c r="BC107" s="162"/>
      <c r="BD107" s="203" t="str">
        <f t="shared" si="301"/>
        <v xml:space="preserve"> </v>
      </c>
      <c r="BE107" s="174" t="str">
        <f t="shared" si="240"/>
        <v>NG</v>
      </c>
      <c r="BF107" s="162"/>
      <c r="BG107" s="276" t="str">
        <f t="shared" si="331"/>
        <v>OK</v>
      </c>
      <c r="BH107" s="160"/>
      <c r="BI107" s="162"/>
      <c r="BJ107" s="203" t="str">
        <f t="shared" si="302"/>
        <v xml:space="preserve"> </v>
      </c>
      <c r="BK107" s="174" t="str">
        <f t="shared" si="241"/>
        <v>NG</v>
      </c>
      <c r="BL107" s="162"/>
      <c r="BM107" s="276" t="str">
        <f t="shared" si="332"/>
        <v>OK</v>
      </c>
      <c r="BN107" s="160"/>
      <c r="BO107" s="162"/>
      <c r="BP107" s="203" t="str">
        <f t="shared" si="303"/>
        <v xml:space="preserve"> </v>
      </c>
      <c r="BQ107" s="174" t="str">
        <f t="shared" si="242"/>
        <v>NG</v>
      </c>
      <c r="BR107" s="162"/>
      <c r="BS107" s="276" t="str">
        <f t="shared" si="333"/>
        <v>OK</v>
      </c>
      <c r="BT107" s="160"/>
      <c r="BU107" s="162"/>
      <c r="BV107" s="203" t="str">
        <f t="shared" si="304"/>
        <v xml:space="preserve"> </v>
      </c>
      <c r="BW107" s="174" t="str">
        <f t="shared" si="243"/>
        <v>NG</v>
      </c>
      <c r="BX107" s="162"/>
      <c r="BY107" s="276" t="str">
        <f t="shared" si="334"/>
        <v>OK</v>
      </c>
      <c r="BZ107" s="160"/>
      <c r="CA107" s="162"/>
      <c r="CB107" s="203" t="str">
        <f t="shared" si="305"/>
        <v xml:space="preserve"> </v>
      </c>
      <c r="CC107" s="174" t="str">
        <f t="shared" si="244"/>
        <v>NG</v>
      </c>
      <c r="CD107" s="162"/>
      <c r="CE107" s="276" t="str">
        <f t="shared" si="335"/>
        <v>OK</v>
      </c>
      <c r="CF107" s="160"/>
      <c r="CG107" s="162"/>
      <c r="CH107" s="203" t="str">
        <f t="shared" si="306"/>
        <v xml:space="preserve"> </v>
      </c>
      <c r="CI107" s="174" t="str">
        <f t="shared" si="245"/>
        <v>NG</v>
      </c>
      <c r="CJ107" s="162"/>
      <c r="CK107" s="276" t="str">
        <f t="shared" si="336"/>
        <v>OK</v>
      </c>
      <c r="CL107" s="160"/>
      <c r="CM107" s="162"/>
      <c r="CN107" s="203" t="str">
        <f t="shared" si="307"/>
        <v xml:space="preserve"> </v>
      </c>
      <c r="CO107" s="174" t="str">
        <f t="shared" si="246"/>
        <v>NG</v>
      </c>
      <c r="CP107" s="162"/>
      <c r="CQ107" s="276" t="str">
        <f t="shared" si="337"/>
        <v>OK</v>
      </c>
      <c r="CR107" s="160"/>
      <c r="CS107" s="162"/>
      <c r="CT107" s="203" t="str">
        <f t="shared" si="308"/>
        <v xml:space="preserve"> </v>
      </c>
      <c r="CU107" s="174" t="str">
        <f t="shared" si="247"/>
        <v>NG</v>
      </c>
      <c r="CV107" s="162"/>
      <c r="CW107" s="276" t="str">
        <f t="shared" si="338"/>
        <v>OK</v>
      </c>
      <c r="CX107" s="160"/>
      <c r="CY107" s="162"/>
      <c r="CZ107" s="203" t="str">
        <f t="shared" si="309"/>
        <v xml:space="preserve"> </v>
      </c>
      <c r="DA107" s="174" t="str">
        <f t="shared" si="248"/>
        <v>NG</v>
      </c>
      <c r="DB107" s="162"/>
      <c r="DC107" s="276" t="str">
        <f t="shared" si="339"/>
        <v>OK</v>
      </c>
      <c r="DD107" s="160"/>
      <c r="DE107" s="162"/>
      <c r="DF107" s="203" t="str">
        <f t="shared" si="310"/>
        <v xml:space="preserve"> </v>
      </c>
      <c r="DG107" s="174" t="str">
        <f t="shared" si="249"/>
        <v>NG</v>
      </c>
      <c r="DH107" s="162"/>
      <c r="DI107" s="276" t="str">
        <f t="shared" si="340"/>
        <v>OK</v>
      </c>
      <c r="DJ107" s="160"/>
      <c r="DK107" s="162"/>
      <c r="DL107" s="203" t="str">
        <f t="shared" si="311"/>
        <v xml:space="preserve"> </v>
      </c>
      <c r="DM107" s="174" t="str">
        <f t="shared" si="250"/>
        <v>NG</v>
      </c>
      <c r="DN107" s="162"/>
      <c r="DO107" s="276" t="str">
        <f t="shared" si="341"/>
        <v>OK</v>
      </c>
      <c r="DP107" s="160"/>
      <c r="DQ107" s="162"/>
      <c r="DR107" s="203" t="str">
        <f t="shared" si="312"/>
        <v xml:space="preserve"> </v>
      </c>
      <c r="DS107" s="174" t="str">
        <f t="shared" si="215"/>
        <v>NG</v>
      </c>
      <c r="DT107" s="162"/>
      <c r="DU107" s="276" t="str">
        <f t="shared" si="342"/>
        <v>OK</v>
      </c>
      <c r="DV107" s="160"/>
      <c r="DW107" s="162"/>
      <c r="DX107" s="203" t="str">
        <f t="shared" si="313"/>
        <v xml:space="preserve"> </v>
      </c>
      <c r="DY107" s="174" t="str">
        <f t="shared" si="216"/>
        <v>NG</v>
      </c>
      <c r="DZ107" s="162"/>
      <c r="EA107" s="276" t="str">
        <f t="shared" si="343"/>
        <v>OK</v>
      </c>
      <c r="EB107" s="160"/>
      <c r="EC107" s="162"/>
      <c r="ED107" s="203" t="str">
        <f t="shared" si="314"/>
        <v xml:space="preserve"> </v>
      </c>
      <c r="EE107" s="174" t="str">
        <f t="shared" si="217"/>
        <v>NG</v>
      </c>
      <c r="EF107" s="162"/>
      <c r="EG107" s="276" t="str">
        <f t="shared" si="344"/>
        <v>OK</v>
      </c>
      <c r="EH107" s="160"/>
      <c r="EI107" s="162"/>
      <c r="EJ107" s="203" t="str">
        <f t="shared" si="315"/>
        <v xml:space="preserve"> </v>
      </c>
      <c r="EK107" s="174" t="str">
        <f t="shared" si="218"/>
        <v>NG</v>
      </c>
      <c r="EL107" s="162"/>
      <c r="EM107" s="276" t="str">
        <f t="shared" si="345"/>
        <v>OK</v>
      </c>
      <c r="EN107" s="160"/>
      <c r="EO107" s="162"/>
      <c r="EP107" s="203" t="str">
        <f t="shared" si="316"/>
        <v xml:space="preserve"> </v>
      </c>
      <c r="EQ107" s="174" t="str">
        <f t="shared" si="219"/>
        <v>NG</v>
      </c>
      <c r="ER107" s="162"/>
      <c r="ES107" s="276" t="str">
        <f t="shared" si="346"/>
        <v>OK</v>
      </c>
      <c r="ET107" s="160"/>
      <c r="EU107" s="162"/>
      <c r="EV107" s="203" t="str">
        <f t="shared" si="317"/>
        <v xml:space="preserve"> </v>
      </c>
      <c r="EW107" s="174" t="str">
        <f t="shared" si="220"/>
        <v>NG</v>
      </c>
      <c r="EX107" s="162"/>
      <c r="EY107" s="276" t="str">
        <f t="shared" si="347"/>
        <v>OK</v>
      </c>
      <c r="EZ107" s="160"/>
      <c r="FA107" s="162"/>
      <c r="FB107" s="203" t="str">
        <f t="shared" si="318"/>
        <v xml:space="preserve"> </v>
      </c>
      <c r="FC107" s="174" t="str">
        <f t="shared" si="221"/>
        <v>NG</v>
      </c>
      <c r="FD107" s="162"/>
      <c r="FE107" s="276" t="str">
        <f t="shared" si="348"/>
        <v>OK</v>
      </c>
      <c r="FF107" s="160"/>
      <c r="FG107" s="162"/>
      <c r="FH107" s="203" t="str">
        <f t="shared" si="319"/>
        <v xml:space="preserve"> </v>
      </c>
      <c r="FI107" s="174" t="str">
        <f t="shared" si="233"/>
        <v>NG</v>
      </c>
      <c r="FJ107" s="162"/>
      <c r="FK107" s="276" t="str">
        <f t="shared" si="349"/>
        <v>OK</v>
      </c>
      <c r="FL107" s="160"/>
      <c r="FM107" s="162"/>
      <c r="FN107" s="203" t="str">
        <f t="shared" si="320"/>
        <v xml:space="preserve"> </v>
      </c>
      <c r="FO107" s="174" t="str">
        <f t="shared" si="251"/>
        <v>NG</v>
      </c>
      <c r="FP107" s="162"/>
      <c r="FQ107" s="276" t="str">
        <f t="shared" si="350"/>
        <v>OK</v>
      </c>
      <c r="FR107" s="160"/>
      <c r="FS107" s="162"/>
      <c r="FT107" s="203" t="str">
        <f t="shared" si="321"/>
        <v xml:space="preserve"> </v>
      </c>
      <c r="FU107" s="174" t="str">
        <f t="shared" si="252"/>
        <v>NG</v>
      </c>
      <c r="FV107" s="162"/>
      <c r="FW107" s="276" t="str">
        <f t="shared" si="351"/>
        <v>OK</v>
      </c>
      <c r="FX107" s="160"/>
      <c r="FY107" s="162"/>
      <c r="FZ107" s="203" t="str">
        <f t="shared" si="322"/>
        <v xml:space="preserve"> </v>
      </c>
      <c r="GA107" s="174" t="str">
        <f t="shared" si="253"/>
        <v>NG</v>
      </c>
      <c r="GB107" s="162"/>
      <c r="GC107" s="276" t="str">
        <f t="shared" si="352"/>
        <v>OK</v>
      </c>
    </row>
    <row r="108" spans="2:185" s="52" customFormat="1">
      <c r="B108" s="216">
        <f t="shared" si="323"/>
        <v>101</v>
      </c>
      <c r="C108" s="37"/>
      <c r="D108" s="37"/>
      <c r="E108" s="37"/>
      <c r="F108" s="49" t="s">
        <v>210</v>
      </c>
      <c r="G108" s="39"/>
      <c r="H108" s="40"/>
      <c r="I108" s="42"/>
      <c r="J108" s="42"/>
      <c r="K108" s="42"/>
      <c r="L108" s="42"/>
      <c r="M108" s="163" t="s">
        <v>334</v>
      </c>
      <c r="N108" s="47"/>
      <c r="O108" s="143"/>
      <c r="P108" s="45">
        <f t="shared" si="326"/>
        <v>82</v>
      </c>
      <c r="Q108" s="46">
        <v>400</v>
      </c>
      <c r="R108" s="41" t="str">
        <f t="shared" si="353"/>
        <v>NX</v>
      </c>
      <c r="S108" s="185" t="s">
        <v>211</v>
      </c>
      <c r="T108" s="43"/>
      <c r="U108" s="41" t="s">
        <v>80</v>
      </c>
      <c r="V108" s="44"/>
      <c r="W108" s="22">
        <v>3</v>
      </c>
      <c r="X108" s="47" t="s">
        <v>212</v>
      </c>
      <c r="Y108" s="47">
        <v>1</v>
      </c>
      <c r="Z108" s="47">
        <v>400</v>
      </c>
      <c r="AA108" s="42" t="s">
        <v>195</v>
      </c>
      <c r="AB108" s="42" t="s">
        <v>80</v>
      </c>
      <c r="AC108" s="166"/>
      <c r="AD108" s="160"/>
      <c r="AE108" s="162"/>
      <c r="AF108" s="175" t="str">
        <f t="shared" si="298"/>
        <v xml:space="preserve">                                                                                                                                                                                                                                                                                                                                                                                                                </v>
      </c>
      <c r="AG108" s="174" t="str">
        <f t="shared" si="237"/>
        <v>NG</v>
      </c>
      <c r="AH108" s="162"/>
      <c r="AI108" s="276" t="str">
        <f t="shared" si="327"/>
        <v>OK</v>
      </c>
      <c r="AJ108" s="160"/>
      <c r="AK108" s="162"/>
      <c r="AL108" s="175" t="str">
        <f t="shared" si="281"/>
        <v xml:space="preserve">                                                                                                                                                                                                                                                                                                                                                                                                                </v>
      </c>
      <c r="AM108" s="174" t="str">
        <f t="shared" si="324"/>
        <v>NG</v>
      </c>
      <c r="AN108" s="162"/>
      <c r="AO108" s="276" t="str">
        <f t="shared" si="328"/>
        <v>OK</v>
      </c>
      <c r="AP108" s="160"/>
      <c r="AQ108" s="162"/>
      <c r="AR108" s="175" t="str">
        <f t="shared" si="299"/>
        <v xml:space="preserve">                                                                                                                                                                                                                                                                                                                                                                                                                </v>
      </c>
      <c r="AS108" s="174" t="str">
        <f t="shared" si="238"/>
        <v>NG</v>
      </c>
      <c r="AT108" s="162"/>
      <c r="AU108" s="276" t="str">
        <f t="shared" si="329"/>
        <v>OK</v>
      </c>
      <c r="AV108" s="160"/>
      <c r="AW108" s="162"/>
      <c r="AX108" s="175" t="str">
        <f t="shared" si="300"/>
        <v xml:space="preserve">                                                                                                                                                                                                                                                                                                                                                                                                                </v>
      </c>
      <c r="AY108" s="174" t="str">
        <f t="shared" si="239"/>
        <v>NG</v>
      </c>
      <c r="AZ108" s="162"/>
      <c r="BA108" s="276" t="str">
        <f t="shared" si="330"/>
        <v>OK</v>
      </c>
      <c r="BB108" s="160"/>
      <c r="BC108" s="162"/>
      <c r="BD108" s="175" t="str">
        <f t="shared" si="301"/>
        <v xml:space="preserve">                                                                                                                                                                                                                                                                                                                                                                                                                </v>
      </c>
      <c r="BE108" s="174" t="str">
        <f t="shared" si="240"/>
        <v>NG</v>
      </c>
      <c r="BF108" s="162"/>
      <c r="BG108" s="276" t="str">
        <f t="shared" si="331"/>
        <v>OK</v>
      </c>
      <c r="BH108" s="160"/>
      <c r="BI108" s="162"/>
      <c r="BJ108" s="175" t="str">
        <f t="shared" si="302"/>
        <v xml:space="preserve">                                                                                                                                                                                                                                                                                                                                                                                                                </v>
      </c>
      <c r="BK108" s="174" t="str">
        <f t="shared" si="241"/>
        <v>NG</v>
      </c>
      <c r="BL108" s="162"/>
      <c r="BM108" s="276" t="str">
        <f t="shared" si="332"/>
        <v>OK</v>
      </c>
      <c r="BN108" s="160"/>
      <c r="BO108" s="162"/>
      <c r="BP108" s="175" t="str">
        <f t="shared" si="303"/>
        <v xml:space="preserve">                                                                                                                                                                                                                                                                                                                                                                                                                </v>
      </c>
      <c r="BQ108" s="174" t="str">
        <f t="shared" si="242"/>
        <v>NG</v>
      </c>
      <c r="BR108" s="162"/>
      <c r="BS108" s="276" t="str">
        <f t="shared" si="333"/>
        <v>OK</v>
      </c>
      <c r="BT108" s="160"/>
      <c r="BU108" s="162"/>
      <c r="BV108" s="175" t="str">
        <f t="shared" si="304"/>
        <v xml:space="preserve">                                                                                                                                                                                                                                                                                                                                                                                                                </v>
      </c>
      <c r="BW108" s="174" t="str">
        <f t="shared" si="243"/>
        <v>NG</v>
      </c>
      <c r="BX108" s="162"/>
      <c r="BY108" s="276" t="str">
        <f t="shared" si="334"/>
        <v>OK</v>
      </c>
      <c r="BZ108" s="160"/>
      <c r="CA108" s="162"/>
      <c r="CB108" s="175" t="str">
        <f t="shared" si="305"/>
        <v xml:space="preserve">                                                                                                                                                                                                                                                                                                                                                                                                                </v>
      </c>
      <c r="CC108" s="174" t="str">
        <f t="shared" si="244"/>
        <v>NG</v>
      </c>
      <c r="CD108" s="162"/>
      <c r="CE108" s="276" t="str">
        <f t="shared" si="335"/>
        <v>OK</v>
      </c>
      <c r="CF108" s="160"/>
      <c r="CG108" s="162"/>
      <c r="CH108" s="175" t="str">
        <f t="shared" si="306"/>
        <v xml:space="preserve">                                                                                                                                                                                                                                                                                                                                                                                                                </v>
      </c>
      <c r="CI108" s="174" t="str">
        <f t="shared" si="245"/>
        <v>NG</v>
      </c>
      <c r="CJ108" s="162"/>
      <c r="CK108" s="276" t="str">
        <f t="shared" si="336"/>
        <v>OK</v>
      </c>
      <c r="CL108" s="160"/>
      <c r="CM108" s="162"/>
      <c r="CN108" s="175" t="str">
        <f t="shared" si="307"/>
        <v xml:space="preserve">                                                                                                                                                                                                                                                                                                                                                                                                                </v>
      </c>
      <c r="CO108" s="174" t="str">
        <f t="shared" si="246"/>
        <v>NG</v>
      </c>
      <c r="CP108" s="162"/>
      <c r="CQ108" s="276" t="str">
        <f t="shared" si="337"/>
        <v>OK</v>
      </c>
      <c r="CR108" s="160"/>
      <c r="CS108" s="162"/>
      <c r="CT108" s="175" t="str">
        <f t="shared" si="308"/>
        <v xml:space="preserve">                                                                                                                                                                                                                                                                                                                                                                                                                </v>
      </c>
      <c r="CU108" s="174" t="str">
        <f t="shared" si="247"/>
        <v>NG</v>
      </c>
      <c r="CV108" s="162"/>
      <c r="CW108" s="276" t="str">
        <f t="shared" si="338"/>
        <v>OK</v>
      </c>
      <c r="CX108" s="160"/>
      <c r="CY108" s="162"/>
      <c r="CZ108" s="175" t="str">
        <f t="shared" si="309"/>
        <v xml:space="preserve">                                                                                                                                                                                                                                                                                                                                                                                                                </v>
      </c>
      <c r="DA108" s="174" t="str">
        <f t="shared" si="248"/>
        <v>NG</v>
      </c>
      <c r="DB108" s="162"/>
      <c r="DC108" s="276" t="str">
        <f t="shared" si="339"/>
        <v>OK</v>
      </c>
      <c r="DD108" s="160"/>
      <c r="DE108" s="162"/>
      <c r="DF108" s="175" t="str">
        <f t="shared" si="310"/>
        <v xml:space="preserve">                                                                                                                                                                                                                                                                                                                                                                                                                </v>
      </c>
      <c r="DG108" s="174" t="str">
        <f t="shared" si="249"/>
        <v>NG</v>
      </c>
      <c r="DH108" s="162"/>
      <c r="DI108" s="276" t="str">
        <f t="shared" si="340"/>
        <v>OK</v>
      </c>
      <c r="DJ108" s="160"/>
      <c r="DK108" s="162"/>
      <c r="DL108" s="175" t="str">
        <f t="shared" si="311"/>
        <v xml:space="preserve">                                                                                                                                                                                                                                                                                                                                                                                                                </v>
      </c>
      <c r="DM108" s="174" t="str">
        <f t="shared" si="250"/>
        <v>NG</v>
      </c>
      <c r="DN108" s="162"/>
      <c r="DO108" s="276" t="str">
        <f t="shared" si="341"/>
        <v>OK</v>
      </c>
      <c r="DP108" s="160"/>
      <c r="DQ108" s="162"/>
      <c r="DR108" s="175" t="str">
        <f t="shared" si="312"/>
        <v xml:space="preserve">                                                                                                                                                                                                                                                                                                                                                                                                                </v>
      </c>
      <c r="DS108" s="174" t="str">
        <f t="shared" si="215"/>
        <v>NG</v>
      </c>
      <c r="DT108" s="162"/>
      <c r="DU108" s="276" t="str">
        <f t="shared" si="342"/>
        <v>OK</v>
      </c>
      <c r="DV108" s="160"/>
      <c r="DW108" s="162"/>
      <c r="DX108" s="175" t="str">
        <f t="shared" si="313"/>
        <v xml:space="preserve">                                                                                                                                                                                                                                                                                                                                                                                                                </v>
      </c>
      <c r="DY108" s="174" t="str">
        <f t="shared" si="216"/>
        <v>NG</v>
      </c>
      <c r="DZ108" s="162"/>
      <c r="EA108" s="276" t="str">
        <f t="shared" si="343"/>
        <v>OK</v>
      </c>
      <c r="EB108" s="160"/>
      <c r="EC108" s="162"/>
      <c r="ED108" s="175" t="str">
        <f t="shared" si="314"/>
        <v xml:space="preserve">                                                                                                                                                                                                                                                                                                                                                                                                                </v>
      </c>
      <c r="EE108" s="174" t="str">
        <f t="shared" si="217"/>
        <v>NG</v>
      </c>
      <c r="EF108" s="162"/>
      <c r="EG108" s="276" t="str">
        <f t="shared" si="344"/>
        <v>OK</v>
      </c>
      <c r="EH108" s="160"/>
      <c r="EI108" s="162"/>
      <c r="EJ108" s="175" t="str">
        <f t="shared" si="315"/>
        <v xml:space="preserve">                                                                                                                                                                                                                                                                                                                                                                                                                </v>
      </c>
      <c r="EK108" s="174" t="str">
        <f t="shared" si="218"/>
        <v>NG</v>
      </c>
      <c r="EL108" s="162"/>
      <c r="EM108" s="276" t="str">
        <f t="shared" si="345"/>
        <v>OK</v>
      </c>
      <c r="EN108" s="160"/>
      <c r="EO108" s="162"/>
      <c r="EP108" s="175" t="str">
        <f t="shared" si="316"/>
        <v xml:space="preserve">                                                                                                                                                                                                                                                                                                                                                                                                                </v>
      </c>
      <c r="EQ108" s="174" t="str">
        <f t="shared" si="219"/>
        <v>NG</v>
      </c>
      <c r="ER108" s="162"/>
      <c r="ES108" s="276" t="str">
        <f t="shared" si="346"/>
        <v>OK</v>
      </c>
      <c r="ET108" s="160"/>
      <c r="EU108" s="162"/>
      <c r="EV108" s="175" t="str">
        <f t="shared" si="317"/>
        <v xml:space="preserve">                                                                                                                                                                                                                                                                                                                                                                                                                </v>
      </c>
      <c r="EW108" s="174" t="str">
        <f t="shared" si="220"/>
        <v>NG</v>
      </c>
      <c r="EX108" s="162"/>
      <c r="EY108" s="276" t="str">
        <f t="shared" si="347"/>
        <v>OK</v>
      </c>
      <c r="EZ108" s="160"/>
      <c r="FA108" s="162"/>
      <c r="FB108" s="175" t="str">
        <f t="shared" si="318"/>
        <v xml:space="preserve">                                                                                                                                                                                                                                                                                                                                                                                                                </v>
      </c>
      <c r="FC108" s="174" t="str">
        <f t="shared" si="221"/>
        <v>NG</v>
      </c>
      <c r="FD108" s="162"/>
      <c r="FE108" s="276" t="str">
        <f t="shared" si="348"/>
        <v>OK</v>
      </c>
      <c r="FF108" s="160"/>
      <c r="FG108" s="162"/>
      <c r="FH108" s="175" t="str">
        <f t="shared" si="319"/>
        <v xml:space="preserve">                                                                                                                                                                                                                                                                                                                                                                                                                </v>
      </c>
      <c r="FI108" s="174" t="str">
        <f t="shared" si="233"/>
        <v>NG</v>
      </c>
      <c r="FJ108" s="162"/>
      <c r="FK108" s="276" t="str">
        <f t="shared" si="349"/>
        <v>OK</v>
      </c>
      <c r="FL108" s="160"/>
      <c r="FM108" s="162"/>
      <c r="FN108" s="175" t="str">
        <f t="shared" si="320"/>
        <v xml:space="preserve">                                                                                                                                                                                                                                                                                                                                                                                                                </v>
      </c>
      <c r="FO108" s="174" t="str">
        <f t="shared" si="251"/>
        <v>NG</v>
      </c>
      <c r="FP108" s="162"/>
      <c r="FQ108" s="276" t="str">
        <f t="shared" si="350"/>
        <v>OK</v>
      </c>
      <c r="FR108" s="160"/>
      <c r="FS108" s="162"/>
      <c r="FT108" s="175" t="str">
        <f t="shared" si="321"/>
        <v xml:space="preserve">                                                                                                                                                                                                                                                                                                                                                                                                                </v>
      </c>
      <c r="FU108" s="174" t="str">
        <f t="shared" si="252"/>
        <v>NG</v>
      </c>
      <c r="FV108" s="162"/>
      <c r="FW108" s="276" t="str">
        <f t="shared" si="351"/>
        <v>OK</v>
      </c>
      <c r="FX108" s="160"/>
      <c r="FY108" s="162"/>
      <c r="FZ108" s="175" t="str">
        <f t="shared" si="322"/>
        <v xml:space="preserve">                                                                                                                                                                                                                                                                                                                                                                                                                </v>
      </c>
      <c r="GA108" s="174" t="str">
        <f t="shared" si="253"/>
        <v>NG</v>
      </c>
      <c r="GB108" s="162"/>
      <c r="GC108" s="276" t="str">
        <f t="shared" si="352"/>
        <v>OK</v>
      </c>
    </row>
    <row r="109" spans="2:185" s="52" customFormat="1" ht="63.75">
      <c r="B109" s="216">
        <f t="shared" si="323"/>
        <v>102</v>
      </c>
      <c r="C109" s="37"/>
      <c r="D109" s="37"/>
      <c r="E109" s="37"/>
      <c r="F109" s="49" t="s">
        <v>213</v>
      </c>
      <c r="G109" s="39"/>
      <c r="H109" s="40"/>
      <c r="I109" s="42"/>
      <c r="J109" s="42"/>
      <c r="K109" s="42"/>
      <c r="L109" s="42"/>
      <c r="M109" s="163" t="s">
        <v>335</v>
      </c>
      <c r="N109" s="47"/>
      <c r="O109" s="143"/>
      <c r="P109" s="45">
        <f t="shared" si="326"/>
        <v>83</v>
      </c>
      <c r="Q109" s="46">
        <v>400</v>
      </c>
      <c r="R109" s="41" t="str">
        <f t="shared" si="353"/>
        <v>NX</v>
      </c>
      <c r="S109" s="185" t="s">
        <v>214</v>
      </c>
      <c r="T109" s="43"/>
      <c r="U109" s="41" t="s">
        <v>80</v>
      </c>
      <c r="V109" s="44"/>
      <c r="W109" s="22">
        <v>3</v>
      </c>
      <c r="X109" s="47" t="s">
        <v>215</v>
      </c>
      <c r="Y109" s="47">
        <v>1</v>
      </c>
      <c r="Z109" s="47">
        <v>400</v>
      </c>
      <c r="AA109" s="42" t="s">
        <v>195</v>
      </c>
      <c r="AB109" s="42" t="s">
        <v>80</v>
      </c>
      <c r="AC109" s="166"/>
      <c r="AD109" s="160"/>
      <c r="AE109" s="162"/>
      <c r="AF109" s="146" t="str">
        <f t="shared" si="298"/>
        <v xml:space="preserve">                                                                                                                                                                                                                                                                                                                                                                                                                </v>
      </c>
      <c r="AG109" s="174" t="str">
        <f t="shared" si="237"/>
        <v>NG</v>
      </c>
      <c r="AH109" s="162"/>
      <c r="AI109" s="172" t="s">
        <v>71</v>
      </c>
      <c r="AJ109" s="160"/>
      <c r="AK109" s="162"/>
      <c r="AL109" s="146" t="str">
        <f t="shared" si="281"/>
        <v xml:space="preserve">                                                                                                                                                                                                                                                                                                                                                                                                                </v>
      </c>
      <c r="AM109" s="174" t="str">
        <f t="shared" si="324"/>
        <v>NG</v>
      </c>
      <c r="AN109" s="162"/>
      <c r="AO109" s="172" t="s">
        <v>71</v>
      </c>
      <c r="AP109" s="160"/>
      <c r="AQ109" s="162"/>
      <c r="AR109" s="146" t="str">
        <f t="shared" si="299"/>
        <v xml:space="preserve">                                                                                                                                                                                                                                                                                                                                                                                                                </v>
      </c>
      <c r="AS109" s="174" t="str">
        <f t="shared" si="238"/>
        <v>NG</v>
      </c>
      <c r="AT109" s="162"/>
      <c r="AU109" s="172" t="s">
        <v>71</v>
      </c>
      <c r="AV109" s="160"/>
      <c r="AW109" s="162"/>
      <c r="AX109" s="146" t="str">
        <f t="shared" si="300"/>
        <v xml:space="preserve">                                                                                                                                                                                                                                                                                                                                                                                                                </v>
      </c>
      <c r="AY109" s="174" t="str">
        <f t="shared" si="239"/>
        <v>NG</v>
      </c>
      <c r="AZ109" s="162"/>
      <c r="BA109" s="172" t="s">
        <v>71</v>
      </c>
      <c r="BB109" s="160"/>
      <c r="BC109" s="162"/>
      <c r="BD109" s="146" t="str">
        <f t="shared" si="301"/>
        <v xml:space="preserve">                                                                                                                                                                                                                                                                                                                                                                                                                </v>
      </c>
      <c r="BE109" s="174" t="str">
        <f t="shared" si="240"/>
        <v>NG</v>
      </c>
      <c r="BF109" s="162"/>
      <c r="BG109" s="172" t="s">
        <v>71</v>
      </c>
      <c r="BH109" s="160"/>
      <c r="BI109" s="162"/>
      <c r="BJ109" s="146" t="str">
        <f t="shared" si="302"/>
        <v xml:space="preserve">                                                                                                                                                                                                                                                                                                                                                                                                                </v>
      </c>
      <c r="BK109" s="174" t="str">
        <f t="shared" si="241"/>
        <v>NG</v>
      </c>
      <c r="BL109" s="162"/>
      <c r="BM109" s="172" t="s">
        <v>71</v>
      </c>
      <c r="BN109" s="160"/>
      <c r="BO109" s="162"/>
      <c r="BP109" s="146" t="str">
        <f t="shared" si="303"/>
        <v xml:space="preserve">                                                                                                                                                                                                                                                                                                                                                                                                                </v>
      </c>
      <c r="BQ109" s="174" t="str">
        <f t="shared" si="242"/>
        <v>NG</v>
      </c>
      <c r="BR109" s="162"/>
      <c r="BS109" s="172" t="s">
        <v>71</v>
      </c>
      <c r="BT109" s="160"/>
      <c r="BU109" s="162"/>
      <c r="BV109" s="146" t="str">
        <f t="shared" si="304"/>
        <v xml:space="preserve">                                                                                                                                                                                                                                                                                                                                                                                                                </v>
      </c>
      <c r="BW109" s="174" t="str">
        <f t="shared" si="243"/>
        <v>NG</v>
      </c>
      <c r="BX109" s="162"/>
      <c r="BY109" s="172" t="s">
        <v>71</v>
      </c>
      <c r="BZ109" s="160"/>
      <c r="CA109" s="162"/>
      <c r="CB109" s="146" t="str">
        <f t="shared" si="305"/>
        <v xml:space="preserve">                                                                                                                                                                                                                                                                                                                                                                                                                </v>
      </c>
      <c r="CC109" s="174" t="str">
        <f t="shared" si="244"/>
        <v>NG</v>
      </c>
      <c r="CD109" s="162"/>
      <c r="CE109" s="172" t="s">
        <v>71</v>
      </c>
      <c r="CF109" s="160"/>
      <c r="CG109" s="162"/>
      <c r="CH109" s="146" t="str">
        <f t="shared" si="306"/>
        <v xml:space="preserve">                                                                                                                                                                                                                                                                                                                                                                                                                </v>
      </c>
      <c r="CI109" s="174" t="str">
        <f t="shared" si="245"/>
        <v>NG</v>
      </c>
      <c r="CJ109" s="162"/>
      <c r="CK109" s="172" t="s">
        <v>71</v>
      </c>
      <c r="CL109" s="160"/>
      <c r="CM109" s="162"/>
      <c r="CN109" s="146" t="str">
        <f t="shared" si="307"/>
        <v xml:space="preserve">                                                                                                                                                                                                                                                                                                                                                                                                                </v>
      </c>
      <c r="CO109" s="174" t="str">
        <f t="shared" si="246"/>
        <v>NG</v>
      </c>
      <c r="CP109" s="162"/>
      <c r="CQ109" s="172" t="s">
        <v>71</v>
      </c>
      <c r="CR109" s="160"/>
      <c r="CS109" s="162"/>
      <c r="CT109" s="146" t="str">
        <f t="shared" si="308"/>
        <v xml:space="preserve">                                                                                                                                                                                                                                                                                                                                                                                                                </v>
      </c>
      <c r="CU109" s="174" t="str">
        <f t="shared" si="247"/>
        <v>NG</v>
      </c>
      <c r="CV109" s="162"/>
      <c r="CW109" s="172" t="s">
        <v>71</v>
      </c>
      <c r="CX109" s="160"/>
      <c r="CY109" s="162"/>
      <c r="CZ109" s="146" t="str">
        <f t="shared" si="309"/>
        <v xml:space="preserve">                                                                                                                                                                                                                                                                                                                                                                                                                </v>
      </c>
      <c r="DA109" s="174" t="str">
        <f t="shared" si="248"/>
        <v>NG</v>
      </c>
      <c r="DB109" s="162"/>
      <c r="DC109" s="172" t="s">
        <v>71</v>
      </c>
      <c r="DD109" s="160"/>
      <c r="DE109" s="162"/>
      <c r="DF109" s="146" t="str">
        <f t="shared" si="310"/>
        <v xml:space="preserve">                                                                                                                                                                                                                                                                                                                                                                                                                </v>
      </c>
      <c r="DG109" s="174" t="str">
        <f t="shared" si="249"/>
        <v>NG</v>
      </c>
      <c r="DH109" s="162"/>
      <c r="DI109" s="172" t="s">
        <v>71</v>
      </c>
      <c r="DJ109" s="160"/>
      <c r="DK109" s="162"/>
      <c r="DL109" s="146" t="str">
        <f t="shared" si="311"/>
        <v xml:space="preserve">                                                                                                                                                                                                                                                                                                                                                                                                                </v>
      </c>
      <c r="DM109" s="174" t="str">
        <f t="shared" si="250"/>
        <v>NG</v>
      </c>
      <c r="DN109" s="162"/>
      <c r="DO109" s="172" t="s">
        <v>71</v>
      </c>
      <c r="DP109" s="160"/>
      <c r="DQ109" s="162"/>
      <c r="DR109" s="146" t="str">
        <f t="shared" si="312"/>
        <v xml:space="preserve">                                                                                                                                                                                                                                                                                                                                                                                                                </v>
      </c>
      <c r="DS109" s="174" t="str">
        <f t="shared" si="215"/>
        <v>NG</v>
      </c>
      <c r="DT109" s="162"/>
      <c r="DU109" s="172" t="s">
        <v>71</v>
      </c>
      <c r="DV109" s="160"/>
      <c r="DW109" s="162"/>
      <c r="DX109" s="146" t="str">
        <f t="shared" si="313"/>
        <v xml:space="preserve">                                                                                                                                                                                                                                                                                                                                                                                                                </v>
      </c>
      <c r="DY109" s="174" t="str">
        <f t="shared" si="216"/>
        <v>NG</v>
      </c>
      <c r="DZ109" s="162"/>
      <c r="EA109" s="172" t="s">
        <v>71</v>
      </c>
      <c r="EB109" s="160"/>
      <c r="EC109" s="162"/>
      <c r="ED109" s="146" t="str">
        <f t="shared" si="314"/>
        <v xml:space="preserve">                                                                                                                                                                                                                                                                                                                                                                                                                </v>
      </c>
      <c r="EE109" s="174" t="str">
        <f t="shared" si="217"/>
        <v>NG</v>
      </c>
      <c r="EF109" s="162"/>
      <c r="EG109" s="172" t="s">
        <v>71</v>
      </c>
      <c r="EH109" s="160"/>
      <c r="EI109" s="162"/>
      <c r="EJ109" s="146" t="str">
        <f t="shared" si="315"/>
        <v xml:space="preserve">                                                                                                                                                                                                                                                                                                                                                                                                                </v>
      </c>
      <c r="EK109" s="174" t="str">
        <f t="shared" si="218"/>
        <v>NG</v>
      </c>
      <c r="EL109" s="162"/>
      <c r="EM109" s="172" t="s">
        <v>71</v>
      </c>
      <c r="EN109" s="160"/>
      <c r="EO109" s="162"/>
      <c r="EP109" s="146" t="str">
        <f t="shared" si="316"/>
        <v xml:space="preserve">                                                                                                                                                                                                                                                                                                                                                                                                                </v>
      </c>
      <c r="EQ109" s="174" t="str">
        <f t="shared" si="219"/>
        <v>NG</v>
      </c>
      <c r="ER109" s="162"/>
      <c r="ES109" s="172" t="s">
        <v>71</v>
      </c>
      <c r="ET109" s="160"/>
      <c r="EU109" s="162"/>
      <c r="EV109" s="146" t="str">
        <f t="shared" si="317"/>
        <v xml:space="preserve">                                                                                                                                                                                                                                                                                                                                                                                                                </v>
      </c>
      <c r="EW109" s="174" t="str">
        <f t="shared" si="220"/>
        <v>NG</v>
      </c>
      <c r="EX109" s="162"/>
      <c r="EY109" s="172" t="s">
        <v>71</v>
      </c>
      <c r="EZ109" s="160"/>
      <c r="FA109" s="162"/>
      <c r="FB109" s="146" t="str">
        <f t="shared" si="318"/>
        <v xml:space="preserve">                                                                                                                                                                                                                                                                                                                                                                                                                </v>
      </c>
      <c r="FC109" s="174" t="str">
        <f t="shared" si="221"/>
        <v>NG</v>
      </c>
      <c r="FD109" s="162"/>
      <c r="FE109" s="172" t="s">
        <v>71</v>
      </c>
      <c r="FF109" s="160"/>
      <c r="FG109" s="162"/>
      <c r="FH109" s="146" t="str">
        <f t="shared" si="319"/>
        <v xml:space="preserve">                                                                                                                                                                                                                                                                                                                                                                                                                </v>
      </c>
      <c r="FI109" s="174" t="str">
        <f t="shared" si="233"/>
        <v>NG</v>
      </c>
      <c r="FJ109" s="162"/>
      <c r="FK109" s="172" t="s">
        <v>71</v>
      </c>
      <c r="FL109" s="160"/>
      <c r="FM109" s="162"/>
      <c r="FN109" s="146" t="str">
        <f t="shared" si="320"/>
        <v xml:space="preserve">                                                                                                                                                                                                                                                                                                                                                                                                                </v>
      </c>
      <c r="FO109" s="174" t="str">
        <f t="shared" si="251"/>
        <v>NG</v>
      </c>
      <c r="FP109" s="162"/>
      <c r="FQ109" s="172" t="s">
        <v>71</v>
      </c>
      <c r="FR109" s="160"/>
      <c r="FS109" s="162"/>
      <c r="FT109" s="146" t="str">
        <f t="shared" si="321"/>
        <v xml:space="preserve">                                                                                                                                                                                                                                                                                                                                                                                                                </v>
      </c>
      <c r="FU109" s="174" t="str">
        <f t="shared" si="252"/>
        <v>NG</v>
      </c>
      <c r="FV109" s="162"/>
      <c r="FW109" s="172" t="s">
        <v>71</v>
      </c>
      <c r="FX109" s="160"/>
      <c r="FY109" s="162"/>
      <c r="FZ109" s="146" t="str">
        <f t="shared" si="322"/>
        <v xml:space="preserve">                                                                                                                                                                                                                                                                                                                                                                                                                </v>
      </c>
      <c r="GA109" s="174" t="str">
        <f t="shared" si="253"/>
        <v>NG</v>
      </c>
      <c r="GB109" s="162"/>
      <c r="GC109" s="172" t="s">
        <v>71</v>
      </c>
    </row>
    <row r="110" spans="2:185" s="52" customFormat="1">
      <c r="B110" s="216">
        <f t="shared" si="323"/>
        <v>103</v>
      </c>
      <c r="C110" s="37"/>
      <c r="D110" s="37"/>
      <c r="E110" s="37"/>
      <c r="F110" s="49" t="s">
        <v>216</v>
      </c>
      <c r="G110" s="39"/>
      <c r="H110" s="40"/>
      <c r="I110" s="42"/>
      <c r="J110" s="42"/>
      <c r="K110" s="42"/>
      <c r="L110" s="42"/>
      <c r="M110" s="63" t="s">
        <v>336</v>
      </c>
      <c r="N110" s="47"/>
      <c r="O110" s="143"/>
      <c r="P110" s="45">
        <f t="shared" si="326"/>
        <v>84</v>
      </c>
      <c r="Q110" s="46">
        <v>400</v>
      </c>
      <c r="R110" s="41" t="str">
        <f t="shared" si="353"/>
        <v>NX</v>
      </c>
      <c r="S110" s="185" t="s">
        <v>217</v>
      </c>
      <c r="T110" s="43"/>
      <c r="U110" s="41" t="s">
        <v>80</v>
      </c>
      <c r="V110" s="44"/>
      <c r="W110" s="22">
        <v>3</v>
      </c>
      <c r="X110" s="47" t="s">
        <v>218</v>
      </c>
      <c r="Y110" s="47">
        <v>1</v>
      </c>
      <c r="Z110" s="47">
        <v>400</v>
      </c>
      <c r="AA110" s="42" t="s">
        <v>195</v>
      </c>
      <c r="AB110" s="42" t="s">
        <v>80</v>
      </c>
      <c r="AC110" s="166"/>
      <c r="AD110" s="160"/>
      <c r="AE110" s="141"/>
      <c r="AF110" s="146" t="str">
        <f t="shared" si="298"/>
        <v xml:space="preserve">                                                                                                                                                                                                                                                                                                                                                                                                                </v>
      </c>
      <c r="AG110" s="174" t="str">
        <f t="shared" si="237"/>
        <v>NG</v>
      </c>
      <c r="AH110" s="141"/>
      <c r="AI110" s="172" t="s">
        <v>71</v>
      </c>
      <c r="AJ110" s="160"/>
      <c r="AK110" s="141"/>
      <c r="AL110" s="146" t="str">
        <f t="shared" si="281"/>
        <v xml:space="preserve">                                                                                                                                                                                                                                                                                                                                                                                                                </v>
      </c>
      <c r="AM110" s="174" t="str">
        <f t="shared" si="324"/>
        <v>NG</v>
      </c>
      <c r="AN110" s="141"/>
      <c r="AO110" s="172" t="s">
        <v>71</v>
      </c>
      <c r="AP110" s="160"/>
      <c r="AQ110" s="141"/>
      <c r="AR110" s="146" t="str">
        <f t="shared" si="299"/>
        <v xml:space="preserve">                                                                                                                                                                                                                                                                                                                                                                                                                </v>
      </c>
      <c r="AS110" s="174" t="str">
        <f t="shared" si="238"/>
        <v>NG</v>
      </c>
      <c r="AT110" s="141"/>
      <c r="AU110" s="172" t="s">
        <v>71</v>
      </c>
      <c r="AV110" s="160"/>
      <c r="AW110" s="141"/>
      <c r="AX110" s="146" t="str">
        <f t="shared" si="300"/>
        <v xml:space="preserve">                                                                                                                                                                                                                                                                                                                                                                                                                </v>
      </c>
      <c r="AY110" s="174" t="str">
        <f t="shared" si="239"/>
        <v>NG</v>
      </c>
      <c r="AZ110" s="141"/>
      <c r="BA110" s="172" t="s">
        <v>71</v>
      </c>
      <c r="BB110" s="160"/>
      <c r="BC110" s="141"/>
      <c r="BD110" s="146" t="str">
        <f t="shared" si="301"/>
        <v xml:space="preserve">                                                                                                                                                                                                                                                                                                                                                                                                                </v>
      </c>
      <c r="BE110" s="174" t="str">
        <f t="shared" si="240"/>
        <v>NG</v>
      </c>
      <c r="BF110" s="141"/>
      <c r="BG110" s="172" t="s">
        <v>71</v>
      </c>
      <c r="BH110" s="160"/>
      <c r="BI110" s="141"/>
      <c r="BJ110" s="146" t="str">
        <f t="shared" si="302"/>
        <v xml:space="preserve">                                                                                                                                                                                                                                                                                                                                                                                                                </v>
      </c>
      <c r="BK110" s="174" t="str">
        <f t="shared" si="241"/>
        <v>NG</v>
      </c>
      <c r="BL110" s="141"/>
      <c r="BM110" s="172" t="s">
        <v>71</v>
      </c>
      <c r="BN110" s="160"/>
      <c r="BO110" s="141"/>
      <c r="BP110" s="146" t="str">
        <f t="shared" si="303"/>
        <v xml:space="preserve">                                                                                                                                                                                                                                                                                                                                                                                                                </v>
      </c>
      <c r="BQ110" s="174" t="str">
        <f t="shared" si="242"/>
        <v>NG</v>
      </c>
      <c r="BR110" s="141"/>
      <c r="BS110" s="172" t="s">
        <v>71</v>
      </c>
      <c r="BT110" s="160"/>
      <c r="BU110" s="141"/>
      <c r="BV110" s="146" t="str">
        <f t="shared" si="304"/>
        <v xml:space="preserve">                                                                                                                                                                                                                                                                                                                                                                                                                </v>
      </c>
      <c r="BW110" s="174" t="str">
        <f t="shared" si="243"/>
        <v>NG</v>
      </c>
      <c r="BX110" s="141"/>
      <c r="BY110" s="172" t="s">
        <v>71</v>
      </c>
      <c r="BZ110" s="160"/>
      <c r="CA110" s="141"/>
      <c r="CB110" s="146" t="str">
        <f t="shared" si="305"/>
        <v xml:space="preserve">                                                                                                                                                                                                                                                                                                                                                                                                                </v>
      </c>
      <c r="CC110" s="174" t="str">
        <f t="shared" si="244"/>
        <v>NG</v>
      </c>
      <c r="CD110" s="141"/>
      <c r="CE110" s="172" t="s">
        <v>71</v>
      </c>
      <c r="CF110" s="160"/>
      <c r="CG110" s="141"/>
      <c r="CH110" s="146" t="str">
        <f t="shared" si="306"/>
        <v xml:space="preserve">                                                                                                                                                                                                                                                                                                                                                                                                                </v>
      </c>
      <c r="CI110" s="174" t="str">
        <f t="shared" si="245"/>
        <v>NG</v>
      </c>
      <c r="CJ110" s="141"/>
      <c r="CK110" s="172" t="s">
        <v>71</v>
      </c>
      <c r="CL110" s="160"/>
      <c r="CM110" s="141"/>
      <c r="CN110" s="146" t="str">
        <f t="shared" si="307"/>
        <v xml:space="preserve">                                                                                                                                                                                                                                                                                                                                                                                                                </v>
      </c>
      <c r="CO110" s="174" t="str">
        <f t="shared" si="246"/>
        <v>NG</v>
      </c>
      <c r="CP110" s="141"/>
      <c r="CQ110" s="172" t="s">
        <v>71</v>
      </c>
      <c r="CR110" s="160"/>
      <c r="CS110" s="141"/>
      <c r="CT110" s="146" t="str">
        <f t="shared" si="308"/>
        <v xml:space="preserve">                                                                                                                                                                                                                                                                                                                                                                                                                </v>
      </c>
      <c r="CU110" s="174" t="str">
        <f t="shared" si="247"/>
        <v>NG</v>
      </c>
      <c r="CV110" s="141"/>
      <c r="CW110" s="172" t="s">
        <v>71</v>
      </c>
      <c r="CX110" s="160"/>
      <c r="CY110" s="141"/>
      <c r="CZ110" s="146" t="str">
        <f t="shared" si="309"/>
        <v xml:space="preserve">                                                                                                                                                                                                                                                                                                                                                                                                                </v>
      </c>
      <c r="DA110" s="174" t="str">
        <f t="shared" si="248"/>
        <v>NG</v>
      </c>
      <c r="DB110" s="141"/>
      <c r="DC110" s="172" t="s">
        <v>71</v>
      </c>
      <c r="DD110" s="160"/>
      <c r="DE110" s="141"/>
      <c r="DF110" s="146" t="str">
        <f t="shared" si="310"/>
        <v xml:space="preserve">                                                                                                                                                                                                                                                                                                                                                                                                                </v>
      </c>
      <c r="DG110" s="174" t="str">
        <f t="shared" si="249"/>
        <v>NG</v>
      </c>
      <c r="DH110" s="141"/>
      <c r="DI110" s="172" t="s">
        <v>71</v>
      </c>
      <c r="DJ110" s="160"/>
      <c r="DK110" s="141"/>
      <c r="DL110" s="146" t="str">
        <f t="shared" si="311"/>
        <v xml:space="preserve">                                                                                                                                                                                                                                                                                                                                                                                                                </v>
      </c>
      <c r="DM110" s="174" t="str">
        <f t="shared" si="250"/>
        <v>NG</v>
      </c>
      <c r="DN110" s="141"/>
      <c r="DO110" s="172" t="s">
        <v>71</v>
      </c>
      <c r="DP110" s="160"/>
      <c r="DQ110" s="141"/>
      <c r="DR110" s="146" t="str">
        <f t="shared" si="312"/>
        <v xml:space="preserve">                                                                                                                                                                                                                                                                                                                                                                                                                </v>
      </c>
      <c r="DS110" s="174" t="str">
        <f t="shared" si="215"/>
        <v>NG</v>
      </c>
      <c r="DT110" s="141"/>
      <c r="DU110" s="172" t="s">
        <v>71</v>
      </c>
      <c r="DV110" s="160"/>
      <c r="DW110" s="141"/>
      <c r="DX110" s="146" t="str">
        <f t="shared" si="313"/>
        <v xml:space="preserve">                                                                                                                                                                                                                                                                                                                                                                                                                </v>
      </c>
      <c r="DY110" s="174" t="str">
        <f t="shared" si="216"/>
        <v>NG</v>
      </c>
      <c r="DZ110" s="141"/>
      <c r="EA110" s="172" t="s">
        <v>71</v>
      </c>
      <c r="EB110" s="160"/>
      <c r="EC110" s="141"/>
      <c r="ED110" s="146" t="str">
        <f t="shared" si="314"/>
        <v xml:space="preserve">                                                                                                                                                                                                                                                                                                                                                                                                                </v>
      </c>
      <c r="EE110" s="174" t="str">
        <f t="shared" si="217"/>
        <v>NG</v>
      </c>
      <c r="EF110" s="141"/>
      <c r="EG110" s="172" t="s">
        <v>71</v>
      </c>
      <c r="EH110" s="160"/>
      <c r="EI110" s="141"/>
      <c r="EJ110" s="146" t="str">
        <f t="shared" si="315"/>
        <v xml:space="preserve">                                                                                                                                                                                                                                                                                                                                                                                                                </v>
      </c>
      <c r="EK110" s="174" t="str">
        <f t="shared" si="218"/>
        <v>NG</v>
      </c>
      <c r="EL110" s="141"/>
      <c r="EM110" s="172" t="s">
        <v>71</v>
      </c>
      <c r="EN110" s="160"/>
      <c r="EO110" s="141"/>
      <c r="EP110" s="146" t="str">
        <f t="shared" si="316"/>
        <v xml:space="preserve">                                                                                                                                                                                                                                                                                                                                                                                                                </v>
      </c>
      <c r="EQ110" s="174" t="str">
        <f t="shared" si="219"/>
        <v>NG</v>
      </c>
      <c r="ER110" s="141"/>
      <c r="ES110" s="172" t="s">
        <v>71</v>
      </c>
      <c r="ET110" s="160"/>
      <c r="EU110" s="141"/>
      <c r="EV110" s="146" t="str">
        <f t="shared" si="317"/>
        <v xml:space="preserve">                                                                                                                                                                                                                                                                                                                                                                                                                </v>
      </c>
      <c r="EW110" s="174" t="str">
        <f t="shared" si="220"/>
        <v>NG</v>
      </c>
      <c r="EX110" s="141"/>
      <c r="EY110" s="172" t="s">
        <v>71</v>
      </c>
      <c r="EZ110" s="160"/>
      <c r="FA110" s="141"/>
      <c r="FB110" s="146" t="str">
        <f t="shared" si="318"/>
        <v xml:space="preserve">                                                                                                                                                                                                                                                                                                                                                                                                                </v>
      </c>
      <c r="FC110" s="174" t="str">
        <f t="shared" si="221"/>
        <v>NG</v>
      </c>
      <c r="FD110" s="141"/>
      <c r="FE110" s="172" t="s">
        <v>71</v>
      </c>
      <c r="FF110" s="160"/>
      <c r="FG110" s="141"/>
      <c r="FH110" s="146" t="str">
        <f t="shared" si="319"/>
        <v xml:space="preserve">                                                                                                                                                                                                                                                                                                                                                                                                                </v>
      </c>
      <c r="FI110" s="174" t="str">
        <f t="shared" si="233"/>
        <v>NG</v>
      </c>
      <c r="FJ110" s="141"/>
      <c r="FK110" s="172" t="s">
        <v>71</v>
      </c>
      <c r="FL110" s="160"/>
      <c r="FM110" s="141"/>
      <c r="FN110" s="146" t="str">
        <f t="shared" si="320"/>
        <v xml:space="preserve">                                                                                                                                                                                                                                                                                                                                                                                                                </v>
      </c>
      <c r="FO110" s="174" t="str">
        <f t="shared" si="251"/>
        <v>NG</v>
      </c>
      <c r="FP110" s="141"/>
      <c r="FQ110" s="172" t="s">
        <v>71</v>
      </c>
      <c r="FR110" s="160"/>
      <c r="FS110" s="141"/>
      <c r="FT110" s="146" t="str">
        <f t="shared" si="321"/>
        <v xml:space="preserve">                                                                                                                                                                                                                                                                                                                                                                                                                </v>
      </c>
      <c r="FU110" s="174" t="str">
        <f t="shared" si="252"/>
        <v>NG</v>
      </c>
      <c r="FV110" s="141"/>
      <c r="FW110" s="172" t="s">
        <v>71</v>
      </c>
      <c r="FX110" s="160"/>
      <c r="FY110" s="141"/>
      <c r="FZ110" s="146" t="str">
        <f t="shared" si="322"/>
        <v xml:space="preserve">                                                                                                                                                                                                                                                                                                                                                                                                                </v>
      </c>
      <c r="GA110" s="174" t="str">
        <f t="shared" si="253"/>
        <v>NG</v>
      </c>
      <c r="GB110" s="141"/>
      <c r="GC110" s="172" t="s">
        <v>71</v>
      </c>
    </row>
    <row r="111" spans="2:185" s="52" customFormat="1" ht="76.5">
      <c r="B111" s="216">
        <f t="shared" si="323"/>
        <v>104</v>
      </c>
      <c r="C111" s="37"/>
      <c r="D111" s="37"/>
      <c r="E111" s="37"/>
      <c r="F111" s="49" t="s">
        <v>219</v>
      </c>
      <c r="G111" s="39"/>
      <c r="H111" s="40"/>
      <c r="I111" s="42"/>
      <c r="J111" s="42"/>
      <c r="K111" s="42"/>
      <c r="L111" s="42"/>
      <c r="M111" s="63" t="s">
        <v>337</v>
      </c>
      <c r="N111" s="47"/>
      <c r="O111" s="143"/>
      <c r="P111" s="45">
        <f t="shared" si="326"/>
        <v>85</v>
      </c>
      <c r="Q111" s="46">
        <v>400</v>
      </c>
      <c r="R111" s="41" t="str">
        <f t="shared" si="353"/>
        <v>NX</v>
      </c>
      <c r="S111" s="185" t="s">
        <v>220</v>
      </c>
      <c r="T111" s="43"/>
      <c r="U111" s="41" t="s">
        <v>80</v>
      </c>
      <c r="V111" s="44"/>
      <c r="W111" s="22">
        <v>3</v>
      </c>
      <c r="X111" s="47" t="s">
        <v>221</v>
      </c>
      <c r="Y111" s="47">
        <v>1</v>
      </c>
      <c r="Z111" s="47">
        <v>400</v>
      </c>
      <c r="AA111" s="42" t="s">
        <v>195</v>
      </c>
      <c r="AB111" s="42" t="s">
        <v>80</v>
      </c>
      <c r="AC111" s="166"/>
      <c r="AD111" s="160"/>
      <c r="AE111" s="141"/>
      <c r="AF111" s="146" t="str">
        <f t="shared" si="298"/>
        <v xml:space="preserve">                                                                                                                                                                                                                                                                                                                                                                                                                </v>
      </c>
      <c r="AG111" s="174" t="str">
        <f t="shared" si="237"/>
        <v>NG</v>
      </c>
      <c r="AH111" s="141"/>
      <c r="AI111" s="276" t="str">
        <f>IF(OR(AE$8="判定対象外",AH$8="判定対象外",AH111="-"),"-",IF(AE111=AH111,"OK","NG"))</f>
        <v>OK</v>
      </c>
      <c r="AJ111" s="160"/>
      <c r="AK111" s="141"/>
      <c r="AL111" s="146" t="str">
        <f t="shared" si="281"/>
        <v xml:space="preserve">                                                                                                                                                                                                                                                                                                                                                                                                                </v>
      </c>
      <c r="AM111" s="174" t="str">
        <f t="shared" si="324"/>
        <v>NG</v>
      </c>
      <c r="AN111" s="141"/>
      <c r="AO111" s="276" t="str">
        <f>IF(OR(AK$8="判定対象外",AN$8="判定対象外",AN111="-"),"-",IF(AK111=AN111,"OK","NG"))</f>
        <v>OK</v>
      </c>
      <c r="AP111" s="160"/>
      <c r="AQ111" s="141"/>
      <c r="AR111" s="146" t="str">
        <f t="shared" si="299"/>
        <v xml:space="preserve">                                                                                                                                                                                                                                                                                                                                                                                                                </v>
      </c>
      <c r="AS111" s="174" t="str">
        <f t="shared" si="238"/>
        <v>NG</v>
      </c>
      <c r="AT111" s="141"/>
      <c r="AU111" s="276" t="str">
        <f>IF(OR(AQ$8="判定対象外",AT$8="判定対象外",AT111="-"),"-",IF(AQ111=AT111,"OK","NG"))</f>
        <v>OK</v>
      </c>
      <c r="AV111" s="160"/>
      <c r="AW111" s="141"/>
      <c r="AX111" s="146" t="str">
        <f t="shared" si="300"/>
        <v xml:space="preserve">                                                                                                                                                                                                                                                                                                                                                                                                                </v>
      </c>
      <c r="AY111" s="174" t="str">
        <f t="shared" si="239"/>
        <v>NG</v>
      </c>
      <c r="AZ111" s="141"/>
      <c r="BA111" s="276" t="str">
        <f>IF(OR(AW$8="判定対象外",AZ$8="判定対象外",AZ111="-"),"-",IF(AW111=AZ111,"OK","NG"))</f>
        <v>OK</v>
      </c>
      <c r="BB111" s="160"/>
      <c r="BC111" s="141"/>
      <c r="BD111" s="146" t="str">
        <f t="shared" si="301"/>
        <v xml:space="preserve">                                                                                                                                                                                                                                                                                                                                                                                                                </v>
      </c>
      <c r="BE111" s="174" t="str">
        <f t="shared" si="240"/>
        <v>NG</v>
      </c>
      <c r="BF111" s="141"/>
      <c r="BG111" s="276" t="str">
        <f>IF(OR(BC$8="判定対象外",BF$8="判定対象外",BF111="-"),"-",IF(BC111=BF111,"OK","NG"))</f>
        <v>OK</v>
      </c>
      <c r="BH111" s="160"/>
      <c r="BI111" s="141"/>
      <c r="BJ111" s="146" t="str">
        <f t="shared" si="302"/>
        <v xml:space="preserve">                                                                                                                                                                                                                                                                                                                                                                                                                </v>
      </c>
      <c r="BK111" s="174" t="str">
        <f t="shared" si="241"/>
        <v>NG</v>
      </c>
      <c r="BL111" s="141"/>
      <c r="BM111" s="276" t="str">
        <f>IF(OR(BI$8="判定対象外",BL$8="判定対象外",BL111="-"),"-",IF(BI111=BL111,"OK","NG"))</f>
        <v>OK</v>
      </c>
      <c r="BN111" s="160"/>
      <c r="BO111" s="141"/>
      <c r="BP111" s="146" t="str">
        <f t="shared" si="303"/>
        <v xml:space="preserve">                                                                                                                                                                                                                                                                                                                                                                                                                </v>
      </c>
      <c r="BQ111" s="174" t="str">
        <f t="shared" si="242"/>
        <v>NG</v>
      </c>
      <c r="BR111" s="141"/>
      <c r="BS111" s="276" t="str">
        <f>IF(OR(BO$8="判定対象外",BR$8="判定対象外",BR111="-"),"-",IF(BO111=BR111,"OK","NG"))</f>
        <v>OK</v>
      </c>
      <c r="BT111" s="160"/>
      <c r="BU111" s="141"/>
      <c r="BV111" s="146" t="str">
        <f t="shared" si="304"/>
        <v xml:space="preserve">                                                                                                                                                                                                                                                                                                                                                                                                                </v>
      </c>
      <c r="BW111" s="174" t="str">
        <f t="shared" si="243"/>
        <v>NG</v>
      </c>
      <c r="BX111" s="141"/>
      <c r="BY111" s="276" t="str">
        <f>IF(OR(BU$8="判定対象外",BX$8="判定対象外",BX111="-"),"-",IF(BU111=BX111,"OK","NG"))</f>
        <v>OK</v>
      </c>
      <c r="BZ111" s="160"/>
      <c r="CA111" s="141"/>
      <c r="CB111" s="146" t="str">
        <f t="shared" si="305"/>
        <v xml:space="preserve">                                                                                                                                                                                                                                                                                                                                                                                                                </v>
      </c>
      <c r="CC111" s="174" t="str">
        <f t="shared" si="244"/>
        <v>NG</v>
      </c>
      <c r="CD111" s="141"/>
      <c r="CE111" s="276" t="str">
        <f>IF(OR(CA$8="判定対象外",CD$8="判定対象外",CD111="-"),"-",IF(CA111=CD111,"OK","NG"))</f>
        <v>OK</v>
      </c>
      <c r="CF111" s="160"/>
      <c r="CG111" s="141"/>
      <c r="CH111" s="146" t="str">
        <f t="shared" si="306"/>
        <v xml:space="preserve">                                                                                                                                                                                                                                                                                                                                                                                                                </v>
      </c>
      <c r="CI111" s="174" t="str">
        <f t="shared" si="245"/>
        <v>NG</v>
      </c>
      <c r="CJ111" s="141"/>
      <c r="CK111" s="276" t="str">
        <f>IF(OR(CG$8="判定対象外",CJ$8="判定対象外",CJ111="-"),"-",IF(CG111=CJ111,"OK","NG"))</f>
        <v>OK</v>
      </c>
      <c r="CL111" s="160"/>
      <c r="CM111" s="141"/>
      <c r="CN111" s="146" t="str">
        <f t="shared" si="307"/>
        <v xml:space="preserve">                                                                                                                                                                                                                                                                                                                                                                                                                </v>
      </c>
      <c r="CO111" s="174" t="str">
        <f t="shared" si="246"/>
        <v>NG</v>
      </c>
      <c r="CP111" s="141"/>
      <c r="CQ111" s="276" t="str">
        <f>IF(OR(CM$8="判定対象外",CP$8="判定対象外",CP111="-"),"-",IF(CM111=CP111,"OK","NG"))</f>
        <v>OK</v>
      </c>
      <c r="CR111" s="160"/>
      <c r="CS111" s="141"/>
      <c r="CT111" s="146" t="str">
        <f t="shared" si="308"/>
        <v xml:space="preserve">                                                                                                                                                                                                                                                                                                                                                                                                                </v>
      </c>
      <c r="CU111" s="174" t="str">
        <f t="shared" si="247"/>
        <v>NG</v>
      </c>
      <c r="CV111" s="141"/>
      <c r="CW111" s="276" t="str">
        <f>IF(OR(CS$8="判定対象外",CV$8="判定対象外",CV111="-"),"-",IF(CS111=CV111,"OK","NG"))</f>
        <v>OK</v>
      </c>
      <c r="CX111" s="160"/>
      <c r="CY111" s="141"/>
      <c r="CZ111" s="146" t="str">
        <f t="shared" si="309"/>
        <v xml:space="preserve">                                                                                                                                                                                                                                                                                                                                                                                                                </v>
      </c>
      <c r="DA111" s="174" t="str">
        <f t="shared" si="248"/>
        <v>NG</v>
      </c>
      <c r="DB111" s="141"/>
      <c r="DC111" s="276" t="str">
        <f>IF(OR(CY$8="判定対象外",DB$8="判定対象外",DB111="-"),"-",IF(CY111=DB111,"OK","NG"))</f>
        <v>OK</v>
      </c>
      <c r="DD111" s="160"/>
      <c r="DE111" s="141"/>
      <c r="DF111" s="146" t="str">
        <f t="shared" si="310"/>
        <v xml:space="preserve">                                                                                                                                                                                                                                                                                                                                                                                                                </v>
      </c>
      <c r="DG111" s="174" t="str">
        <f t="shared" si="249"/>
        <v>NG</v>
      </c>
      <c r="DH111" s="141"/>
      <c r="DI111" s="276" t="str">
        <f>IF(OR(DE$8="判定対象外",DH$8="判定対象外",DH111="-"),"-",IF(DE111=DH111,"OK","NG"))</f>
        <v>OK</v>
      </c>
      <c r="DJ111" s="160"/>
      <c r="DK111" s="141"/>
      <c r="DL111" s="146" t="str">
        <f t="shared" si="311"/>
        <v xml:space="preserve">                                                                                                                                                                                                                                                                                                                                                                                                                </v>
      </c>
      <c r="DM111" s="174" t="str">
        <f t="shared" si="250"/>
        <v>NG</v>
      </c>
      <c r="DN111" s="141"/>
      <c r="DO111" s="276" t="str">
        <f>IF(OR(DK$8="判定対象外",DN$8="判定対象外",DN111="-"),"-",IF(DK111=DN111,"OK","NG"))</f>
        <v>OK</v>
      </c>
      <c r="DP111" s="160"/>
      <c r="DQ111" s="141"/>
      <c r="DR111" s="146" t="str">
        <f t="shared" si="312"/>
        <v xml:space="preserve">                                                                                                                                                                                                                                                                                                                                                                                                                </v>
      </c>
      <c r="DS111" s="174" t="str">
        <f t="shared" si="215"/>
        <v>NG</v>
      </c>
      <c r="DT111" s="141"/>
      <c r="DU111" s="276" t="str">
        <f>IF(OR(DQ$8="判定対象外",DT$8="判定対象外",DT111="-"),"-",IF(DQ111=DT111,"OK","NG"))</f>
        <v>OK</v>
      </c>
      <c r="DV111" s="160"/>
      <c r="DW111" s="141"/>
      <c r="DX111" s="146" t="str">
        <f t="shared" si="313"/>
        <v xml:space="preserve">                                                                                                                                                                                                                                                                                                                                                                                                                </v>
      </c>
      <c r="DY111" s="174" t="str">
        <f t="shared" si="216"/>
        <v>NG</v>
      </c>
      <c r="DZ111" s="141"/>
      <c r="EA111" s="276" t="str">
        <f>IF(OR(DW$8="判定対象外",DZ$8="判定対象外",DZ111="-"),"-",IF(DW111=DZ111,"OK","NG"))</f>
        <v>OK</v>
      </c>
      <c r="EB111" s="160"/>
      <c r="EC111" s="141"/>
      <c r="ED111" s="146" t="str">
        <f t="shared" si="314"/>
        <v xml:space="preserve">                                                                                                                                                                                                                                                                                                                                                                                                                </v>
      </c>
      <c r="EE111" s="174" t="str">
        <f t="shared" si="217"/>
        <v>NG</v>
      </c>
      <c r="EF111" s="141"/>
      <c r="EG111" s="276" t="str">
        <f>IF(OR(EC$8="判定対象外",EF$8="判定対象外",EF111="-"),"-",IF(EC111=EF111,"OK","NG"))</f>
        <v>OK</v>
      </c>
      <c r="EH111" s="160"/>
      <c r="EI111" s="141"/>
      <c r="EJ111" s="146" t="str">
        <f t="shared" si="315"/>
        <v xml:space="preserve">                                                                                                                                                                                                                                                                                                                                                                                                                </v>
      </c>
      <c r="EK111" s="174" t="str">
        <f t="shared" si="218"/>
        <v>NG</v>
      </c>
      <c r="EL111" s="141"/>
      <c r="EM111" s="276" t="str">
        <f>IF(OR(EI$8="判定対象外",EL$8="判定対象外",EL111="-"),"-",IF(EI111=EL111,"OK","NG"))</f>
        <v>OK</v>
      </c>
      <c r="EN111" s="160"/>
      <c r="EO111" s="141"/>
      <c r="EP111" s="146" t="str">
        <f t="shared" si="316"/>
        <v xml:space="preserve">                                                                                                                                                                                                                                                                                                                                                                                                                </v>
      </c>
      <c r="EQ111" s="174" t="str">
        <f t="shared" si="219"/>
        <v>NG</v>
      </c>
      <c r="ER111" s="141"/>
      <c r="ES111" s="276" t="str">
        <f>IF(OR(EO$8="判定対象外",ER$8="判定対象外",ER111="-"),"-",IF(EO111=ER111,"OK","NG"))</f>
        <v>OK</v>
      </c>
      <c r="ET111" s="160"/>
      <c r="EU111" s="141"/>
      <c r="EV111" s="146" t="str">
        <f t="shared" si="317"/>
        <v xml:space="preserve">                                                                                                                                                                                                                                                                                                                                                                                                                </v>
      </c>
      <c r="EW111" s="174" t="str">
        <f t="shared" si="220"/>
        <v>NG</v>
      </c>
      <c r="EX111" s="141"/>
      <c r="EY111" s="276" t="str">
        <f>IF(OR(EU$8="判定対象外",EX$8="判定対象外",EX111="-"),"-",IF(EU111=EX111,"OK","NG"))</f>
        <v>OK</v>
      </c>
      <c r="EZ111" s="160"/>
      <c r="FA111" s="141"/>
      <c r="FB111" s="146" t="str">
        <f t="shared" si="318"/>
        <v xml:space="preserve">                                                                                                                                                                                                                                                                                                                                                                                                                </v>
      </c>
      <c r="FC111" s="174" t="str">
        <f t="shared" si="221"/>
        <v>NG</v>
      </c>
      <c r="FD111" s="141"/>
      <c r="FE111" s="276" t="str">
        <f>IF(OR(FA$8="判定対象外",FD$8="判定対象外",FD111="-"),"-",IF(FA111=FD111,"OK","NG"))</f>
        <v>OK</v>
      </c>
      <c r="FF111" s="160"/>
      <c r="FG111" s="141"/>
      <c r="FH111" s="146" t="str">
        <f t="shared" si="319"/>
        <v xml:space="preserve">                                                                                                                                                                                                                                                                                                                                                                                                                </v>
      </c>
      <c r="FI111" s="174" t="str">
        <f t="shared" si="233"/>
        <v>NG</v>
      </c>
      <c r="FJ111" s="141"/>
      <c r="FK111" s="276" t="str">
        <f>IF(OR(FG$8="判定対象外",FJ$8="判定対象外",FJ111="-"),"-",IF(FG111=FJ111,"OK","NG"))</f>
        <v>OK</v>
      </c>
      <c r="FL111" s="160"/>
      <c r="FM111" s="141"/>
      <c r="FN111" s="146" t="str">
        <f t="shared" si="320"/>
        <v xml:space="preserve">                                                                                                                                                                                                                                                                                                                                                                                                                </v>
      </c>
      <c r="FO111" s="174" t="str">
        <f t="shared" si="251"/>
        <v>NG</v>
      </c>
      <c r="FP111" s="141"/>
      <c r="FQ111" s="276" t="str">
        <f>IF(OR(FM$8="判定対象外",FP$8="判定対象外",FP111="-"),"-",IF(FM111=FP111,"OK","NG"))</f>
        <v>OK</v>
      </c>
      <c r="FR111" s="160"/>
      <c r="FS111" s="141"/>
      <c r="FT111" s="146" t="str">
        <f t="shared" si="321"/>
        <v xml:space="preserve">                                                                                                                                                                                                                                                                                                                                                                                                                </v>
      </c>
      <c r="FU111" s="174" t="str">
        <f t="shared" si="252"/>
        <v>NG</v>
      </c>
      <c r="FV111" s="141"/>
      <c r="FW111" s="276" t="str">
        <f>IF(OR(FS$8="判定対象外",FV$8="判定対象外",FV111="-"),"-",IF(FS111=FV111,"OK","NG"))</f>
        <v>OK</v>
      </c>
      <c r="FX111" s="160"/>
      <c r="FY111" s="141"/>
      <c r="FZ111" s="146" t="str">
        <f t="shared" si="322"/>
        <v xml:space="preserve">                                                                                                                                                                                                                                                                                                                                                                                                                </v>
      </c>
      <c r="GA111" s="174" t="str">
        <f t="shared" si="253"/>
        <v>NG</v>
      </c>
      <c r="GB111" s="141"/>
      <c r="GC111" s="276" t="str">
        <f>IF(OR(FY$8="判定対象外",GB$8="判定対象外",GB111="-"),"-",IF(FY111=GB111,"OK","NG"))</f>
        <v>OK</v>
      </c>
    </row>
    <row r="112" spans="2:185" s="52" customFormat="1">
      <c r="B112" s="216">
        <f t="shared" si="323"/>
        <v>105</v>
      </c>
      <c r="C112" s="37"/>
      <c r="D112" s="37"/>
      <c r="E112" s="37"/>
      <c r="F112" s="49" t="s">
        <v>222</v>
      </c>
      <c r="G112" s="39"/>
      <c r="H112" s="40"/>
      <c r="I112" s="42"/>
      <c r="J112" s="42"/>
      <c r="K112" s="42"/>
      <c r="L112" s="42"/>
      <c r="M112" s="63" t="s">
        <v>336</v>
      </c>
      <c r="N112" s="47"/>
      <c r="O112" s="143"/>
      <c r="P112" s="45">
        <f t="shared" si="326"/>
        <v>86</v>
      </c>
      <c r="Q112" s="46">
        <v>400</v>
      </c>
      <c r="R112" s="41" t="str">
        <f t="shared" si="353"/>
        <v>NX</v>
      </c>
      <c r="S112" s="185" t="s">
        <v>223</v>
      </c>
      <c r="T112" s="43"/>
      <c r="U112" s="41" t="s">
        <v>80</v>
      </c>
      <c r="V112" s="44"/>
      <c r="W112" s="22">
        <v>3</v>
      </c>
      <c r="X112" s="47" t="s">
        <v>224</v>
      </c>
      <c r="Y112" s="47">
        <v>1</v>
      </c>
      <c r="Z112" s="47">
        <v>400</v>
      </c>
      <c r="AA112" s="42" t="s">
        <v>195</v>
      </c>
      <c r="AB112" s="42" t="s">
        <v>80</v>
      </c>
      <c r="AC112" s="166"/>
      <c r="AD112" s="160"/>
      <c r="AE112" s="141"/>
      <c r="AF112" s="146" t="str">
        <f t="shared" si="298"/>
        <v xml:space="preserve">                                                                                                                                                                                                                                                                                                                                                                                                                </v>
      </c>
      <c r="AG112" s="174" t="str">
        <f t="shared" si="237"/>
        <v>NG</v>
      </c>
      <c r="AH112" s="141"/>
      <c r="AI112" s="172" t="s">
        <v>71</v>
      </c>
      <c r="AJ112" s="160"/>
      <c r="AK112" s="141"/>
      <c r="AL112" s="146" t="str">
        <f t="shared" si="281"/>
        <v xml:space="preserve">                                                                                                                                                                                                                                                                                                                                                                                                                </v>
      </c>
      <c r="AM112" s="174" t="str">
        <f t="shared" si="324"/>
        <v>NG</v>
      </c>
      <c r="AN112" s="141"/>
      <c r="AO112" s="172" t="s">
        <v>71</v>
      </c>
      <c r="AP112" s="160"/>
      <c r="AQ112" s="141"/>
      <c r="AR112" s="146" t="str">
        <f t="shared" si="299"/>
        <v xml:space="preserve">                                                                                                                                                                                                                                                                                                                                                                                                                </v>
      </c>
      <c r="AS112" s="174" t="str">
        <f t="shared" si="238"/>
        <v>NG</v>
      </c>
      <c r="AT112" s="141"/>
      <c r="AU112" s="172" t="s">
        <v>71</v>
      </c>
      <c r="AV112" s="160"/>
      <c r="AW112" s="141"/>
      <c r="AX112" s="146" t="str">
        <f t="shared" si="300"/>
        <v xml:space="preserve">                                                                                                                                                                                                                                                                                                                                                                                                                </v>
      </c>
      <c r="AY112" s="174" t="str">
        <f t="shared" si="239"/>
        <v>NG</v>
      </c>
      <c r="AZ112" s="141"/>
      <c r="BA112" s="172" t="s">
        <v>71</v>
      </c>
      <c r="BB112" s="160"/>
      <c r="BC112" s="141"/>
      <c r="BD112" s="146" t="str">
        <f t="shared" si="301"/>
        <v xml:space="preserve">                                                                                                                                                                                                                                                                                                                                                                                                                </v>
      </c>
      <c r="BE112" s="174" t="str">
        <f t="shared" si="240"/>
        <v>NG</v>
      </c>
      <c r="BF112" s="141"/>
      <c r="BG112" s="172" t="s">
        <v>71</v>
      </c>
      <c r="BH112" s="160"/>
      <c r="BI112" s="141"/>
      <c r="BJ112" s="146" t="str">
        <f t="shared" si="302"/>
        <v xml:space="preserve">                                                                                                                                                                                                                                                                                                                                                                                                                </v>
      </c>
      <c r="BK112" s="174" t="str">
        <f t="shared" si="241"/>
        <v>NG</v>
      </c>
      <c r="BL112" s="141"/>
      <c r="BM112" s="172" t="s">
        <v>71</v>
      </c>
      <c r="BN112" s="160"/>
      <c r="BO112" s="141"/>
      <c r="BP112" s="146" t="str">
        <f t="shared" si="303"/>
        <v xml:space="preserve">                                                                                                                                                                                                                                                                                                                                                                                                                </v>
      </c>
      <c r="BQ112" s="174" t="str">
        <f t="shared" si="242"/>
        <v>NG</v>
      </c>
      <c r="BR112" s="141"/>
      <c r="BS112" s="172" t="s">
        <v>71</v>
      </c>
      <c r="BT112" s="160"/>
      <c r="BU112" s="141"/>
      <c r="BV112" s="146" t="str">
        <f t="shared" si="304"/>
        <v xml:space="preserve">                                                                                                                                                                                                                                                                                                                                                                                                                </v>
      </c>
      <c r="BW112" s="174" t="str">
        <f t="shared" si="243"/>
        <v>NG</v>
      </c>
      <c r="BX112" s="141"/>
      <c r="BY112" s="172" t="s">
        <v>71</v>
      </c>
      <c r="BZ112" s="160"/>
      <c r="CA112" s="141"/>
      <c r="CB112" s="146" t="str">
        <f t="shared" si="305"/>
        <v xml:space="preserve">                                                                                                                                                                                                                                                                                                                                                                                                                </v>
      </c>
      <c r="CC112" s="174" t="str">
        <f t="shared" si="244"/>
        <v>NG</v>
      </c>
      <c r="CD112" s="141"/>
      <c r="CE112" s="172" t="s">
        <v>71</v>
      </c>
      <c r="CF112" s="160"/>
      <c r="CG112" s="141"/>
      <c r="CH112" s="146" t="str">
        <f t="shared" si="306"/>
        <v xml:space="preserve">                                                                                                                                                                                                                                                                                                                                                                                                                </v>
      </c>
      <c r="CI112" s="174" t="str">
        <f t="shared" si="245"/>
        <v>NG</v>
      </c>
      <c r="CJ112" s="141"/>
      <c r="CK112" s="172" t="s">
        <v>71</v>
      </c>
      <c r="CL112" s="160"/>
      <c r="CM112" s="141"/>
      <c r="CN112" s="146" t="str">
        <f t="shared" si="307"/>
        <v xml:space="preserve">                                                                                                                                                                                                                                                                                                                                                                                                                </v>
      </c>
      <c r="CO112" s="174" t="str">
        <f t="shared" si="246"/>
        <v>NG</v>
      </c>
      <c r="CP112" s="141"/>
      <c r="CQ112" s="172" t="s">
        <v>71</v>
      </c>
      <c r="CR112" s="160"/>
      <c r="CS112" s="141"/>
      <c r="CT112" s="146" t="str">
        <f t="shared" si="308"/>
        <v xml:space="preserve">                                                                                                                                                                                                                                                                                                                                                                                                                </v>
      </c>
      <c r="CU112" s="174" t="str">
        <f t="shared" si="247"/>
        <v>NG</v>
      </c>
      <c r="CV112" s="141"/>
      <c r="CW112" s="172" t="s">
        <v>71</v>
      </c>
      <c r="CX112" s="160"/>
      <c r="CY112" s="141"/>
      <c r="CZ112" s="146" t="str">
        <f t="shared" si="309"/>
        <v xml:space="preserve">                                                                                                                                                                                                                                                                                                                                                                                                                </v>
      </c>
      <c r="DA112" s="174" t="str">
        <f t="shared" si="248"/>
        <v>NG</v>
      </c>
      <c r="DB112" s="141"/>
      <c r="DC112" s="172" t="s">
        <v>71</v>
      </c>
      <c r="DD112" s="160"/>
      <c r="DE112" s="141"/>
      <c r="DF112" s="146" t="str">
        <f t="shared" si="310"/>
        <v xml:space="preserve">                                                                                                                                                                                                                                                                                                                                                                                                                </v>
      </c>
      <c r="DG112" s="174" t="str">
        <f t="shared" si="249"/>
        <v>NG</v>
      </c>
      <c r="DH112" s="141"/>
      <c r="DI112" s="172" t="s">
        <v>71</v>
      </c>
      <c r="DJ112" s="160"/>
      <c r="DK112" s="141"/>
      <c r="DL112" s="146" t="str">
        <f t="shared" si="311"/>
        <v xml:space="preserve">                                                                                                                                                                                                                                                                                                                                                                                                                </v>
      </c>
      <c r="DM112" s="174" t="str">
        <f t="shared" si="250"/>
        <v>NG</v>
      </c>
      <c r="DN112" s="141"/>
      <c r="DO112" s="172" t="s">
        <v>71</v>
      </c>
      <c r="DP112" s="160"/>
      <c r="DQ112" s="141"/>
      <c r="DR112" s="146" t="str">
        <f t="shared" si="312"/>
        <v xml:space="preserve">                                                                                                                                                                                                                                                                                                                                                                                                                </v>
      </c>
      <c r="DS112" s="174" t="str">
        <f t="shared" si="215"/>
        <v>NG</v>
      </c>
      <c r="DT112" s="141"/>
      <c r="DU112" s="172" t="s">
        <v>71</v>
      </c>
      <c r="DV112" s="160"/>
      <c r="DW112" s="141"/>
      <c r="DX112" s="146" t="str">
        <f t="shared" si="313"/>
        <v xml:space="preserve">                                                                                                                                                                                                                                                                                                                                                                                                                </v>
      </c>
      <c r="DY112" s="174" t="str">
        <f t="shared" si="216"/>
        <v>NG</v>
      </c>
      <c r="DZ112" s="141"/>
      <c r="EA112" s="172" t="s">
        <v>71</v>
      </c>
      <c r="EB112" s="160"/>
      <c r="EC112" s="141"/>
      <c r="ED112" s="146" t="str">
        <f t="shared" si="314"/>
        <v xml:space="preserve">                                                                                                                                                                                                                                                                                                                                                                                                                </v>
      </c>
      <c r="EE112" s="174" t="str">
        <f t="shared" si="217"/>
        <v>NG</v>
      </c>
      <c r="EF112" s="141"/>
      <c r="EG112" s="172" t="s">
        <v>71</v>
      </c>
      <c r="EH112" s="160"/>
      <c r="EI112" s="141"/>
      <c r="EJ112" s="146" t="str">
        <f t="shared" si="315"/>
        <v xml:space="preserve">                                                                                                                                                                                                                                                                                                                                                                                                                </v>
      </c>
      <c r="EK112" s="174" t="str">
        <f t="shared" si="218"/>
        <v>NG</v>
      </c>
      <c r="EL112" s="141"/>
      <c r="EM112" s="172" t="s">
        <v>71</v>
      </c>
      <c r="EN112" s="160"/>
      <c r="EO112" s="141"/>
      <c r="EP112" s="146" t="str">
        <f t="shared" si="316"/>
        <v xml:space="preserve">                                                                                                                                                                                                                                                                                                                                                                                                                </v>
      </c>
      <c r="EQ112" s="174" t="str">
        <f t="shared" si="219"/>
        <v>NG</v>
      </c>
      <c r="ER112" s="141"/>
      <c r="ES112" s="172" t="s">
        <v>71</v>
      </c>
      <c r="ET112" s="160"/>
      <c r="EU112" s="141"/>
      <c r="EV112" s="146" t="str">
        <f t="shared" si="317"/>
        <v xml:space="preserve">                                                                                                                                                                                                                                                                                                                                                                                                                </v>
      </c>
      <c r="EW112" s="174" t="str">
        <f t="shared" si="220"/>
        <v>NG</v>
      </c>
      <c r="EX112" s="141"/>
      <c r="EY112" s="172" t="s">
        <v>71</v>
      </c>
      <c r="EZ112" s="160"/>
      <c r="FA112" s="141"/>
      <c r="FB112" s="146" t="str">
        <f t="shared" si="318"/>
        <v xml:space="preserve">                                                                                                                                                                                                                                                                                                                                                                                                                </v>
      </c>
      <c r="FC112" s="174" t="str">
        <f t="shared" si="221"/>
        <v>NG</v>
      </c>
      <c r="FD112" s="141"/>
      <c r="FE112" s="172" t="s">
        <v>71</v>
      </c>
      <c r="FF112" s="160"/>
      <c r="FG112" s="141"/>
      <c r="FH112" s="146" t="str">
        <f t="shared" si="319"/>
        <v xml:space="preserve">                                                                                                                                                                                                                                                                                                                                                                                                                </v>
      </c>
      <c r="FI112" s="174" t="str">
        <f t="shared" si="233"/>
        <v>NG</v>
      </c>
      <c r="FJ112" s="141"/>
      <c r="FK112" s="172" t="s">
        <v>71</v>
      </c>
      <c r="FL112" s="160"/>
      <c r="FM112" s="141"/>
      <c r="FN112" s="146" t="str">
        <f t="shared" si="320"/>
        <v xml:space="preserve">                                                                                                                                                                                                                                                                                                                                                                                                                </v>
      </c>
      <c r="FO112" s="174" t="str">
        <f t="shared" si="251"/>
        <v>NG</v>
      </c>
      <c r="FP112" s="141"/>
      <c r="FQ112" s="172" t="s">
        <v>71</v>
      </c>
      <c r="FR112" s="160"/>
      <c r="FS112" s="141"/>
      <c r="FT112" s="146" t="str">
        <f t="shared" si="321"/>
        <v xml:space="preserve">                                                                                                                                                                                                                                                                                                                                                                                                                </v>
      </c>
      <c r="FU112" s="174" t="str">
        <f t="shared" si="252"/>
        <v>NG</v>
      </c>
      <c r="FV112" s="141"/>
      <c r="FW112" s="172" t="s">
        <v>71</v>
      </c>
      <c r="FX112" s="160"/>
      <c r="FY112" s="141"/>
      <c r="FZ112" s="146" t="str">
        <f t="shared" si="322"/>
        <v xml:space="preserve">                                                                                                                                                                                                                                                                                                                                                                                                                </v>
      </c>
      <c r="GA112" s="174" t="str">
        <f t="shared" si="253"/>
        <v>NG</v>
      </c>
      <c r="GB112" s="141"/>
      <c r="GC112" s="172" t="s">
        <v>71</v>
      </c>
    </row>
    <row r="113" spans="1:185" s="52" customFormat="1">
      <c r="B113" s="216">
        <f t="shared" si="323"/>
        <v>106</v>
      </c>
      <c r="C113" s="37"/>
      <c r="D113" s="37"/>
      <c r="E113" s="37"/>
      <c r="F113" s="49" t="s">
        <v>225</v>
      </c>
      <c r="G113" s="39"/>
      <c r="H113" s="40"/>
      <c r="I113" s="42"/>
      <c r="J113" s="42"/>
      <c r="K113" s="42"/>
      <c r="L113" s="42"/>
      <c r="M113" s="63" t="s">
        <v>336</v>
      </c>
      <c r="N113" s="47"/>
      <c r="O113" s="143"/>
      <c r="P113" s="45">
        <f t="shared" si="326"/>
        <v>87</v>
      </c>
      <c r="Q113" s="46">
        <v>400</v>
      </c>
      <c r="R113" s="41" t="str">
        <f t="shared" si="353"/>
        <v>NX</v>
      </c>
      <c r="S113" s="185" t="s">
        <v>226</v>
      </c>
      <c r="T113" s="43"/>
      <c r="U113" s="41" t="s">
        <v>80</v>
      </c>
      <c r="V113" s="44"/>
      <c r="W113" s="22">
        <v>3</v>
      </c>
      <c r="X113" s="47" t="s">
        <v>227</v>
      </c>
      <c r="Y113" s="47">
        <v>1</v>
      </c>
      <c r="Z113" s="47">
        <v>400</v>
      </c>
      <c r="AA113" s="42" t="s">
        <v>195</v>
      </c>
      <c r="AB113" s="42" t="s">
        <v>80</v>
      </c>
      <c r="AC113" s="166"/>
      <c r="AD113" s="160"/>
      <c r="AE113" s="141"/>
      <c r="AF113" s="146" t="str">
        <f t="shared" si="298"/>
        <v xml:space="preserve">                                                                                                                                                                                                                                                                                                                                                                                                                </v>
      </c>
      <c r="AG113" s="174" t="str">
        <f t="shared" si="237"/>
        <v>NG</v>
      </c>
      <c r="AH113" s="141"/>
      <c r="AI113" s="172" t="s">
        <v>71</v>
      </c>
      <c r="AJ113" s="160"/>
      <c r="AK113" s="141"/>
      <c r="AL113" s="146" t="str">
        <f t="shared" si="281"/>
        <v xml:space="preserve">                                                                                                                                                                                                                                                                                                                                                                                                                </v>
      </c>
      <c r="AM113" s="174" t="str">
        <f t="shared" si="324"/>
        <v>NG</v>
      </c>
      <c r="AN113" s="141"/>
      <c r="AO113" s="172" t="s">
        <v>71</v>
      </c>
      <c r="AP113" s="160"/>
      <c r="AQ113" s="141"/>
      <c r="AR113" s="146" t="str">
        <f t="shared" si="299"/>
        <v xml:space="preserve">                                                                                                                                                                                                                                                                                                                                                                                                                </v>
      </c>
      <c r="AS113" s="174" t="str">
        <f t="shared" si="238"/>
        <v>NG</v>
      </c>
      <c r="AT113" s="141"/>
      <c r="AU113" s="172" t="s">
        <v>71</v>
      </c>
      <c r="AV113" s="160"/>
      <c r="AW113" s="141"/>
      <c r="AX113" s="146" t="str">
        <f t="shared" si="300"/>
        <v xml:space="preserve">                                                                                                                                                                                                                                                                                                                                                                                                                </v>
      </c>
      <c r="AY113" s="174" t="str">
        <f t="shared" si="239"/>
        <v>NG</v>
      </c>
      <c r="AZ113" s="141"/>
      <c r="BA113" s="172" t="s">
        <v>71</v>
      </c>
      <c r="BB113" s="160"/>
      <c r="BC113" s="141"/>
      <c r="BD113" s="146" t="str">
        <f t="shared" si="301"/>
        <v xml:space="preserve">                                                                                                                                                                                                                                                                                                                                                                                                                </v>
      </c>
      <c r="BE113" s="174" t="str">
        <f t="shared" si="240"/>
        <v>NG</v>
      </c>
      <c r="BF113" s="141"/>
      <c r="BG113" s="172" t="s">
        <v>71</v>
      </c>
      <c r="BH113" s="160"/>
      <c r="BI113" s="141"/>
      <c r="BJ113" s="146" t="str">
        <f t="shared" si="302"/>
        <v xml:space="preserve">                                                                                                                                                                                                                                                                                                                                                                                                                </v>
      </c>
      <c r="BK113" s="174" t="str">
        <f t="shared" si="241"/>
        <v>NG</v>
      </c>
      <c r="BL113" s="141"/>
      <c r="BM113" s="172" t="s">
        <v>71</v>
      </c>
      <c r="BN113" s="160"/>
      <c r="BO113" s="141"/>
      <c r="BP113" s="146" t="str">
        <f t="shared" si="303"/>
        <v xml:space="preserve">                                                                                                                                                                                                                                                                                                                                                                                                                </v>
      </c>
      <c r="BQ113" s="174" t="str">
        <f t="shared" si="242"/>
        <v>NG</v>
      </c>
      <c r="BR113" s="141"/>
      <c r="BS113" s="172" t="s">
        <v>71</v>
      </c>
      <c r="BT113" s="160"/>
      <c r="BU113" s="141"/>
      <c r="BV113" s="146" t="str">
        <f t="shared" si="304"/>
        <v xml:space="preserve">                                                                                                                                                                                                                                                                                                                                                                                                                </v>
      </c>
      <c r="BW113" s="174" t="str">
        <f t="shared" si="243"/>
        <v>NG</v>
      </c>
      <c r="BX113" s="141"/>
      <c r="BY113" s="172" t="s">
        <v>71</v>
      </c>
      <c r="BZ113" s="160"/>
      <c r="CA113" s="141"/>
      <c r="CB113" s="146" t="str">
        <f t="shared" si="305"/>
        <v xml:space="preserve">                                                                                                                                                                                                                                                                                                                                                                                                                </v>
      </c>
      <c r="CC113" s="174" t="str">
        <f t="shared" si="244"/>
        <v>NG</v>
      </c>
      <c r="CD113" s="141"/>
      <c r="CE113" s="172" t="s">
        <v>71</v>
      </c>
      <c r="CF113" s="160"/>
      <c r="CG113" s="141"/>
      <c r="CH113" s="146" t="str">
        <f t="shared" si="306"/>
        <v xml:space="preserve">                                                                                                                                                                                                                                                                                                                                                                                                                </v>
      </c>
      <c r="CI113" s="174" t="str">
        <f t="shared" si="245"/>
        <v>NG</v>
      </c>
      <c r="CJ113" s="141"/>
      <c r="CK113" s="172" t="s">
        <v>71</v>
      </c>
      <c r="CL113" s="160"/>
      <c r="CM113" s="141"/>
      <c r="CN113" s="146" t="str">
        <f t="shared" si="307"/>
        <v xml:space="preserve">                                                                                                                                                                                                                                                                                                                                                                                                                </v>
      </c>
      <c r="CO113" s="174" t="str">
        <f t="shared" si="246"/>
        <v>NG</v>
      </c>
      <c r="CP113" s="141"/>
      <c r="CQ113" s="172" t="s">
        <v>71</v>
      </c>
      <c r="CR113" s="160"/>
      <c r="CS113" s="141"/>
      <c r="CT113" s="146" t="str">
        <f t="shared" si="308"/>
        <v xml:space="preserve">                                                                                                                                                                                                                                                                                                                                                                                                                </v>
      </c>
      <c r="CU113" s="174" t="str">
        <f t="shared" si="247"/>
        <v>NG</v>
      </c>
      <c r="CV113" s="141"/>
      <c r="CW113" s="172" t="s">
        <v>71</v>
      </c>
      <c r="CX113" s="160"/>
      <c r="CY113" s="141"/>
      <c r="CZ113" s="146" t="str">
        <f t="shared" si="309"/>
        <v xml:space="preserve">                                                                                                                                                                                                                                                                                                                                                                                                                </v>
      </c>
      <c r="DA113" s="174" t="str">
        <f t="shared" si="248"/>
        <v>NG</v>
      </c>
      <c r="DB113" s="141"/>
      <c r="DC113" s="172" t="s">
        <v>71</v>
      </c>
      <c r="DD113" s="160"/>
      <c r="DE113" s="141"/>
      <c r="DF113" s="146" t="str">
        <f t="shared" si="310"/>
        <v xml:space="preserve">                                                                                                                                                                                                                                                                                                                                                                                                                </v>
      </c>
      <c r="DG113" s="174" t="str">
        <f t="shared" si="249"/>
        <v>NG</v>
      </c>
      <c r="DH113" s="141"/>
      <c r="DI113" s="172" t="s">
        <v>71</v>
      </c>
      <c r="DJ113" s="160"/>
      <c r="DK113" s="141"/>
      <c r="DL113" s="146" t="str">
        <f t="shared" si="311"/>
        <v xml:space="preserve">                                                                                                                                                                                                                                                                                                                                                                                                                </v>
      </c>
      <c r="DM113" s="174" t="str">
        <f t="shared" si="250"/>
        <v>NG</v>
      </c>
      <c r="DN113" s="141"/>
      <c r="DO113" s="172" t="s">
        <v>71</v>
      </c>
      <c r="DP113" s="160"/>
      <c r="DQ113" s="141"/>
      <c r="DR113" s="146" t="str">
        <f t="shared" si="312"/>
        <v xml:space="preserve">                                                                                                                                                                                                                                                                                                                                                                                                                </v>
      </c>
      <c r="DS113" s="174" t="str">
        <f t="shared" si="215"/>
        <v>NG</v>
      </c>
      <c r="DT113" s="141"/>
      <c r="DU113" s="172" t="s">
        <v>71</v>
      </c>
      <c r="DV113" s="160"/>
      <c r="DW113" s="141"/>
      <c r="DX113" s="146" t="str">
        <f t="shared" si="313"/>
        <v xml:space="preserve">                                                                                                                                                                                                                                                                                                                                                                                                                </v>
      </c>
      <c r="DY113" s="174" t="str">
        <f t="shared" si="216"/>
        <v>NG</v>
      </c>
      <c r="DZ113" s="141"/>
      <c r="EA113" s="172" t="s">
        <v>71</v>
      </c>
      <c r="EB113" s="160"/>
      <c r="EC113" s="141"/>
      <c r="ED113" s="146" t="str">
        <f t="shared" si="314"/>
        <v xml:space="preserve">                                                                                                                                                                                                                                                                                                                                                                                                                </v>
      </c>
      <c r="EE113" s="174" t="str">
        <f t="shared" si="217"/>
        <v>NG</v>
      </c>
      <c r="EF113" s="141"/>
      <c r="EG113" s="172" t="s">
        <v>71</v>
      </c>
      <c r="EH113" s="160"/>
      <c r="EI113" s="141"/>
      <c r="EJ113" s="146" t="str">
        <f t="shared" si="315"/>
        <v xml:space="preserve">                                                                                                                                                                                                                                                                                                                                                                                                                </v>
      </c>
      <c r="EK113" s="174" t="str">
        <f t="shared" si="218"/>
        <v>NG</v>
      </c>
      <c r="EL113" s="141"/>
      <c r="EM113" s="172" t="s">
        <v>71</v>
      </c>
      <c r="EN113" s="160"/>
      <c r="EO113" s="141"/>
      <c r="EP113" s="146" t="str">
        <f t="shared" si="316"/>
        <v xml:space="preserve">                                                                                                                                                                                                                                                                                                                                                                                                                </v>
      </c>
      <c r="EQ113" s="174" t="str">
        <f t="shared" si="219"/>
        <v>NG</v>
      </c>
      <c r="ER113" s="141"/>
      <c r="ES113" s="172" t="s">
        <v>71</v>
      </c>
      <c r="ET113" s="160"/>
      <c r="EU113" s="141"/>
      <c r="EV113" s="146" t="str">
        <f t="shared" si="317"/>
        <v xml:space="preserve">                                                                                                                                                                                                                                                                                                                                                                                                                </v>
      </c>
      <c r="EW113" s="174" t="str">
        <f t="shared" si="220"/>
        <v>NG</v>
      </c>
      <c r="EX113" s="141"/>
      <c r="EY113" s="172" t="s">
        <v>71</v>
      </c>
      <c r="EZ113" s="160"/>
      <c r="FA113" s="141"/>
      <c r="FB113" s="146" t="str">
        <f t="shared" si="318"/>
        <v xml:space="preserve">                                                                                                                                                                                                                                                                                                                                                                                                                </v>
      </c>
      <c r="FC113" s="174" t="str">
        <f t="shared" si="221"/>
        <v>NG</v>
      </c>
      <c r="FD113" s="141"/>
      <c r="FE113" s="172" t="s">
        <v>71</v>
      </c>
      <c r="FF113" s="160"/>
      <c r="FG113" s="141"/>
      <c r="FH113" s="146" t="str">
        <f t="shared" si="319"/>
        <v xml:space="preserve">                                                                                                                                                                                                                                                                                                                                                                                                                </v>
      </c>
      <c r="FI113" s="174" t="str">
        <f t="shared" si="233"/>
        <v>NG</v>
      </c>
      <c r="FJ113" s="141"/>
      <c r="FK113" s="172" t="s">
        <v>71</v>
      </c>
      <c r="FL113" s="160"/>
      <c r="FM113" s="141"/>
      <c r="FN113" s="146" t="str">
        <f t="shared" si="320"/>
        <v xml:space="preserve">                                                                                                                                                                                                                                                                                                                                                                                                                </v>
      </c>
      <c r="FO113" s="174" t="str">
        <f t="shared" si="251"/>
        <v>NG</v>
      </c>
      <c r="FP113" s="141"/>
      <c r="FQ113" s="172" t="s">
        <v>71</v>
      </c>
      <c r="FR113" s="160"/>
      <c r="FS113" s="141"/>
      <c r="FT113" s="146" t="str">
        <f t="shared" si="321"/>
        <v xml:space="preserve">                                                                                                                                                                                                                                                                                                                                                                                                                </v>
      </c>
      <c r="FU113" s="174" t="str">
        <f t="shared" si="252"/>
        <v>NG</v>
      </c>
      <c r="FV113" s="141"/>
      <c r="FW113" s="172" t="s">
        <v>71</v>
      </c>
      <c r="FX113" s="160"/>
      <c r="FY113" s="141"/>
      <c r="FZ113" s="146" t="str">
        <f t="shared" si="322"/>
        <v xml:space="preserve">                                                                                                                                                                                                                                                                                                                                                                                                                </v>
      </c>
      <c r="GA113" s="174" t="str">
        <f t="shared" si="253"/>
        <v>NG</v>
      </c>
      <c r="GB113" s="141"/>
      <c r="GC113" s="172" t="s">
        <v>71</v>
      </c>
    </row>
    <row r="114" spans="1:185" s="52" customFormat="1" ht="89.25">
      <c r="B114" s="216">
        <f t="shared" si="323"/>
        <v>107</v>
      </c>
      <c r="C114" s="37"/>
      <c r="D114" s="37"/>
      <c r="E114" s="37"/>
      <c r="F114" s="49" t="s">
        <v>228</v>
      </c>
      <c r="G114" s="39"/>
      <c r="H114" s="40"/>
      <c r="I114" s="42"/>
      <c r="J114" s="42"/>
      <c r="K114" s="42"/>
      <c r="L114" s="42"/>
      <c r="M114" s="63" t="s">
        <v>338</v>
      </c>
      <c r="N114" s="47"/>
      <c r="O114" s="143"/>
      <c r="P114" s="45">
        <f t="shared" si="326"/>
        <v>88</v>
      </c>
      <c r="Q114" s="46">
        <v>1</v>
      </c>
      <c r="R114" s="41" t="str">
        <f t="shared" si="353"/>
        <v>X</v>
      </c>
      <c r="S114" s="185" t="s">
        <v>229</v>
      </c>
      <c r="T114" s="43"/>
      <c r="U114" s="41" t="s">
        <v>80</v>
      </c>
      <c r="V114" s="44"/>
      <c r="W114" s="22">
        <v>3</v>
      </c>
      <c r="X114" s="47" t="s">
        <v>230</v>
      </c>
      <c r="Y114" s="47">
        <v>1</v>
      </c>
      <c r="Z114" s="47">
        <v>1</v>
      </c>
      <c r="AA114" s="42" t="s">
        <v>163</v>
      </c>
      <c r="AB114" s="42" t="s">
        <v>57</v>
      </c>
      <c r="AC114" s="217"/>
      <c r="AD114" s="160"/>
      <c r="AE114" s="162"/>
      <c r="AF114" s="203" t="str">
        <f t="shared" si="298"/>
        <v xml:space="preserve"> </v>
      </c>
      <c r="AG114" s="174" t="str">
        <f t="shared" si="237"/>
        <v>NG</v>
      </c>
      <c r="AH114" s="162"/>
      <c r="AI114" s="276" t="str">
        <f>IF(OR(AE$8="判定対象外",AH$8="判定対象外",AH114="-"),"-",IF(AE114=AH114,"OK","NG"))</f>
        <v>OK</v>
      </c>
      <c r="AJ114" s="160"/>
      <c r="AK114" s="162"/>
      <c r="AL114" s="203" t="str">
        <f t="shared" si="281"/>
        <v xml:space="preserve"> </v>
      </c>
      <c r="AM114" s="174" t="str">
        <f t="shared" si="324"/>
        <v>NG</v>
      </c>
      <c r="AN114" s="162"/>
      <c r="AO114" s="276" t="str">
        <f>IF(OR(AK$8="判定対象外",AN$8="判定対象外",AN114="-"),"-",IF(AK114=AN114,"OK","NG"))</f>
        <v>OK</v>
      </c>
      <c r="AP114" s="160"/>
      <c r="AQ114" s="162"/>
      <c r="AR114" s="203" t="str">
        <f t="shared" si="299"/>
        <v xml:space="preserve"> </v>
      </c>
      <c r="AS114" s="174" t="str">
        <f t="shared" si="238"/>
        <v>NG</v>
      </c>
      <c r="AT114" s="162"/>
      <c r="AU114" s="276" t="str">
        <f>IF(OR(AQ$8="判定対象外",AT$8="判定対象外",AT114="-"),"-",IF(AQ114=AT114,"OK","NG"))</f>
        <v>OK</v>
      </c>
      <c r="AV114" s="160"/>
      <c r="AW114" s="162"/>
      <c r="AX114" s="203" t="str">
        <f t="shared" si="300"/>
        <v xml:space="preserve"> </v>
      </c>
      <c r="AY114" s="174" t="str">
        <f t="shared" si="239"/>
        <v>NG</v>
      </c>
      <c r="AZ114" s="162"/>
      <c r="BA114" s="276" t="str">
        <f>IF(OR(AW$8="判定対象外",AZ$8="判定対象外",AZ114="-"),"-",IF(AW114=AZ114,"OK","NG"))</f>
        <v>OK</v>
      </c>
      <c r="BB114" s="160"/>
      <c r="BC114" s="162"/>
      <c r="BD114" s="203" t="str">
        <f t="shared" si="301"/>
        <v xml:space="preserve"> </v>
      </c>
      <c r="BE114" s="174" t="str">
        <f t="shared" si="240"/>
        <v>NG</v>
      </c>
      <c r="BF114" s="162"/>
      <c r="BG114" s="276" t="str">
        <f>IF(OR(BC$8="判定対象外",BF$8="判定対象外",BF114="-"),"-",IF(BC114=BF114,"OK","NG"))</f>
        <v>OK</v>
      </c>
      <c r="BH114" s="160"/>
      <c r="BI114" s="162"/>
      <c r="BJ114" s="203" t="str">
        <f t="shared" si="302"/>
        <v xml:space="preserve"> </v>
      </c>
      <c r="BK114" s="174" t="str">
        <f t="shared" si="241"/>
        <v>NG</v>
      </c>
      <c r="BL114" s="162"/>
      <c r="BM114" s="276" t="str">
        <f>IF(OR(BI$8="判定対象外",BL$8="判定対象外",BL114="-"),"-",IF(BI114=BL114,"OK","NG"))</f>
        <v>OK</v>
      </c>
      <c r="BN114" s="160"/>
      <c r="BO114" s="162"/>
      <c r="BP114" s="203" t="str">
        <f t="shared" si="303"/>
        <v xml:space="preserve"> </v>
      </c>
      <c r="BQ114" s="174" t="str">
        <f t="shared" si="242"/>
        <v>NG</v>
      </c>
      <c r="BR114" s="162"/>
      <c r="BS114" s="276" t="str">
        <f>IF(OR(BO$8="判定対象外",BR$8="判定対象外",BR114="-"),"-",IF(BO114=BR114,"OK","NG"))</f>
        <v>OK</v>
      </c>
      <c r="BT114" s="160"/>
      <c r="BU114" s="162"/>
      <c r="BV114" s="203" t="str">
        <f t="shared" si="304"/>
        <v xml:space="preserve"> </v>
      </c>
      <c r="BW114" s="174" t="str">
        <f t="shared" si="243"/>
        <v>NG</v>
      </c>
      <c r="BX114" s="162"/>
      <c r="BY114" s="276" t="str">
        <f>IF(OR(BU$8="判定対象外",BX$8="判定対象外",BX114="-"),"-",IF(BU114=BX114,"OK","NG"))</f>
        <v>OK</v>
      </c>
      <c r="BZ114" s="160"/>
      <c r="CA114" s="162"/>
      <c r="CB114" s="203" t="str">
        <f t="shared" si="305"/>
        <v xml:space="preserve"> </v>
      </c>
      <c r="CC114" s="174" t="str">
        <f t="shared" si="244"/>
        <v>NG</v>
      </c>
      <c r="CD114" s="162"/>
      <c r="CE114" s="276" t="str">
        <f>IF(OR(CA$8="判定対象外",CD$8="判定対象外",CD114="-"),"-",IF(CA114=CD114,"OK","NG"))</f>
        <v>OK</v>
      </c>
      <c r="CF114" s="160"/>
      <c r="CG114" s="162"/>
      <c r="CH114" s="203" t="str">
        <f t="shared" si="306"/>
        <v xml:space="preserve"> </v>
      </c>
      <c r="CI114" s="174" t="str">
        <f t="shared" si="245"/>
        <v>NG</v>
      </c>
      <c r="CJ114" s="162"/>
      <c r="CK114" s="276" t="str">
        <f>IF(OR(CG$8="判定対象外",CJ$8="判定対象外",CJ114="-"),"-",IF(CG114=CJ114,"OK","NG"))</f>
        <v>OK</v>
      </c>
      <c r="CL114" s="160"/>
      <c r="CM114" s="162"/>
      <c r="CN114" s="203" t="str">
        <f t="shared" si="307"/>
        <v xml:space="preserve"> </v>
      </c>
      <c r="CO114" s="174" t="str">
        <f t="shared" si="246"/>
        <v>NG</v>
      </c>
      <c r="CP114" s="162"/>
      <c r="CQ114" s="276" t="str">
        <f>IF(OR(CM$8="判定対象外",CP$8="判定対象外",CP114="-"),"-",IF(CM114=CP114,"OK","NG"))</f>
        <v>OK</v>
      </c>
      <c r="CR114" s="160"/>
      <c r="CS114" s="162"/>
      <c r="CT114" s="203" t="str">
        <f t="shared" si="308"/>
        <v xml:space="preserve"> </v>
      </c>
      <c r="CU114" s="174" t="str">
        <f t="shared" si="247"/>
        <v>NG</v>
      </c>
      <c r="CV114" s="162"/>
      <c r="CW114" s="276" t="str">
        <f>IF(OR(CS$8="判定対象外",CV$8="判定対象外",CV114="-"),"-",IF(CS114=CV114,"OK","NG"))</f>
        <v>OK</v>
      </c>
      <c r="CX114" s="160"/>
      <c r="CY114" s="162"/>
      <c r="CZ114" s="203" t="str">
        <f t="shared" si="309"/>
        <v xml:space="preserve"> </v>
      </c>
      <c r="DA114" s="174" t="str">
        <f t="shared" si="248"/>
        <v>NG</v>
      </c>
      <c r="DB114" s="162"/>
      <c r="DC114" s="276" t="str">
        <f>IF(OR(CY$8="判定対象外",DB$8="判定対象外",DB114="-"),"-",IF(CY114=DB114,"OK","NG"))</f>
        <v>OK</v>
      </c>
      <c r="DD114" s="160"/>
      <c r="DE114" s="162"/>
      <c r="DF114" s="203" t="str">
        <f t="shared" si="310"/>
        <v xml:space="preserve"> </v>
      </c>
      <c r="DG114" s="174" t="str">
        <f t="shared" si="249"/>
        <v>NG</v>
      </c>
      <c r="DH114" s="162"/>
      <c r="DI114" s="276" t="str">
        <f>IF(OR(DE$8="判定対象外",DH$8="判定対象外",DH114="-"),"-",IF(DE114=DH114,"OK","NG"))</f>
        <v>OK</v>
      </c>
      <c r="DJ114" s="160"/>
      <c r="DK114" s="162"/>
      <c r="DL114" s="203" t="str">
        <f t="shared" si="311"/>
        <v xml:space="preserve"> </v>
      </c>
      <c r="DM114" s="174" t="str">
        <f t="shared" si="250"/>
        <v>NG</v>
      </c>
      <c r="DN114" s="162"/>
      <c r="DO114" s="276" t="str">
        <f>IF(OR(DK$8="判定対象外",DN$8="判定対象外",DN114="-"),"-",IF(DK114=DN114,"OK","NG"))</f>
        <v>OK</v>
      </c>
      <c r="DP114" s="160"/>
      <c r="DQ114" s="162"/>
      <c r="DR114" s="203" t="str">
        <f t="shared" si="312"/>
        <v xml:space="preserve"> </v>
      </c>
      <c r="DS114" s="174" t="str">
        <f t="shared" si="215"/>
        <v>NG</v>
      </c>
      <c r="DT114" s="162"/>
      <c r="DU114" s="276" t="str">
        <f>IF(OR(DQ$8="判定対象外",DT$8="判定対象外",DT114="-"),"-",IF(DQ114=DT114,"OK","NG"))</f>
        <v>OK</v>
      </c>
      <c r="DV114" s="160"/>
      <c r="DW114" s="162"/>
      <c r="DX114" s="203" t="str">
        <f t="shared" si="313"/>
        <v xml:space="preserve"> </v>
      </c>
      <c r="DY114" s="174" t="str">
        <f t="shared" si="216"/>
        <v>NG</v>
      </c>
      <c r="DZ114" s="162"/>
      <c r="EA114" s="276" t="str">
        <f>IF(OR(DW$8="判定対象外",DZ$8="判定対象外",DZ114="-"),"-",IF(DW114=DZ114,"OK","NG"))</f>
        <v>OK</v>
      </c>
      <c r="EB114" s="160"/>
      <c r="EC114" s="162"/>
      <c r="ED114" s="203" t="str">
        <f t="shared" si="314"/>
        <v xml:space="preserve"> </v>
      </c>
      <c r="EE114" s="174" t="str">
        <f t="shared" si="217"/>
        <v>NG</v>
      </c>
      <c r="EF114" s="162"/>
      <c r="EG114" s="276" t="str">
        <f>IF(OR(EC$8="判定対象外",EF$8="判定対象外",EF114="-"),"-",IF(EC114=EF114,"OK","NG"))</f>
        <v>OK</v>
      </c>
      <c r="EH114" s="160"/>
      <c r="EI114" s="162"/>
      <c r="EJ114" s="203" t="str">
        <f t="shared" si="315"/>
        <v xml:space="preserve"> </v>
      </c>
      <c r="EK114" s="174" t="str">
        <f t="shared" si="218"/>
        <v>NG</v>
      </c>
      <c r="EL114" s="162"/>
      <c r="EM114" s="276" t="str">
        <f>IF(OR(EI$8="判定対象外",EL$8="判定対象外",EL114="-"),"-",IF(EI114=EL114,"OK","NG"))</f>
        <v>OK</v>
      </c>
      <c r="EN114" s="160"/>
      <c r="EO114" s="162"/>
      <c r="EP114" s="203" t="str">
        <f t="shared" si="316"/>
        <v xml:space="preserve"> </v>
      </c>
      <c r="EQ114" s="174" t="str">
        <f t="shared" si="219"/>
        <v>NG</v>
      </c>
      <c r="ER114" s="162"/>
      <c r="ES114" s="276" t="str">
        <f>IF(OR(EO$8="判定対象外",ER$8="判定対象外",ER114="-"),"-",IF(EO114=ER114,"OK","NG"))</f>
        <v>OK</v>
      </c>
      <c r="ET114" s="160"/>
      <c r="EU114" s="162"/>
      <c r="EV114" s="203" t="str">
        <f t="shared" si="317"/>
        <v xml:space="preserve"> </v>
      </c>
      <c r="EW114" s="174" t="str">
        <f t="shared" si="220"/>
        <v>NG</v>
      </c>
      <c r="EX114" s="162"/>
      <c r="EY114" s="276" t="str">
        <f>IF(OR(EU$8="判定対象外",EX$8="判定対象外",EX114="-"),"-",IF(EU114=EX114,"OK","NG"))</f>
        <v>OK</v>
      </c>
      <c r="EZ114" s="160"/>
      <c r="FA114" s="162"/>
      <c r="FB114" s="203" t="str">
        <f t="shared" si="318"/>
        <v xml:space="preserve"> </v>
      </c>
      <c r="FC114" s="174" t="str">
        <f t="shared" si="221"/>
        <v>NG</v>
      </c>
      <c r="FD114" s="162"/>
      <c r="FE114" s="276" t="str">
        <f>IF(OR(FA$8="判定対象外",FD$8="判定対象外",FD114="-"),"-",IF(FA114=FD114,"OK","NG"))</f>
        <v>OK</v>
      </c>
      <c r="FF114" s="160"/>
      <c r="FG114" s="162"/>
      <c r="FH114" s="203" t="str">
        <f t="shared" si="319"/>
        <v xml:space="preserve"> </v>
      </c>
      <c r="FI114" s="174" t="str">
        <f t="shared" si="233"/>
        <v>NG</v>
      </c>
      <c r="FJ114" s="162"/>
      <c r="FK114" s="276" t="str">
        <f>IF(OR(FG$8="判定対象外",FJ$8="判定対象外",FJ114="-"),"-",IF(FG114=FJ114,"OK","NG"))</f>
        <v>OK</v>
      </c>
      <c r="FL114" s="160"/>
      <c r="FM114" s="162"/>
      <c r="FN114" s="203" t="str">
        <f t="shared" si="320"/>
        <v xml:space="preserve"> </v>
      </c>
      <c r="FO114" s="174" t="str">
        <f t="shared" si="251"/>
        <v>NG</v>
      </c>
      <c r="FP114" s="162"/>
      <c r="FQ114" s="276" t="str">
        <f>IF(OR(FM$8="判定対象外",FP$8="判定対象外",FP114="-"),"-",IF(FM114=FP114,"OK","NG"))</f>
        <v>OK</v>
      </c>
      <c r="FR114" s="160"/>
      <c r="FS114" s="162"/>
      <c r="FT114" s="203" t="str">
        <f t="shared" si="321"/>
        <v xml:space="preserve"> </v>
      </c>
      <c r="FU114" s="174" t="str">
        <f t="shared" si="252"/>
        <v>NG</v>
      </c>
      <c r="FV114" s="162"/>
      <c r="FW114" s="276" t="str">
        <f>IF(OR(FS$8="判定対象外",FV$8="判定対象外",FV114="-"),"-",IF(FS114=FV114,"OK","NG"))</f>
        <v>OK</v>
      </c>
      <c r="FX114" s="160"/>
      <c r="FY114" s="162"/>
      <c r="FZ114" s="203" t="str">
        <f t="shared" si="322"/>
        <v xml:space="preserve"> </v>
      </c>
      <c r="GA114" s="174" t="str">
        <f t="shared" si="253"/>
        <v>NG</v>
      </c>
      <c r="GB114" s="162"/>
      <c r="GC114" s="276" t="str">
        <f>IF(OR(FY$8="判定対象外",GB$8="判定対象外",GB114="-"),"-",IF(FY114=GB114,"OK","NG"))</f>
        <v>OK</v>
      </c>
    </row>
    <row r="115" spans="1:185" s="52" customFormat="1">
      <c r="B115" s="216">
        <f t="shared" si="323"/>
        <v>108</v>
      </c>
      <c r="C115" s="37"/>
      <c r="D115" s="37"/>
      <c r="E115" s="37"/>
      <c r="F115" s="49" t="s">
        <v>231</v>
      </c>
      <c r="G115" s="39"/>
      <c r="H115" s="40"/>
      <c r="I115" s="42"/>
      <c r="J115" s="42"/>
      <c r="K115" s="42"/>
      <c r="L115" s="42"/>
      <c r="M115" s="63"/>
      <c r="N115" s="47"/>
      <c r="O115" s="143"/>
      <c r="P115" s="45">
        <f t="shared" si="326"/>
        <v>89</v>
      </c>
      <c r="Q115" s="46">
        <v>128</v>
      </c>
      <c r="R115" s="41" t="str">
        <f t="shared" si="353"/>
        <v>X</v>
      </c>
      <c r="S115" s="185" t="s">
        <v>232</v>
      </c>
      <c r="T115" s="43"/>
      <c r="U115" s="41" t="s">
        <v>80</v>
      </c>
      <c r="V115" s="44"/>
      <c r="W115" s="22">
        <v>3</v>
      </c>
      <c r="X115" s="47" t="s">
        <v>233</v>
      </c>
      <c r="Y115" s="47">
        <v>1</v>
      </c>
      <c r="Z115" s="47">
        <v>128</v>
      </c>
      <c r="AA115" s="42" t="s">
        <v>163</v>
      </c>
      <c r="AB115" s="42" t="s">
        <v>57</v>
      </c>
      <c r="AC115" s="166"/>
      <c r="AD115" s="160"/>
      <c r="AE115" s="141"/>
      <c r="AF115" s="203" t="str">
        <f t="shared" si="298"/>
        <v xml:space="preserve">                                                                                                                                </v>
      </c>
      <c r="AG115" s="174" t="str">
        <f t="shared" si="237"/>
        <v>NG</v>
      </c>
      <c r="AH115" s="141"/>
      <c r="AI115" s="172" t="s">
        <v>71</v>
      </c>
      <c r="AJ115" s="160"/>
      <c r="AK115" s="141"/>
      <c r="AL115" s="203" t="str">
        <f t="shared" si="281"/>
        <v xml:space="preserve">                                                                                                                                </v>
      </c>
      <c r="AM115" s="174" t="str">
        <f t="shared" si="324"/>
        <v>NG</v>
      </c>
      <c r="AN115" s="141"/>
      <c r="AO115" s="172" t="s">
        <v>71</v>
      </c>
      <c r="AP115" s="160"/>
      <c r="AQ115" s="141"/>
      <c r="AR115" s="203" t="str">
        <f t="shared" si="299"/>
        <v xml:space="preserve">                                                                                                                                </v>
      </c>
      <c r="AS115" s="174" t="str">
        <f t="shared" si="238"/>
        <v>NG</v>
      </c>
      <c r="AT115" s="141"/>
      <c r="AU115" s="172" t="s">
        <v>71</v>
      </c>
      <c r="AV115" s="160"/>
      <c r="AW115" s="141"/>
      <c r="AX115" s="203" t="str">
        <f t="shared" si="300"/>
        <v xml:space="preserve">                                                                                                                                </v>
      </c>
      <c r="AY115" s="174" t="str">
        <f t="shared" si="239"/>
        <v>NG</v>
      </c>
      <c r="AZ115" s="141"/>
      <c r="BA115" s="172" t="s">
        <v>71</v>
      </c>
      <c r="BB115" s="160"/>
      <c r="BC115" s="141"/>
      <c r="BD115" s="203" t="str">
        <f t="shared" si="301"/>
        <v xml:space="preserve">                                                                                                                                </v>
      </c>
      <c r="BE115" s="174" t="str">
        <f t="shared" si="240"/>
        <v>NG</v>
      </c>
      <c r="BF115" s="141"/>
      <c r="BG115" s="172" t="s">
        <v>71</v>
      </c>
      <c r="BH115" s="160"/>
      <c r="BI115" s="141"/>
      <c r="BJ115" s="203" t="str">
        <f t="shared" si="302"/>
        <v xml:space="preserve">                                                                                                                                </v>
      </c>
      <c r="BK115" s="174" t="str">
        <f t="shared" si="241"/>
        <v>NG</v>
      </c>
      <c r="BL115" s="141"/>
      <c r="BM115" s="172" t="s">
        <v>71</v>
      </c>
      <c r="BN115" s="160"/>
      <c r="BO115" s="141"/>
      <c r="BP115" s="203" t="str">
        <f t="shared" si="303"/>
        <v xml:space="preserve">                                                                                                                                </v>
      </c>
      <c r="BQ115" s="174" t="str">
        <f t="shared" si="242"/>
        <v>NG</v>
      </c>
      <c r="BR115" s="141"/>
      <c r="BS115" s="172" t="s">
        <v>71</v>
      </c>
      <c r="BT115" s="160"/>
      <c r="BU115" s="141"/>
      <c r="BV115" s="203" t="str">
        <f t="shared" si="304"/>
        <v xml:space="preserve">                                                                                                                                </v>
      </c>
      <c r="BW115" s="174" t="str">
        <f t="shared" si="243"/>
        <v>NG</v>
      </c>
      <c r="BX115" s="141"/>
      <c r="BY115" s="172" t="s">
        <v>71</v>
      </c>
      <c r="BZ115" s="160"/>
      <c r="CA115" s="141"/>
      <c r="CB115" s="203" t="str">
        <f t="shared" si="305"/>
        <v xml:space="preserve">                                                                                                                                </v>
      </c>
      <c r="CC115" s="174" t="str">
        <f t="shared" si="244"/>
        <v>NG</v>
      </c>
      <c r="CD115" s="141"/>
      <c r="CE115" s="172" t="s">
        <v>71</v>
      </c>
      <c r="CF115" s="160"/>
      <c r="CG115" s="141"/>
      <c r="CH115" s="203" t="str">
        <f t="shared" si="306"/>
        <v xml:space="preserve">                                                                                                                                </v>
      </c>
      <c r="CI115" s="174" t="str">
        <f t="shared" si="245"/>
        <v>NG</v>
      </c>
      <c r="CJ115" s="141"/>
      <c r="CK115" s="172" t="s">
        <v>71</v>
      </c>
      <c r="CL115" s="160"/>
      <c r="CM115" s="141"/>
      <c r="CN115" s="203" t="str">
        <f t="shared" si="307"/>
        <v xml:space="preserve">                                                                                                                                </v>
      </c>
      <c r="CO115" s="174" t="str">
        <f t="shared" si="246"/>
        <v>NG</v>
      </c>
      <c r="CP115" s="141"/>
      <c r="CQ115" s="172" t="s">
        <v>71</v>
      </c>
      <c r="CR115" s="160"/>
      <c r="CS115" s="141"/>
      <c r="CT115" s="203" t="str">
        <f t="shared" si="308"/>
        <v xml:space="preserve">                                                                                                                                </v>
      </c>
      <c r="CU115" s="174" t="str">
        <f t="shared" si="247"/>
        <v>NG</v>
      </c>
      <c r="CV115" s="141"/>
      <c r="CW115" s="172" t="s">
        <v>71</v>
      </c>
      <c r="CX115" s="160"/>
      <c r="CY115" s="141"/>
      <c r="CZ115" s="203" t="str">
        <f t="shared" si="309"/>
        <v xml:space="preserve">                                                                                                                                </v>
      </c>
      <c r="DA115" s="174" t="str">
        <f t="shared" si="248"/>
        <v>NG</v>
      </c>
      <c r="DB115" s="141"/>
      <c r="DC115" s="172" t="s">
        <v>71</v>
      </c>
      <c r="DD115" s="160"/>
      <c r="DE115" s="141"/>
      <c r="DF115" s="203" t="str">
        <f t="shared" si="310"/>
        <v xml:space="preserve">                                                                                                                                </v>
      </c>
      <c r="DG115" s="174" t="str">
        <f t="shared" si="249"/>
        <v>NG</v>
      </c>
      <c r="DH115" s="141"/>
      <c r="DI115" s="172" t="s">
        <v>71</v>
      </c>
      <c r="DJ115" s="160"/>
      <c r="DK115" s="141"/>
      <c r="DL115" s="203" t="str">
        <f t="shared" si="311"/>
        <v xml:space="preserve">                                                                                                                                </v>
      </c>
      <c r="DM115" s="174" t="str">
        <f t="shared" si="250"/>
        <v>NG</v>
      </c>
      <c r="DN115" s="141"/>
      <c r="DO115" s="172" t="s">
        <v>71</v>
      </c>
      <c r="DP115" s="160"/>
      <c r="DQ115" s="141"/>
      <c r="DR115" s="203" t="str">
        <f t="shared" si="312"/>
        <v xml:space="preserve">                                                                                                                                </v>
      </c>
      <c r="DS115" s="174" t="str">
        <f t="shared" si="215"/>
        <v>NG</v>
      </c>
      <c r="DT115" s="141"/>
      <c r="DU115" s="172" t="s">
        <v>71</v>
      </c>
      <c r="DV115" s="160"/>
      <c r="DW115" s="141"/>
      <c r="DX115" s="203" t="str">
        <f t="shared" si="313"/>
        <v xml:space="preserve">                                                                                                                                </v>
      </c>
      <c r="DY115" s="174" t="str">
        <f t="shared" si="216"/>
        <v>NG</v>
      </c>
      <c r="DZ115" s="141"/>
      <c r="EA115" s="172" t="s">
        <v>71</v>
      </c>
      <c r="EB115" s="160"/>
      <c r="EC115" s="141"/>
      <c r="ED115" s="203" t="str">
        <f t="shared" si="314"/>
        <v xml:space="preserve">                                                                                                                                </v>
      </c>
      <c r="EE115" s="174" t="str">
        <f t="shared" si="217"/>
        <v>NG</v>
      </c>
      <c r="EF115" s="141"/>
      <c r="EG115" s="172" t="s">
        <v>71</v>
      </c>
      <c r="EH115" s="160"/>
      <c r="EI115" s="141"/>
      <c r="EJ115" s="203" t="str">
        <f t="shared" si="315"/>
        <v xml:space="preserve">                                                                                                                                </v>
      </c>
      <c r="EK115" s="174" t="str">
        <f t="shared" si="218"/>
        <v>NG</v>
      </c>
      <c r="EL115" s="141"/>
      <c r="EM115" s="172" t="s">
        <v>71</v>
      </c>
      <c r="EN115" s="160"/>
      <c r="EO115" s="141"/>
      <c r="EP115" s="203" t="str">
        <f t="shared" si="316"/>
        <v xml:space="preserve">                                                                                                                                </v>
      </c>
      <c r="EQ115" s="174" t="str">
        <f t="shared" si="219"/>
        <v>NG</v>
      </c>
      <c r="ER115" s="141"/>
      <c r="ES115" s="172" t="s">
        <v>71</v>
      </c>
      <c r="ET115" s="160"/>
      <c r="EU115" s="141"/>
      <c r="EV115" s="203" t="str">
        <f t="shared" si="317"/>
        <v xml:space="preserve">                                                                                                                                </v>
      </c>
      <c r="EW115" s="174" t="str">
        <f t="shared" si="220"/>
        <v>NG</v>
      </c>
      <c r="EX115" s="141"/>
      <c r="EY115" s="172" t="s">
        <v>71</v>
      </c>
      <c r="EZ115" s="160"/>
      <c r="FA115" s="141"/>
      <c r="FB115" s="203" t="str">
        <f t="shared" si="318"/>
        <v xml:space="preserve">                                                                                                                                </v>
      </c>
      <c r="FC115" s="174" t="str">
        <f t="shared" si="221"/>
        <v>NG</v>
      </c>
      <c r="FD115" s="141"/>
      <c r="FE115" s="172" t="s">
        <v>71</v>
      </c>
      <c r="FF115" s="160"/>
      <c r="FG115" s="141"/>
      <c r="FH115" s="203" t="str">
        <f t="shared" si="319"/>
        <v xml:space="preserve">                                                                                                                                </v>
      </c>
      <c r="FI115" s="174" t="str">
        <f t="shared" si="233"/>
        <v>NG</v>
      </c>
      <c r="FJ115" s="141"/>
      <c r="FK115" s="172" t="s">
        <v>71</v>
      </c>
      <c r="FL115" s="160"/>
      <c r="FM115" s="141"/>
      <c r="FN115" s="203" t="str">
        <f t="shared" si="320"/>
        <v xml:space="preserve">                                                                                                                                </v>
      </c>
      <c r="FO115" s="174" t="str">
        <f t="shared" si="251"/>
        <v>NG</v>
      </c>
      <c r="FP115" s="141"/>
      <c r="FQ115" s="172" t="s">
        <v>71</v>
      </c>
      <c r="FR115" s="160"/>
      <c r="FS115" s="141"/>
      <c r="FT115" s="203" t="str">
        <f t="shared" si="321"/>
        <v xml:space="preserve">                                                                                                                                </v>
      </c>
      <c r="FU115" s="174" t="str">
        <f t="shared" si="252"/>
        <v>NG</v>
      </c>
      <c r="FV115" s="141"/>
      <c r="FW115" s="172" t="s">
        <v>71</v>
      </c>
      <c r="FX115" s="160"/>
      <c r="FY115" s="141"/>
      <c r="FZ115" s="203" t="str">
        <f t="shared" si="322"/>
        <v xml:space="preserve">                                                                                                                                </v>
      </c>
      <c r="GA115" s="174" t="str">
        <f t="shared" si="253"/>
        <v>NG</v>
      </c>
      <c r="GB115" s="141"/>
      <c r="GC115" s="172" t="s">
        <v>71</v>
      </c>
    </row>
    <row r="116" spans="1:185" s="52" customFormat="1" ht="114.75">
      <c r="B116" s="216">
        <f t="shared" si="323"/>
        <v>109</v>
      </c>
      <c r="C116" s="37"/>
      <c r="D116" s="37"/>
      <c r="E116" s="37"/>
      <c r="F116" s="49" t="s">
        <v>339</v>
      </c>
      <c r="G116" s="39"/>
      <c r="H116" s="40"/>
      <c r="I116" s="42"/>
      <c r="J116" s="42"/>
      <c r="K116" s="42"/>
      <c r="L116" s="42"/>
      <c r="M116" s="63" t="s">
        <v>340</v>
      </c>
      <c r="N116" s="47"/>
      <c r="O116" s="143"/>
      <c r="P116" s="45">
        <f t="shared" si="326"/>
        <v>90</v>
      </c>
      <c r="Q116" s="46">
        <v>1</v>
      </c>
      <c r="R116" s="41" t="str">
        <f t="shared" si="353"/>
        <v>X</v>
      </c>
      <c r="S116" s="185" t="s">
        <v>234</v>
      </c>
      <c r="T116" s="43"/>
      <c r="U116" s="41" t="s">
        <v>80</v>
      </c>
      <c r="V116" s="44"/>
      <c r="W116" s="22">
        <v>3</v>
      </c>
      <c r="X116" s="47" t="s">
        <v>235</v>
      </c>
      <c r="Y116" s="47">
        <v>1</v>
      </c>
      <c r="Z116" s="47">
        <v>1</v>
      </c>
      <c r="AA116" s="42" t="s">
        <v>163</v>
      </c>
      <c r="AB116" s="42" t="s">
        <v>57</v>
      </c>
      <c r="AC116" s="217"/>
      <c r="AD116" s="160"/>
      <c r="AE116" s="162"/>
      <c r="AF116" s="203" t="str">
        <f t="shared" si="298"/>
        <v xml:space="preserve"> </v>
      </c>
      <c r="AG116" s="174" t="str">
        <f t="shared" si="237"/>
        <v>NG</v>
      </c>
      <c r="AH116" s="162"/>
      <c r="AI116" s="276" t="str">
        <f>IF(OR(AE$8="判定対象外",AH$8="判定対象外",AH116="-"),"-",IF(AE116=AH116,"OK","NG"))</f>
        <v>OK</v>
      </c>
      <c r="AJ116" s="160"/>
      <c r="AK116" s="162"/>
      <c r="AL116" s="203" t="str">
        <f t="shared" si="281"/>
        <v xml:space="preserve"> </v>
      </c>
      <c r="AM116" s="174" t="str">
        <f t="shared" si="324"/>
        <v>NG</v>
      </c>
      <c r="AN116" s="162"/>
      <c r="AO116" s="276" t="str">
        <f>IF(OR(AK$8="判定対象外",AN$8="判定対象外",AN116="-"),"-",IF(AK116=AN116,"OK","NG"))</f>
        <v>OK</v>
      </c>
      <c r="AP116" s="160"/>
      <c r="AQ116" s="162"/>
      <c r="AR116" s="203" t="str">
        <f t="shared" si="299"/>
        <v xml:space="preserve"> </v>
      </c>
      <c r="AS116" s="174" t="str">
        <f t="shared" si="238"/>
        <v>NG</v>
      </c>
      <c r="AT116" s="162"/>
      <c r="AU116" s="276" t="str">
        <f>IF(OR(AQ$8="判定対象外",AT$8="判定対象外",AT116="-"),"-",IF(AQ116=AT116,"OK","NG"))</f>
        <v>OK</v>
      </c>
      <c r="AV116" s="160"/>
      <c r="AW116" s="162"/>
      <c r="AX116" s="203" t="str">
        <f t="shared" si="300"/>
        <v xml:space="preserve"> </v>
      </c>
      <c r="AY116" s="174" t="str">
        <f t="shared" si="239"/>
        <v>NG</v>
      </c>
      <c r="AZ116" s="162"/>
      <c r="BA116" s="276" t="str">
        <f>IF(OR(AW$8="判定対象外",AZ$8="判定対象外",AZ116="-"),"-",IF(AW116=AZ116,"OK","NG"))</f>
        <v>OK</v>
      </c>
      <c r="BB116" s="160"/>
      <c r="BC116" s="162"/>
      <c r="BD116" s="203" t="str">
        <f t="shared" si="301"/>
        <v xml:space="preserve"> </v>
      </c>
      <c r="BE116" s="174" t="str">
        <f t="shared" si="240"/>
        <v>NG</v>
      </c>
      <c r="BF116" s="162"/>
      <c r="BG116" s="276" t="str">
        <f>IF(OR(BC$8="判定対象外",BF$8="判定対象外",BF116="-"),"-",IF(BC116=BF116,"OK","NG"))</f>
        <v>OK</v>
      </c>
      <c r="BH116" s="160"/>
      <c r="BI116" s="162"/>
      <c r="BJ116" s="203" t="str">
        <f t="shared" si="302"/>
        <v xml:space="preserve"> </v>
      </c>
      <c r="BK116" s="174" t="str">
        <f t="shared" si="241"/>
        <v>NG</v>
      </c>
      <c r="BL116" s="162"/>
      <c r="BM116" s="276" t="str">
        <f>IF(OR(BI$8="判定対象外",BL$8="判定対象外",BL116="-"),"-",IF(BI116=BL116,"OK","NG"))</f>
        <v>OK</v>
      </c>
      <c r="BN116" s="160"/>
      <c r="BO116" s="162"/>
      <c r="BP116" s="203" t="str">
        <f t="shared" si="303"/>
        <v xml:space="preserve"> </v>
      </c>
      <c r="BQ116" s="174" t="str">
        <f t="shared" si="242"/>
        <v>NG</v>
      </c>
      <c r="BR116" s="162"/>
      <c r="BS116" s="276" t="str">
        <f>IF(OR(BO$8="判定対象外",BR$8="判定対象外",BR116="-"),"-",IF(BO116=BR116,"OK","NG"))</f>
        <v>OK</v>
      </c>
      <c r="BT116" s="160"/>
      <c r="BU116" s="162"/>
      <c r="BV116" s="203" t="str">
        <f t="shared" si="304"/>
        <v xml:space="preserve"> </v>
      </c>
      <c r="BW116" s="174" t="str">
        <f t="shared" si="243"/>
        <v>NG</v>
      </c>
      <c r="BX116" s="162"/>
      <c r="BY116" s="276" t="str">
        <f>IF(OR(BU$8="判定対象外",BX$8="判定対象外",BX116="-"),"-",IF(BU116=BX116,"OK","NG"))</f>
        <v>OK</v>
      </c>
      <c r="BZ116" s="160"/>
      <c r="CA116" s="162"/>
      <c r="CB116" s="203" t="str">
        <f t="shared" si="305"/>
        <v xml:space="preserve"> </v>
      </c>
      <c r="CC116" s="174" t="str">
        <f t="shared" si="244"/>
        <v>NG</v>
      </c>
      <c r="CD116" s="162"/>
      <c r="CE116" s="276" t="str">
        <f>IF(OR(CA$8="判定対象外",CD$8="判定対象外",CD116="-"),"-",IF(CA116=CD116,"OK","NG"))</f>
        <v>OK</v>
      </c>
      <c r="CF116" s="160"/>
      <c r="CG116" s="162"/>
      <c r="CH116" s="203" t="str">
        <f t="shared" si="306"/>
        <v xml:space="preserve"> </v>
      </c>
      <c r="CI116" s="174" t="str">
        <f t="shared" si="245"/>
        <v>NG</v>
      </c>
      <c r="CJ116" s="162"/>
      <c r="CK116" s="276" t="str">
        <f>IF(OR(CG$8="判定対象外",CJ$8="判定対象外",CJ116="-"),"-",IF(CG116=CJ116,"OK","NG"))</f>
        <v>OK</v>
      </c>
      <c r="CL116" s="160"/>
      <c r="CM116" s="162"/>
      <c r="CN116" s="203" t="str">
        <f t="shared" si="307"/>
        <v xml:space="preserve"> </v>
      </c>
      <c r="CO116" s="174" t="str">
        <f t="shared" si="246"/>
        <v>NG</v>
      </c>
      <c r="CP116" s="162"/>
      <c r="CQ116" s="276" t="str">
        <f>IF(OR(CM$8="判定対象外",CP$8="判定対象外",CP116="-"),"-",IF(CM116=CP116,"OK","NG"))</f>
        <v>OK</v>
      </c>
      <c r="CR116" s="160"/>
      <c r="CS116" s="162"/>
      <c r="CT116" s="203" t="str">
        <f t="shared" si="308"/>
        <v xml:space="preserve"> </v>
      </c>
      <c r="CU116" s="174" t="str">
        <f t="shared" si="247"/>
        <v>NG</v>
      </c>
      <c r="CV116" s="162"/>
      <c r="CW116" s="276" t="str">
        <f>IF(OR(CS$8="判定対象外",CV$8="判定対象外",CV116="-"),"-",IF(CS116=CV116,"OK","NG"))</f>
        <v>OK</v>
      </c>
      <c r="CX116" s="160"/>
      <c r="CY116" s="162"/>
      <c r="CZ116" s="203" t="str">
        <f t="shared" si="309"/>
        <v xml:space="preserve"> </v>
      </c>
      <c r="DA116" s="174" t="str">
        <f t="shared" si="248"/>
        <v>NG</v>
      </c>
      <c r="DB116" s="162"/>
      <c r="DC116" s="276" t="str">
        <f>IF(OR(CY$8="判定対象外",DB$8="判定対象外",DB116="-"),"-",IF(CY116=DB116,"OK","NG"))</f>
        <v>OK</v>
      </c>
      <c r="DD116" s="160"/>
      <c r="DE116" s="162"/>
      <c r="DF116" s="203" t="str">
        <f t="shared" si="310"/>
        <v xml:space="preserve"> </v>
      </c>
      <c r="DG116" s="174" t="str">
        <f t="shared" si="249"/>
        <v>NG</v>
      </c>
      <c r="DH116" s="162"/>
      <c r="DI116" s="276" t="str">
        <f>IF(OR(DE$8="判定対象外",DH$8="判定対象外",DH116="-"),"-",IF(DE116=DH116,"OK","NG"))</f>
        <v>OK</v>
      </c>
      <c r="DJ116" s="160"/>
      <c r="DK116" s="162"/>
      <c r="DL116" s="203" t="str">
        <f t="shared" si="311"/>
        <v xml:space="preserve"> </v>
      </c>
      <c r="DM116" s="174" t="str">
        <f t="shared" si="250"/>
        <v>NG</v>
      </c>
      <c r="DN116" s="162"/>
      <c r="DO116" s="276" t="str">
        <f>IF(OR(DK$8="判定対象外",DN$8="判定対象外",DN116="-"),"-",IF(DK116=DN116,"OK","NG"))</f>
        <v>OK</v>
      </c>
      <c r="DP116" s="160"/>
      <c r="DQ116" s="162"/>
      <c r="DR116" s="203" t="str">
        <f t="shared" si="312"/>
        <v xml:space="preserve"> </v>
      </c>
      <c r="DS116" s="174" t="str">
        <f t="shared" si="215"/>
        <v>NG</v>
      </c>
      <c r="DT116" s="162"/>
      <c r="DU116" s="276" t="str">
        <f>IF(OR(DQ$8="判定対象外",DT$8="判定対象外",DT116="-"),"-",IF(DQ116=DT116,"OK","NG"))</f>
        <v>OK</v>
      </c>
      <c r="DV116" s="160"/>
      <c r="DW116" s="162"/>
      <c r="DX116" s="203" t="str">
        <f t="shared" si="313"/>
        <v xml:space="preserve"> </v>
      </c>
      <c r="DY116" s="174" t="str">
        <f t="shared" si="216"/>
        <v>NG</v>
      </c>
      <c r="DZ116" s="162"/>
      <c r="EA116" s="276" t="str">
        <f>IF(OR(DW$8="判定対象外",DZ$8="判定対象外",DZ116="-"),"-",IF(DW116=DZ116,"OK","NG"))</f>
        <v>OK</v>
      </c>
      <c r="EB116" s="160"/>
      <c r="EC116" s="162"/>
      <c r="ED116" s="203" t="str">
        <f t="shared" si="314"/>
        <v xml:space="preserve"> </v>
      </c>
      <c r="EE116" s="174" t="str">
        <f t="shared" si="217"/>
        <v>NG</v>
      </c>
      <c r="EF116" s="162"/>
      <c r="EG116" s="276" t="str">
        <f>IF(OR(EC$8="判定対象外",EF$8="判定対象外",EF116="-"),"-",IF(EC116=EF116,"OK","NG"))</f>
        <v>OK</v>
      </c>
      <c r="EH116" s="160"/>
      <c r="EI116" s="162"/>
      <c r="EJ116" s="203" t="str">
        <f t="shared" si="315"/>
        <v xml:space="preserve"> </v>
      </c>
      <c r="EK116" s="174" t="str">
        <f t="shared" si="218"/>
        <v>NG</v>
      </c>
      <c r="EL116" s="162"/>
      <c r="EM116" s="276" t="str">
        <f>IF(OR(EI$8="判定対象外",EL$8="判定対象外",EL116="-"),"-",IF(EI116=EL116,"OK","NG"))</f>
        <v>OK</v>
      </c>
      <c r="EN116" s="160"/>
      <c r="EO116" s="162"/>
      <c r="EP116" s="203" t="str">
        <f t="shared" si="316"/>
        <v xml:space="preserve"> </v>
      </c>
      <c r="EQ116" s="174" t="str">
        <f t="shared" si="219"/>
        <v>NG</v>
      </c>
      <c r="ER116" s="162"/>
      <c r="ES116" s="276" t="str">
        <f>IF(OR(EO$8="判定対象外",ER$8="判定対象外",ER116="-"),"-",IF(EO116=ER116,"OK","NG"))</f>
        <v>OK</v>
      </c>
      <c r="ET116" s="160"/>
      <c r="EU116" s="162"/>
      <c r="EV116" s="203" t="str">
        <f t="shared" si="317"/>
        <v xml:space="preserve"> </v>
      </c>
      <c r="EW116" s="174" t="str">
        <f t="shared" si="220"/>
        <v>NG</v>
      </c>
      <c r="EX116" s="162"/>
      <c r="EY116" s="276" t="str">
        <f>IF(OR(EU$8="判定対象外",EX$8="判定対象外",EX116="-"),"-",IF(EU116=EX116,"OK","NG"))</f>
        <v>OK</v>
      </c>
      <c r="EZ116" s="160"/>
      <c r="FA116" s="162"/>
      <c r="FB116" s="203" t="str">
        <f t="shared" si="318"/>
        <v xml:space="preserve"> </v>
      </c>
      <c r="FC116" s="174" t="str">
        <f t="shared" si="221"/>
        <v>NG</v>
      </c>
      <c r="FD116" s="162"/>
      <c r="FE116" s="276" t="str">
        <f>IF(OR(FA$8="判定対象外",FD$8="判定対象外",FD116="-"),"-",IF(FA116=FD116,"OK","NG"))</f>
        <v>OK</v>
      </c>
      <c r="FF116" s="160"/>
      <c r="FG116" s="162"/>
      <c r="FH116" s="203" t="str">
        <f t="shared" si="319"/>
        <v xml:space="preserve"> </v>
      </c>
      <c r="FI116" s="174" t="str">
        <f t="shared" si="233"/>
        <v>NG</v>
      </c>
      <c r="FJ116" s="162"/>
      <c r="FK116" s="276" t="str">
        <f>IF(OR(FG$8="判定対象外",FJ$8="判定対象外",FJ116="-"),"-",IF(FG116=FJ116,"OK","NG"))</f>
        <v>OK</v>
      </c>
      <c r="FL116" s="160"/>
      <c r="FM116" s="162"/>
      <c r="FN116" s="203" t="str">
        <f t="shared" si="320"/>
        <v xml:space="preserve"> </v>
      </c>
      <c r="FO116" s="174" t="str">
        <f t="shared" si="251"/>
        <v>NG</v>
      </c>
      <c r="FP116" s="162"/>
      <c r="FQ116" s="276" t="str">
        <f>IF(OR(FM$8="判定対象外",FP$8="判定対象外",FP116="-"),"-",IF(FM116=FP116,"OK","NG"))</f>
        <v>OK</v>
      </c>
      <c r="FR116" s="160"/>
      <c r="FS116" s="162"/>
      <c r="FT116" s="203" t="str">
        <f t="shared" si="321"/>
        <v xml:space="preserve"> </v>
      </c>
      <c r="FU116" s="174" t="str">
        <f t="shared" si="252"/>
        <v>NG</v>
      </c>
      <c r="FV116" s="162"/>
      <c r="FW116" s="276" t="str">
        <f>IF(OR(FS$8="判定対象外",FV$8="判定対象外",FV116="-"),"-",IF(FS116=FV116,"OK","NG"))</f>
        <v>OK</v>
      </c>
      <c r="FX116" s="160"/>
      <c r="FY116" s="162"/>
      <c r="FZ116" s="203" t="str">
        <f t="shared" si="322"/>
        <v xml:space="preserve"> </v>
      </c>
      <c r="GA116" s="174" t="str">
        <f t="shared" si="253"/>
        <v>NG</v>
      </c>
      <c r="GB116" s="162"/>
      <c r="GC116" s="276" t="str">
        <f>IF(OR(FY$8="判定対象外",GB$8="判定対象外",GB116="-"),"-",IF(FY116=GB116,"OK","NG"))</f>
        <v>OK</v>
      </c>
    </row>
    <row r="117" spans="1:185" s="52" customFormat="1" ht="127.5">
      <c r="B117" s="216">
        <f t="shared" si="323"/>
        <v>110</v>
      </c>
      <c r="C117" s="37"/>
      <c r="D117" s="37"/>
      <c r="E117" s="37"/>
      <c r="F117" s="49" t="s">
        <v>341</v>
      </c>
      <c r="G117" s="39"/>
      <c r="H117" s="40"/>
      <c r="I117" s="42"/>
      <c r="J117" s="42" t="s">
        <v>316</v>
      </c>
      <c r="K117" s="42"/>
      <c r="L117" s="42"/>
      <c r="M117" s="163" t="s">
        <v>342</v>
      </c>
      <c r="N117" s="47"/>
      <c r="O117" s="143"/>
      <c r="P117" s="45">
        <f t="shared" si="326"/>
        <v>91</v>
      </c>
      <c r="Q117" s="46">
        <v>1</v>
      </c>
      <c r="R117" s="41" t="str">
        <f t="shared" si="353"/>
        <v>X</v>
      </c>
      <c r="S117" s="185" t="s">
        <v>236</v>
      </c>
      <c r="T117" s="43"/>
      <c r="U117" s="41" t="s">
        <v>80</v>
      </c>
      <c r="V117" s="44"/>
      <c r="W117" s="22">
        <v>3</v>
      </c>
      <c r="X117" s="47" t="s">
        <v>237</v>
      </c>
      <c r="Y117" s="47">
        <v>1</v>
      </c>
      <c r="Z117" s="47">
        <v>1</v>
      </c>
      <c r="AA117" s="42" t="s">
        <v>163</v>
      </c>
      <c r="AB117" s="42" t="s">
        <v>57</v>
      </c>
      <c r="AC117" s="217"/>
      <c r="AD117" s="160"/>
      <c r="AE117" s="162"/>
      <c r="AF117" s="203" t="str">
        <f t="shared" si="298"/>
        <v xml:space="preserve"> </v>
      </c>
      <c r="AG117" s="174" t="str">
        <f t="shared" si="237"/>
        <v>NG</v>
      </c>
      <c r="AH117" s="162"/>
      <c r="AI117" s="276" t="str">
        <f>IF(OR(AE$8="判定対象外",AH$8="判定対象外",AH117="-"),"-",IF(AE117=AH117,"OK","NG"))</f>
        <v>OK</v>
      </c>
      <c r="AJ117" s="160"/>
      <c r="AK117" s="162"/>
      <c r="AL117" s="203" t="str">
        <f t="shared" si="281"/>
        <v xml:space="preserve"> </v>
      </c>
      <c r="AM117" s="174" t="str">
        <f t="shared" si="324"/>
        <v>NG</v>
      </c>
      <c r="AN117" s="162"/>
      <c r="AO117" s="276" t="str">
        <f>IF(OR(AK$8="判定対象外",AN$8="判定対象外",AN117="-"),"-",IF(AK117=AN117,"OK","NG"))</f>
        <v>OK</v>
      </c>
      <c r="AP117" s="160"/>
      <c r="AQ117" s="162"/>
      <c r="AR117" s="203" t="str">
        <f t="shared" si="299"/>
        <v xml:space="preserve"> </v>
      </c>
      <c r="AS117" s="174" t="str">
        <f t="shared" si="238"/>
        <v>NG</v>
      </c>
      <c r="AT117" s="162"/>
      <c r="AU117" s="276" t="str">
        <f>IF(OR(AQ$8="判定対象外",AT$8="判定対象外",AT117="-"),"-",IF(AQ117=AT117,"OK","NG"))</f>
        <v>OK</v>
      </c>
      <c r="AV117" s="160"/>
      <c r="AW117" s="162"/>
      <c r="AX117" s="203" t="str">
        <f t="shared" si="300"/>
        <v xml:space="preserve"> </v>
      </c>
      <c r="AY117" s="174" t="str">
        <f t="shared" si="239"/>
        <v>NG</v>
      </c>
      <c r="AZ117" s="162"/>
      <c r="BA117" s="276" t="str">
        <f>IF(OR(AW$8="判定対象外",AZ$8="判定対象外",AZ117="-"),"-",IF(AW117=AZ117,"OK","NG"))</f>
        <v>OK</v>
      </c>
      <c r="BB117" s="160"/>
      <c r="BC117" s="162"/>
      <c r="BD117" s="203" t="str">
        <f t="shared" si="301"/>
        <v xml:space="preserve"> </v>
      </c>
      <c r="BE117" s="174" t="str">
        <f t="shared" si="240"/>
        <v>NG</v>
      </c>
      <c r="BF117" s="162"/>
      <c r="BG117" s="276" t="str">
        <f>IF(OR(BC$8="判定対象外",BF$8="判定対象外",BF117="-"),"-",IF(BC117=BF117,"OK","NG"))</f>
        <v>OK</v>
      </c>
      <c r="BH117" s="160"/>
      <c r="BI117" s="162"/>
      <c r="BJ117" s="203" t="str">
        <f t="shared" si="302"/>
        <v xml:space="preserve"> </v>
      </c>
      <c r="BK117" s="174" t="str">
        <f t="shared" si="241"/>
        <v>NG</v>
      </c>
      <c r="BL117" s="162"/>
      <c r="BM117" s="276" t="str">
        <f>IF(OR(BI$8="判定対象外",BL$8="判定対象外",BL117="-"),"-",IF(BI117=BL117,"OK","NG"))</f>
        <v>OK</v>
      </c>
      <c r="BN117" s="160"/>
      <c r="BO117" s="162"/>
      <c r="BP117" s="203" t="str">
        <f t="shared" si="303"/>
        <v xml:space="preserve"> </v>
      </c>
      <c r="BQ117" s="174" t="str">
        <f t="shared" si="242"/>
        <v>NG</v>
      </c>
      <c r="BR117" s="162"/>
      <c r="BS117" s="276" t="str">
        <f>IF(OR(BO$8="判定対象外",BR$8="判定対象外",BR117="-"),"-",IF(BO117=BR117,"OK","NG"))</f>
        <v>OK</v>
      </c>
      <c r="BT117" s="160"/>
      <c r="BU117" s="162"/>
      <c r="BV117" s="203" t="str">
        <f t="shared" si="304"/>
        <v xml:space="preserve"> </v>
      </c>
      <c r="BW117" s="174" t="str">
        <f t="shared" si="243"/>
        <v>NG</v>
      </c>
      <c r="BX117" s="162"/>
      <c r="BY117" s="276" t="str">
        <f>IF(OR(BU$8="判定対象外",BX$8="判定対象外",BX117="-"),"-",IF(BU117=BX117,"OK","NG"))</f>
        <v>OK</v>
      </c>
      <c r="BZ117" s="160"/>
      <c r="CA117" s="162"/>
      <c r="CB117" s="203" t="str">
        <f t="shared" si="305"/>
        <v xml:space="preserve"> </v>
      </c>
      <c r="CC117" s="174" t="str">
        <f t="shared" si="244"/>
        <v>NG</v>
      </c>
      <c r="CD117" s="162"/>
      <c r="CE117" s="276" t="str">
        <f>IF(OR(CA$8="判定対象外",CD$8="判定対象外",CD117="-"),"-",IF(CA117=CD117,"OK","NG"))</f>
        <v>OK</v>
      </c>
      <c r="CF117" s="160"/>
      <c r="CG117" s="162"/>
      <c r="CH117" s="203" t="str">
        <f t="shared" si="306"/>
        <v xml:space="preserve"> </v>
      </c>
      <c r="CI117" s="174" t="str">
        <f t="shared" si="245"/>
        <v>NG</v>
      </c>
      <c r="CJ117" s="162"/>
      <c r="CK117" s="276" t="str">
        <f>IF(OR(CG$8="判定対象外",CJ$8="判定対象外",CJ117="-"),"-",IF(CG117=CJ117,"OK","NG"))</f>
        <v>OK</v>
      </c>
      <c r="CL117" s="160"/>
      <c r="CM117" s="162"/>
      <c r="CN117" s="203" t="str">
        <f t="shared" si="307"/>
        <v xml:space="preserve"> </v>
      </c>
      <c r="CO117" s="174" t="str">
        <f t="shared" si="246"/>
        <v>NG</v>
      </c>
      <c r="CP117" s="162"/>
      <c r="CQ117" s="276" t="str">
        <f>IF(OR(CM$8="判定対象外",CP$8="判定対象外",CP117="-"),"-",IF(CM117=CP117,"OK","NG"))</f>
        <v>OK</v>
      </c>
      <c r="CR117" s="160"/>
      <c r="CS117" s="162"/>
      <c r="CT117" s="203" t="str">
        <f t="shared" si="308"/>
        <v xml:space="preserve"> </v>
      </c>
      <c r="CU117" s="174" t="str">
        <f t="shared" si="247"/>
        <v>NG</v>
      </c>
      <c r="CV117" s="162"/>
      <c r="CW117" s="276" t="str">
        <f>IF(OR(CS$8="判定対象外",CV$8="判定対象外",CV117="-"),"-",IF(CS117=CV117,"OK","NG"))</f>
        <v>OK</v>
      </c>
      <c r="CX117" s="160"/>
      <c r="CY117" s="162"/>
      <c r="CZ117" s="203" t="str">
        <f t="shared" si="309"/>
        <v xml:space="preserve"> </v>
      </c>
      <c r="DA117" s="174" t="str">
        <f t="shared" si="248"/>
        <v>NG</v>
      </c>
      <c r="DB117" s="162"/>
      <c r="DC117" s="276" t="str">
        <f>IF(OR(CY$8="判定対象外",DB$8="判定対象外",DB117="-"),"-",IF(CY117=DB117,"OK","NG"))</f>
        <v>OK</v>
      </c>
      <c r="DD117" s="160"/>
      <c r="DE117" s="162"/>
      <c r="DF117" s="203" t="str">
        <f t="shared" si="310"/>
        <v xml:space="preserve"> </v>
      </c>
      <c r="DG117" s="174" t="str">
        <f t="shared" si="249"/>
        <v>NG</v>
      </c>
      <c r="DH117" s="162"/>
      <c r="DI117" s="276" t="str">
        <f>IF(OR(DE$8="判定対象外",DH$8="判定対象外",DH117="-"),"-",IF(DE117=DH117,"OK","NG"))</f>
        <v>OK</v>
      </c>
      <c r="DJ117" s="160"/>
      <c r="DK117" s="162"/>
      <c r="DL117" s="203" t="str">
        <f t="shared" si="311"/>
        <v xml:space="preserve"> </v>
      </c>
      <c r="DM117" s="174" t="str">
        <f t="shared" si="250"/>
        <v>NG</v>
      </c>
      <c r="DN117" s="162"/>
      <c r="DO117" s="276" t="str">
        <f>IF(OR(DK$8="判定対象外",DN$8="判定対象外",DN117="-"),"-",IF(DK117=DN117,"OK","NG"))</f>
        <v>OK</v>
      </c>
      <c r="DP117" s="160"/>
      <c r="DQ117" s="162"/>
      <c r="DR117" s="203" t="str">
        <f t="shared" si="312"/>
        <v xml:space="preserve"> </v>
      </c>
      <c r="DS117" s="174" t="str">
        <f t="shared" si="215"/>
        <v>NG</v>
      </c>
      <c r="DT117" s="162"/>
      <c r="DU117" s="276" t="str">
        <f>IF(OR(DQ$8="判定対象外",DT$8="判定対象外",DT117="-"),"-",IF(DQ117=DT117,"OK","NG"))</f>
        <v>OK</v>
      </c>
      <c r="DV117" s="160"/>
      <c r="DW117" s="162"/>
      <c r="DX117" s="203" t="str">
        <f t="shared" si="313"/>
        <v xml:space="preserve"> </v>
      </c>
      <c r="DY117" s="174" t="str">
        <f t="shared" si="216"/>
        <v>NG</v>
      </c>
      <c r="DZ117" s="162"/>
      <c r="EA117" s="276" t="str">
        <f>IF(OR(DW$8="判定対象外",DZ$8="判定対象外",DZ117="-"),"-",IF(DW117=DZ117,"OK","NG"))</f>
        <v>OK</v>
      </c>
      <c r="EB117" s="160"/>
      <c r="EC117" s="162"/>
      <c r="ED117" s="203" t="str">
        <f t="shared" si="314"/>
        <v xml:space="preserve"> </v>
      </c>
      <c r="EE117" s="174" t="str">
        <f t="shared" si="217"/>
        <v>NG</v>
      </c>
      <c r="EF117" s="162"/>
      <c r="EG117" s="276" t="str">
        <f>IF(OR(EC$8="判定対象外",EF$8="判定対象外",EF117="-"),"-",IF(EC117=EF117,"OK","NG"))</f>
        <v>OK</v>
      </c>
      <c r="EH117" s="160"/>
      <c r="EI117" s="162"/>
      <c r="EJ117" s="203" t="str">
        <f t="shared" si="315"/>
        <v xml:space="preserve"> </v>
      </c>
      <c r="EK117" s="174" t="str">
        <f t="shared" si="218"/>
        <v>NG</v>
      </c>
      <c r="EL117" s="162"/>
      <c r="EM117" s="276" t="str">
        <f>IF(OR(EI$8="判定対象外",EL$8="判定対象外",EL117="-"),"-",IF(EI117=EL117,"OK","NG"))</f>
        <v>OK</v>
      </c>
      <c r="EN117" s="160"/>
      <c r="EO117" s="162"/>
      <c r="EP117" s="203" t="str">
        <f t="shared" si="316"/>
        <v xml:space="preserve"> </v>
      </c>
      <c r="EQ117" s="174" t="str">
        <f t="shared" si="219"/>
        <v>NG</v>
      </c>
      <c r="ER117" s="162"/>
      <c r="ES117" s="276" t="str">
        <f>IF(OR(EO$8="判定対象外",ER$8="判定対象外",ER117="-"),"-",IF(EO117=ER117,"OK","NG"))</f>
        <v>OK</v>
      </c>
      <c r="ET117" s="160"/>
      <c r="EU117" s="162"/>
      <c r="EV117" s="203" t="str">
        <f t="shared" si="317"/>
        <v xml:space="preserve"> </v>
      </c>
      <c r="EW117" s="174" t="str">
        <f t="shared" si="220"/>
        <v>NG</v>
      </c>
      <c r="EX117" s="162"/>
      <c r="EY117" s="276" t="str">
        <f>IF(OR(EU$8="判定対象外",EX$8="判定対象外",EX117="-"),"-",IF(EU117=EX117,"OK","NG"))</f>
        <v>OK</v>
      </c>
      <c r="EZ117" s="160"/>
      <c r="FA117" s="162"/>
      <c r="FB117" s="203" t="str">
        <f t="shared" si="318"/>
        <v xml:space="preserve"> </v>
      </c>
      <c r="FC117" s="174" t="str">
        <f t="shared" si="221"/>
        <v>NG</v>
      </c>
      <c r="FD117" s="162"/>
      <c r="FE117" s="276" t="str">
        <f>IF(OR(FA$8="判定対象外",FD$8="判定対象外",FD117="-"),"-",IF(FA117=FD117,"OK","NG"))</f>
        <v>OK</v>
      </c>
      <c r="FF117" s="160"/>
      <c r="FG117" s="162"/>
      <c r="FH117" s="203" t="str">
        <f t="shared" si="319"/>
        <v xml:space="preserve"> </v>
      </c>
      <c r="FI117" s="174" t="str">
        <f t="shared" si="233"/>
        <v>NG</v>
      </c>
      <c r="FJ117" s="162"/>
      <c r="FK117" s="276" t="str">
        <f>IF(OR(FG$8="判定対象外",FJ$8="判定対象外",FJ117="-"),"-",IF(FG117=FJ117,"OK","NG"))</f>
        <v>OK</v>
      </c>
      <c r="FL117" s="160"/>
      <c r="FM117" s="162"/>
      <c r="FN117" s="203" t="str">
        <f t="shared" si="320"/>
        <v xml:space="preserve"> </v>
      </c>
      <c r="FO117" s="174" t="str">
        <f t="shared" si="251"/>
        <v>NG</v>
      </c>
      <c r="FP117" s="162"/>
      <c r="FQ117" s="276" t="str">
        <f>IF(OR(FM$8="判定対象外",FP$8="判定対象外",FP117="-"),"-",IF(FM117=FP117,"OK","NG"))</f>
        <v>OK</v>
      </c>
      <c r="FR117" s="160"/>
      <c r="FS117" s="162"/>
      <c r="FT117" s="203" t="str">
        <f t="shared" si="321"/>
        <v xml:space="preserve"> </v>
      </c>
      <c r="FU117" s="174" t="str">
        <f t="shared" si="252"/>
        <v>NG</v>
      </c>
      <c r="FV117" s="162"/>
      <c r="FW117" s="276" t="str">
        <f>IF(OR(FS$8="判定対象外",FV$8="判定対象外",FV117="-"),"-",IF(FS117=FV117,"OK","NG"))</f>
        <v>OK</v>
      </c>
      <c r="FX117" s="160"/>
      <c r="FY117" s="162"/>
      <c r="FZ117" s="203" t="str">
        <f t="shared" si="322"/>
        <v xml:space="preserve"> </v>
      </c>
      <c r="GA117" s="174" t="str">
        <f t="shared" si="253"/>
        <v>NG</v>
      </c>
      <c r="GB117" s="162"/>
      <c r="GC117" s="276" t="str">
        <f>IF(OR(FY$8="判定対象外",GB$8="判定対象外",GB117="-"),"-",IF(FY117=GB117,"OK","NG"))</f>
        <v>OK</v>
      </c>
    </row>
    <row r="118" spans="1:185" s="52" customFormat="1" ht="319.5" customHeight="1">
      <c r="B118" s="216">
        <f t="shared" si="323"/>
        <v>111</v>
      </c>
      <c r="C118" s="37"/>
      <c r="D118" s="37"/>
      <c r="E118" s="25"/>
      <c r="F118" s="218" t="s">
        <v>288</v>
      </c>
      <c r="G118" s="27"/>
      <c r="H118" s="28"/>
      <c r="I118" s="42"/>
      <c r="J118" s="42" t="s">
        <v>316</v>
      </c>
      <c r="K118" s="42"/>
      <c r="L118" s="42"/>
      <c r="M118" s="161" t="s">
        <v>343</v>
      </c>
      <c r="N118" s="39"/>
      <c r="O118" s="143"/>
      <c r="P118" s="45">
        <f t="shared" si="326"/>
        <v>92</v>
      </c>
      <c r="Q118" s="46">
        <v>2</v>
      </c>
      <c r="R118" s="41" t="str">
        <f t="shared" si="353"/>
        <v>X</v>
      </c>
      <c r="S118" s="185" t="s">
        <v>238</v>
      </c>
      <c r="T118" s="43"/>
      <c r="U118" s="41" t="s">
        <v>80</v>
      </c>
      <c r="V118" s="44"/>
      <c r="W118" s="22">
        <v>3</v>
      </c>
      <c r="X118" s="47" t="s">
        <v>239</v>
      </c>
      <c r="Y118" s="47">
        <v>2</v>
      </c>
      <c r="Z118" s="47">
        <v>2</v>
      </c>
      <c r="AA118" s="42" t="s">
        <v>81</v>
      </c>
      <c r="AB118" s="42" t="s">
        <v>80</v>
      </c>
      <c r="AC118" s="164"/>
      <c r="AD118" s="160"/>
      <c r="AE118" s="162"/>
      <c r="AF118" s="167" t="str">
        <f t="shared" si="298"/>
        <v xml:space="preserve">  </v>
      </c>
      <c r="AG118" s="174" t="str">
        <f t="shared" si="237"/>
        <v>NG</v>
      </c>
      <c r="AH118" s="162"/>
      <c r="AI118" s="276" t="str">
        <f>IF(OR(AE$8="判定対象外",AH$8="判定対象外",AH118="-"),"-",IF(AE118=AH118,"OK","NG"))</f>
        <v>OK</v>
      </c>
      <c r="AJ118" s="160"/>
      <c r="AK118" s="162"/>
      <c r="AL118" s="167" t="str">
        <f t="shared" si="281"/>
        <v xml:space="preserve">  </v>
      </c>
      <c r="AM118" s="174" t="str">
        <f t="shared" si="324"/>
        <v>NG</v>
      </c>
      <c r="AN118" s="162"/>
      <c r="AO118" s="276" t="str">
        <f>IF(OR(AK$8="判定対象外",AN$8="判定対象外",AN118="-"),"-",IF(AK118=AN118,"OK","NG"))</f>
        <v>OK</v>
      </c>
      <c r="AP118" s="160"/>
      <c r="AQ118" s="162"/>
      <c r="AR118" s="167" t="str">
        <f t="shared" si="299"/>
        <v xml:space="preserve">  </v>
      </c>
      <c r="AS118" s="174" t="str">
        <f t="shared" si="238"/>
        <v>NG</v>
      </c>
      <c r="AT118" s="162"/>
      <c r="AU118" s="276" t="str">
        <f>IF(OR(AQ$8="判定対象外",AT$8="判定対象外",AT118="-"),"-",IF(AQ118=AT118,"OK","NG"))</f>
        <v>OK</v>
      </c>
      <c r="AV118" s="160"/>
      <c r="AW118" s="162"/>
      <c r="AX118" s="167" t="str">
        <f t="shared" si="300"/>
        <v xml:space="preserve">  </v>
      </c>
      <c r="AY118" s="174" t="str">
        <f t="shared" si="239"/>
        <v>NG</v>
      </c>
      <c r="AZ118" s="162"/>
      <c r="BA118" s="276" t="str">
        <f>IF(OR(AW$8="判定対象外",AZ$8="判定対象外",AZ118="-"),"-",IF(AW118=AZ118,"OK","NG"))</f>
        <v>OK</v>
      </c>
      <c r="BB118" s="160"/>
      <c r="BC118" s="162"/>
      <c r="BD118" s="167" t="str">
        <f t="shared" si="301"/>
        <v xml:space="preserve">  </v>
      </c>
      <c r="BE118" s="174" t="str">
        <f t="shared" si="240"/>
        <v>NG</v>
      </c>
      <c r="BF118" s="162"/>
      <c r="BG118" s="276" t="str">
        <f>IF(OR(BC$8="判定対象外",BF$8="判定対象外",BF118="-"),"-",IF(BC118=BF118,"OK","NG"))</f>
        <v>OK</v>
      </c>
      <c r="BH118" s="160"/>
      <c r="BI118" s="162"/>
      <c r="BJ118" s="167" t="str">
        <f t="shared" si="302"/>
        <v xml:space="preserve">  </v>
      </c>
      <c r="BK118" s="174" t="str">
        <f t="shared" si="241"/>
        <v>NG</v>
      </c>
      <c r="BL118" s="162"/>
      <c r="BM118" s="276" t="str">
        <f>IF(OR(BI$8="判定対象外",BL$8="判定対象外",BL118="-"),"-",IF(BI118=BL118,"OK","NG"))</f>
        <v>OK</v>
      </c>
      <c r="BN118" s="160"/>
      <c r="BO118" s="162"/>
      <c r="BP118" s="167" t="str">
        <f t="shared" si="303"/>
        <v xml:space="preserve">  </v>
      </c>
      <c r="BQ118" s="174" t="str">
        <f t="shared" si="242"/>
        <v>NG</v>
      </c>
      <c r="BR118" s="162"/>
      <c r="BS118" s="276" t="str">
        <f>IF(OR(BO$8="判定対象外",BR$8="判定対象外",BR118="-"),"-",IF(BO118=BR118,"OK","NG"))</f>
        <v>OK</v>
      </c>
      <c r="BT118" s="160"/>
      <c r="BU118" s="162"/>
      <c r="BV118" s="167" t="str">
        <f t="shared" si="304"/>
        <v xml:space="preserve">  </v>
      </c>
      <c r="BW118" s="174" t="str">
        <f t="shared" si="243"/>
        <v>NG</v>
      </c>
      <c r="BX118" s="162"/>
      <c r="BY118" s="276" t="str">
        <f>IF(OR(BU$8="判定対象外",BX$8="判定対象外",BX118="-"),"-",IF(BU118=BX118,"OK","NG"))</f>
        <v>OK</v>
      </c>
      <c r="BZ118" s="160"/>
      <c r="CA118" s="162"/>
      <c r="CB118" s="167" t="str">
        <f t="shared" si="305"/>
        <v xml:space="preserve">  </v>
      </c>
      <c r="CC118" s="174" t="str">
        <f t="shared" si="244"/>
        <v>NG</v>
      </c>
      <c r="CD118" s="162"/>
      <c r="CE118" s="276" t="str">
        <f>IF(OR(CA$8="判定対象外",CD$8="判定対象外",CD118="-"),"-",IF(CA118=CD118,"OK","NG"))</f>
        <v>OK</v>
      </c>
      <c r="CF118" s="160"/>
      <c r="CG118" s="162"/>
      <c r="CH118" s="167" t="str">
        <f t="shared" si="306"/>
        <v xml:space="preserve">  </v>
      </c>
      <c r="CI118" s="174" t="str">
        <f t="shared" si="245"/>
        <v>NG</v>
      </c>
      <c r="CJ118" s="162"/>
      <c r="CK118" s="276" t="str">
        <f>IF(OR(CG$8="判定対象外",CJ$8="判定対象外",CJ118="-"),"-",IF(CG118=CJ118,"OK","NG"))</f>
        <v>OK</v>
      </c>
      <c r="CL118" s="160"/>
      <c r="CM118" s="162"/>
      <c r="CN118" s="167" t="str">
        <f t="shared" si="307"/>
        <v xml:space="preserve">  </v>
      </c>
      <c r="CO118" s="174" t="str">
        <f t="shared" si="246"/>
        <v>NG</v>
      </c>
      <c r="CP118" s="162"/>
      <c r="CQ118" s="276" t="str">
        <f>IF(OR(CM$8="判定対象外",CP$8="判定対象外",CP118="-"),"-",IF(CM118=CP118,"OK","NG"))</f>
        <v>OK</v>
      </c>
      <c r="CR118" s="160"/>
      <c r="CS118" s="162"/>
      <c r="CT118" s="167" t="str">
        <f t="shared" si="308"/>
        <v xml:space="preserve">  </v>
      </c>
      <c r="CU118" s="174" t="str">
        <f t="shared" si="247"/>
        <v>NG</v>
      </c>
      <c r="CV118" s="162"/>
      <c r="CW118" s="276" t="str">
        <f>IF(OR(CS$8="判定対象外",CV$8="判定対象外",CV118="-"),"-",IF(CS118=CV118,"OK","NG"))</f>
        <v>OK</v>
      </c>
      <c r="CX118" s="160"/>
      <c r="CY118" s="162"/>
      <c r="CZ118" s="167" t="str">
        <f t="shared" si="309"/>
        <v xml:space="preserve">  </v>
      </c>
      <c r="DA118" s="174" t="str">
        <f t="shared" si="248"/>
        <v>NG</v>
      </c>
      <c r="DB118" s="162"/>
      <c r="DC118" s="276" t="str">
        <f>IF(OR(CY$8="判定対象外",DB$8="判定対象外",DB118="-"),"-",IF(CY118=DB118,"OK","NG"))</f>
        <v>OK</v>
      </c>
      <c r="DD118" s="160"/>
      <c r="DE118" s="162"/>
      <c r="DF118" s="167" t="str">
        <f t="shared" si="310"/>
        <v xml:space="preserve">  </v>
      </c>
      <c r="DG118" s="174" t="str">
        <f t="shared" si="249"/>
        <v>NG</v>
      </c>
      <c r="DH118" s="162"/>
      <c r="DI118" s="276" t="str">
        <f>IF(OR(DE$8="判定対象外",DH$8="判定対象外",DH118="-"),"-",IF(DE118=DH118,"OK","NG"))</f>
        <v>OK</v>
      </c>
      <c r="DJ118" s="160"/>
      <c r="DK118" s="162"/>
      <c r="DL118" s="167" t="str">
        <f t="shared" si="311"/>
        <v xml:space="preserve">  </v>
      </c>
      <c r="DM118" s="174" t="str">
        <f t="shared" si="250"/>
        <v>NG</v>
      </c>
      <c r="DN118" s="162"/>
      <c r="DO118" s="276" t="str">
        <f>IF(OR(DK$8="判定対象外",DN$8="判定対象外",DN118="-"),"-",IF(DK118=DN118,"OK","NG"))</f>
        <v>OK</v>
      </c>
      <c r="DP118" s="160"/>
      <c r="DQ118" s="162"/>
      <c r="DR118" s="167" t="str">
        <f t="shared" si="312"/>
        <v xml:space="preserve">  </v>
      </c>
      <c r="DS118" s="174" t="str">
        <f t="shared" si="215"/>
        <v>NG</v>
      </c>
      <c r="DT118" s="162"/>
      <c r="DU118" s="276" t="str">
        <f>IF(OR(DQ$8="判定対象外",DT$8="判定対象外",DT118="-"),"-",IF(DQ118=DT118,"OK","NG"))</f>
        <v>OK</v>
      </c>
      <c r="DV118" s="160"/>
      <c r="DW118" s="162"/>
      <c r="DX118" s="167" t="str">
        <f t="shared" si="313"/>
        <v xml:space="preserve">  </v>
      </c>
      <c r="DY118" s="174" t="str">
        <f t="shared" si="216"/>
        <v>NG</v>
      </c>
      <c r="DZ118" s="162"/>
      <c r="EA118" s="276" t="str">
        <f>IF(OR(DW$8="判定対象外",DZ$8="判定対象外",DZ118="-"),"-",IF(DW118=DZ118,"OK","NG"))</f>
        <v>OK</v>
      </c>
      <c r="EB118" s="160"/>
      <c r="EC118" s="162"/>
      <c r="ED118" s="167" t="str">
        <f t="shared" si="314"/>
        <v xml:space="preserve">  </v>
      </c>
      <c r="EE118" s="174" t="str">
        <f t="shared" si="217"/>
        <v>NG</v>
      </c>
      <c r="EF118" s="162"/>
      <c r="EG118" s="276" t="str">
        <f>IF(OR(EC$8="判定対象外",EF$8="判定対象外",EF118="-"),"-",IF(EC118=EF118,"OK","NG"))</f>
        <v>OK</v>
      </c>
      <c r="EH118" s="160"/>
      <c r="EI118" s="162"/>
      <c r="EJ118" s="167" t="str">
        <f t="shared" si="315"/>
        <v xml:space="preserve">  </v>
      </c>
      <c r="EK118" s="174" t="str">
        <f t="shared" si="218"/>
        <v>NG</v>
      </c>
      <c r="EL118" s="162"/>
      <c r="EM118" s="276" t="str">
        <f>IF(OR(EI$8="判定対象外",EL$8="判定対象外",EL118="-"),"-",IF(EI118=EL118,"OK","NG"))</f>
        <v>OK</v>
      </c>
      <c r="EN118" s="160"/>
      <c r="EO118" s="162"/>
      <c r="EP118" s="167" t="str">
        <f t="shared" si="316"/>
        <v xml:space="preserve">  </v>
      </c>
      <c r="EQ118" s="174" t="str">
        <f t="shared" si="219"/>
        <v>NG</v>
      </c>
      <c r="ER118" s="162"/>
      <c r="ES118" s="276" t="str">
        <f>IF(OR(EO$8="判定対象外",ER$8="判定対象外",ER118="-"),"-",IF(EO118=ER118,"OK","NG"))</f>
        <v>OK</v>
      </c>
      <c r="ET118" s="160"/>
      <c r="EU118" s="162"/>
      <c r="EV118" s="167" t="str">
        <f t="shared" si="317"/>
        <v xml:space="preserve">  </v>
      </c>
      <c r="EW118" s="174" t="str">
        <f t="shared" si="220"/>
        <v>NG</v>
      </c>
      <c r="EX118" s="162"/>
      <c r="EY118" s="276" t="str">
        <f>IF(OR(EU$8="判定対象外",EX$8="判定対象外",EX118="-"),"-",IF(EU118=EX118,"OK","NG"))</f>
        <v>OK</v>
      </c>
      <c r="EZ118" s="160"/>
      <c r="FA118" s="162"/>
      <c r="FB118" s="167" t="str">
        <f t="shared" si="318"/>
        <v xml:space="preserve">  </v>
      </c>
      <c r="FC118" s="174" t="str">
        <f t="shared" si="221"/>
        <v>NG</v>
      </c>
      <c r="FD118" s="162"/>
      <c r="FE118" s="276" t="str">
        <f>IF(OR(FA$8="判定対象外",FD$8="判定対象外",FD118="-"),"-",IF(FA118=FD118,"OK","NG"))</f>
        <v>OK</v>
      </c>
      <c r="FF118" s="160"/>
      <c r="FG118" s="162"/>
      <c r="FH118" s="167" t="str">
        <f t="shared" si="319"/>
        <v xml:space="preserve">  </v>
      </c>
      <c r="FI118" s="174" t="str">
        <f t="shared" si="233"/>
        <v>NG</v>
      </c>
      <c r="FJ118" s="162"/>
      <c r="FK118" s="276" t="str">
        <f>IF(OR(FG$8="判定対象外",FJ$8="判定対象外",FJ118="-"),"-",IF(FG118=FJ118,"OK","NG"))</f>
        <v>OK</v>
      </c>
      <c r="FL118" s="160"/>
      <c r="FM118" s="162"/>
      <c r="FN118" s="167" t="str">
        <f t="shared" si="320"/>
        <v xml:space="preserve">  </v>
      </c>
      <c r="FO118" s="174" t="str">
        <f t="shared" si="251"/>
        <v>NG</v>
      </c>
      <c r="FP118" s="162"/>
      <c r="FQ118" s="276" t="str">
        <f>IF(OR(FM$8="判定対象外",FP$8="判定対象外",FP118="-"),"-",IF(FM118=FP118,"OK","NG"))</f>
        <v>OK</v>
      </c>
      <c r="FR118" s="160"/>
      <c r="FS118" s="162"/>
      <c r="FT118" s="167" t="str">
        <f t="shared" si="321"/>
        <v xml:space="preserve">  </v>
      </c>
      <c r="FU118" s="174" t="str">
        <f t="shared" si="252"/>
        <v>NG</v>
      </c>
      <c r="FV118" s="162"/>
      <c r="FW118" s="276" t="str">
        <f>IF(OR(FS$8="判定対象外",FV$8="判定対象外",FV118="-"),"-",IF(FS118=FV118,"OK","NG"))</f>
        <v>OK</v>
      </c>
      <c r="FX118" s="160"/>
      <c r="FY118" s="162"/>
      <c r="FZ118" s="167" t="str">
        <f t="shared" si="322"/>
        <v xml:space="preserve">  </v>
      </c>
      <c r="GA118" s="174" t="str">
        <f t="shared" si="253"/>
        <v>NG</v>
      </c>
      <c r="GB118" s="162"/>
      <c r="GC118" s="276" t="str">
        <f>IF(OR(FY$8="判定対象外",GB$8="判定対象外",GB118="-"),"-",IF(FY118=GB118,"OK","NG"))</f>
        <v>OK</v>
      </c>
    </row>
    <row r="119" spans="1:185" s="52" customFormat="1" ht="25.5">
      <c r="B119" s="216">
        <f t="shared" si="323"/>
        <v>112</v>
      </c>
      <c r="C119" s="37"/>
      <c r="D119" s="37"/>
      <c r="E119" s="25"/>
      <c r="F119" s="184" t="s">
        <v>344</v>
      </c>
      <c r="G119" s="27"/>
      <c r="H119" s="28"/>
      <c r="I119" s="42"/>
      <c r="J119" s="42"/>
      <c r="K119" s="42"/>
      <c r="L119" s="42"/>
      <c r="M119" s="63" t="s">
        <v>345</v>
      </c>
      <c r="N119" s="39"/>
      <c r="O119" s="143"/>
      <c r="P119" s="45">
        <f t="shared" si="326"/>
        <v>93</v>
      </c>
      <c r="Q119" s="46">
        <v>7</v>
      </c>
      <c r="R119" s="41" t="str">
        <f t="shared" si="353"/>
        <v>X</v>
      </c>
      <c r="S119" s="185" t="s">
        <v>240</v>
      </c>
      <c r="T119" s="43"/>
      <c r="U119" s="41" t="s">
        <v>80</v>
      </c>
      <c r="V119" s="44"/>
      <c r="W119" s="22">
        <v>3</v>
      </c>
      <c r="X119" s="47" t="s">
        <v>241</v>
      </c>
      <c r="Y119" s="47">
        <v>7</v>
      </c>
      <c r="Z119" s="47">
        <v>7</v>
      </c>
      <c r="AA119" s="42" t="s">
        <v>81</v>
      </c>
      <c r="AB119" s="42" t="s">
        <v>80</v>
      </c>
      <c r="AC119" s="219"/>
      <c r="AD119" s="160"/>
      <c r="AE119" s="141"/>
      <c r="AF119" s="203" t="str">
        <f t="shared" si="298"/>
        <v xml:space="preserve">       </v>
      </c>
      <c r="AG119" s="174" t="str">
        <f t="shared" si="237"/>
        <v>NG</v>
      </c>
      <c r="AH119" s="141"/>
      <c r="AI119" s="172" t="s">
        <v>71</v>
      </c>
      <c r="AJ119" s="160"/>
      <c r="AK119" s="141"/>
      <c r="AL119" s="203" t="str">
        <f t="shared" si="281"/>
        <v xml:space="preserve">       </v>
      </c>
      <c r="AM119" s="174" t="str">
        <f t="shared" si="324"/>
        <v>NG</v>
      </c>
      <c r="AN119" s="141"/>
      <c r="AO119" s="172" t="s">
        <v>71</v>
      </c>
      <c r="AP119" s="160"/>
      <c r="AQ119" s="141"/>
      <c r="AR119" s="203" t="str">
        <f t="shared" si="299"/>
        <v xml:space="preserve">       </v>
      </c>
      <c r="AS119" s="174" t="str">
        <f t="shared" si="238"/>
        <v>NG</v>
      </c>
      <c r="AT119" s="141"/>
      <c r="AU119" s="172" t="s">
        <v>71</v>
      </c>
      <c r="AV119" s="160"/>
      <c r="AW119" s="141"/>
      <c r="AX119" s="203" t="str">
        <f t="shared" si="300"/>
        <v xml:space="preserve">       </v>
      </c>
      <c r="AY119" s="174" t="str">
        <f t="shared" si="239"/>
        <v>NG</v>
      </c>
      <c r="AZ119" s="141"/>
      <c r="BA119" s="172" t="s">
        <v>71</v>
      </c>
      <c r="BB119" s="160"/>
      <c r="BC119" s="141"/>
      <c r="BD119" s="203" t="str">
        <f t="shared" si="301"/>
        <v xml:space="preserve">       </v>
      </c>
      <c r="BE119" s="174" t="str">
        <f t="shared" si="240"/>
        <v>NG</v>
      </c>
      <c r="BF119" s="141"/>
      <c r="BG119" s="172" t="s">
        <v>71</v>
      </c>
      <c r="BH119" s="160"/>
      <c r="BI119" s="141"/>
      <c r="BJ119" s="203" t="str">
        <f t="shared" si="302"/>
        <v xml:space="preserve">       </v>
      </c>
      <c r="BK119" s="174" t="str">
        <f t="shared" si="241"/>
        <v>NG</v>
      </c>
      <c r="BL119" s="141"/>
      <c r="BM119" s="172" t="s">
        <v>71</v>
      </c>
      <c r="BN119" s="160"/>
      <c r="BO119" s="141"/>
      <c r="BP119" s="203" t="str">
        <f t="shared" si="303"/>
        <v xml:space="preserve">       </v>
      </c>
      <c r="BQ119" s="174" t="str">
        <f t="shared" si="242"/>
        <v>NG</v>
      </c>
      <c r="BR119" s="141"/>
      <c r="BS119" s="172" t="s">
        <v>71</v>
      </c>
      <c r="BT119" s="160"/>
      <c r="BU119" s="141"/>
      <c r="BV119" s="203" t="str">
        <f t="shared" si="304"/>
        <v xml:space="preserve">       </v>
      </c>
      <c r="BW119" s="174" t="str">
        <f t="shared" si="243"/>
        <v>NG</v>
      </c>
      <c r="BX119" s="141"/>
      <c r="BY119" s="172" t="s">
        <v>71</v>
      </c>
      <c r="BZ119" s="160"/>
      <c r="CA119" s="141"/>
      <c r="CB119" s="203" t="str">
        <f t="shared" si="305"/>
        <v xml:space="preserve">       </v>
      </c>
      <c r="CC119" s="174" t="str">
        <f t="shared" si="244"/>
        <v>NG</v>
      </c>
      <c r="CD119" s="141"/>
      <c r="CE119" s="172" t="s">
        <v>71</v>
      </c>
      <c r="CF119" s="160"/>
      <c r="CG119" s="141"/>
      <c r="CH119" s="203" t="str">
        <f t="shared" si="306"/>
        <v xml:space="preserve">       </v>
      </c>
      <c r="CI119" s="174" t="str">
        <f t="shared" si="245"/>
        <v>NG</v>
      </c>
      <c r="CJ119" s="141"/>
      <c r="CK119" s="172" t="s">
        <v>71</v>
      </c>
      <c r="CL119" s="160"/>
      <c r="CM119" s="141"/>
      <c r="CN119" s="203" t="str">
        <f t="shared" si="307"/>
        <v xml:space="preserve">       </v>
      </c>
      <c r="CO119" s="174" t="str">
        <f t="shared" si="246"/>
        <v>NG</v>
      </c>
      <c r="CP119" s="141"/>
      <c r="CQ119" s="172" t="s">
        <v>71</v>
      </c>
      <c r="CR119" s="160"/>
      <c r="CS119" s="141"/>
      <c r="CT119" s="203" t="str">
        <f t="shared" si="308"/>
        <v xml:space="preserve">       </v>
      </c>
      <c r="CU119" s="174" t="str">
        <f t="shared" si="247"/>
        <v>NG</v>
      </c>
      <c r="CV119" s="141"/>
      <c r="CW119" s="172" t="s">
        <v>71</v>
      </c>
      <c r="CX119" s="160"/>
      <c r="CY119" s="141"/>
      <c r="CZ119" s="203" t="str">
        <f t="shared" si="309"/>
        <v xml:space="preserve">       </v>
      </c>
      <c r="DA119" s="174" t="str">
        <f t="shared" si="248"/>
        <v>NG</v>
      </c>
      <c r="DB119" s="141"/>
      <c r="DC119" s="172" t="s">
        <v>71</v>
      </c>
      <c r="DD119" s="160"/>
      <c r="DE119" s="141"/>
      <c r="DF119" s="203" t="str">
        <f t="shared" si="310"/>
        <v xml:space="preserve">       </v>
      </c>
      <c r="DG119" s="174" t="str">
        <f t="shared" si="249"/>
        <v>NG</v>
      </c>
      <c r="DH119" s="141"/>
      <c r="DI119" s="172" t="s">
        <v>71</v>
      </c>
      <c r="DJ119" s="160"/>
      <c r="DK119" s="141"/>
      <c r="DL119" s="203" t="str">
        <f t="shared" si="311"/>
        <v xml:space="preserve">       </v>
      </c>
      <c r="DM119" s="174" t="str">
        <f t="shared" si="250"/>
        <v>NG</v>
      </c>
      <c r="DN119" s="141"/>
      <c r="DO119" s="172" t="s">
        <v>71</v>
      </c>
      <c r="DP119" s="160"/>
      <c r="DQ119" s="141"/>
      <c r="DR119" s="203" t="str">
        <f t="shared" si="312"/>
        <v xml:space="preserve">       </v>
      </c>
      <c r="DS119" s="174" t="str">
        <f t="shared" si="215"/>
        <v>NG</v>
      </c>
      <c r="DT119" s="141"/>
      <c r="DU119" s="172" t="s">
        <v>71</v>
      </c>
      <c r="DV119" s="160"/>
      <c r="DW119" s="141"/>
      <c r="DX119" s="203" t="str">
        <f t="shared" si="313"/>
        <v xml:space="preserve">       </v>
      </c>
      <c r="DY119" s="174" t="str">
        <f t="shared" si="216"/>
        <v>NG</v>
      </c>
      <c r="DZ119" s="141"/>
      <c r="EA119" s="172" t="s">
        <v>71</v>
      </c>
      <c r="EB119" s="160"/>
      <c r="EC119" s="141"/>
      <c r="ED119" s="203" t="str">
        <f t="shared" si="314"/>
        <v xml:space="preserve">       </v>
      </c>
      <c r="EE119" s="174" t="str">
        <f t="shared" si="217"/>
        <v>NG</v>
      </c>
      <c r="EF119" s="141"/>
      <c r="EG119" s="172" t="s">
        <v>71</v>
      </c>
      <c r="EH119" s="160"/>
      <c r="EI119" s="141"/>
      <c r="EJ119" s="203" t="str">
        <f t="shared" si="315"/>
        <v xml:space="preserve">       </v>
      </c>
      <c r="EK119" s="174" t="str">
        <f t="shared" si="218"/>
        <v>NG</v>
      </c>
      <c r="EL119" s="141"/>
      <c r="EM119" s="172" t="s">
        <v>71</v>
      </c>
      <c r="EN119" s="160"/>
      <c r="EO119" s="141"/>
      <c r="EP119" s="203" t="str">
        <f t="shared" si="316"/>
        <v xml:space="preserve">       </v>
      </c>
      <c r="EQ119" s="174" t="str">
        <f t="shared" si="219"/>
        <v>NG</v>
      </c>
      <c r="ER119" s="141"/>
      <c r="ES119" s="172" t="s">
        <v>71</v>
      </c>
      <c r="ET119" s="160"/>
      <c r="EU119" s="141"/>
      <c r="EV119" s="203" t="str">
        <f t="shared" si="317"/>
        <v xml:space="preserve">       </v>
      </c>
      <c r="EW119" s="174" t="str">
        <f t="shared" si="220"/>
        <v>NG</v>
      </c>
      <c r="EX119" s="141"/>
      <c r="EY119" s="172" t="s">
        <v>71</v>
      </c>
      <c r="EZ119" s="160"/>
      <c r="FA119" s="141"/>
      <c r="FB119" s="203" t="str">
        <f t="shared" si="318"/>
        <v xml:space="preserve">       </v>
      </c>
      <c r="FC119" s="174" t="str">
        <f t="shared" si="221"/>
        <v>NG</v>
      </c>
      <c r="FD119" s="141"/>
      <c r="FE119" s="172" t="s">
        <v>71</v>
      </c>
      <c r="FF119" s="160"/>
      <c r="FG119" s="141"/>
      <c r="FH119" s="203" t="str">
        <f t="shared" si="319"/>
        <v xml:space="preserve">       </v>
      </c>
      <c r="FI119" s="174" t="str">
        <f t="shared" si="233"/>
        <v>NG</v>
      </c>
      <c r="FJ119" s="141"/>
      <c r="FK119" s="172" t="s">
        <v>71</v>
      </c>
      <c r="FL119" s="160"/>
      <c r="FM119" s="141"/>
      <c r="FN119" s="203" t="str">
        <f t="shared" si="320"/>
        <v xml:space="preserve">       </v>
      </c>
      <c r="FO119" s="174" t="str">
        <f t="shared" si="251"/>
        <v>NG</v>
      </c>
      <c r="FP119" s="141"/>
      <c r="FQ119" s="172" t="s">
        <v>71</v>
      </c>
      <c r="FR119" s="160"/>
      <c r="FS119" s="141"/>
      <c r="FT119" s="203" t="str">
        <f t="shared" si="321"/>
        <v xml:space="preserve">       </v>
      </c>
      <c r="FU119" s="174" t="str">
        <f t="shared" si="252"/>
        <v>NG</v>
      </c>
      <c r="FV119" s="141"/>
      <c r="FW119" s="172" t="s">
        <v>71</v>
      </c>
      <c r="FX119" s="160"/>
      <c r="FY119" s="141"/>
      <c r="FZ119" s="203" t="str">
        <f t="shared" si="322"/>
        <v xml:space="preserve">       </v>
      </c>
      <c r="GA119" s="174" t="str">
        <f t="shared" si="253"/>
        <v>NG</v>
      </c>
      <c r="GB119" s="141"/>
      <c r="GC119" s="172" t="s">
        <v>71</v>
      </c>
    </row>
    <row r="120" spans="1:185" s="237" customFormat="1" ht="25.5">
      <c r="B120" s="216">
        <f t="shared" si="323"/>
        <v>113</v>
      </c>
      <c r="C120" s="220"/>
      <c r="D120" s="220"/>
      <c r="E120" s="221"/>
      <c r="F120" s="222" t="s">
        <v>346</v>
      </c>
      <c r="G120" s="223"/>
      <c r="H120" s="224"/>
      <c r="I120" s="225"/>
      <c r="J120" s="225"/>
      <c r="K120" s="226"/>
      <c r="L120" s="226"/>
      <c r="M120" s="227" t="s">
        <v>345</v>
      </c>
      <c r="N120" s="228"/>
      <c r="O120" s="229"/>
      <c r="P120" s="45">
        <f t="shared" si="326"/>
        <v>94</v>
      </c>
      <c r="Q120" s="230">
        <v>10</v>
      </c>
      <c r="R120" s="41" t="str">
        <f t="shared" si="353"/>
        <v>X</v>
      </c>
      <c r="S120" s="185" t="s">
        <v>242</v>
      </c>
      <c r="T120" s="231"/>
      <c r="U120" s="41" t="s">
        <v>80</v>
      </c>
      <c r="V120" s="229"/>
      <c r="W120" s="232">
        <v>3</v>
      </c>
      <c r="X120" s="194" t="s">
        <v>243</v>
      </c>
      <c r="Y120" s="194">
        <v>10</v>
      </c>
      <c r="Z120" s="194">
        <v>10</v>
      </c>
      <c r="AA120" s="225" t="s">
        <v>163</v>
      </c>
      <c r="AB120" s="225" t="s">
        <v>57</v>
      </c>
      <c r="AC120" s="219"/>
      <c r="AD120" s="233"/>
      <c r="AE120" s="268"/>
      <c r="AF120" s="235" t="str">
        <f t="shared" si="298"/>
        <v xml:space="preserve">          </v>
      </c>
      <c r="AG120" s="174" t="str">
        <f t="shared" si="237"/>
        <v>NG</v>
      </c>
      <c r="AH120" s="268"/>
      <c r="AI120" s="172" t="s">
        <v>71</v>
      </c>
      <c r="AJ120" s="233"/>
      <c r="AK120" s="234"/>
      <c r="AL120" s="235" t="str">
        <f t="shared" si="281"/>
        <v xml:space="preserve">          </v>
      </c>
      <c r="AM120" s="174" t="str">
        <f t="shared" si="324"/>
        <v>NG</v>
      </c>
      <c r="AN120" s="268"/>
      <c r="AO120" s="172" t="s">
        <v>71</v>
      </c>
      <c r="AP120" s="233"/>
      <c r="AQ120" s="268"/>
      <c r="AR120" s="235" t="str">
        <f t="shared" si="299"/>
        <v xml:space="preserve">          </v>
      </c>
      <c r="AS120" s="174" t="str">
        <f t="shared" si="238"/>
        <v>NG</v>
      </c>
      <c r="AT120" s="268"/>
      <c r="AU120" s="172" t="s">
        <v>71</v>
      </c>
      <c r="AV120" s="233"/>
      <c r="AW120" s="268"/>
      <c r="AX120" s="235" t="str">
        <f t="shared" si="300"/>
        <v xml:space="preserve">          </v>
      </c>
      <c r="AY120" s="174" t="str">
        <f t="shared" si="239"/>
        <v>NG</v>
      </c>
      <c r="AZ120" s="268"/>
      <c r="BA120" s="172" t="s">
        <v>71</v>
      </c>
      <c r="BB120" s="233"/>
      <c r="BC120" s="268"/>
      <c r="BD120" s="235" t="str">
        <f t="shared" si="301"/>
        <v xml:space="preserve">          </v>
      </c>
      <c r="BE120" s="174" t="str">
        <f t="shared" si="240"/>
        <v>NG</v>
      </c>
      <c r="BF120" s="268"/>
      <c r="BG120" s="172" t="s">
        <v>71</v>
      </c>
      <c r="BH120" s="233"/>
      <c r="BI120" s="268"/>
      <c r="BJ120" s="235" t="str">
        <f t="shared" si="302"/>
        <v xml:space="preserve">          </v>
      </c>
      <c r="BK120" s="174" t="str">
        <f t="shared" si="241"/>
        <v>NG</v>
      </c>
      <c r="BL120" s="268"/>
      <c r="BM120" s="172" t="s">
        <v>71</v>
      </c>
      <c r="BN120" s="233"/>
      <c r="BO120" s="268"/>
      <c r="BP120" s="235" t="str">
        <f t="shared" si="303"/>
        <v xml:space="preserve">          </v>
      </c>
      <c r="BQ120" s="174" t="str">
        <f t="shared" si="242"/>
        <v>NG</v>
      </c>
      <c r="BR120" s="268"/>
      <c r="BS120" s="172" t="s">
        <v>71</v>
      </c>
      <c r="BT120" s="233"/>
      <c r="BU120" s="268"/>
      <c r="BV120" s="235" t="str">
        <f t="shared" si="304"/>
        <v xml:space="preserve">          </v>
      </c>
      <c r="BW120" s="174" t="str">
        <f t="shared" si="243"/>
        <v>NG</v>
      </c>
      <c r="BX120" s="268"/>
      <c r="BY120" s="172" t="s">
        <v>71</v>
      </c>
      <c r="BZ120" s="233"/>
      <c r="CA120" s="268"/>
      <c r="CB120" s="235" t="str">
        <f t="shared" si="305"/>
        <v xml:space="preserve">          </v>
      </c>
      <c r="CC120" s="174" t="str">
        <f t="shared" si="244"/>
        <v>NG</v>
      </c>
      <c r="CD120" s="268"/>
      <c r="CE120" s="172" t="s">
        <v>71</v>
      </c>
      <c r="CF120" s="233"/>
      <c r="CG120" s="268"/>
      <c r="CH120" s="235" t="str">
        <f t="shared" si="306"/>
        <v xml:space="preserve">          </v>
      </c>
      <c r="CI120" s="174" t="str">
        <f t="shared" si="245"/>
        <v>NG</v>
      </c>
      <c r="CJ120" s="268"/>
      <c r="CK120" s="172" t="s">
        <v>71</v>
      </c>
      <c r="CL120" s="233"/>
      <c r="CM120" s="268"/>
      <c r="CN120" s="235" t="str">
        <f t="shared" si="307"/>
        <v xml:space="preserve">          </v>
      </c>
      <c r="CO120" s="174" t="str">
        <f t="shared" si="246"/>
        <v>NG</v>
      </c>
      <c r="CP120" s="268"/>
      <c r="CQ120" s="172" t="s">
        <v>71</v>
      </c>
      <c r="CR120" s="233"/>
      <c r="CS120" s="268"/>
      <c r="CT120" s="235" t="str">
        <f t="shared" si="308"/>
        <v xml:space="preserve">          </v>
      </c>
      <c r="CU120" s="174" t="str">
        <f t="shared" si="247"/>
        <v>NG</v>
      </c>
      <c r="CV120" s="268"/>
      <c r="CW120" s="172" t="s">
        <v>71</v>
      </c>
      <c r="CX120" s="233"/>
      <c r="CY120" s="268"/>
      <c r="CZ120" s="235" t="str">
        <f t="shared" si="309"/>
        <v xml:space="preserve">          </v>
      </c>
      <c r="DA120" s="174" t="str">
        <f t="shared" si="248"/>
        <v>NG</v>
      </c>
      <c r="DB120" s="268"/>
      <c r="DC120" s="172" t="s">
        <v>71</v>
      </c>
      <c r="DD120" s="233"/>
      <c r="DE120" s="268"/>
      <c r="DF120" s="235" t="str">
        <f t="shared" si="310"/>
        <v xml:space="preserve">          </v>
      </c>
      <c r="DG120" s="174" t="str">
        <f t="shared" si="249"/>
        <v>NG</v>
      </c>
      <c r="DH120" s="268"/>
      <c r="DI120" s="172" t="s">
        <v>71</v>
      </c>
      <c r="DJ120" s="233"/>
      <c r="DK120" s="268"/>
      <c r="DL120" s="235" t="str">
        <f t="shared" si="311"/>
        <v xml:space="preserve">          </v>
      </c>
      <c r="DM120" s="174" t="str">
        <f t="shared" si="250"/>
        <v>NG</v>
      </c>
      <c r="DN120" s="268"/>
      <c r="DO120" s="172" t="s">
        <v>71</v>
      </c>
      <c r="DP120" s="233"/>
      <c r="DQ120" s="268"/>
      <c r="DR120" s="235" t="str">
        <f t="shared" si="312"/>
        <v xml:space="preserve">          </v>
      </c>
      <c r="DS120" s="174" t="str">
        <f t="shared" si="215"/>
        <v>NG</v>
      </c>
      <c r="DT120" s="268"/>
      <c r="DU120" s="172" t="s">
        <v>71</v>
      </c>
      <c r="DV120" s="233"/>
      <c r="DW120" s="268"/>
      <c r="DX120" s="235" t="str">
        <f t="shared" si="313"/>
        <v xml:space="preserve">          </v>
      </c>
      <c r="DY120" s="174" t="str">
        <f t="shared" si="216"/>
        <v>NG</v>
      </c>
      <c r="DZ120" s="268"/>
      <c r="EA120" s="172" t="s">
        <v>71</v>
      </c>
      <c r="EB120" s="233"/>
      <c r="EC120" s="268"/>
      <c r="ED120" s="235" t="str">
        <f t="shared" si="314"/>
        <v xml:space="preserve">          </v>
      </c>
      <c r="EE120" s="174" t="str">
        <f t="shared" si="217"/>
        <v>NG</v>
      </c>
      <c r="EF120" s="268"/>
      <c r="EG120" s="172" t="s">
        <v>71</v>
      </c>
      <c r="EH120" s="233"/>
      <c r="EI120" s="268"/>
      <c r="EJ120" s="235" t="str">
        <f t="shared" si="315"/>
        <v xml:space="preserve">          </v>
      </c>
      <c r="EK120" s="174" t="str">
        <f t="shared" si="218"/>
        <v>NG</v>
      </c>
      <c r="EL120" s="268"/>
      <c r="EM120" s="172" t="s">
        <v>71</v>
      </c>
      <c r="EN120" s="233"/>
      <c r="EO120" s="268"/>
      <c r="EP120" s="235" t="str">
        <f t="shared" si="316"/>
        <v xml:space="preserve">          </v>
      </c>
      <c r="EQ120" s="174" t="str">
        <f t="shared" si="219"/>
        <v>NG</v>
      </c>
      <c r="ER120" s="268"/>
      <c r="ES120" s="172" t="s">
        <v>71</v>
      </c>
      <c r="ET120" s="233"/>
      <c r="EU120" s="268"/>
      <c r="EV120" s="235" t="str">
        <f t="shared" si="317"/>
        <v xml:space="preserve">          </v>
      </c>
      <c r="EW120" s="174" t="str">
        <f t="shared" si="220"/>
        <v>NG</v>
      </c>
      <c r="EX120" s="268"/>
      <c r="EY120" s="172" t="s">
        <v>71</v>
      </c>
      <c r="EZ120" s="233"/>
      <c r="FA120" s="268"/>
      <c r="FB120" s="235" t="str">
        <f t="shared" si="318"/>
        <v xml:space="preserve">          </v>
      </c>
      <c r="FC120" s="174" t="str">
        <f t="shared" si="221"/>
        <v>NG</v>
      </c>
      <c r="FD120" s="268"/>
      <c r="FE120" s="172" t="s">
        <v>71</v>
      </c>
      <c r="FF120" s="233"/>
      <c r="FG120" s="268"/>
      <c r="FH120" s="235" t="str">
        <f t="shared" si="319"/>
        <v xml:space="preserve">          </v>
      </c>
      <c r="FI120" s="174" t="str">
        <f t="shared" si="233"/>
        <v>NG</v>
      </c>
      <c r="FJ120" s="268"/>
      <c r="FK120" s="172" t="s">
        <v>71</v>
      </c>
      <c r="FL120" s="233"/>
      <c r="FM120" s="268"/>
      <c r="FN120" s="235" t="str">
        <f t="shared" si="320"/>
        <v xml:space="preserve">          </v>
      </c>
      <c r="FO120" s="174" t="str">
        <f t="shared" si="251"/>
        <v>NG</v>
      </c>
      <c r="FP120" s="268"/>
      <c r="FQ120" s="172" t="s">
        <v>71</v>
      </c>
      <c r="FR120" s="233"/>
      <c r="FS120" s="268"/>
      <c r="FT120" s="235" t="str">
        <f t="shared" si="321"/>
        <v xml:space="preserve">          </v>
      </c>
      <c r="FU120" s="174" t="str">
        <f t="shared" si="252"/>
        <v>NG</v>
      </c>
      <c r="FV120" s="268"/>
      <c r="FW120" s="172" t="s">
        <v>71</v>
      </c>
      <c r="FX120" s="233"/>
      <c r="FY120" s="268"/>
      <c r="FZ120" s="235" t="str">
        <f t="shared" si="322"/>
        <v xml:space="preserve">          </v>
      </c>
      <c r="GA120" s="174" t="str">
        <f t="shared" si="253"/>
        <v>NG</v>
      </c>
      <c r="GB120" s="268"/>
      <c r="GC120" s="172" t="s">
        <v>71</v>
      </c>
    </row>
    <row r="121" spans="1:185" s="237" customFormat="1" ht="25.5">
      <c r="B121" s="216">
        <f t="shared" si="323"/>
        <v>114</v>
      </c>
      <c r="C121" s="220"/>
      <c r="D121" s="220"/>
      <c r="E121" s="220"/>
      <c r="F121" s="238" t="s">
        <v>244</v>
      </c>
      <c r="G121" s="168"/>
      <c r="H121" s="239"/>
      <c r="I121" s="225"/>
      <c r="J121" s="225"/>
      <c r="K121" s="226"/>
      <c r="L121" s="226"/>
      <c r="M121" s="227" t="s">
        <v>345</v>
      </c>
      <c r="N121" s="228"/>
      <c r="O121" s="229"/>
      <c r="P121" s="45">
        <f t="shared" si="326"/>
        <v>95</v>
      </c>
      <c r="Q121" s="230">
        <v>3</v>
      </c>
      <c r="R121" s="41" t="str">
        <f t="shared" si="353"/>
        <v>X</v>
      </c>
      <c r="S121" s="185" t="s">
        <v>245</v>
      </c>
      <c r="T121" s="231"/>
      <c r="U121" s="41" t="s">
        <v>80</v>
      </c>
      <c r="V121" s="229"/>
      <c r="W121" s="232">
        <v>3</v>
      </c>
      <c r="X121" s="194" t="s">
        <v>246</v>
      </c>
      <c r="Y121" s="194">
        <v>3</v>
      </c>
      <c r="Z121" s="194">
        <v>3</v>
      </c>
      <c r="AA121" s="225" t="s">
        <v>163</v>
      </c>
      <c r="AB121" s="225" t="s">
        <v>57</v>
      </c>
      <c r="AC121" s="219"/>
      <c r="AD121" s="233"/>
      <c r="AE121" s="268"/>
      <c r="AF121" s="235" t="str">
        <f t="shared" si="298"/>
        <v xml:space="preserve">   </v>
      </c>
      <c r="AG121" s="174" t="str">
        <f t="shared" si="237"/>
        <v>NG</v>
      </c>
      <c r="AH121" s="268"/>
      <c r="AI121" s="172" t="s">
        <v>71</v>
      </c>
      <c r="AJ121" s="233"/>
      <c r="AK121" s="234"/>
      <c r="AL121" s="235" t="str">
        <f t="shared" si="281"/>
        <v xml:space="preserve">   </v>
      </c>
      <c r="AM121" s="174" t="str">
        <f t="shared" si="324"/>
        <v>NG</v>
      </c>
      <c r="AN121" s="268"/>
      <c r="AO121" s="172" t="s">
        <v>71</v>
      </c>
      <c r="AP121" s="233"/>
      <c r="AQ121" s="268"/>
      <c r="AR121" s="235" t="str">
        <f t="shared" si="299"/>
        <v xml:space="preserve">   </v>
      </c>
      <c r="AS121" s="174" t="str">
        <f t="shared" si="238"/>
        <v>NG</v>
      </c>
      <c r="AT121" s="268"/>
      <c r="AU121" s="172" t="s">
        <v>71</v>
      </c>
      <c r="AV121" s="233"/>
      <c r="AW121" s="268"/>
      <c r="AX121" s="235" t="str">
        <f t="shared" si="300"/>
        <v xml:space="preserve">   </v>
      </c>
      <c r="AY121" s="174" t="str">
        <f t="shared" si="239"/>
        <v>NG</v>
      </c>
      <c r="AZ121" s="268"/>
      <c r="BA121" s="172" t="s">
        <v>71</v>
      </c>
      <c r="BB121" s="233"/>
      <c r="BC121" s="268"/>
      <c r="BD121" s="235" t="str">
        <f t="shared" si="301"/>
        <v xml:space="preserve">   </v>
      </c>
      <c r="BE121" s="174" t="str">
        <f t="shared" si="240"/>
        <v>NG</v>
      </c>
      <c r="BF121" s="268"/>
      <c r="BG121" s="172" t="s">
        <v>71</v>
      </c>
      <c r="BH121" s="233"/>
      <c r="BI121" s="268"/>
      <c r="BJ121" s="235" t="str">
        <f t="shared" si="302"/>
        <v xml:space="preserve">   </v>
      </c>
      <c r="BK121" s="174" t="str">
        <f t="shared" si="241"/>
        <v>NG</v>
      </c>
      <c r="BL121" s="268"/>
      <c r="BM121" s="172" t="s">
        <v>71</v>
      </c>
      <c r="BN121" s="233"/>
      <c r="BO121" s="268"/>
      <c r="BP121" s="235" t="str">
        <f t="shared" si="303"/>
        <v xml:space="preserve">   </v>
      </c>
      <c r="BQ121" s="174" t="str">
        <f t="shared" si="242"/>
        <v>NG</v>
      </c>
      <c r="BR121" s="268"/>
      <c r="BS121" s="172" t="s">
        <v>71</v>
      </c>
      <c r="BT121" s="233"/>
      <c r="BU121" s="268"/>
      <c r="BV121" s="235" t="str">
        <f t="shared" si="304"/>
        <v xml:space="preserve">   </v>
      </c>
      <c r="BW121" s="174" t="str">
        <f t="shared" si="243"/>
        <v>NG</v>
      </c>
      <c r="BX121" s="268"/>
      <c r="BY121" s="172" t="s">
        <v>71</v>
      </c>
      <c r="BZ121" s="233"/>
      <c r="CA121" s="268"/>
      <c r="CB121" s="235" t="str">
        <f t="shared" si="305"/>
        <v xml:space="preserve">   </v>
      </c>
      <c r="CC121" s="174" t="str">
        <f t="shared" si="244"/>
        <v>NG</v>
      </c>
      <c r="CD121" s="268"/>
      <c r="CE121" s="172" t="s">
        <v>71</v>
      </c>
      <c r="CF121" s="233"/>
      <c r="CG121" s="268"/>
      <c r="CH121" s="235" t="str">
        <f t="shared" si="306"/>
        <v xml:space="preserve">   </v>
      </c>
      <c r="CI121" s="174" t="str">
        <f t="shared" si="245"/>
        <v>NG</v>
      </c>
      <c r="CJ121" s="268"/>
      <c r="CK121" s="172" t="s">
        <v>71</v>
      </c>
      <c r="CL121" s="233"/>
      <c r="CM121" s="268"/>
      <c r="CN121" s="235" t="str">
        <f t="shared" si="307"/>
        <v xml:space="preserve">   </v>
      </c>
      <c r="CO121" s="174" t="str">
        <f t="shared" si="246"/>
        <v>NG</v>
      </c>
      <c r="CP121" s="268"/>
      <c r="CQ121" s="172" t="s">
        <v>71</v>
      </c>
      <c r="CR121" s="233"/>
      <c r="CS121" s="268"/>
      <c r="CT121" s="235" t="str">
        <f t="shared" si="308"/>
        <v xml:space="preserve">   </v>
      </c>
      <c r="CU121" s="174" t="str">
        <f t="shared" si="247"/>
        <v>NG</v>
      </c>
      <c r="CV121" s="268"/>
      <c r="CW121" s="172" t="s">
        <v>71</v>
      </c>
      <c r="CX121" s="233"/>
      <c r="CY121" s="268"/>
      <c r="CZ121" s="235" t="str">
        <f t="shared" si="309"/>
        <v xml:space="preserve">   </v>
      </c>
      <c r="DA121" s="174" t="str">
        <f t="shared" si="248"/>
        <v>NG</v>
      </c>
      <c r="DB121" s="268"/>
      <c r="DC121" s="172" t="s">
        <v>71</v>
      </c>
      <c r="DD121" s="233"/>
      <c r="DE121" s="268"/>
      <c r="DF121" s="235" t="str">
        <f t="shared" si="310"/>
        <v xml:space="preserve">   </v>
      </c>
      <c r="DG121" s="174" t="str">
        <f t="shared" si="249"/>
        <v>NG</v>
      </c>
      <c r="DH121" s="268"/>
      <c r="DI121" s="172" t="s">
        <v>71</v>
      </c>
      <c r="DJ121" s="233"/>
      <c r="DK121" s="268"/>
      <c r="DL121" s="235" t="str">
        <f t="shared" si="311"/>
        <v xml:space="preserve">   </v>
      </c>
      <c r="DM121" s="174" t="str">
        <f t="shared" si="250"/>
        <v>NG</v>
      </c>
      <c r="DN121" s="268"/>
      <c r="DO121" s="172" t="s">
        <v>71</v>
      </c>
      <c r="DP121" s="233"/>
      <c r="DQ121" s="268"/>
      <c r="DR121" s="235" t="str">
        <f t="shared" si="312"/>
        <v xml:space="preserve">   </v>
      </c>
      <c r="DS121" s="174" t="str">
        <f t="shared" ref="DS121:DS184" si="354">IF(OR(DQ$8="判定対象外",DR$8="判定対象外",DR121="-"),"-",IF(DQ121=DR121,"OK","NG"))</f>
        <v>NG</v>
      </c>
      <c r="DT121" s="268"/>
      <c r="DU121" s="172" t="s">
        <v>71</v>
      </c>
      <c r="DV121" s="233"/>
      <c r="DW121" s="268"/>
      <c r="DX121" s="235" t="str">
        <f t="shared" si="313"/>
        <v xml:space="preserve">   </v>
      </c>
      <c r="DY121" s="174" t="str">
        <f t="shared" ref="DY121:DY184" si="355">IF(OR(DW$8="判定対象外",DX$8="判定対象外",DX121="-"),"-",IF(DW121=DX121,"OK","NG"))</f>
        <v>NG</v>
      </c>
      <c r="DZ121" s="268"/>
      <c r="EA121" s="172" t="s">
        <v>71</v>
      </c>
      <c r="EB121" s="233"/>
      <c r="EC121" s="268"/>
      <c r="ED121" s="235" t="str">
        <f t="shared" si="314"/>
        <v xml:space="preserve">   </v>
      </c>
      <c r="EE121" s="174" t="str">
        <f t="shared" ref="EE121:EE184" si="356">IF(OR(EC$8="判定対象外",ED$8="判定対象外",ED121="-"),"-",IF(EC121=ED121,"OK","NG"))</f>
        <v>NG</v>
      </c>
      <c r="EF121" s="268"/>
      <c r="EG121" s="172" t="s">
        <v>71</v>
      </c>
      <c r="EH121" s="233"/>
      <c r="EI121" s="268"/>
      <c r="EJ121" s="235" t="str">
        <f t="shared" si="315"/>
        <v xml:space="preserve">   </v>
      </c>
      <c r="EK121" s="174" t="str">
        <f t="shared" ref="EK121:EK184" si="357">IF(OR(EI$8="判定対象外",EJ$8="判定対象外",EJ121="-"),"-",IF(EI121=EJ121,"OK","NG"))</f>
        <v>NG</v>
      </c>
      <c r="EL121" s="268"/>
      <c r="EM121" s="172" t="s">
        <v>71</v>
      </c>
      <c r="EN121" s="233"/>
      <c r="EO121" s="268"/>
      <c r="EP121" s="235" t="str">
        <f t="shared" si="316"/>
        <v xml:space="preserve">   </v>
      </c>
      <c r="EQ121" s="174" t="str">
        <f t="shared" ref="EQ121:EQ184" si="358">IF(OR(EO$8="判定対象外",EP$8="判定対象外",EP121="-"),"-",IF(EO121=EP121,"OK","NG"))</f>
        <v>NG</v>
      </c>
      <c r="ER121" s="268"/>
      <c r="ES121" s="172" t="s">
        <v>71</v>
      </c>
      <c r="ET121" s="233"/>
      <c r="EU121" s="268"/>
      <c r="EV121" s="235" t="str">
        <f t="shared" si="317"/>
        <v xml:space="preserve">   </v>
      </c>
      <c r="EW121" s="174" t="str">
        <f t="shared" ref="EW121:EW184" si="359">IF(OR(EU$8="判定対象外",EV$8="判定対象外",EV121="-"),"-",IF(EU121=EV121,"OK","NG"))</f>
        <v>NG</v>
      </c>
      <c r="EX121" s="268"/>
      <c r="EY121" s="172" t="s">
        <v>71</v>
      </c>
      <c r="EZ121" s="233"/>
      <c r="FA121" s="268"/>
      <c r="FB121" s="235" t="str">
        <f t="shared" si="318"/>
        <v xml:space="preserve">   </v>
      </c>
      <c r="FC121" s="174" t="str">
        <f t="shared" ref="FC121:FC184" si="360">IF(OR(FA$8="判定対象外",FB$8="判定対象外",FB121="-"),"-",IF(FA121=FB121,"OK","NG"))</f>
        <v>NG</v>
      </c>
      <c r="FD121" s="268"/>
      <c r="FE121" s="172" t="s">
        <v>71</v>
      </c>
      <c r="FF121" s="233"/>
      <c r="FG121" s="268"/>
      <c r="FH121" s="235" t="str">
        <f t="shared" si="319"/>
        <v xml:space="preserve">   </v>
      </c>
      <c r="FI121" s="174" t="str">
        <f t="shared" ref="FI121:FI184" si="361">IF(OR(FG$8="判定対象外",FH$8="判定対象外",FH121="-"),"-",IF(FG121=FH121,"OK","NG"))</f>
        <v>NG</v>
      </c>
      <c r="FJ121" s="268"/>
      <c r="FK121" s="172" t="s">
        <v>71</v>
      </c>
      <c r="FL121" s="233"/>
      <c r="FM121" s="268"/>
      <c r="FN121" s="235" t="str">
        <f t="shared" si="320"/>
        <v xml:space="preserve">   </v>
      </c>
      <c r="FO121" s="174" t="str">
        <f t="shared" si="251"/>
        <v>NG</v>
      </c>
      <c r="FP121" s="268"/>
      <c r="FQ121" s="172" t="s">
        <v>71</v>
      </c>
      <c r="FR121" s="233"/>
      <c r="FS121" s="268"/>
      <c r="FT121" s="235" t="str">
        <f t="shared" si="321"/>
        <v xml:space="preserve">   </v>
      </c>
      <c r="FU121" s="174" t="str">
        <f t="shared" si="252"/>
        <v>NG</v>
      </c>
      <c r="FV121" s="268"/>
      <c r="FW121" s="172" t="s">
        <v>71</v>
      </c>
      <c r="FX121" s="233"/>
      <c r="FY121" s="268"/>
      <c r="FZ121" s="235" t="str">
        <f t="shared" si="322"/>
        <v xml:space="preserve">   </v>
      </c>
      <c r="GA121" s="174" t="str">
        <f t="shared" si="253"/>
        <v>NG</v>
      </c>
      <c r="GB121" s="268"/>
      <c r="GC121" s="172" t="s">
        <v>71</v>
      </c>
    </row>
    <row r="122" spans="1:185" s="237" customFormat="1" ht="25.5">
      <c r="B122" s="216">
        <f t="shared" si="323"/>
        <v>115</v>
      </c>
      <c r="C122" s="220"/>
      <c r="D122" s="220"/>
      <c r="E122" s="220"/>
      <c r="F122" s="238" t="s">
        <v>347</v>
      </c>
      <c r="G122" s="168"/>
      <c r="H122" s="239"/>
      <c r="I122" s="225"/>
      <c r="J122" s="225"/>
      <c r="K122" s="226"/>
      <c r="L122" s="226"/>
      <c r="M122" s="227" t="s">
        <v>345</v>
      </c>
      <c r="N122" s="228"/>
      <c r="O122" s="229"/>
      <c r="P122" s="45">
        <f t="shared" si="326"/>
        <v>96</v>
      </c>
      <c r="Q122" s="230">
        <v>2</v>
      </c>
      <c r="R122" s="41" t="str">
        <f t="shared" si="353"/>
        <v>X</v>
      </c>
      <c r="S122" s="185" t="s">
        <v>247</v>
      </c>
      <c r="T122" s="231"/>
      <c r="U122" s="41" t="s">
        <v>80</v>
      </c>
      <c r="V122" s="229"/>
      <c r="W122" s="232">
        <v>3</v>
      </c>
      <c r="X122" s="194" t="s">
        <v>248</v>
      </c>
      <c r="Y122" s="194">
        <v>2</v>
      </c>
      <c r="Z122" s="194">
        <v>2</v>
      </c>
      <c r="AA122" s="225" t="s">
        <v>163</v>
      </c>
      <c r="AB122" s="225" t="s">
        <v>57</v>
      </c>
      <c r="AC122" s="219"/>
      <c r="AD122" s="233"/>
      <c r="AE122" s="268"/>
      <c r="AF122" s="235" t="str">
        <f t="shared" si="298"/>
        <v xml:space="preserve">  </v>
      </c>
      <c r="AG122" s="174" t="str">
        <f t="shared" si="237"/>
        <v>NG</v>
      </c>
      <c r="AH122" s="268"/>
      <c r="AI122" s="172" t="s">
        <v>71</v>
      </c>
      <c r="AJ122" s="233"/>
      <c r="AK122" s="234"/>
      <c r="AL122" s="235" t="str">
        <f t="shared" si="281"/>
        <v xml:space="preserve">  </v>
      </c>
      <c r="AM122" s="174" t="str">
        <f t="shared" si="324"/>
        <v>NG</v>
      </c>
      <c r="AN122" s="268"/>
      <c r="AO122" s="172" t="s">
        <v>71</v>
      </c>
      <c r="AP122" s="233"/>
      <c r="AQ122" s="268"/>
      <c r="AR122" s="235" t="str">
        <f t="shared" si="299"/>
        <v xml:space="preserve">  </v>
      </c>
      <c r="AS122" s="174" t="str">
        <f t="shared" si="238"/>
        <v>NG</v>
      </c>
      <c r="AT122" s="268"/>
      <c r="AU122" s="172" t="s">
        <v>71</v>
      </c>
      <c r="AV122" s="233"/>
      <c r="AW122" s="268"/>
      <c r="AX122" s="235" t="str">
        <f t="shared" si="300"/>
        <v xml:space="preserve">  </v>
      </c>
      <c r="AY122" s="174" t="str">
        <f t="shared" si="239"/>
        <v>NG</v>
      </c>
      <c r="AZ122" s="268"/>
      <c r="BA122" s="172" t="s">
        <v>71</v>
      </c>
      <c r="BB122" s="233"/>
      <c r="BC122" s="268"/>
      <c r="BD122" s="235" t="str">
        <f t="shared" si="301"/>
        <v xml:space="preserve">  </v>
      </c>
      <c r="BE122" s="174" t="str">
        <f t="shared" si="240"/>
        <v>NG</v>
      </c>
      <c r="BF122" s="268"/>
      <c r="BG122" s="172" t="s">
        <v>71</v>
      </c>
      <c r="BH122" s="233"/>
      <c r="BI122" s="268"/>
      <c r="BJ122" s="235" t="str">
        <f t="shared" si="302"/>
        <v xml:space="preserve">  </v>
      </c>
      <c r="BK122" s="174" t="str">
        <f t="shared" si="241"/>
        <v>NG</v>
      </c>
      <c r="BL122" s="268"/>
      <c r="BM122" s="172" t="s">
        <v>71</v>
      </c>
      <c r="BN122" s="233"/>
      <c r="BO122" s="268"/>
      <c r="BP122" s="235" t="str">
        <f t="shared" si="303"/>
        <v xml:space="preserve">  </v>
      </c>
      <c r="BQ122" s="174" t="str">
        <f t="shared" si="242"/>
        <v>NG</v>
      </c>
      <c r="BR122" s="268"/>
      <c r="BS122" s="172" t="s">
        <v>71</v>
      </c>
      <c r="BT122" s="233"/>
      <c r="BU122" s="268"/>
      <c r="BV122" s="235" t="str">
        <f t="shared" si="304"/>
        <v xml:space="preserve">  </v>
      </c>
      <c r="BW122" s="174" t="str">
        <f t="shared" si="243"/>
        <v>NG</v>
      </c>
      <c r="BX122" s="268"/>
      <c r="BY122" s="172" t="s">
        <v>71</v>
      </c>
      <c r="BZ122" s="233"/>
      <c r="CA122" s="268"/>
      <c r="CB122" s="235" t="str">
        <f t="shared" si="305"/>
        <v xml:space="preserve">  </v>
      </c>
      <c r="CC122" s="174" t="str">
        <f t="shared" si="244"/>
        <v>NG</v>
      </c>
      <c r="CD122" s="268"/>
      <c r="CE122" s="172" t="s">
        <v>71</v>
      </c>
      <c r="CF122" s="233"/>
      <c r="CG122" s="268"/>
      <c r="CH122" s="235" t="str">
        <f t="shared" si="306"/>
        <v xml:space="preserve">  </v>
      </c>
      <c r="CI122" s="174" t="str">
        <f t="shared" si="245"/>
        <v>NG</v>
      </c>
      <c r="CJ122" s="268"/>
      <c r="CK122" s="172" t="s">
        <v>71</v>
      </c>
      <c r="CL122" s="233"/>
      <c r="CM122" s="268"/>
      <c r="CN122" s="235" t="str">
        <f t="shared" si="307"/>
        <v xml:space="preserve">  </v>
      </c>
      <c r="CO122" s="174" t="str">
        <f t="shared" si="246"/>
        <v>NG</v>
      </c>
      <c r="CP122" s="268"/>
      <c r="CQ122" s="172" t="s">
        <v>71</v>
      </c>
      <c r="CR122" s="233"/>
      <c r="CS122" s="268"/>
      <c r="CT122" s="235" t="str">
        <f t="shared" si="308"/>
        <v xml:space="preserve">  </v>
      </c>
      <c r="CU122" s="174" t="str">
        <f t="shared" si="247"/>
        <v>NG</v>
      </c>
      <c r="CV122" s="268"/>
      <c r="CW122" s="172" t="s">
        <v>71</v>
      </c>
      <c r="CX122" s="233"/>
      <c r="CY122" s="268"/>
      <c r="CZ122" s="235" t="str">
        <f t="shared" si="309"/>
        <v xml:space="preserve">  </v>
      </c>
      <c r="DA122" s="174" t="str">
        <f t="shared" si="248"/>
        <v>NG</v>
      </c>
      <c r="DB122" s="268"/>
      <c r="DC122" s="172" t="s">
        <v>71</v>
      </c>
      <c r="DD122" s="233"/>
      <c r="DE122" s="268"/>
      <c r="DF122" s="235" t="str">
        <f t="shared" si="310"/>
        <v xml:space="preserve">  </v>
      </c>
      <c r="DG122" s="174" t="str">
        <f t="shared" si="249"/>
        <v>NG</v>
      </c>
      <c r="DH122" s="268"/>
      <c r="DI122" s="172" t="s">
        <v>71</v>
      </c>
      <c r="DJ122" s="233"/>
      <c r="DK122" s="268"/>
      <c r="DL122" s="235" t="str">
        <f t="shared" si="311"/>
        <v xml:space="preserve">  </v>
      </c>
      <c r="DM122" s="174" t="str">
        <f t="shared" si="250"/>
        <v>NG</v>
      </c>
      <c r="DN122" s="268"/>
      <c r="DO122" s="172" t="s">
        <v>71</v>
      </c>
      <c r="DP122" s="233"/>
      <c r="DQ122" s="268"/>
      <c r="DR122" s="235" t="str">
        <f t="shared" si="312"/>
        <v xml:space="preserve">  </v>
      </c>
      <c r="DS122" s="174" t="str">
        <f t="shared" si="354"/>
        <v>NG</v>
      </c>
      <c r="DT122" s="268"/>
      <c r="DU122" s="172" t="s">
        <v>71</v>
      </c>
      <c r="DV122" s="233"/>
      <c r="DW122" s="268"/>
      <c r="DX122" s="235" t="str">
        <f t="shared" si="313"/>
        <v xml:space="preserve">  </v>
      </c>
      <c r="DY122" s="174" t="str">
        <f t="shared" si="355"/>
        <v>NG</v>
      </c>
      <c r="DZ122" s="268"/>
      <c r="EA122" s="172" t="s">
        <v>71</v>
      </c>
      <c r="EB122" s="233"/>
      <c r="EC122" s="268"/>
      <c r="ED122" s="235" t="str">
        <f t="shared" si="314"/>
        <v xml:space="preserve">  </v>
      </c>
      <c r="EE122" s="174" t="str">
        <f t="shared" si="356"/>
        <v>NG</v>
      </c>
      <c r="EF122" s="268"/>
      <c r="EG122" s="172" t="s">
        <v>71</v>
      </c>
      <c r="EH122" s="233"/>
      <c r="EI122" s="268"/>
      <c r="EJ122" s="235" t="str">
        <f t="shared" si="315"/>
        <v xml:space="preserve">  </v>
      </c>
      <c r="EK122" s="174" t="str">
        <f t="shared" si="357"/>
        <v>NG</v>
      </c>
      <c r="EL122" s="268"/>
      <c r="EM122" s="172" t="s">
        <v>71</v>
      </c>
      <c r="EN122" s="233"/>
      <c r="EO122" s="268"/>
      <c r="EP122" s="235" t="str">
        <f t="shared" si="316"/>
        <v xml:space="preserve">  </v>
      </c>
      <c r="EQ122" s="174" t="str">
        <f t="shared" si="358"/>
        <v>NG</v>
      </c>
      <c r="ER122" s="268"/>
      <c r="ES122" s="172" t="s">
        <v>71</v>
      </c>
      <c r="ET122" s="233"/>
      <c r="EU122" s="268"/>
      <c r="EV122" s="235" t="str">
        <f t="shared" si="317"/>
        <v xml:space="preserve">  </v>
      </c>
      <c r="EW122" s="174" t="str">
        <f t="shared" si="359"/>
        <v>NG</v>
      </c>
      <c r="EX122" s="268"/>
      <c r="EY122" s="172" t="s">
        <v>71</v>
      </c>
      <c r="EZ122" s="233"/>
      <c r="FA122" s="268"/>
      <c r="FB122" s="235" t="str">
        <f t="shared" si="318"/>
        <v xml:space="preserve">  </v>
      </c>
      <c r="FC122" s="174" t="str">
        <f t="shared" si="360"/>
        <v>NG</v>
      </c>
      <c r="FD122" s="268"/>
      <c r="FE122" s="172" t="s">
        <v>71</v>
      </c>
      <c r="FF122" s="233"/>
      <c r="FG122" s="268"/>
      <c r="FH122" s="235" t="str">
        <f t="shared" si="319"/>
        <v xml:space="preserve">  </v>
      </c>
      <c r="FI122" s="174" t="str">
        <f t="shared" si="361"/>
        <v>NG</v>
      </c>
      <c r="FJ122" s="268"/>
      <c r="FK122" s="172" t="s">
        <v>71</v>
      </c>
      <c r="FL122" s="233"/>
      <c r="FM122" s="268"/>
      <c r="FN122" s="235" t="str">
        <f t="shared" si="320"/>
        <v xml:space="preserve">  </v>
      </c>
      <c r="FO122" s="174" t="str">
        <f t="shared" si="251"/>
        <v>NG</v>
      </c>
      <c r="FP122" s="268"/>
      <c r="FQ122" s="172" t="s">
        <v>71</v>
      </c>
      <c r="FR122" s="233"/>
      <c r="FS122" s="268"/>
      <c r="FT122" s="235" t="str">
        <f t="shared" si="321"/>
        <v xml:space="preserve">  </v>
      </c>
      <c r="FU122" s="174" t="str">
        <f t="shared" si="252"/>
        <v>NG</v>
      </c>
      <c r="FV122" s="268"/>
      <c r="FW122" s="172" t="s">
        <v>71</v>
      </c>
      <c r="FX122" s="233"/>
      <c r="FY122" s="268"/>
      <c r="FZ122" s="235" t="str">
        <f t="shared" si="322"/>
        <v xml:space="preserve">  </v>
      </c>
      <c r="GA122" s="174" t="str">
        <f t="shared" si="253"/>
        <v>NG</v>
      </c>
      <c r="GB122" s="268"/>
      <c r="GC122" s="172" t="s">
        <v>71</v>
      </c>
    </row>
    <row r="123" spans="1:185" s="237" customFormat="1" ht="51.75" customHeight="1">
      <c r="B123" s="216">
        <f t="shared" si="323"/>
        <v>116</v>
      </c>
      <c r="C123" s="220"/>
      <c r="D123" s="220"/>
      <c r="E123" s="220"/>
      <c r="F123" s="240" t="s">
        <v>348</v>
      </c>
      <c r="G123" s="241"/>
      <c r="H123" s="242"/>
      <c r="I123" s="225"/>
      <c r="J123" s="225"/>
      <c r="K123" s="226"/>
      <c r="L123" s="226"/>
      <c r="M123" s="227" t="s">
        <v>349</v>
      </c>
      <c r="N123" s="228"/>
      <c r="O123" s="229"/>
      <c r="P123" s="45">
        <f t="shared" si="326"/>
        <v>97</v>
      </c>
      <c r="Q123" s="230">
        <v>5</v>
      </c>
      <c r="R123" s="41" t="str">
        <f t="shared" si="353"/>
        <v>X</v>
      </c>
      <c r="S123" s="185" t="s">
        <v>249</v>
      </c>
      <c r="T123" s="231"/>
      <c r="U123" s="41" t="s">
        <v>80</v>
      </c>
      <c r="V123" s="229"/>
      <c r="W123" s="232">
        <v>3</v>
      </c>
      <c r="X123" s="194" t="s">
        <v>263</v>
      </c>
      <c r="Y123" s="194">
        <v>5</v>
      </c>
      <c r="Z123" s="194">
        <v>5</v>
      </c>
      <c r="AA123" s="225" t="s">
        <v>163</v>
      </c>
      <c r="AB123" s="225" t="s">
        <v>57</v>
      </c>
      <c r="AC123" s="243"/>
      <c r="AD123" s="233"/>
      <c r="AE123" s="268"/>
      <c r="AF123" s="235" t="str">
        <f t="shared" si="298"/>
        <v xml:space="preserve">     </v>
      </c>
      <c r="AG123" s="174" t="str">
        <f t="shared" si="237"/>
        <v>NG</v>
      </c>
      <c r="AH123" s="268"/>
      <c r="AI123" s="276" t="str">
        <f>IF(OR(AE$8="判定対象外",AH$8="判定対象外",AH123="-"),"-",IF(AE123=AH123,"OK","NG"))</f>
        <v>OK</v>
      </c>
      <c r="AJ123" s="233"/>
      <c r="AK123" s="234"/>
      <c r="AL123" s="235" t="str">
        <f t="shared" si="281"/>
        <v xml:space="preserve">     </v>
      </c>
      <c r="AM123" s="174" t="str">
        <f t="shared" si="324"/>
        <v>NG</v>
      </c>
      <c r="AN123" s="268"/>
      <c r="AO123" s="276" t="str">
        <f>IF(OR(AK$8="判定対象外",AN$8="判定対象外",AN123="-"),"-",IF(AK123=AN123,"OK","NG"))</f>
        <v>OK</v>
      </c>
      <c r="AP123" s="233"/>
      <c r="AQ123" s="268"/>
      <c r="AR123" s="235" t="str">
        <f t="shared" si="299"/>
        <v xml:space="preserve">     </v>
      </c>
      <c r="AS123" s="174" t="str">
        <f t="shared" si="238"/>
        <v>NG</v>
      </c>
      <c r="AT123" s="268"/>
      <c r="AU123" s="276" t="str">
        <f>IF(OR(AQ$8="判定対象外",AT$8="判定対象外",AT123="-"),"-",IF(AQ123=AT123,"OK","NG"))</f>
        <v>OK</v>
      </c>
      <c r="AV123" s="233"/>
      <c r="AW123" s="268"/>
      <c r="AX123" s="235" t="str">
        <f t="shared" si="300"/>
        <v xml:space="preserve">     </v>
      </c>
      <c r="AY123" s="174" t="str">
        <f t="shared" si="239"/>
        <v>NG</v>
      </c>
      <c r="AZ123" s="268"/>
      <c r="BA123" s="276" t="str">
        <f>IF(OR(AW$8="判定対象外",AZ$8="判定対象外",AZ123="-"),"-",IF(AW123=AZ123,"OK","NG"))</f>
        <v>OK</v>
      </c>
      <c r="BB123" s="233"/>
      <c r="BC123" s="268"/>
      <c r="BD123" s="235" t="str">
        <f t="shared" si="301"/>
        <v xml:space="preserve">     </v>
      </c>
      <c r="BE123" s="174" t="str">
        <f t="shared" si="240"/>
        <v>NG</v>
      </c>
      <c r="BF123" s="268"/>
      <c r="BG123" s="276" t="str">
        <f>IF(OR(BC$8="判定対象外",BF$8="判定対象外",BF123="-"),"-",IF(BC123=BF123,"OK","NG"))</f>
        <v>OK</v>
      </c>
      <c r="BH123" s="233"/>
      <c r="BI123" s="268"/>
      <c r="BJ123" s="235" t="str">
        <f t="shared" si="302"/>
        <v xml:space="preserve">     </v>
      </c>
      <c r="BK123" s="174" t="str">
        <f t="shared" si="241"/>
        <v>NG</v>
      </c>
      <c r="BL123" s="268"/>
      <c r="BM123" s="276" t="str">
        <f>IF(OR(BI$8="判定対象外",BL$8="判定対象外",BL123="-"),"-",IF(BI123=BL123,"OK","NG"))</f>
        <v>OK</v>
      </c>
      <c r="BN123" s="233"/>
      <c r="BO123" s="268"/>
      <c r="BP123" s="235" t="str">
        <f t="shared" si="303"/>
        <v xml:space="preserve">     </v>
      </c>
      <c r="BQ123" s="174" t="str">
        <f t="shared" si="242"/>
        <v>NG</v>
      </c>
      <c r="BR123" s="268"/>
      <c r="BS123" s="276" t="str">
        <f>IF(OR(BO$8="判定対象外",BR$8="判定対象外",BR123="-"),"-",IF(BO123=BR123,"OK","NG"))</f>
        <v>OK</v>
      </c>
      <c r="BT123" s="233"/>
      <c r="BU123" s="268"/>
      <c r="BV123" s="235" t="str">
        <f t="shared" si="304"/>
        <v xml:space="preserve">     </v>
      </c>
      <c r="BW123" s="174" t="str">
        <f t="shared" si="243"/>
        <v>NG</v>
      </c>
      <c r="BX123" s="268"/>
      <c r="BY123" s="276" t="str">
        <f>IF(OR(BU$8="判定対象外",BX$8="判定対象外",BX123="-"),"-",IF(BU123=BX123,"OK","NG"))</f>
        <v>OK</v>
      </c>
      <c r="BZ123" s="233"/>
      <c r="CA123" s="268"/>
      <c r="CB123" s="235" t="str">
        <f t="shared" si="305"/>
        <v xml:space="preserve">     </v>
      </c>
      <c r="CC123" s="174" t="str">
        <f t="shared" si="244"/>
        <v>NG</v>
      </c>
      <c r="CD123" s="268"/>
      <c r="CE123" s="276" t="str">
        <f>IF(OR(CA$8="判定対象外",CD$8="判定対象外",CD123="-"),"-",IF(CA123=CD123,"OK","NG"))</f>
        <v>OK</v>
      </c>
      <c r="CF123" s="233"/>
      <c r="CG123" s="268"/>
      <c r="CH123" s="235" t="str">
        <f t="shared" si="306"/>
        <v xml:space="preserve">     </v>
      </c>
      <c r="CI123" s="174" t="str">
        <f t="shared" si="245"/>
        <v>NG</v>
      </c>
      <c r="CJ123" s="268"/>
      <c r="CK123" s="276" t="str">
        <f>IF(OR(CG$8="判定対象外",CJ$8="判定対象外",CJ123="-"),"-",IF(CG123=CJ123,"OK","NG"))</f>
        <v>OK</v>
      </c>
      <c r="CL123" s="233"/>
      <c r="CM123" s="268"/>
      <c r="CN123" s="235" t="str">
        <f t="shared" si="307"/>
        <v xml:space="preserve">     </v>
      </c>
      <c r="CO123" s="174" t="str">
        <f t="shared" si="246"/>
        <v>NG</v>
      </c>
      <c r="CP123" s="268"/>
      <c r="CQ123" s="276" t="str">
        <f>IF(OR(CM$8="判定対象外",CP$8="判定対象外",CP123="-"),"-",IF(CM123=CP123,"OK","NG"))</f>
        <v>OK</v>
      </c>
      <c r="CR123" s="233"/>
      <c r="CS123" s="268"/>
      <c r="CT123" s="235" t="str">
        <f t="shared" si="308"/>
        <v xml:space="preserve">     </v>
      </c>
      <c r="CU123" s="174" t="str">
        <f t="shared" si="247"/>
        <v>NG</v>
      </c>
      <c r="CV123" s="268"/>
      <c r="CW123" s="276" t="str">
        <f>IF(OR(CS$8="判定対象外",CV$8="判定対象外",CV123="-"),"-",IF(CS123=CV123,"OK","NG"))</f>
        <v>OK</v>
      </c>
      <c r="CX123" s="233"/>
      <c r="CY123" s="268"/>
      <c r="CZ123" s="235" t="str">
        <f t="shared" si="309"/>
        <v xml:space="preserve">     </v>
      </c>
      <c r="DA123" s="174" t="str">
        <f t="shared" si="248"/>
        <v>NG</v>
      </c>
      <c r="DB123" s="268"/>
      <c r="DC123" s="276" t="str">
        <f>IF(OR(CY$8="判定対象外",DB$8="判定対象外",DB123="-"),"-",IF(CY123=DB123,"OK","NG"))</f>
        <v>OK</v>
      </c>
      <c r="DD123" s="233"/>
      <c r="DE123" s="268"/>
      <c r="DF123" s="235" t="str">
        <f t="shared" si="310"/>
        <v xml:space="preserve">     </v>
      </c>
      <c r="DG123" s="174" t="str">
        <f t="shared" si="249"/>
        <v>NG</v>
      </c>
      <c r="DH123" s="268"/>
      <c r="DI123" s="276" t="str">
        <f>IF(OR(DE$8="判定対象外",DH$8="判定対象外",DH123="-"),"-",IF(DE123=DH123,"OK","NG"))</f>
        <v>OK</v>
      </c>
      <c r="DJ123" s="233"/>
      <c r="DK123" s="268"/>
      <c r="DL123" s="235" t="str">
        <f t="shared" si="311"/>
        <v xml:space="preserve">     </v>
      </c>
      <c r="DM123" s="174" t="str">
        <f t="shared" si="250"/>
        <v>NG</v>
      </c>
      <c r="DN123" s="268"/>
      <c r="DO123" s="276" t="str">
        <f>IF(OR(DK$8="判定対象外",DN$8="判定対象外",DN123="-"),"-",IF(DK123=DN123,"OK","NG"))</f>
        <v>OK</v>
      </c>
      <c r="DP123" s="233"/>
      <c r="DQ123" s="268"/>
      <c r="DR123" s="235" t="str">
        <f t="shared" si="312"/>
        <v xml:space="preserve">     </v>
      </c>
      <c r="DS123" s="174" t="str">
        <f t="shared" si="354"/>
        <v>NG</v>
      </c>
      <c r="DT123" s="268"/>
      <c r="DU123" s="276" t="str">
        <f>IF(OR(DQ$8="判定対象外",DT$8="判定対象外",DT123="-"),"-",IF(DQ123=DT123,"OK","NG"))</f>
        <v>OK</v>
      </c>
      <c r="DV123" s="233"/>
      <c r="DW123" s="268"/>
      <c r="DX123" s="235" t="str">
        <f t="shared" si="313"/>
        <v xml:space="preserve">     </v>
      </c>
      <c r="DY123" s="174" t="str">
        <f t="shared" si="355"/>
        <v>NG</v>
      </c>
      <c r="DZ123" s="268"/>
      <c r="EA123" s="276" t="str">
        <f>IF(OR(DW$8="判定対象外",DZ$8="判定対象外",DZ123="-"),"-",IF(DW123=DZ123,"OK","NG"))</f>
        <v>OK</v>
      </c>
      <c r="EB123" s="233"/>
      <c r="EC123" s="268"/>
      <c r="ED123" s="235" t="str">
        <f t="shared" si="314"/>
        <v xml:space="preserve">     </v>
      </c>
      <c r="EE123" s="174" t="str">
        <f t="shared" si="356"/>
        <v>NG</v>
      </c>
      <c r="EF123" s="268"/>
      <c r="EG123" s="276" t="str">
        <f>IF(OR(EC$8="判定対象外",EF$8="判定対象外",EF123="-"),"-",IF(EC123=EF123,"OK","NG"))</f>
        <v>OK</v>
      </c>
      <c r="EH123" s="233"/>
      <c r="EI123" s="268"/>
      <c r="EJ123" s="235" t="str">
        <f t="shared" si="315"/>
        <v xml:space="preserve">     </v>
      </c>
      <c r="EK123" s="174" t="str">
        <f t="shared" si="357"/>
        <v>NG</v>
      </c>
      <c r="EL123" s="268"/>
      <c r="EM123" s="276" t="str">
        <f>IF(OR(EI$8="判定対象外",EL$8="判定対象外",EL123="-"),"-",IF(EI123=EL123,"OK","NG"))</f>
        <v>OK</v>
      </c>
      <c r="EN123" s="233"/>
      <c r="EO123" s="268"/>
      <c r="EP123" s="235" t="str">
        <f t="shared" si="316"/>
        <v xml:space="preserve">     </v>
      </c>
      <c r="EQ123" s="174" t="str">
        <f t="shared" si="358"/>
        <v>NG</v>
      </c>
      <c r="ER123" s="268"/>
      <c r="ES123" s="276" t="str">
        <f>IF(OR(EO$8="判定対象外",ER$8="判定対象外",ER123="-"),"-",IF(EO123=ER123,"OK","NG"))</f>
        <v>OK</v>
      </c>
      <c r="ET123" s="233"/>
      <c r="EU123" s="268"/>
      <c r="EV123" s="235" t="str">
        <f t="shared" si="317"/>
        <v xml:space="preserve">     </v>
      </c>
      <c r="EW123" s="174" t="str">
        <f t="shared" si="359"/>
        <v>NG</v>
      </c>
      <c r="EX123" s="268"/>
      <c r="EY123" s="276" t="str">
        <f>IF(OR(EU$8="判定対象外",EX$8="判定対象外",EX123="-"),"-",IF(EU123=EX123,"OK","NG"))</f>
        <v>OK</v>
      </c>
      <c r="EZ123" s="233"/>
      <c r="FA123" s="268"/>
      <c r="FB123" s="235" t="str">
        <f t="shared" si="318"/>
        <v xml:space="preserve">     </v>
      </c>
      <c r="FC123" s="174" t="str">
        <f t="shared" si="360"/>
        <v>NG</v>
      </c>
      <c r="FD123" s="268"/>
      <c r="FE123" s="276" t="str">
        <f>IF(OR(FA$8="判定対象外",FD$8="判定対象外",FD123="-"),"-",IF(FA123=FD123,"OK","NG"))</f>
        <v>OK</v>
      </c>
      <c r="FF123" s="233"/>
      <c r="FG123" s="268"/>
      <c r="FH123" s="235" t="str">
        <f t="shared" si="319"/>
        <v xml:space="preserve">     </v>
      </c>
      <c r="FI123" s="174" t="str">
        <f t="shared" si="361"/>
        <v>NG</v>
      </c>
      <c r="FJ123" s="268"/>
      <c r="FK123" s="276" t="str">
        <f>IF(OR(FG$8="判定対象外",FJ$8="判定対象外",FJ123="-"),"-",IF(FG123=FJ123,"OK","NG"))</f>
        <v>OK</v>
      </c>
      <c r="FL123" s="233"/>
      <c r="FM123" s="268"/>
      <c r="FN123" s="235" t="str">
        <f t="shared" si="320"/>
        <v xml:space="preserve">     </v>
      </c>
      <c r="FO123" s="174" t="str">
        <f t="shared" si="251"/>
        <v>NG</v>
      </c>
      <c r="FP123" s="268"/>
      <c r="FQ123" s="276" t="str">
        <f>IF(OR(FM$8="判定対象外",FP$8="判定対象外",FP123="-"),"-",IF(FM123=FP123,"OK","NG"))</f>
        <v>OK</v>
      </c>
      <c r="FR123" s="233"/>
      <c r="FS123" s="268"/>
      <c r="FT123" s="235" t="str">
        <f t="shared" si="321"/>
        <v xml:space="preserve">     </v>
      </c>
      <c r="FU123" s="174" t="str">
        <f t="shared" si="252"/>
        <v>NG</v>
      </c>
      <c r="FV123" s="268"/>
      <c r="FW123" s="276" t="str">
        <f>IF(OR(FS$8="判定対象外",FV$8="判定対象外",FV123="-"),"-",IF(FS123=FV123,"OK","NG"))</f>
        <v>OK</v>
      </c>
      <c r="FX123" s="233"/>
      <c r="FY123" s="268"/>
      <c r="FZ123" s="235" t="str">
        <f t="shared" si="322"/>
        <v xml:space="preserve">     </v>
      </c>
      <c r="GA123" s="174" t="str">
        <f t="shared" si="253"/>
        <v>NG</v>
      </c>
      <c r="GB123" s="268"/>
      <c r="GC123" s="276" t="str">
        <f>IF(OR(FY$8="判定対象外",GB$8="判定対象外",GB123="-"),"-",IF(FY123=GB123,"OK","NG"))</f>
        <v>OK</v>
      </c>
    </row>
    <row r="124" spans="1:185" s="237" customFormat="1" ht="51.75" customHeight="1">
      <c r="B124" s="216">
        <f t="shared" si="323"/>
        <v>117</v>
      </c>
      <c r="C124" s="220"/>
      <c r="D124" s="220"/>
      <c r="E124" s="220"/>
      <c r="F124" s="240" t="s">
        <v>350</v>
      </c>
      <c r="G124" s="241"/>
      <c r="H124" s="242"/>
      <c r="I124" s="225"/>
      <c r="J124" s="225"/>
      <c r="K124" s="226"/>
      <c r="L124" s="226"/>
      <c r="M124" s="227" t="s">
        <v>351</v>
      </c>
      <c r="N124" s="228"/>
      <c r="O124" s="229"/>
      <c r="P124" s="45">
        <f t="shared" si="326"/>
        <v>98</v>
      </c>
      <c r="Q124" s="230">
        <v>64</v>
      </c>
      <c r="R124" s="41" t="str">
        <f t="shared" si="353"/>
        <v>NX</v>
      </c>
      <c r="S124" s="185" t="s">
        <v>251</v>
      </c>
      <c r="T124" s="231"/>
      <c r="U124" s="41" t="s">
        <v>80</v>
      </c>
      <c r="V124" s="229" t="s">
        <v>252</v>
      </c>
      <c r="W124" s="232">
        <v>3</v>
      </c>
      <c r="X124" s="194" t="s">
        <v>253</v>
      </c>
      <c r="Y124" s="194">
        <v>1</v>
      </c>
      <c r="Z124" s="194">
        <v>64</v>
      </c>
      <c r="AA124" s="225" t="s">
        <v>101</v>
      </c>
      <c r="AB124" s="225" t="s">
        <v>57</v>
      </c>
      <c r="AC124" s="243" t="s">
        <v>252</v>
      </c>
      <c r="AD124" s="233"/>
      <c r="AE124" s="268"/>
      <c r="AF124" s="235" t="str">
        <f t="shared" si="298"/>
        <v xml:space="preserve">                                                                </v>
      </c>
      <c r="AG124" s="174" t="str">
        <f t="shared" si="237"/>
        <v>NG</v>
      </c>
      <c r="AH124" s="268"/>
      <c r="AI124" s="276" t="str">
        <f>IF(OR(AE$8="判定対象外",AH$8="判定対象外",AH124="-"),"-",IF(AE124=AH124,"OK","NG"))</f>
        <v>OK</v>
      </c>
      <c r="AJ124" s="233"/>
      <c r="AK124" s="234"/>
      <c r="AL124" s="235" t="str">
        <f t="shared" si="281"/>
        <v xml:space="preserve">                                                                </v>
      </c>
      <c r="AM124" s="174" t="str">
        <f t="shared" si="324"/>
        <v>NG</v>
      </c>
      <c r="AN124" s="268"/>
      <c r="AO124" s="276" t="str">
        <f>IF(OR(AK$8="判定対象外",AN$8="判定対象外",AN124="-"),"-",IF(AK124=AN124,"OK","NG"))</f>
        <v>OK</v>
      </c>
      <c r="AP124" s="233"/>
      <c r="AQ124" s="268"/>
      <c r="AR124" s="235" t="str">
        <f t="shared" si="299"/>
        <v xml:space="preserve">                                                                </v>
      </c>
      <c r="AS124" s="174" t="str">
        <f t="shared" si="238"/>
        <v>NG</v>
      </c>
      <c r="AT124" s="268"/>
      <c r="AU124" s="276" t="str">
        <f>IF(OR(AQ$8="判定対象外",AT$8="判定対象外",AT124="-"),"-",IF(AQ124=AT124,"OK","NG"))</f>
        <v>OK</v>
      </c>
      <c r="AV124" s="233"/>
      <c r="AW124" s="268"/>
      <c r="AX124" s="235" t="str">
        <f t="shared" si="300"/>
        <v xml:space="preserve">                                                                </v>
      </c>
      <c r="AY124" s="174" t="str">
        <f t="shared" si="239"/>
        <v>NG</v>
      </c>
      <c r="AZ124" s="268"/>
      <c r="BA124" s="276" t="str">
        <f>IF(OR(AW$8="判定対象外",AZ$8="判定対象外",AZ124="-"),"-",IF(AW124=AZ124,"OK","NG"))</f>
        <v>OK</v>
      </c>
      <c r="BB124" s="233"/>
      <c r="BC124" s="268"/>
      <c r="BD124" s="235" t="str">
        <f t="shared" si="301"/>
        <v xml:space="preserve">                                                                </v>
      </c>
      <c r="BE124" s="174" t="str">
        <f t="shared" si="240"/>
        <v>NG</v>
      </c>
      <c r="BF124" s="268"/>
      <c r="BG124" s="276" t="str">
        <f>IF(OR(BC$8="判定対象外",BF$8="判定対象外",BF124="-"),"-",IF(BC124=BF124,"OK","NG"))</f>
        <v>OK</v>
      </c>
      <c r="BH124" s="233"/>
      <c r="BI124" s="268"/>
      <c r="BJ124" s="235" t="str">
        <f t="shared" si="302"/>
        <v xml:space="preserve">                                                                </v>
      </c>
      <c r="BK124" s="174" t="str">
        <f t="shared" si="241"/>
        <v>NG</v>
      </c>
      <c r="BL124" s="268"/>
      <c r="BM124" s="276" t="str">
        <f>IF(OR(BI$8="判定対象外",BL$8="判定対象外",BL124="-"),"-",IF(BI124=BL124,"OK","NG"))</f>
        <v>OK</v>
      </c>
      <c r="BN124" s="233"/>
      <c r="BO124" s="268"/>
      <c r="BP124" s="235" t="str">
        <f t="shared" si="303"/>
        <v xml:space="preserve">                                                                </v>
      </c>
      <c r="BQ124" s="174" t="str">
        <f t="shared" si="242"/>
        <v>NG</v>
      </c>
      <c r="BR124" s="268"/>
      <c r="BS124" s="276" t="str">
        <f>IF(OR(BO$8="判定対象外",BR$8="判定対象外",BR124="-"),"-",IF(BO124=BR124,"OK","NG"))</f>
        <v>OK</v>
      </c>
      <c r="BT124" s="233"/>
      <c r="BU124" s="268"/>
      <c r="BV124" s="235" t="str">
        <f t="shared" si="304"/>
        <v xml:space="preserve">                                                                </v>
      </c>
      <c r="BW124" s="174" t="str">
        <f t="shared" si="243"/>
        <v>NG</v>
      </c>
      <c r="BX124" s="268"/>
      <c r="BY124" s="276" t="str">
        <f>IF(OR(BU$8="判定対象外",BX$8="判定対象外",BX124="-"),"-",IF(BU124=BX124,"OK","NG"))</f>
        <v>OK</v>
      </c>
      <c r="BZ124" s="233"/>
      <c r="CA124" s="268"/>
      <c r="CB124" s="235" t="str">
        <f t="shared" si="305"/>
        <v xml:space="preserve">                                                                </v>
      </c>
      <c r="CC124" s="174" t="str">
        <f t="shared" si="244"/>
        <v>NG</v>
      </c>
      <c r="CD124" s="268"/>
      <c r="CE124" s="276" t="str">
        <f>IF(OR(CA$8="判定対象外",CD$8="判定対象外",CD124="-"),"-",IF(CA124=CD124,"OK","NG"))</f>
        <v>OK</v>
      </c>
      <c r="CF124" s="233"/>
      <c r="CG124" s="268"/>
      <c r="CH124" s="235" t="str">
        <f t="shared" si="306"/>
        <v xml:space="preserve">                                                                </v>
      </c>
      <c r="CI124" s="174" t="str">
        <f t="shared" si="245"/>
        <v>NG</v>
      </c>
      <c r="CJ124" s="268"/>
      <c r="CK124" s="276" t="str">
        <f>IF(OR(CG$8="判定対象外",CJ$8="判定対象外",CJ124="-"),"-",IF(CG124=CJ124,"OK","NG"))</f>
        <v>OK</v>
      </c>
      <c r="CL124" s="233"/>
      <c r="CM124" s="268"/>
      <c r="CN124" s="235" t="str">
        <f t="shared" si="307"/>
        <v xml:space="preserve">                                                                </v>
      </c>
      <c r="CO124" s="174" t="str">
        <f t="shared" si="246"/>
        <v>NG</v>
      </c>
      <c r="CP124" s="268"/>
      <c r="CQ124" s="276" t="str">
        <f>IF(OR(CM$8="判定対象外",CP$8="判定対象外",CP124="-"),"-",IF(CM124=CP124,"OK","NG"))</f>
        <v>OK</v>
      </c>
      <c r="CR124" s="233"/>
      <c r="CS124" s="268"/>
      <c r="CT124" s="235" t="str">
        <f t="shared" si="308"/>
        <v xml:space="preserve">                                                                </v>
      </c>
      <c r="CU124" s="174" t="str">
        <f t="shared" si="247"/>
        <v>NG</v>
      </c>
      <c r="CV124" s="268"/>
      <c r="CW124" s="276" t="str">
        <f>IF(OR(CS$8="判定対象外",CV$8="判定対象外",CV124="-"),"-",IF(CS124=CV124,"OK","NG"))</f>
        <v>OK</v>
      </c>
      <c r="CX124" s="233"/>
      <c r="CY124" s="268"/>
      <c r="CZ124" s="235" t="str">
        <f t="shared" si="309"/>
        <v xml:space="preserve">                                                                </v>
      </c>
      <c r="DA124" s="174" t="str">
        <f t="shared" si="248"/>
        <v>NG</v>
      </c>
      <c r="DB124" s="268"/>
      <c r="DC124" s="276" t="str">
        <f>IF(OR(CY$8="判定対象外",DB$8="判定対象外",DB124="-"),"-",IF(CY124=DB124,"OK","NG"))</f>
        <v>OK</v>
      </c>
      <c r="DD124" s="233"/>
      <c r="DE124" s="268"/>
      <c r="DF124" s="235" t="str">
        <f t="shared" si="310"/>
        <v xml:space="preserve">                                                                </v>
      </c>
      <c r="DG124" s="174" t="str">
        <f t="shared" si="249"/>
        <v>NG</v>
      </c>
      <c r="DH124" s="268"/>
      <c r="DI124" s="276" t="str">
        <f>IF(OR(DE$8="判定対象外",DH$8="判定対象外",DH124="-"),"-",IF(DE124=DH124,"OK","NG"))</f>
        <v>OK</v>
      </c>
      <c r="DJ124" s="233"/>
      <c r="DK124" s="268"/>
      <c r="DL124" s="235" t="str">
        <f t="shared" si="311"/>
        <v xml:space="preserve">                                                                </v>
      </c>
      <c r="DM124" s="174" t="str">
        <f t="shared" si="250"/>
        <v>NG</v>
      </c>
      <c r="DN124" s="268"/>
      <c r="DO124" s="276" t="str">
        <f>IF(OR(DK$8="判定対象外",DN$8="判定対象外",DN124="-"),"-",IF(DK124=DN124,"OK","NG"))</f>
        <v>OK</v>
      </c>
      <c r="DP124" s="233"/>
      <c r="DQ124" s="268"/>
      <c r="DR124" s="235" t="str">
        <f t="shared" si="312"/>
        <v xml:space="preserve">                                                                </v>
      </c>
      <c r="DS124" s="174" t="str">
        <f t="shared" si="354"/>
        <v>NG</v>
      </c>
      <c r="DT124" s="268"/>
      <c r="DU124" s="276" t="str">
        <f>IF(OR(DQ$8="判定対象外",DT$8="判定対象外",DT124="-"),"-",IF(DQ124=DT124,"OK","NG"))</f>
        <v>OK</v>
      </c>
      <c r="DV124" s="233"/>
      <c r="DW124" s="268"/>
      <c r="DX124" s="235" t="str">
        <f t="shared" si="313"/>
        <v xml:space="preserve">                                                                </v>
      </c>
      <c r="DY124" s="174" t="str">
        <f t="shared" si="355"/>
        <v>NG</v>
      </c>
      <c r="DZ124" s="268"/>
      <c r="EA124" s="276" t="str">
        <f>IF(OR(DW$8="判定対象外",DZ$8="判定対象外",DZ124="-"),"-",IF(DW124=DZ124,"OK","NG"))</f>
        <v>OK</v>
      </c>
      <c r="EB124" s="233"/>
      <c r="EC124" s="268"/>
      <c r="ED124" s="235" t="str">
        <f t="shared" si="314"/>
        <v xml:space="preserve">                                                                </v>
      </c>
      <c r="EE124" s="174" t="str">
        <f t="shared" si="356"/>
        <v>NG</v>
      </c>
      <c r="EF124" s="268"/>
      <c r="EG124" s="276" t="str">
        <f>IF(OR(EC$8="判定対象外",EF$8="判定対象外",EF124="-"),"-",IF(EC124=EF124,"OK","NG"))</f>
        <v>OK</v>
      </c>
      <c r="EH124" s="233"/>
      <c r="EI124" s="268"/>
      <c r="EJ124" s="235" t="str">
        <f t="shared" si="315"/>
        <v xml:space="preserve">                                                                </v>
      </c>
      <c r="EK124" s="174" t="str">
        <f t="shared" si="357"/>
        <v>NG</v>
      </c>
      <c r="EL124" s="268"/>
      <c r="EM124" s="276" t="str">
        <f>IF(OR(EI$8="判定対象外",EL$8="判定対象外",EL124="-"),"-",IF(EI124=EL124,"OK","NG"))</f>
        <v>OK</v>
      </c>
      <c r="EN124" s="233"/>
      <c r="EO124" s="268"/>
      <c r="EP124" s="235" t="str">
        <f t="shared" si="316"/>
        <v xml:space="preserve">                                                                </v>
      </c>
      <c r="EQ124" s="174" t="str">
        <f t="shared" si="358"/>
        <v>NG</v>
      </c>
      <c r="ER124" s="268"/>
      <c r="ES124" s="276" t="str">
        <f>IF(OR(EO$8="判定対象外",ER$8="判定対象外",ER124="-"),"-",IF(EO124=ER124,"OK","NG"))</f>
        <v>OK</v>
      </c>
      <c r="ET124" s="233"/>
      <c r="EU124" s="268"/>
      <c r="EV124" s="235" t="str">
        <f t="shared" si="317"/>
        <v xml:space="preserve">                                                                </v>
      </c>
      <c r="EW124" s="174" t="str">
        <f t="shared" si="359"/>
        <v>NG</v>
      </c>
      <c r="EX124" s="268"/>
      <c r="EY124" s="276" t="str">
        <f>IF(OR(EU$8="判定対象外",EX$8="判定対象外",EX124="-"),"-",IF(EU124=EX124,"OK","NG"))</f>
        <v>OK</v>
      </c>
      <c r="EZ124" s="233"/>
      <c r="FA124" s="268"/>
      <c r="FB124" s="235" t="str">
        <f t="shared" si="318"/>
        <v xml:space="preserve">                                                                </v>
      </c>
      <c r="FC124" s="174" t="str">
        <f t="shared" si="360"/>
        <v>NG</v>
      </c>
      <c r="FD124" s="268"/>
      <c r="FE124" s="276" t="str">
        <f>IF(OR(FA$8="判定対象外",FD$8="判定対象外",FD124="-"),"-",IF(FA124=FD124,"OK","NG"))</f>
        <v>OK</v>
      </c>
      <c r="FF124" s="233"/>
      <c r="FG124" s="268"/>
      <c r="FH124" s="235" t="str">
        <f t="shared" si="319"/>
        <v xml:space="preserve">                                                                </v>
      </c>
      <c r="FI124" s="174" t="str">
        <f t="shared" si="361"/>
        <v>NG</v>
      </c>
      <c r="FJ124" s="268"/>
      <c r="FK124" s="276" t="str">
        <f>IF(OR(FG$8="判定対象外",FJ$8="判定対象外",FJ124="-"),"-",IF(FG124=FJ124,"OK","NG"))</f>
        <v>OK</v>
      </c>
      <c r="FL124" s="233"/>
      <c r="FM124" s="268"/>
      <c r="FN124" s="235" t="str">
        <f t="shared" si="320"/>
        <v xml:space="preserve">                                                                </v>
      </c>
      <c r="FO124" s="174" t="str">
        <f t="shared" si="251"/>
        <v>NG</v>
      </c>
      <c r="FP124" s="268"/>
      <c r="FQ124" s="276" t="str">
        <f>IF(OR(FM$8="判定対象外",FP$8="判定対象外",FP124="-"),"-",IF(FM124=FP124,"OK","NG"))</f>
        <v>OK</v>
      </c>
      <c r="FR124" s="233"/>
      <c r="FS124" s="268"/>
      <c r="FT124" s="235" t="str">
        <f t="shared" si="321"/>
        <v xml:space="preserve">                                                                </v>
      </c>
      <c r="FU124" s="174" t="str">
        <f t="shared" si="252"/>
        <v>NG</v>
      </c>
      <c r="FV124" s="268"/>
      <c r="FW124" s="276" t="str">
        <f>IF(OR(FS$8="判定対象外",FV$8="判定対象外",FV124="-"),"-",IF(FS124=FV124,"OK","NG"))</f>
        <v>OK</v>
      </c>
      <c r="FX124" s="233"/>
      <c r="FY124" s="268"/>
      <c r="FZ124" s="235" t="str">
        <f t="shared" si="322"/>
        <v xml:space="preserve">                                                                </v>
      </c>
      <c r="GA124" s="174" t="str">
        <f t="shared" si="253"/>
        <v>NG</v>
      </c>
      <c r="GB124" s="268"/>
      <c r="GC124" s="276" t="str">
        <f>IF(OR(FY$8="判定対象外",GB$8="判定対象外",GB124="-"),"-",IF(FY124=GB124,"OK","NG"))</f>
        <v>OK</v>
      </c>
    </row>
    <row r="125" spans="1:185" s="237" customFormat="1" ht="92.25" customHeight="1">
      <c r="B125" s="216">
        <f t="shared" si="323"/>
        <v>118</v>
      </c>
      <c r="C125" s="220"/>
      <c r="D125" s="220"/>
      <c r="E125" s="220"/>
      <c r="F125" s="238" t="s">
        <v>352</v>
      </c>
      <c r="G125" s="168"/>
      <c r="H125" s="239"/>
      <c r="I125" s="225"/>
      <c r="J125" s="225"/>
      <c r="K125" s="226"/>
      <c r="L125" s="226"/>
      <c r="M125" s="279" t="s">
        <v>353</v>
      </c>
      <c r="N125" s="228"/>
      <c r="O125" s="229"/>
      <c r="P125" s="45">
        <f t="shared" si="326"/>
        <v>99</v>
      </c>
      <c r="Q125" s="230">
        <v>7</v>
      </c>
      <c r="R125" s="41" t="s">
        <v>81</v>
      </c>
      <c r="S125" s="185" t="s">
        <v>254</v>
      </c>
      <c r="T125" s="231"/>
      <c r="U125" s="41" t="s">
        <v>80</v>
      </c>
      <c r="V125" s="229"/>
      <c r="W125" s="232">
        <v>3</v>
      </c>
      <c r="X125" s="194" t="s">
        <v>255</v>
      </c>
      <c r="Y125" s="194">
        <v>7</v>
      </c>
      <c r="Z125" s="194">
        <v>7</v>
      </c>
      <c r="AA125" s="225" t="s">
        <v>81</v>
      </c>
      <c r="AB125" s="225" t="s">
        <v>57</v>
      </c>
      <c r="AC125" s="243"/>
      <c r="AD125" s="233"/>
      <c r="AE125" s="268"/>
      <c r="AF125" s="235" t="str">
        <f t="shared" si="298"/>
        <v xml:space="preserve">       </v>
      </c>
      <c r="AG125" s="174" t="str">
        <f t="shared" si="237"/>
        <v>NG</v>
      </c>
      <c r="AH125" s="268"/>
      <c r="AI125" s="276" t="str">
        <f>IF(OR(AE$8="判定対象外",AH$8="判定対象外",AH125="-"),"-",IF(AE125=AH125,"OK","NG"))</f>
        <v>OK</v>
      </c>
      <c r="AJ125" s="233"/>
      <c r="AK125" s="234"/>
      <c r="AL125" s="235" t="str">
        <f t="shared" si="281"/>
        <v xml:space="preserve">       </v>
      </c>
      <c r="AM125" s="174" t="str">
        <f t="shared" si="324"/>
        <v>NG</v>
      </c>
      <c r="AN125" s="268"/>
      <c r="AO125" s="276" t="str">
        <f>IF(OR(AK$8="判定対象外",AN$8="判定対象外",AN125="-"),"-",IF(AK125=AN125,"OK","NG"))</f>
        <v>OK</v>
      </c>
      <c r="AP125" s="233"/>
      <c r="AQ125" s="268"/>
      <c r="AR125" s="235" t="str">
        <f t="shared" si="299"/>
        <v xml:space="preserve">       </v>
      </c>
      <c r="AS125" s="174" t="str">
        <f t="shared" si="238"/>
        <v>NG</v>
      </c>
      <c r="AT125" s="268"/>
      <c r="AU125" s="276" t="str">
        <f>IF(OR(AQ$8="判定対象外",AT$8="判定対象外",AT125="-"),"-",IF(AQ125=AT125,"OK","NG"))</f>
        <v>OK</v>
      </c>
      <c r="AV125" s="233"/>
      <c r="AW125" s="268"/>
      <c r="AX125" s="235" t="str">
        <f t="shared" si="300"/>
        <v xml:space="preserve">       </v>
      </c>
      <c r="AY125" s="174" t="str">
        <f t="shared" si="239"/>
        <v>NG</v>
      </c>
      <c r="AZ125" s="268"/>
      <c r="BA125" s="276" t="str">
        <f>IF(OR(AW$8="判定対象外",AZ$8="判定対象外",AZ125="-"),"-",IF(AW125=AZ125,"OK","NG"))</f>
        <v>OK</v>
      </c>
      <c r="BB125" s="233"/>
      <c r="BC125" s="268"/>
      <c r="BD125" s="235" t="str">
        <f t="shared" si="301"/>
        <v xml:space="preserve">       </v>
      </c>
      <c r="BE125" s="174" t="str">
        <f t="shared" si="240"/>
        <v>NG</v>
      </c>
      <c r="BF125" s="268"/>
      <c r="BG125" s="276" t="str">
        <f>IF(OR(BC$8="判定対象外",BF$8="判定対象外",BF125="-"),"-",IF(BC125=BF125,"OK","NG"))</f>
        <v>OK</v>
      </c>
      <c r="BH125" s="233"/>
      <c r="BI125" s="268"/>
      <c r="BJ125" s="235" t="str">
        <f t="shared" si="302"/>
        <v xml:space="preserve">       </v>
      </c>
      <c r="BK125" s="174" t="str">
        <f t="shared" si="241"/>
        <v>NG</v>
      </c>
      <c r="BL125" s="268"/>
      <c r="BM125" s="276" t="str">
        <f>IF(OR(BI$8="判定対象外",BL$8="判定対象外",BL125="-"),"-",IF(BI125=BL125,"OK","NG"))</f>
        <v>OK</v>
      </c>
      <c r="BN125" s="233"/>
      <c r="BO125" s="268"/>
      <c r="BP125" s="235" t="str">
        <f t="shared" si="303"/>
        <v xml:space="preserve">       </v>
      </c>
      <c r="BQ125" s="174" t="str">
        <f t="shared" si="242"/>
        <v>NG</v>
      </c>
      <c r="BR125" s="268"/>
      <c r="BS125" s="276" t="str">
        <f>IF(OR(BO$8="判定対象外",BR$8="判定対象外",BR125="-"),"-",IF(BO125=BR125,"OK","NG"))</f>
        <v>OK</v>
      </c>
      <c r="BT125" s="233"/>
      <c r="BU125" s="268"/>
      <c r="BV125" s="235" t="str">
        <f t="shared" si="304"/>
        <v xml:space="preserve">       </v>
      </c>
      <c r="BW125" s="174" t="str">
        <f t="shared" si="243"/>
        <v>NG</v>
      </c>
      <c r="BX125" s="268"/>
      <c r="BY125" s="276" t="str">
        <f>IF(OR(BU$8="判定対象外",BX$8="判定対象外",BX125="-"),"-",IF(BU125=BX125,"OK","NG"))</f>
        <v>OK</v>
      </c>
      <c r="BZ125" s="233"/>
      <c r="CA125" s="268"/>
      <c r="CB125" s="235" t="str">
        <f t="shared" si="305"/>
        <v xml:space="preserve">       </v>
      </c>
      <c r="CC125" s="174" t="str">
        <f t="shared" si="244"/>
        <v>NG</v>
      </c>
      <c r="CD125" s="268"/>
      <c r="CE125" s="276" t="str">
        <f>IF(OR(CA$8="判定対象外",CD$8="判定対象外",CD125="-"),"-",IF(CA125=CD125,"OK","NG"))</f>
        <v>OK</v>
      </c>
      <c r="CF125" s="233"/>
      <c r="CG125" s="268"/>
      <c r="CH125" s="235" t="str">
        <f t="shared" si="306"/>
        <v xml:space="preserve">       </v>
      </c>
      <c r="CI125" s="174" t="str">
        <f t="shared" si="245"/>
        <v>NG</v>
      </c>
      <c r="CJ125" s="268"/>
      <c r="CK125" s="276" t="str">
        <f>IF(OR(CG$8="判定対象外",CJ$8="判定対象外",CJ125="-"),"-",IF(CG125=CJ125,"OK","NG"))</f>
        <v>OK</v>
      </c>
      <c r="CL125" s="233"/>
      <c r="CM125" s="268"/>
      <c r="CN125" s="235" t="str">
        <f t="shared" si="307"/>
        <v xml:space="preserve">       </v>
      </c>
      <c r="CO125" s="174" t="str">
        <f t="shared" si="246"/>
        <v>NG</v>
      </c>
      <c r="CP125" s="268"/>
      <c r="CQ125" s="276" t="str">
        <f>IF(OR(CM$8="判定対象外",CP$8="判定対象外",CP125="-"),"-",IF(CM125=CP125,"OK","NG"))</f>
        <v>OK</v>
      </c>
      <c r="CR125" s="233"/>
      <c r="CS125" s="268"/>
      <c r="CT125" s="235" t="str">
        <f t="shared" si="308"/>
        <v xml:space="preserve">       </v>
      </c>
      <c r="CU125" s="174" t="str">
        <f t="shared" si="247"/>
        <v>NG</v>
      </c>
      <c r="CV125" s="268"/>
      <c r="CW125" s="276" t="str">
        <f>IF(OR(CS$8="判定対象外",CV$8="判定対象外",CV125="-"),"-",IF(CS125=CV125,"OK","NG"))</f>
        <v>OK</v>
      </c>
      <c r="CX125" s="233"/>
      <c r="CY125" s="268"/>
      <c r="CZ125" s="235" t="str">
        <f t="shared" si="309"/>
        <v xml:space="preserve">       </v>
      </c>
      <c r="DA125" s="174" t="str">
        <f t="shared" si="248"/>
        <v>NG</v>
      </c>
      <c r="DB125" s="268"/>
      <c r="DC125" s="276" t="str">
        <f>IF(OR(CY$8="判定対象外",DB$8="判定対象外",DB125="-"),"-",IF(CY125=DB125,"OK","NG"))</f>
        <v>OK</v>
      </c>
      <c r="DD125" s="233"/>
      <c r="DE125" s="268"/>
      <c r="DF125" s="235" t="str">
        <f t="shared" si="310"/>
        <v xml:space="preserve">       </v>
      </c>
      <c r="DG125" s="174" t="str">
        <f t="shared" si="249"/>
        <v>NG</v>
      </c>
      <c r="DH125" s="268"/>
      <c r="DI125" s="276" t="str">
        <f>IF(OR(DE$8="判定対象外",DH$8="判定対象外",DH125="-"),"-",IF(DE125=DH125,"OK","NG"))</f>
        <v>OK</v>
      </c>
      <c r="DJ125" s="233"/>
      <c r="DK125" s="268"/>
      <c r="DL125" s="235" t="str">
        <f t="shared" si="311"/>
        <v xml:space="preserve">       </v>
      </c>
      <c r="DM125" s="174" t="str">
        <f t="shared" si="250"/>
        <v>NG</v>
      </c>
      <c r="DN125" s="268"/>
      <c r="DO125" s="276" t="str">
        <f>IF(OR(DK$8="判定対象外",DN$8="判定対象外",DN125="-"),"-",IF(DK125=DN125,"OK","NG"))</f>
        <v>OK</v>
      </c>
      <c r="DP125" s="233"/>
      <c r="DQ125" s="268"/>
      <c r="DR125" s="235" t="str">
        <f t="shared" si="312"/>
        <v xml:space="preserve">       </v>
      </c>
      <c r="DS125" s="174" t="str">
        <f t="shared" si="354"/>
        <v>NG</v>
      </c>
      <c r="DT125" s="268"/>
      <c r="DU125" s="276" t="str">
        <f>IF(OR(DQ$8="判定対象外",DT$8="判定対象外",DT125="-"),"-",IF(DQ125=DT125,"OK","NG"))</f>
        <v>OK</v>
      </c>
      <c r="DV125" s="233"/>
      <c r="DW125" s="268"/>
      <c r="DX125" s="235" t="str">
        <f t="shared" si="313"/>
        <v xml:space="preserve">       </v>
      </c>
      <c r="DY125" s="174" t="str">
        <f t="shared" si="355"/>
        <v>NG</v>
      </c>
      <c r="DZ125" s="268"/>
      <c r="EA125" s="276" t="str">
        <f>IF(OR(DW$8="判定対象外",DZ$8="判定対象外",DZ125="-"),"-",IF(DW125=DZ125,"OK","NG"))</f>
        <v>OK</v>
      </c>
      <c r="EB125" s="233"/>
      <c r="EC125" s="268"/>
      <c r="ED125" s="235" t="str">
        <f t="shared" si="314"/>
        <v xml:space="preserve">       </v>
      </c>
      <c r="EE125" s="174" t="str">
        <f t="shared" si="356"/>
        <v>NG</v>
      </c>
      <c r="EF125" s="268"/>
      <c r="EG125" s="276" t="str">
        <f>IF(OR(EC$8="判定対象外",EF$8="判定対象外",EF125="-"),"-",IF(EC125=EF125,"OK","NG"))</f>
        <v>OK</v>
      </c>
      <c r="EH125" s="233"/>
      <c r="EI125" s="268"/>
      <c r="EJ125" s="235" t="str">
        <f t="shared" si="315"/>
        <v xml:space="preserve">       </v>
      </c>
      <c r="EK125" s="174" t="str">
        <f t="shared" si="357"/>
        <v>NG</v>
      </c>
      <c r="EL125" s="268"/>
      <c r="EM125" s="276" t="str">
        <f>IF(OR(EI$8="判定対象外",EL$8="判定対象外",EL125="-"),"-",IF(EI125=EL125,"OK","NG"))</f>
        <v>OK</v>
      </c>
      <c r="EN125" s="233"/>
      <c r="EO125" s="268"/>
      <c r="EP125" s="235" t="str">
        <f t="shared" si="316"/>
        <v xml:space="preserve">       </v>
      </c>
      <c r="EQ125" s="174" t="str">
        <f t="shared" si="358"/>
        <v>NG</v>
      </c>
      <c r="ER125" s="268"/>
      <c r="ES125" s="276" t="str">
        <f>IF(OR(EO$8="判定対象外",ER$8="判定対象外",ER125="-"),"-",IF(EO125=ER125,"OK","NG"))</f>
        <v>OK</v>
      </c>
      <c r="ET125" s="233"/>
      <c r="EU125" s="268"/>
      <c r="EV125" s="235" t="str">
        <f t="shared" si="317"/>
        <v xml:space="preserve">       </v>
      </c>
      <c r="EW125" s="174" t="str">
        <f t="shared" si="359"/>
        <v>NG</v>
      </c>
      <c r="EX125" s="268"/>
      <c r="EY125" s="276" t="str">
        <f>IF(OR(EU$8="判定対象外",EX$8="判定対象外",EX125="-"),"-",IF(EU125=EX125,"OK","NG"))</f>
        <v>OK</v>
      </c>
      <c r="EZ125" s="233"/>
      <c r="FA125" s="268"/>
      <c r="FB125" s="235" t="str">
        <f t="shared" si="318"/>
        <v xml:space="preserve">       </v>
      </c>
      <c r="FC125" s="174" t="str">
        <f t="shared" si="360"/>
        <v>NG</v>
      </c>
      <c r="FD125" s="268"/>
      <c r="FE125" s="276" t="str">
        <f>IF(OR(FA$8="判定対象外",FD$8="判定対象外",FD125="-"),"-",IF(FA125=FD125,"OK","NG"))</f>
        <v>OK</v>
      </c>
      <c r="FF125" s="233"/>
      <c r="FG125" s="268"/>
      <c r="FH125" s="235" t="str">
        <f t="shared" si="319"/>
        <v xml:space="preserve">       </v>
      </c>
      <c r="FI125" s="174" t="str">
        <f t="shared" si="361"/>
        <v>NG</v>
      </c>
      <c r="FJ125" s="268"/>
      <c r="FK125" s="276" t="str">
        <f>IF(OR(FG$8="判定対象外",FJ$8="判定対象外",FJ125="-"),"-",IF(FG125=FJ125,"OK","NG"))</f>
        <v>OK</v>
      </c>
      <c r="FL125" s="233"/>
      <c r="FM125" s="268"/>
      <c r="FN125" s="235" t="str">
        <f t="shared" si="320"/>
        <v xml:space="preserve">       </v>
      </c>
      <c r="FO125" s="174" t="str">
        <f t="shared" si="251"/>
        <v>NG</v>
      </c>
      <c r="FP125" s="268"/>
      <c r="FQ125" s="276" t="str">
        <f>IF(OR(FM$8="判定対象外",FP$8="判定対象外",FP125="-"),"-",IF(FM125=FP125,"OK","NG"))</f>
        <v>OK</v>
      </c>
      <c r="FR125" s="233"/>
      <c r="FS125" s="268"/>
      <c r="FT125" s="235" t="str">
        <f t="shared" si="321"/>
        <v xml:space="preserve">       </v>
      </c>
      <c r="FU125" s="174" t="str">
        <f t="shared" si="252"/>
        <v>NG</v>
      </c>
      <c r="FV125" s="268"/>
      <c r="FW125" s="276" t="str">
        <f>IF(OR(FS$8="判定対象外",FV$8="判定対象外",FV125="-"),"-",IF(FS125=FV125,"OK","NG"))</f>
        <v>OK</v>
      </c>
      <c r="FX125" s="233"/>
      <c r="FY125" s="268"/>
      <c r="FZ125" s="235" t="str">
        <f t="shared" si="322"/>
        <v xml:space="preserve">       </v>
      </c>
      <c r="GA125" s="174" t="str">
        <f t="shared" si="253"/>
        <v>NG</v>
      </c>
      <c r="GB125" s="268"/>
      <c r="GC125" s="276" t="str">
        <f>IF(OR(FY$8="判定対象外",GB$8="判定対象外",GB125="-"),"-",IF(FY125=GB125,"OK","NG"))</f>
        <v>OK</v>
      </c>
    </row>
    <row r="126" spans="1:185" s="237" customFormat="1" ht="127.9" thickBot="1">
      <c r="A126" s="244"/>
      <c r="B126" s="286">
        <f t="shared" si="323"/>
        <v>119</v>
      </c>
      <c r="C126" s="245"/>
      <c r="D126" s="245"/>
      <c r="E126" s="245"/>
      <c r="F126" s="287" t="s">
        <v>354</v>
      </c>
      <c r="G126" s="288"/>
      <c r="H126" s="289"/>
      <c r="I126" s="290"/>
      <c r="J126" s="290"/>
      <c r="K126" s="290"/>
      <c r="L126" s="290"/>
      <c r="M126" s="291" t="s">
        <v>355</v>
      </c>
      <c r="N126" s="280"/>
      <c r="O126" s="284"/>
      <c r="P126" s="71">
        <f t="shared" si="326"/>
        <v>100</v>
      </c>
      <c r="Q126" s="74">
        <v>1</v>
      </c>
      <c r="R126" s="73">
        <v>9</v>
      </c>
      <c r="S126" s="74" t="s">
        <v>256</v>
      </c>
      <c r="T126" s="74"/>
      <c r="U126" s="73" t="s">
        <v>80</v>
      </c>
      <c r="V126" s="246"/>
      <c r="W126" s="76" t="str">
        <f>IF(C126&lt;&gt;"","0",IF(D126&lt;&gt;"","1",IF(E126&lt;&gt;"","2",IF(F126&lt;&gt;"","3",IF(G126&lt;&gt;"","4",IF(H126&lt;&gt;"","5"))))))</f>
        <v>3</v>
      </c>
      <c r="X126" s="77" t="s">
        <v>258</v>
      </c>
      <c r="Y126" s="77">
        <v>1</v>
      </c>
      <c r="Z126" s="77">
        <v>1</v>
      </c>
      <c r="AA126" s="247">
        <v>9</v>
      </c>
      <c r="AB126" s="68" t="s">
        <v>80</v>
      </c>
      <c r="AC126" s="248"/>
      <c r="AD126" s="249"/>
      <c r="AE126" s="300"/>
      <c r="AF126" s="253" t="str">
        <f t="shared" si="298"/>
        <v xml:space="preserve"> </v>
      </c>
      <c r="AG126" s="177" t="str">
        <f t="shared" si="237"/>
        <v>NG</v>
      </c>
      <c r="AH126" s="300"/>
      <c r="AI126" s="276" t="str">
        <f>IF(OR(AE$8="判定対象外",AH$8="判定対象外",AH126="-"),"-",IF(AE126=AH126,"OK","NG"))</f>
        <v>OK</v>
      </c>
      <c r="AJ126" s="249"/>
      <c r="AK126" s="250"/>
      <c r="AL126" s="253" t="str">
        <f t="shared" si="281"/>
        <v xml:space="preserve"> </v>
      </c>
      <c r="AM126" s="177" t="str">
        <f t="shared" si="324"/>
        <v>NG</v>
      </c>
      <c r="AN126" s="300"/>
      <c r="AO126" s="276" t="str">
        <f>IF(OR(AK$8="判定対象外",AN$8="判定対象外",AN126="-"),"-",IF(AK126=AN126,"OK","NG"))</f>
        <v>OK</v>
      </c>
      <c r="AP126" s="249"/>
      <c r="AQ126" s="300"/>
      <c r="AR126" s="253" t="str">
        <f t="shared" si="299"/>
        <v xml:space="preserve"> </v>
      </c>
      <c r="AS126" s="177" t="str">
        <f t="shared" si="238"/>
        <v>NG</v>
      </c>
      <c r="AT126" s="300"/>
      <c r="AU126" s="270" t="str">
        <f>IF(OR(AQ$8="判定対象外",AT$8="判定対象外",AT126="-"),"-",IF(AQ126=AT126,"OK","NG"))</f>
        <v>OK</v>
      </c>
      <c r="AV126" s="249"/>
      <c r="AW126" s="300"/>
      <c r="AX126" s="253" t="str">
        <f t="shared" si="300"/>
        <v xml:space="preserve"> </v>
      </c>
      <c r="AY126" s="177" t="str">
        <f t="shared" si="239"/>
        <v>NG</v>
      </c>
      <c r="AZ126" s="300"/>
      <c r="BA126" s="270" t="str">
        <f>IF(OR(AW$8="判定対象外",AZ$8="判定対象外",AZ126="-"),"-",IF(AW126=AZ126,"OK","NG"))</f>
        <v>OK</v>
      </c>
      <c r="BB126" s="249"/>
      <c r="BC126" s="300"/>
      <c r="BD126" s="253" t="str">
        <f t="shared" si="301"/>
        <v xml:space="preserve"> </v>
      </c>
      <c r="BE126" s="177" t="str">
        <f t="shared" si="240"/>
        <v>NG</v>
      </c>
      <c r="BF126" s="300"/>
      <c r="BG126" s="270" t="str">
        <f>IF(OR(BC$8="判定対象外",BF$8="判定対象外",BF126="-"),"-",IF(BC126=BF126,"OK","NG"))</f>
        <v>OK</v>
      </c>
      <c r="BH126" s="249"/>
      <c r="BI126" s="300"/>
      <c r="BJ126" s="253" t="str">
        <f t="shared" si="302"/>
        <v xml:space="preserve"> </v>
      </c>
      <c r="BK126" s="177" t="str">
        <f t="shared" si="241"/>
        <v>NG</v>
      </c>
      <c r="BL126" s="300"/>
      <c r="BM126" s="270" t="str">
        <f>IF(OR(BI$8="判定対象外",BL$8="判定対象外",BL126="-"),"-",IF(BI126=BL126,"OK","NG"))</f>
        <v>OK</v>
      </c>
      <c r="BN126" s="249"/>
      <c r="BO126" s="300"/>
      <c r="BP126" s="253" t="str">
        <f t="shared" si="303"/>
        <v xml:space="preserve"> </v>
      </c>
      <c r="BQ126" s="177" t="str">
        <f t="shared" si="242"/>
        <v>NG</v>
      </c>
      <c r="BR126" s="300"/>
      <c r="BS126" s="270" t="str">
        <f>IF(OR(BO$8="判定対象外",BR$8="判定対象外",BR126="-"),"-",IF(BO126=BR126,"OK","NG"))</f>
        <v>OK</v>
      </c>
      <c r="BT126" s="249"/>
      <c r="BU126" s="300"/>
      <c r="BV126" s="253" t="str">
        <f t="shared" si="304"/>
        <v xml:space="preserve"> </v>
      </c>
      <c r="BW126" s="177" t="str">
        <f t="shared" si="243"/>
        <v>NG</v>
      </c>
      <c r="BX126" s="300"/>
      <c r="BY126" s="270" t="str">
        <f>IF(OR(BU$8="判定対象外",BX$8="判定対象外",BX126="-"),"-",IF(BU126=BX126,"OK","NG"))</f>
        <v>OK</v>
      </c>
      <c r="BZ126" s="249"/>
      <c r="CA126" s="300"/>
      <c r="CB126" s="253" t="str">
        <f t="shared" si="305"/>
        <v xml:space="preserve"> </v>
      </c>
      <c r="CC126" s="177" t="str">
        <f t="shared" si="244"/>
        <v>NG</v>
      </c>
      <c r="CD126" s="300"/>
      <c r="CE126" s="270" t="str">
        <f>IF(OR(CA$8="判定対象外",CD$8="判定対象外",CD126="-"),"-",IF(CA126=CD126,"OK","NG"))</f>
        <v>OK</v>
      </c>
      <c r="CF126" s="249"/>
      <c r="CG126" s="300"/>
      <c r="CH126" s="253" t="str">
        <f t="shared" si="306"/>
        <v xml:space="preserve"> </v>
      </c>
      <c r="CI126" s="177" t="str">
        <f t="shared" si="245"/>
        <v>NG</v>
      </c>
      <c r="CJ126" s="300"/>
      <c r="CK126" s="270" t="str">
        <f>IF(OR(CG$8="判定対象外",CJ$8="判定対象外",CJ126="-"),"-",IF(CG126=CJ126,"OK","NG"))</f>
        <v>OK</v>
      </c>
      <c r="CL126" s="249"/>
      <c r="CM126" s="300"/>
      <c r="CN126" s="253" t="str">
        <f t="shared" si="307"/>
        <v xml:space="preserve"> </v>
      </c>
      <c r="CO126" s="177" t="str">
        <f t="shared" si="246"/>
        <v>NG</v>
      </c>
      <c r="CP126" s="300"/>
      <c r="CQ126" s="270" t="str">
        <f>IF(OR(CM$8="判定対象外",CP$8="判定対象外",CP126="-"),"-",IF(CM126=CP126,"OK","NG"))</f>
        <v>OK</v>
      </c>
      <c r="CR126" s="249"/>
      <c r="CS126" s="300"/>
      <c r="CT126" s="253" t="str">
        <f t="shared" si="308"/>
        <v xml:space="preserve"> </v>
      </c>
      <c r="CU126" s="177" t="str">
        <f t="shared" si="247"/>
        <v>NG</v>
      </c>
      <c r="CV126" s="300"/>
      <c r="CW126" s="270" t="str">
        <f>IF(OR(CS$8="判定対象外",CV$8="判定対象外",CV126="-"),"-",IF(CS126=CV126,"OK","NG"))</f>
        <v>OK</v>
      </c>
      <c r="CX126" s="249"/>
      <c r="CY126" s="300"/>
      <c r="CZ126" s="253" t="str">
        <f t="shared" si="309"/>
        <v xml:space="preserve"> </v>
      </c>
      <c r="DA126" s="177" t="str">
        <f t="shared" si="248"/>
        <v>NG</v>
      </c>
      <c r="DB126" s="300"/>
      <c r="DC126" s="270" t="str">
        <f>IF(OR(CY$8="判定対象外",DB$8="判定対象外",DB126="-"),"-",IF(CY126=DB126,"OK","NG"))</f>
        <v>OK</v>
      </c>
      <c r="DD126" s="249"/>
      <c r="DE126" s="300"/>
      <c r="DF126" s="253" t="str">
        <f t="shared" si="310"/>
        <v xml:space="preserve"> </v>
      </c>
      <c r="DG126" s="177" t="str">
        <f t="shared" si="249"/>
        <v>NG</v>
      </c>
      <c r="DH126" s="300"/>
      <c r="DI126" s="270" t="str">
        <f>IF(OR(DE$8="判定対象外",DH$8="判定対象外",DH126="-"),"-",IF(DE126=DH126,"OK","NG"))</f>
        <v>OK</v>
      </c>
      <c r="DJ126" s="249"/>
      <c r="DK126" s="300"/>
      <c r="DL126" s="253" t="str">
        <f t="shared" si="311"/>
        <v xml:space="preserve"> </v>
      </c>
      <c r="DM126" s="177" t="str">
        <f t="shared" si="250"/>
        <v>NG</v>
      </c>
      <c r="DN126" s="300"/>
      <c r="DO126" s="270" t="str">
        <f>IF(OR(DK$8="判定対象外",DN$8="判定対象外",DN126="-"),"-",IF(DK126=DN126,"OK","NG"))</f>
        <v>OK</v>
      </c>
      <c r="DP126" s="249"/>
      <c r="DQ126" s="300"/>
      <c r="DR126" s="253" t="str">
        <f t="shared" si="312"/>
        <v xml:space="preserve"> </v>
      </c>
      <c r="DS126" s="177" t="str">
        <f t="shared" si="354"/>
        <v>NG</v>
      </c>
      <c r="DT126" s="300"/>
      <c r="DU126" s="270" t="str">
        <f>IF(OR(DQ$8="判定対象外",DT$8="判定対象外",DT126="-"),"-",IF(DQ126=DT126,"OK","NG"))</f>
        <v>OK</v>
      </c>
      <c r="DV126" s="249"/>
      <c r="DW126" s="300"/>
      <c r="DX126" s="253" t="str">
        <f t="shared" si="313"/>
        <v xml:space="preserve"> </v>
      </c>
      <c r="DY126" s="177" t="str">
        <f t="shared" si="355"/>
        <v>NG</v>
      </c>
      <c r="DZ126" s="300"/>
      <c r="EA126" s="270" t="str">
        <f>IF(OR(DW$8="判定対象外",DZ$8="判定対象外",DZ126="-"),"-",IF(DW126=DZ126,"OK","NG"))</f>
        <v>OK</v>
      </c>
      <c r="EB126" s="249"/>
      <c r="EC126" s="300"/>
      <c r="ED126" s="253" t="str">
        <f t="shared" si="314"/>
        <v xml:space="preserve"> </v>
      </c>
      <c r="EE126" s="177" t="str">
        <f t="shared" si="356"/>
        <v>NG</v>
      </c>
      <c r="EF126" s="300"/>
      <c r="EG126" s="270" t="str">
        <f>IF(OR(EC$8="判定対象外",EF$8="判定対象外",EF126="-"),"-",IF(EC126=EF126,"OK","NG"))</f>
        <v>OK</v>
      </c>
      <c r="EH126" s="249"/>
      <c r="EI126" s="300"/>
      <c r="EJ126" s="253" t="str">
        <f t="shared" si="315"/>
        <v xml:space="preserve"> </v>
      </c>
      <c r="EK126" s="177" t="str">
        <f t="shared" si="357"/>
        <v>NG</v>
      </c>
      <c r="EL126" s="300"/>
      <c r="EM126" s="270" t="str">
        <f>IF(OR(EI$8="判定対象外",EL$8="判定対象外",EL126="-"),"-",IF(EI126=EL126,"OK","NG"))</f>
        <v>OK</v>
      </c>
      <c r="EN126" s="249"/>
      <c r="EO126" s="300"/>
      <c r="EP126" s="253" t="str">
        <f t="shared" si="316"/>
        <v xml:space="preserve"> </v>
      </c>
      <c r="EQ126" s="177" t="str">
        <f t="shared" si="358"/>
        <v>NG</v>
      </c>
      <c r="ER126" s="300"/>
      <c r="ES126" s="270" t="str">
        <f>IF(OR(EO$8="判定対象外",ER$8="判定対象外",ER126="-"),"-",IF(EO126=ER126,"OK","NG"))</f>
        <v>OK</v>
      </c>
      <c r="ET126" s="249"/>
      <c r="EU126" s="300"/>
      <c r="EV126" s="253" t="str">
        <f t="shared" si="317"/>
        <v xml:space="preserve"> </v>
      </c>
      <c r="EW126" s="177" t="str">
        <f t="shared" si="359"/>
        <v>NG</v>
      </c>
      <c r="EX126" s="300"/>
      <c r="EY126" s="270" t="str">
        <f>IF(OR(EU$8="判定対象外",EX$8="判定対象外",EX126="-"),"-",IF(EU126=EX126,"OK","NG"))</f>
        <v>OK</v>
      </c>
      <c r="EZ126" s="249"/>
      <c r="FA126" s="300"/>
      <c r="FB126" s="253" t="str">
        <f t="shared" si="318"/>
        <v xml:space="preserve"> </v>
      </c>
      <c r="FC126" s="177" t="str">
        <f t="shared" si="360"/>
        <v>NG</v>
      </c>
      <c r="FD126" s="300"/>
      <c r="FE126" s="270" t="str">
        <f>IF(OR(FA$8="判定対象外",FD$8="判定対象外",FD126="-"),"-",IF(FA126=FD126,"OK","NG"))</f>
        <v>OK</v>
      </c>
      <c r="FF126" s="249"/>
      <c r="FG126" s="300"/>
      <c r="FH126" s="253" t="str">
        <f t="shared" si="319"/>
        <v xml:space="preserve"> </v>
      </c>
      <c r="FI126" s="177" t="str">
        <f t="shared" si="361"/>
        <v>NG</v>
      </c>
      <c r="FJ126" s="300"/>
      <c r="FK126" s="270" t="str">
        <f>IF(OR(FG$8="判定対象外",FJ$8="判定対象外",FJ126="-"),"-",IF(FG126=FJ126,"OK","NG"))</f>
        <v>OK</v>
      </c>
      <c r="FL126" s="249"/>
      <c r="FM126" s="300"/>
      <c r="FN126" s="253" t="str">
        <f t="shared" si="320"/>
        <v xml:space="preserve"> </v>
      </c>
      <c r="FO126" s="177" t="str">
        <f t="shared" si="251"/>
        <v>NG</v>
      </c>
      <c r="FP126" s="300"/>
      <c r="FQ126" s="270" t="str">
        <f>IF(OR(FM$8="判定対象外",FP$8="判定対象外",FP126="-"),"-",IF(FM126=FP126,"OK","NG"))</f>
        <v>OK</v>
      </c>
      <c r="FR126" s="249"/>
      <c r="FS126" s="300"/>
      <c r="FT126" s="253" t="str">
        <f t="shared" si="321"/>
        <v xml:space="preserve"> </v>
      </c>
      <c r="FU126" s="177" t="str">
        <f t="shared" si="252"/>
        <v>NG</v>
      </c>
      <c r="FV126" s="300"/>
      <c r="FW126" s="270" t="str">
        <f>IF(OR(FS$8="判定対象外",FV$8="判定対象外",FV126="-"),"-",IF(FS126=FV126,"OK","NG"))</f>
        <v>OK</v>
      </c>
      <c r="FX126" s="249"/>
      <c r="FY126" s="300"/>
      <c r="FZ126" s="253" t="str">
        <f t="shared" si="322"/>
        <v xml:space="preserve"> </v>
      </c>
      <c r="GA126" s="177" t="str">
        <f t="shared" si="253"/>
        <v>NG</v>
      </c>
      <c r="GB126" s="300"/>
      <c r="GC126" s="270" t="str">
        <f>IF(OR(FY$8="判定対象外",GB$8="判定対象外",GB126="-"),"-",IF(FY126=GB126,"OK","NG"))</f>
        <v>OK</v>
      </c>
    </row>
    <row r="127" spans="1:185" s="52" customFormat="1" ht="18.75" customHeight="1" thickTop="1">
      <c r="B127" s="48">
        <f t="shared" si="323"/>
        <v>120</v>
      </c>
      <c r="C127" s="37"/>
      <c r="D127" s="37"/>
      <c r="E127" s="26" t="s">
        <v>315</v>
      </c>
      <c r="F127" s="254"/>
      <c r="G127" s="254"/>
      <c r="H127" s="28"/>
      <c r="I127" s="42" t="s">
        <v>1</v>
      </c>
      <c r="J127" s="42" t="s">
        <v>316</v>
      </c>
      <c r="K127" s="42"/>
      <c r="L127" s="42"/>
      <c r="M127" s="47" t="s">
        <v>317</v>
      </c>
      <c r="N127" s="281"/>
      <c r="O127" s="282"/>
      <c r="P127" s="20"/>
      <c r="Q127" s="21"/>
      <c r="R127" s="16"/>
      <c r="S127" s="283"/>
      <c r="T127" s="281"/>
      <c r="U127" s="16"/>
      <c r="V127" s="207"/>
      <c r="W127" s="260" t="str">
        <f>IF(C127&lt;&gt;"","0",IF(D127&lt;&gt;"","1",IF(E127&lt;&gt;"","2",IF(F127&lt;&gt;"","3",IF(G127&lt;&gt;"","4",IF(H127&lt;&gt;"","5"))))))</f>
        <v>2</v>
      </c>
      <c r="X127" s="35" t="s">
        <v>187</v>
      </c>
      <c r="Y127" s="47"/>
      <c r="Z127" s="47"/>
      <c r="AA127" s="42"/>
      <c r="AB127" s="42" t="s">
        <v>80</v>
      </c>
      <c r="AC127" s="251"/>
      <c r="AD127" s="160"/>
      <c r="AE127" s="141"/>
      <c r="AF127" s="203" t="str">
        <f t="shared" si="298"/>
        <v/>
      </c>
      <c r="AG127" s="174" t="str">
        <f t="shared" si="237"/>
        <v>OK</v>
      </c>
      <c r="AH127" s="141"/>
      <c r="AI127" s="276" t="s">
        <v>71</v>
      </c>
      <c r="AJ127" s="160"/>
      <c r="AK127" s="141"/>
      <c r="AL127" s="203" t="str">
        <f t="shared" si="281"/>
        <v/>
      </c>
      <c r="AM127" s="174" t="str">
        <f t="shared" si="324"/>
        <v>OK</v>
      </c>
      <c r="AN127" s="141"/>
      <c r="AO127" s="276" t="s">
        <v>71</v>
      </c>
      <c r="AP127" s="160"/>
      <c r="AQ127" s="141"/>
      <c r="AR127" s="203" t="str">
        <f t="shared" si="299"/>
        <v/>
      </c>
      <c r="AS127" s="174" t="str">
        <f t="shared" si="238"/>
        <v>OK</v>
      </c>
      <c r="AT127" s="141"/>
      <c r="AU127" s="278" t="s">
        <v>71</v>
      </c>
      <c r="AV127" s="160"/>
      <c r="AW127" s="141"/>
      <c r="AX127" s="203" t="str">
        <f t="shared" si="300"/>
        <v/>
      </c>
      <c r="AY127" s="174" t="str">
        <f t="shared" si="239"/>
        <v>OK</v>
      </c>
      <c r="AZ127" s="141"/>
      <c r="BA127" s="278" t="s">
        <v>71</v>
      </c>
      <c r="BB127" s="160"/>
      <c r="BC127" s="141"/>
      <c r="BD127" s="203" t="str">
        <f t="shared" si="301"/>
        <v/>
      </c>
      <c r="BE127" s="174" t="str">
        <f t="shared" si="240"/>
        <v>OK</v>
      </c>
      <c r="BF127" s="141"/>
      <c r="BG127" s="278" t="s">
        <v>71</v>
      </c>
      <c r="BH127" s="160"/>
      <c r="BI127" s="141"/>
      <c r="BJ127" s="203" t="str">
        <f t="shared" si="302"/>
        <v/>
      </c>
      <c r="BK127" s="174" t="str">
        <f t="shared" si="241"/>
        <v>OK</v>
      </c>
      <c r="BL127" s="141"/>
      <c r="BM127" s="278" t="s">
        <v>71</v>
      </c>
      <c r="BN127" s="160"/>
      <c r="BO127" s="141"/>
      <c r="BP127" s="203" t="str">
        <f t="shared" si="303"/>
        <v/>
      </c>
      <c r="BQ127" s="174" t="str">
        <f t="shared" si="242"/>
        <v>OK</v>
      </c>
      <c r="BR127" s="141"/>
      <c r="BS127" s="278" t="s">
        <v>71</v>
      </c>
      <c r="BT127" s="160"/>
      <c r="BU127" s="141"/>
      <c r="BV127" s="203" t="str">
        <f t="shared" si="304"/>
        <v/>
      </c>
      <c r="BW127" s="174" t="str">
        <f t="shared" si="243"/>
        <v>OK</v>
      </c>
      <c r="BX127" s="141"/>
      <c r="BY127" s="278" t="s">
        <v>71</v>
      </c>
      <c r="BZ127" s="160"/>
      <c r="CA127" s="141"/>
      <c r="CB127" s="203" t="str">
        <f t="shared" si="305"/>
        <v/>
      </c>
      <c r="CC127" s="174" t="str">
        <f t="shared" si="244"/>
        <v>OK</v>
      </c>
      <c r="CD127" s="141"/>
      <c r="CE127" s="278" t="s">
        <v>71</v>
      </c>
      <c r="CF127" s="160"/>
      <c r="CG127" s="141"/>
      <c r="CH127" s="203" t="str">
        <f t="shared" si="306"/>
        <v/>
      </c>
      <c r="CI127" s="174" t="str">
        <f t="shared" si="245"/>
        <v>OK</v>
      </c>
      <c r="CJ127" s="141"/>
      <c r="CK127" s="278" t="s">
        <v>71</v>
      </c>
      <c r="CL127" s="160"/>
      <c r="CM127" s="141"/>
      <c r="CN127" s="203" t="str">
        <f t="shared" si="307"/>
        <v/>
      </c>
      <c r="CO127" s="174" t="str">
        <f t="shared" si="246"/>
        <v>OK</v>
      </c>
      <c r="CP127" s="141"/>
      <c r="CQ127" s="278" t="s">
        <v>71</v>
      </c>
      <c r="CR127" s="160"/>
      <c r="CS127" s="141"/>
      <c r="CT127" s="203" t="str">
        <f t="shared" si="308"/>
        <v/>
      </c>
      <c r="CU127" s="174" t="str">
        <f t="shared" si="247"/>
        <v>OK</v>
      </c>
      <c r="CV127" s="141"/>
      <c r="CW127" s="278" t="s">
        <v>71</v>
      </c>
      <c r="CX127" s="160"/>
      <c r="CY127" s="141"/>
      <c r="CZ127" s="203" t="str">
        <f t="shared" si="309"/>
        <v/>
      </c>
      <c r="DA127" s="174" t="str">
        <f t="shared" si="248"/>
        <v>OK</v>
      </c>
      <c r="DB127" s="141"/>
      <c r="DC127" s="278" t="s">
        <v>71</v>
      </c>
      <c r="DD127" s="160"/>
      <c r="DE127" s="141"/>
      <c r="DF127" s="203" t="str">
        <f t="shared" si="310"/>
        <v/>
      </c>
      <c r="DG127" s="174" t="str">
        <f t="shared" si="249"/>
        <v>OK</v>
      </c>
      <c r="DH127" s="141"/>
      <c r="DI127" s="278" t="s">
        <v>71</v>
      </c>
      <c r="DJ127" s="160"/>
      <c r="DK127" s="141"/>
      <c r="DL127" s="203" t="str">
        <f t="shared" si="311"/>
        <v/>
      </c>
      <c r="DM127" s="174" t="str">
        <f t="shared" si="250"/>
        <v>OK</v>
      </c>
      <c r="DN127" s="141"/>
      <c r="DO127" s="278" t="s">
        <v>71</v>
      </c>
      <c r="DP127" s="160"/>
      <c r="DQ127" s="141"/>
      <c r="DR127" s="203" t="str">
        <f t="shared" si="312"/>
        <v/>
      </c>
      <c r="DS127" s="174" t="str">
        <f t="shared" si="354"/>
        <v>OK</v>
      </c>
      <c r="DT127" s="141"/>
      <c r="DU127" s="278" t="s">
        <v>71</v>
      </c>
      <c r="DV127" s="160"/>
      <c r="DW127" s="141"/>
      <c r="DX127" s="203" t="str">
        <f t="shared" si="313"/>
        <v/>
      </c>
      <c r="DY127" s="174" t="str">
        <f t="shared" si="355"/>
        <v>OK</v>
      </c>
      <c r="DZ127" s="141"/>
      <c r="EA127" s="278" t="s">
        <v>71</v>
      </c>
      <c r="EB127" s="160"/>
      <c r="EC127" s="141"/>
      <c r="ED127" s="203" t="str">
        <f t="shared" si="314"/>
        <v/>
      </c>
      <c r="EE127" s="174" t="str">
        <f t="shared" si="356"/>
        <v>OK</v>
      </c>
      <c r="EF127" s="141"/>
      <c r="EG127" s="278" t="s">
        <v>71</v>
      </c>
      <c r="EH127" s="160"/>
      <c r="EI127" s="141"/>
      <c r="EJ127" s="203" t="str">
        <f t="shared" si="315"/>
        <v/>
      </c>
      <c r="EK127" s="174" t="str">
        <f t="shared" si="357"/>
        <v>OK</v>
      </c>
      <c r="EL127" s="141"/>
      <c r="EM127" s="278" t="s">
        <v>71</v>
      </c>
      <c r="EN127" s="160"/>
      <c r="EO127" s="141"/>
      <c r="EP127" s="203" t="str">
        <f t="shared" si="316"/>
        <v/>
      </c>
      <c r="EQ127" s="174" t="str">
        <f t="shared" si="358"/>
        <v>OK</v>
      </c>
      <c r="ER127" s="141"/>
      <c r="ES127" s="278" t="s">
        <v>71</v>
      </c>
      <c r="ET127" s="160"/>
      <c r="EU127" s="141"/>
      <c r="EV127" s="203" t="str">
        <f t="shared" si="317"/>
        <v/>
      </c>
      <c r="EW127" s="174" t="str">
        <f t="shared" si="359"/>
        <v>OK</v>
      </c>
      <c r="EX127" s="141"/>
      <c r="EY127" s="278" t="s">
        <v>71</v>
      </c>
      <c r="EZ127" s="160"/>
      <c r="FA127" s="141"/>
      <c r="FB127" s="203" t="str">
        <f t="shared" si="318"/>
        <v/>
      </c>
      <c r="FC127" s="174" t="str">
        <f t="shared" si="360"/>
        <v>OK</v>
      </c>
      <c r="FD127" s="141"/>
      <c r="FE127" s="278" t="s">
        <v>71</v>
      </c>
      <c r="FF127" s="160"/>
      <c r="FG127" s="141"/>
      <c r="FH127" s="203" t="str">
        <f t="shared" si="319"/>
        <v/>
      </c>
      <c r="FI127" s="174" t="str">
        <f t="shared" si="361"/>
        <v>OK</v>
      </c>
      <c r="FJ127" s="141"/>
      <c r="FK127" s="278" t="s">
        <v>71</v>
      </c>
      <c r="FL127" s="160"/>
      <c r="FM127" s="141"/>
      <c r="FN127" s="203" t="str">
        <f t="shared" si="320"/>
        <v/>
      </c>
      <c r="FO127" s="174" t="str">
        <f t="shared" si="251"/>
        <v>OK</v>
      </c>
      <c r="FP127" s="141"/>
      <c r="FQ127" s="278" t="s">
        <v>71</v>
      </c>
      <c r="FR127" s="160"/>
      <c r="FS127" s="141"/>
      <c r="FT127" s="203" t="str">
        <f t="shared" si="321"/>
        <v/>
      </c>
      <c r="FU127" s="174" t="str">
        <f t="shared" si="252"/>
        <v>OK</v>
      </c>
      <c r="FV127" s="141"/>
      <c r="FW127" s="278" t="s">
        <v>71</v>
      </c>
      <c r="FX127" s="160"/>
      <c r="FY127" s="141"/>
      <c r="FZ127" s="203" t="str">
        <f t="shared" si="322"/>
        <v/>
      </c>
      <c r="GA127" s="174" t="str">
        <f t="shared" si="253"/>
        <v>OK</v>
      </c>
      <c r="GB127" s="141"/>
      <c r="GC127" s="278" t="s">
        <v>71</v>
      </c>
    </row>
    <row r="128" spans="1:185" s="52" customFormat="1" ht="63.75">
      <c r="B128" s="48">
        <f t="shared" si="323"/>
        <v>121</v>
      </c>
      <c r="C128" s="187"/>
      <c r="D128" s="37"/>
      <c r="E128" s="37"/>
      <c r="F128" s="188" t="s">
        <v>318</v>
      </c>
      <c r="G128" s="39"/>
      <c r="H128" s="40"/>
      <c r="I128" s="57"/>
      <c r="J128" s="57"/>
      <c r="K128" s="57"/>
      <c r="L128" s="42"/>
      <c r="M128" s="58" t="s">
        <v>319</v>
      </c>
      <c r="N128" s="47"/>
      <c r="O128" s="143"/>
      <c r="P128" s="45">
        <f>P126+1</f>
        <v>101</v>
      </c>
      <c r="Q128" s="200">
        <v>2</v>
      </c>
      <c r="R128" s="41" t="str">
        <f t="shared" ref="R128:R134" si="362">IF(AA128="M","NX",AA128)</f>
        <v>X</v>
      </c>
      <c r="S128" s="185" t="s">
        <v>99</v>
      </c>
      <c r="T128" s="43"/>
      <c r="U128" s="41" t="s">
        <v>80</v>
      </c>
      <c r="V128" s="212" t="s">
        <v>188</v>
      </c>
      <c r="W128" s="22" t="str">
        <f>IF(C128&lt;&gt;"","0",IF(D128&lt;&gt;"","1",IF(E128&lt;&gt;"","2",IF(F128&lt;&gt;"","3",IF(G128&lt;&gt;"","4",IF(H128&lt;&gt;"","5"))))))</f>
        <v>3</v>
      </c>
      <c r="X128" s="62" t="s">
        <v>264</v>
      </c>
      <c r="Y128" s="201">
        <v>2</v>
      </c>
      <c r="Z128" s="201">
        <v>2</v>
      </c>
      <c r="AA128" s="202" t="s">
        <v>163</v>
      </c>
      <c r="AB128" s="202" t="s">
        <v>57</v>
      </c>
      <c r="AC128" s="166"/>
      <c r="AD128" s="160"/>
      <c r="AE128" s="162"/>
      <c r="AF128" s="167" t="str">
        <f t="shared" si="298"/>
        <v xml:space="preserve">  </v>
      </c>
      <c r="AG128" s="174" t="str">
        <f t="shared" si="237"/>
        <v>NG</v>
      </c>
      <c r="AH128" s="162"/>
      <c r="AI128" s="276" t="str">
        <f>IF(OR(AE$8="判定対象外",AH$8="判定対象外",AH128="-"),"-",IF(AE128=AH128,"OK","NG"))</f>
        <v>OK</v>
      </c>
      <c r="AJ128" s="160"/>
      <c r="AK128" s="162"/>
      <c r="AL128" s="167" t="str">
        <f t="shared" si="281"/>
        <v xml:space="preserve">  </v>
      </c>
      <c r="AM128" s="174" t="str">
        <f t="shared" si="324"/>
        <v>NG</v>
      </c>
      <c r="AN128" s="162"/>
      <c r="AO128" s="276" t="str">
        <f>IF(OR(AK$8="判定対象外",AN$8="判定対象外",AN128="-"),"-",IF(AK128=AN128,"OK","NG"))</f>
        <v>OK</v>
      </c>
      <c r="AP128" s="160"/>
      <c r="AQ128" s="162"/>
      <c r="AR128" s="167" t="str">
        <f t="shared" si="299"/>
        <v xml:space="preserve">  </v>
      </c>
      <c r="AS128" s="174" t="str">
        <f t="shared" si="238"/>
        <v>NG</v>
      </c>
      <c r="AT128" s="162"/>
      <c r="AU128" s="276" t="str">
        <f>IF(OR(AQ$8="判定対象外",AT$8="判定対象外",AT128="-"),"-",IF(AQ128=AT128,"OK","NG"))</f>
        <v>OK</v>
      </c>
      <c r="AV128" s="160"/>
      <c r="AW128" s="162"/>
      <c r="AX128" s="167" t="str">
        <f t="shared" si="300"/>
        <v xml:space="preserve">  </v>
      </c>
      <c r="AY128" s="174" t="str">
        <f t="shared" si="239"/>
        <v>NG</v>
      </c>
      <c r="AZ128" s="162"/>
      <c r="BA128" s="276" t="str">
        <f>IF(OR(AW$8="判定対象外",AZ$8="判定対象外",AZ128="-"),"-",IF(AW128=AZ128,"OK","NG"))</f>
        <v>OK</v>
      </c>
      <c r="BB128" s="160"/>
      <c r="BC128" s="162"/>
      <c r="BD128" s="167" t="str">
        <f t="shared" si="301"/>
        <v xml:space="preserve">  </v>
      </c>
      <c r="BE128" s="174" t="str">
        <f t="shared" si="240"/>
        <v>NG</v>
      </c>
      <c r="BF128" s="162"/>
      <c r="BG128" s="276" t="str">
        <f>IF(OR(BC$8="判定対象外",BF$8="判定対象外",BF128="-"),"-",IF(BC128=BF128,"OK","NG"))</f>
        <v>OK</v>
      </c>
      <c r="BH128" s="160"/>
      <c r="BI128" s="162"/>
      <c r="BJ128" s="167" t="str">
        <f t="shared" si="302"/>
        <v xml:space="preserve">  </v>
      </c>
      <c r="BK128" s="174" t="str">
        <f t="shared" si="241"/>
        <v>NG</v>
      </c>
      <c r="BL128" s="162"/>
      <c r="BM128" s="276" t="str">
        <f>IF(OR(BI$8="判定対象外",BL$8="判定対象外",BL128="-"),"-",IF(BI128=BL128,"OK","NG"))</f>
        <v>OK</v>
      </c>
      <c r="BN128" s="160"/>
      <c r="BO128" s="162"/>
      <c r="BP128" s="167" t="str">
        <f t="shared" si="303"/>
        <v xml:space="preserve">  </v>
      </c>
      <c r="BQ128" s="174" t="str">
        <f t="shared" si="242"/>
        <v>NG</v>
      </c>
      <c r="BR128" s="162"/>
      <c r="BS128" s="276" t="str">
        <f>IF(OR(BO$8="判定対象外",BR$8="判定対象外",BR128="-"),"-",IF(BO128=BR128,"OK","NG"))</f>
        <v>OK</v>
      </c>
      <c r="BT128" s="160"/>
      <c r="BU128" s="162"/>
      <c r="BV128" s="167" t="str">
        <f t="shared" si="304"/>
        <v xml:space="preserve">  </v>
      </c>
      <c r="BW128" s="174" t="str">
        <f t="shared" si="243"/>
        <v>NG</v>
      </c>
      <c r="BX128" s="162"/>
      <c r="BY128" s="276" t="str">
        <f>IF(OR(BU$8="判定対象外",BX$8="判定対象外",BX128="-"),"-",IF(BU128=BX128,"OK","NG"))</f>
        <v>OK</v>
      </c>
      <c r="BZ128" s="160"/>
      <c r="CA128" s="162"/>
      <c r="CB128" s="167" t="str">
        <f t="shared" si="305"/>
        <v xml:space="preserve">  </v>
      </c>
      <c r="CC128" s="174" t="str">
        <f t="shared" si="244"/>
        <v>NG</v>
      </c>
      <c r="CD128" s="162"/>
      <c r="CE128" s="276" t="str">
        <f>IF(OR(CA$8="判定対象外",CD$8="判定対象外",CD128="-"),"-",IF(CA128=CD128,"OK","NG"))</f>
        <v>OK</v>
      </c>
      <c r="CF128" s="160"/>
      <c r="CG128" s="162"/>
      <c r="CH128" s="167" t="str">
        <f t="shared" si="306"/>
        <v xml:space="preserve">  </v>
      </c>
      <c r="CI128" s="174" t="str">
        <f t="shared" si="245"/>
        <v>NG</v>
      </c>
      <c r="CJ128" s="162"/>
      <c r="CK128" s="276" t="str">
        <f>IF(OR(CG$8="判定対象外",CJ$8="判定対象外",CJ128="-"),"-",IF(CG128=CJ128,"OK","NG"))</f>
        <v>OK</v>
      </c>
      <c r="CL128" s="160"/>
      <c r="CM128" s="162"/>
      <c r="CN128" s="167" t="str">
        <f t="shared" si="307"/>
        <v xml:space="preserve">  </v>
      </c>
      <c r="CO128" s="174" t="str">
        <f t="shared" si="246"/>
        <v>NG</v>
      </c>
      <c r="CP128" s="162"/>
      <c r="CQ128" s="276" t="str">
        <f>IF(OR(CM$8="判定対象外",CP$8="判定対象外",CP128="-"),"-",IF(CM128=CP128,"OK","NG"))</f>
        <v>OK</v>
      </c>
      <c r="CR128" s="160"/>
      <c r="CS128" s="162"/>
      <c r="CT128" s="167" t="str">
        <f t="shared" si="308"/>
        <v xml:space="preserve">  </v>
      </c>
      <c r="CU128" s="174" t="str">
        <f t="shared" si="247"/>
        <v>NG</v>
      </c>
      <c r="CV128" s="162"/>
      <c r="CW128" s="276" t="str">
        <f>IF(OR(CS$8="判定対象外",CV$8="判定対象外",CV128="-"),"-",IF(CS128=CV128,"OK","NG"))</f>
        <v>OK</v>
      </c>
      <c r="CX128" s="160"/>
      <c r="CY128" s="162"/>
      <c r="CZ128" s="167" t="str">
        <f t="shared" si="309"/>
        <v xml:space="preserve">  </v>
      </c>
      <c r="DA128" s="174" t="str">
        <f t="shared" si="248"/>
        <v>NG</v>
      </c>
      <c r="DB128" s="162"/>
      <c r="DC128" s="276" t="str">
        <f>IF(OR(CY$8="判定対象外",DB$8="判定対象外",DB128="-"),"-",IF(CY128=DB128,"OK","NG"))</f>
        <v>OK</v>
      </c>
      <c r="DD128" s="160"/>
      <c r="DE128" s="162"/>
      <c r="DF128" s="167" t="str">
        <f t="shared" si="310"/>
        <v xml:space="preserve">  </v>
      </c>
      <c r="DG128" s="174" t="str">
        <f t="shared" si="249"/>
        <v>NG</v>
      </c>
      <c r="DH128" s="162"/>
      <c r="DI128" s="276" t="str">
        <f>IF(OR(DE$8="判定対象外",DH$8="判定対象外",DH128="-"),"-",IF(DE128=DH128,"OK","NG"))</f>
        <v>OK</v>
      </c>
      <c r="DJ128" s="160"/>
      <c r="DK128" s="162"/>
      <c r="DL128" s="167" t="str">
        <f t="shared" si="311"/>
        <v xml:space="preserve">  </v>
      </c>
      <c r="DM128" s="174" t="str">
        <f t="shared" si="250"/>
        <v>NG</v>
      </c>
      <c r="DN128" s="162"/>
      <c r="DO128" s="276" t="str">
        <f>IF(OR(DK$8="判定対象外",DN$8="判定対象外",DN128="-"),"-",IF(DK128=DN128,"OK","NG"))</f>
        <v>OK</v>
      </c>
      <c r="DP128" s="160"/>
      <c r="DQ128" s="162"/>
      <c r="DR128" s="167" t="str">
        <f t="shared" si="312"/>
        <v xml:space="preserve">  </v>
      </c>
      <c r="DS128" s="174" t="str">
        <f t="shared" si="354"/>
        <v>NG</v>
      </c>
      <c r="DT128" s="162"/>
      <c r="DU128" s="276" t="str">
        <f>IF(OR(DQ$8="判定対象外",DT$8="判定対象外",DT128="-"),"-",IF(DQ128=DT128,"OK","NG"))</f>
        <v>OK</v>
      </c>
      <c r="DV128" s="160"/>
      <c r="DW128" s="162"/>
      <c r="DX128" s="167" t="str">
        <f t="shared" si="313"/>
        <v xml:space="preserve">  </v>
      </c>
      <c r="DY128" s="174" t="str">
        <f t="shared" si="355"/>
        <v>NG</v>
      </c>
      <c r="DZ128" s="162"/>
      <c r="EA128" s="276" t="str">
        <f>IF(OR(DW$8="判定対象外",DZ$8="判定対象外",DZ128="-"),"-",IF(DW128=DZ128,"OK","NG"))</f>
        <v>OK</v>
      </c>
      <c r="EB128" s="160"/>
      <c r="EC128" s="162"/>
      <c r="ED128" s="167" t="str">
        <f t="shared" si="314"/>
        <v xml:space="preserve">  </v>
      </c>
      <c r="EE128" s="174" t="str">
        <f t="shared" si="356"/>
        <v>NG</v>
      </c>
      <c r="EF128" s="162"/>
      <c r="EG128" s="276" t="str">
        <f>IF(OR(EC$8="判定対象外",EF$8="判定対象外",EF128="-"),"-",IF(EC128=EF128,"OK","NG"))</f>
        <v>OK</v>
      </c>
      <c r="EH128" s="160"/>
      <c r="EI128" s="162"/>
      <c r="EJ128" s="167" t="str">
        <f t="shared" si="315"/>
        <v xml:space="preserve">  </v>
      </c>
      <c r="EK128" s="174" t="str">
        <f t="shared" si="357"/>
        <v>NG</v>
      </c>
      <c r="EL128" s="162"/>
      <c r="EM128" s="276" t="str">
        <f>IF(OR(EI$8="判定対象外",EL$8="判定対象外",EL128="-"),"-",IF(EI128=EL128,"OK","NG"))</f>
        <v>OK</v>
      </c>
      <c r="EN128" s="160"/>
      <c r="EO128" s="162"/>
      <c r="EP128" s="167" t="str">
        <f t="shared" si="316"/>
        <v xml:space="preserve">  </v>
      </c>
      <c r="EQ128" s="174" t="str">
        <f t="shared" si="358"/>
        <v>NG</v>
      </c>
      <c r="ER128" s="162"/>
      <c r="ES128" s="276" t="str">
        <f>IF(OR(EO$8="判定対象外",ER$8="判定対象外",ER128="-"),"-",IF(EO128=ER128,"OK","NG"))</f>
        <v>OK</v>
      </c>
      <c r="ET128" s="160"/>
      <c r="EU128" s="162"/>
      <c r="EV128" s="167" t="str">
        <f t="shared" si="317"/>
        <v xml:space="preserve">  </v>
      </c>
      <c r="EW128" s="174" t="str">
        <f t="shared" si="359"/>
        <v>NG</v>
      </c>
      <c r="EX128" s="162"/>
      <c r="EY128" s="276" t="str">
        <f>IF(OR(EU$8="判定対象外",EX$8="判定対象外",EX128="-"),"-",IF(EU128=EX128,"OK","NG"))</f>
        <v>OK</v>
      </c>
      <c r="EZ128" s="160"/>
      <c r="FA128" s="162"/>
      <c r="FB128" s="167" t="str">
        <f t="shared" si="318"/>
        <v xml:space="preserve">  </v>
      </c>
      <c r="FC128" s="174" t="str">
        <f t="shared" si="360"/>
        <v>NG</v>
      </c>
      <c r="FD128" s="162"/>
      <c r="FE128" s="276" t="str">
        <f>IF(OR(FA$8="判定対象外",FD$8="判定対象外",FD128="-"),"-",IF(FA128=FD128,"OK","NG"))</f>
        <v>OK</v>
      </c>
      <c r="FF128" s="160"/>
      <c r="FG128" s="162"/>
      <c r="FH128" s="167" t="str">
        <f t="shared" si="319"/>
        <v xml:space="preserve">  </v>
      </c>
      <c r="FI128" s="174" t="str">
        <f t="shared" si="361"/>
        <v>NG</v>
      </c>
      <c r="FJ128" s="162"/>
      <c r="FK128" s="276" t="str">
        <f>IF(OR(FG$8="判定対象外",FJ$8="判定対象外",FJ128="-"),"-",IF(FG128=FJ128,"OK","NG"))</f>
        <v>OK</v>
      </c>
      <c r="FL128" s="160"/>
      <c r="FM128" s="162"/>
      <c r="FN128" s="167" t="str">
        <f t="shared" si="320"/>
        <v xml:space="preserve">  </v>
      </c>
      <c r="FO128" s="174" t="str">
        <f t="shared" si="251"/>
        <v>NG</v>
      </c>
      <c r="FP128" s="162"/>
      <c r="FQ128" s="276" t="str">
        <f>IF(OR(FM$8="判定対象外",FP$8="判定対象外",FP128="-"),"-",IF(FM128=FP128,"OK","NG"))</f>
        <v>OK</v>
      </c>
      <c r="FR128" s="160"/>
      <c r="FS128" s="162"/>
      <c r="FT128" s="167" t="str">
        <f t="shared" si="321"/>
        <v xml:space="preserve">  </v>
      </c>
      <c r="FU128" s="174" t="str">
        <f t="shared" si="252"/>
        <v>NG</v>
      </c>
      <c r="FV128" s="162"/>
      <c r="FW128" s="276" t="str">
        <f>IF(OR(FS$8="判定対象外",FV$8="判定対象外",FV128="-"),"-",IF(FS128=FV128,"OK","NG"))</f>
        <v>OK</v>
      </c>
      <c r="FX128" s="160"/>
      <c r="FY128" s="162"/>
      <c r="FZ128" s="167" t="str">
        <f t="shared" si="322"/>
        <v xml:space="preserve">  </v>
      </c>
      <c r="GA128" s="174" t="str">
        <f t="shared" si="253"/>
        <v>NG</v>
      </c>
      <c r="GB128" s="162"/>
      <c r="GC128" s="276" t="str">
        <f>IF(OR(FY$8="判定対象外",GB$8="判定対象外",GB128="-"),"-",IF(FY128=GB128,"OK","NG"))</f>
        <v>OK</v>
      </c>
    </row>
    <row r="129" spans="2:185" s="52" customFormat="1" ht="344.25">
      <c r="B129" s="48">
        <f t="shared" si="323"/>
        <v>122</v>
      </c>
      <c r="C129" s="37"/>
      <c r="D129" s="37"/>
      <c r="E129" s="37"/>
      <c r="F129" s="188" t="s">
        <v>320</v>
      </c>
      <c r="G129" s="39"/>
      <c r="H129" s="40"/>
      <c r="I129" s="42"/>
      <c r="J129" s="42" t="s">
        <v>316</v>
      </c>
      <c r="K129" s="42"/>
      <c r="L129" s="42"/>
      <c r="M129" s="189" t="s">
        <v>321</v>
      </c>
      <c r="N129" s="63"/>
      <c r="O129" s="143"/>
      <c r="P129" s="45">
        <f>P128+1</f>
        <v>102</v>
      </c>
      <c r="Q129" s="46">
        <v>2</v>
      </c>
      <c r="R129" s="41" t="str">
        <f t="shared" si="362"/>
        <v>X</v>
      </c>
      <c r="S129" s="185" t="s">
        <v>100</v>
      </c>
      <c r="T129" s="43"/>
      <c r="U129" s="41" t="s">
        <v>80</v>
      </c>
      <c r="V129" s="44"/>
      <c r="W129" s="22">
        <v>3</v>
      </c>
      <c r="X129" s="47" t="s">
        <v>265</v>
      </c>
      <c r="Y129" s="47">
        <v>2</v>
      </c>
      <c r="Z129" s="47">
        <v>2</v>
      </c>
      <c r="AA129" s="42" t="s">
        <v>163</v>
      </c>
      <c r="AB129" s="42" t="s">
        <v>57</v>
      </c>
      <c r="AC129" s="166"/>
      <c r="AD129" s="160"/>
      <c r="AE129" s="162"/>
      <c r="AF129" s="167" t="str">
        <f t="shared" si="298"/>
        <v xml:space="preserve">  </v>
      </c>
      <c r="AG129" s="174" t="str">
        <f t="shared" si="237"/>
        <v>NG</v>
      </c>
      <c r="AH129" s="162"/>
      <c r="AI129" s="276" t="str">
        <f>IF(OR(AE$8="判定対象外",AH$8="判定対象外",AH129="-"),"-",IF(AE129=AH129,"OK","NG"))</f>
        <v>OK</v>
      </c>
      <c r="AJ129" s="160"/>
      <c r="AK129" s="162"/>
      <c r="AL129" s="167" t="str">
        <f t="shared" si="281"/>
        <v xml:space="preserve">  </v>
      </c>
      <c r="AM129" s="174" t="str">
        <f t="shared" si="324"/>
        <v>NG</v>
      </c>
      <c r="AN129" s="162"/>
      <c r="AO129" s="276" t="str">
        <f>IF(OR(AK$8="判定対象外",AN$8="判定対象外",AN129="-"),"-",IF(AK129=AN129,"OK","NG"))</f>
        <v>OK</v>
      </c>
      <c r="AP129" s="160"/>
      <c r="AQ129" s="162"/>
      <c r="AR129" s="167" t="str">
        <f t="shared" si="299"/>
        <v xml:space="preserve">  </v>
      </c>
      <c r="AS129" s="174" t="str">
        <f t="shared" si="238"/>
        <v>NG</v>
      </c>
      <c r="AT129" s="162"/>
      <c r="AU129" s="276" t="str">
        <f>IF(OR(AQ$8="判定対象外",AT$8="判定対象外",AT129="-"),"-",IF(AQ129=AT129,"OK","NG"))</f>
        <v>OK</v>
      </c>
      <c r="AV129" s="160"/>
      <c r="AW129" s="162"/>
      <c r="AX129" s="167" t="str">
        <f t="shared" si="300"/>
        <v xml:space="preserve">  </v>
      </c>
      <c r="AY129" s="174" t="str">
        <f t="shared" si="239"/>
        <v>NG</v>
      </c>
      <c r="AZ129" s="162"/>
      <c r="BA129" s="276" t="str">
        <f>IF(OR(AW$8="判定対象外",AZ$8="判定対象外",AZ129="-"),"-",IF(AW129=AZ129,"OK","NG"))</f>
        <v>OK</v>
      </c>
      <c r="BB129" s="160"/>
      <c r="BC129" s="162"/>
      <c r="BD129" s="167" t="str">
        <f t="shared" si="301"/>
        <v xml:space="preserve">  </v>
      </c>
      <c r="BE129" s="174" t="str">
        <f t="shared" si="240"/>
        <v>NG</v>
      </c>
      <c r="BF129" s="162"/>
      <c r="BG129" s="276" t="str">
        <f>IF(OR(BC$8="判定対象外",BF$8="判定対象外",BF129="-"),"-",IF(BC129=BF129,"OK","NG"))</f>
        <v>OK</v>
      </c>
      <c r="BH129" s="160"/>
      <c r="BI129" s="162"/>
      <c r="BJ129" s="167" t="str">
        <f t="shared" si="302"/>
        <v xml:space="preserve">  </v>
      </c>
      <c r="BK129" s="174" t="str">
        <f t="shared" si="241"/>
        <v>NG</v>
      </c>
      <c r="BL129" s="162"/>
      <c r="BM129" s="276" t="str">
        <f>IF(OR(BI$8="判定対象外",BL$8="判定対象外",BL129="-"),"-",IF(BI129=BL129,"OK","NG"))</f>
        <v>OK</v>
      </c>
      <c r="BN129" s="160"/>
      <c r="BO129" s="162"/>
      <c r="BP129" s="167" t="str">
        <f t="shared" si="303"/>
        <v xml:space="preserve">  </v>
      </c>
      <c r="BQ129" s="174" t="str">
        <f t="shared" si="242"/>
        <v>NG</v>
      </c>
      <c r="BR129" s="162"/>
      <c r="BS129" s="276" t="str">
        <f>IF(OR(BO$8="判定対象外",BR$8="判定対象外",BR129="-"),"-",IF(BO129=BR129,"OK","NG"))</f>
        <v>OK</v>
      </c>
      <c r="BT129" s="160"/>
      <c r="BU129" s="162"/>
      <c r="BV129" s="167" t="str">
        <f t="shared" si="304"/>
        <v xml:space="preserve">  </v>
      </c>
      <c r="BW129" s="174" t="str">
        <f t="shared" si="243"/>
        <v>NG</v>
      </c>
      <c r="BX129" s="162"/>
      <c r="BY129" s="276" t="str">
        <f>IF(OR(BU$8="判定対象外",BX$8="判定対象外",BX129="-"),"-",IF(BU129=BX129,"OK","NG"))</f>
        <v>OK</v>
      </c>
      <c r="BZ129" s="160"/>
      <c r="CA129" s="162"/>
      <c r="CB129" s="167" t="str">
        <f t="shared" si="305"/>
        <v xml:space="preserve">  </v>
      </c>
      <c r="CC129" s="174" t="str">
        <f t="shared" si="244"/>
        <v>NG</v>
      </c>
      <c r="CD129" s="162"/>
      <c r="CE129" s="276" t="str">
        <f>IF(OR(CA$8="判定対象外",CD$8="判定対象外",CD129="-"),"-",IF(CA129=CD129,"OK","NG"))</f>
        <v>OK</v>
      </c>
      <c r="CF129" s="160"/>
      <c r="CG129" s="162"/>
      <c r="CH129" s="167" t="str">
        <f t="shared" si="306"/>
        <v xml:space="preserve">  </v>
      </c>
      <c r="CI129" s="174" t="str">
        <f t="shared" si="245"/>
        <v>NG</v>
      </c>
      <c r="CJ129" s="162"/>
      <c r="CK129" s="276" t="str">
        <f>IF(OR(CG$8="判定対象外",CJ$8="判定対象外",CJ129="-"),"-",IF(CG129=CJ129,"OK","NG"))</f>
        <v>OK</v>
      </c>
      <c r="CL129" s="160"/>
      <c r="CM129" s="162"/>
      <c r="CN129" s="167" t="str">
        <f t="shared" si="307"/>
        <v xml:space="preserve">  </v>
      </c>
      <c r="CO129" s="174" t="str">
        <f t="shared" si="246"/>
        <v>NG</v>
      </c>
      <c r="CP129" s="162"/>
      <c r="CQ129" s="276" t="str">
        <f>IF(OR(CM$8="判定対象外",CP$8="判定対象外",CP129="-"),"-",IF(CM129=CP129,"OK","NG"))</f>
        <v>OK</v>
      </c>
      <c r="CR129" s="160"/>
      <c r="CS129" s="162"/>
      <c r="CT129" s="167" t="str">
        <f t="shared" si="308"/>
        <v xml:space="preserve">  </v>
      </c>
      <c r="CU129" s="174" t="str">
        <f t="shared" si="247"/>
        <v>NG</v>
      </c>
      <c r="CV129" s="162"/>
      <c r="CW129" s="276" t="str">
        <f>IF(OR(CS$8="判定対象外",CV$8="判定対象外",CV129="-"),"-",IF(CS129=CV129,"OK","NG"))</f>
        <v>OK</v>
      </c>
      <c r="CX129" s="160"/>
      <c r="CY129" s="162"/>
      <c r="CZ129" s="167" t="str">
        <f t="shared" si="309"/>
        <v xml:space="preserve">  </v>
      </c>
      <c r="DA129" s="174" t="str">
        <f t="shared" si="248"/>
        <v>NG</v>
      </c>
      <c r="DB129" s="162"/>
      <c r="DC129" s="276" t="str">
        <f>IF(OR(CY$8="判定対象外",DB$8="判定対象外",DB129="-"),"-",IF(CY129=DB129,"OK","NG"))</f>
        <v>OK</v>
      </c>
      <c r="DD129" s="160"/>
      <c r="DE129" s="162"/>
      <c r="DF129" s="167" t="str">
        <f t="shared" si="310"/>
        <v xml:space="preserve">  </v>
      </c>
      <c r="DG129" s="174" t="str">
        <f t="shared" si="249"/>
        <v>NG</v>
      </c>
      <c r="DH129" s="162"/>
      <c r="DI129" s="276" t="str">
        <f>IF(OR(DE$8="判定対象外",DH$8="判定対象外",DH129="-"),"-",IF(DE129=DH129,"OK","NG"))</f>
        <v>OK</v>
      </c>
      <c r="DJ129" s="160"/>
      <c r="DK129" s="162"/>
      <c r="DL129" s="167" t="str">
        <f t="shared" si="311"/>
        <v xml:space="preserve">  </v>
      </c>
      <c r="DM129" s="174" t="str">
        <f t="shared" si="250"/>
        <v>NG</v>
      </c>
      <c r="DN129" s="162"/>
      <c r="DO129" s="276" t="str">
        <f>IF(OR(DK$8="判定対象外",DN$8="判定対象外",DN129="-"),"-",IF(DK129=DN129,"OK","NG"))</f>
        <v>OK</v>
      </c>
      <c r="DP129" s="160"/>
      <c r="DQ129" s="162"/>
      <c r="DR129" s="167" t="str">
        <f t="shared" si="312"/>
        <v xml:space="preserve">  </v>
      </c>
      <c r="DS129" s="174" t="str">
        <f t="shared" si="354"/>
        <v>NG</v>
      </c>
      <c r="DT129" s="162"/>
      <c r="DU129" s="276" t="str">
        <f>IF(OR(DQ$8="判定対象外",DT$8="判定対象外",DT129="-"),"-",IF(DQ129=DT129,"OK","NG"))</f>
        <v>OK</v>
      </c>
      <c r="DV129" s="160"/>
      <c r="DW129" s="162"/>
      <c r="DX129" s="167" t="str">
        <f t="shared" si="313"/>
        <v xml:space="preserve">  </v>
      </c>
      <c r="DY129" s="174" t="str">
        <f t="shared" si="355"/>
        <v>NG</v>
      </c>
      <c r="DZ129" s="162"/>
      <c r="EA129" s="276" t="str">
        <f>IF(OR(DW$8="判定対象外",DZ$8="判定対象外",DZ129="-"),"-",IF(DW129=DZ129,"OK","NG"))</f>
        <v>OK</v>
      </c>
      <c r="EB129" s="160"/>
      <c r="EC129" s="162"/>
      <c r="ED129" s="167" t="str">
        <f t="shared" si="314"/>
        <v xml:space="preserve">  </v>
      </c>
      <c r="EE129" s="174" t="str">
        <f t="shared" si="356"/>
        <v>NG</v>
      </c>
      <c r="EF129" s="162"/>
      <c r="EG129" s="276" t="str">
        <f>IF(OR(EC$8="判定対象外",EF$8="判定対象外",EF129="-"),"-",IF(EC129=EF129,"OK","NG"))</f>
        <v>OK</v>
      </c>
      <c r="EH129" s="160"/>
      <c r="EI129" s="162"/>
      <c r="EJ129" s="167" t="str">
        <f t="shared" si="315"/>
        <v xml:space="preserve">  </v>
      </c>
      <c r="EK129" s="174" t="str">
        <f t="shared" si="357"/>
        <v>NG</v>
      </c>
      <c r="EL129" s="162"/>
      <c r="EM129" s="276" t="str">
        <f>IF(OR(EI$8="判定対象外",EL$8="判定対象外",EL129="-"),"-",IF(EI129=EL129,"OK","NG"))</f>
        <v>OK</v>
      </c>
      <c r="EN129" s="160"/>
      <c r="EO129" s="162"/>
      <c r="EP129" s="167" t="str">
        <f t="shared" si="316"/>
        <v xml:space="preserve">  </v>
      </c>
      <c r="EQ129" s="174" t="str">
        <f t="shared" si="358"/>
        <v>NG</v>
      </c>
      <c r="ER129" s="162"/>
      <c r="ES129" s="276" t="str">
        <f>IF(OR(EO$8="判定対象外",ER$8="判定対象外",ER129="-"),"-",IF(EO129=ER129,"OK","NG"))</f>
        <v>OK</v>
      </c>
      <c r="ET129" s="160"/>
      <c r="EU129" s="162"/>
      <c r="EV129" s="167" t="str">
        <f t="shared" si="317"/>
        <v xml:space="preserve">  </v>
      </c>
      <c r="EW129" s="174" t="str">
        <f t="shared" si="359"/>
        <v>NG</v>
      </c>
      <c r="EX129" s="162"/>
      <c r="EY129" s="276" t="str">
        <f>IF(OR(EU$8="判定対象外",EX$8="判定対象外",EX129="-"),"-",IF(EU129=EX129,"OK","NG"))</f>
        <v>OK</v>
      </c>
      <c r="EZ129" s="160"/>
      <c r="FA129" s="162"/>
      <c r="FB129" s="167" t="str">
        <f t="shared" si="318"/>
        <v xml:space="preserve">  </v>
      </c>
      <c r="FC129" s="174" t="str">
        <f t="shared" si="360"/>
        <v>NG</v>
      </c>
      <c r="FD129" s="162"/>
      <c r="FE129" s="276" t="str">
        <f>IF(OR(FA$8="判定対象外",FD$8="判定対象外",FD129="-"),"-",IF(FA129=FD129,"OK","NG"))</f>
        <v>OK</v>
      </c>
      <c r="FF129" s="160"/>
      <c r="FG129" s="162"/>
      <c r="FH129" s="167" t="str">
        <f t="shared" si="319"/>
        <v xml:space="preserve">  </v>
      </c>
      <c r="FI129" s="174" t="str">
        <f t="shared" si="361"/>
        <v>NG</v>
      </c>
      <c r="FJ129" s="162"/>
      <c r="FK129" s="276" t="str">
        <f>IF(OR(FG$8="判定対象外",FJ$8="判定対象外",FJ129="-"),"-",IF(FG129=FJ129,"OK","NG"))</f>
        <v>OK</v>
      </c>
      <c r="FL129" s="160"/>
      <c r="FM129" s="162"/>
      <c r="FN129" s="167" t="str">
        <f t="shared" si="320"/>
        <v xml:space="preserve">  </v>
      </c>
      <c r="FO129" s="174" t="str">
        <f t="shared" si="251"/>
        <v>NG</v>
      </c>
      <c r="FP129" s="162"/>
      <c r="FQ129" s="276" t="str">
        <f>IF(OR(FM$8="判定対象外",FP$8="判定対象外",FP129="-"),"-",IF(FM129=FP129,"OK","NG"))</f>
        <v>OK</v>
      </c>
      <c r="FR129" s="160"/>
      <c r="FS129" s="162"/>
      <c r="FT129" s="167" t="str">
        <f t="shared" si="321"/>
        <v xml:space="preserve">  </v>
      </c>
      <c r="FU129" s="174" t="str">
        <f t="shared" si="252"/>
        <v>NG</v>
      </c>
      <c r="FV129" s="162"/>
      <c r="FW129" s="276" t="str">
        <f>IF(OR(FS$8="判定対象外",FV$8="判定対象外",FV129="-"),"-",IF(FS129=FV129,"OK","NG"))</f>
        <v>OK</v>
      </c>
      <c r="FX129" s="160"/>
      <c r="FY129" s="162"/>
      <c r="FZ129" s="167" t="str">
        <f t="shared" si="322"/>
        <v xml:space="preserve">  </v>
      </c>
      <c r="GA129" s="174" t="str">
        <f t="shared" si="253"/>
        <v>NG</v>
      </c>
      <c r="GB129" s="162"/>
      <c r="GC129" s="276" t="str">
        <f>IF(OR(FY$8="判定対象外",GB$8="判定対象外",GB129="-"),"-",IF(FY129=GB129,"OK","NG"))</f>
        <v>OK</v>
      </c>
    </row>
    <row r="130" spans="2:185" s="52" customFormat="1">
      <c r="B130" s="48">
        <f t="shared" si="323"/>
        <v>123</v>
      </c>
      <c r="C130" s="37"/>
      <c r="D130" s="37"/>
      <c r="E130" s="37"/>
      <c r="F130" s="49" t="s">
        <v>322</v>
      </c>
      <c r="G130" s="39"/>
      <c r="H130" s="40"/>
      <c r="I130" s="42"/>
      <c r="J130" s="42"/>
      <c r="K130" s="42"/>
      <c r="L130" s="42"/>
      <c r="M130" s="213" t="s">
        <v>323</v>
      </c>
      <c r="N130" s="63"/>
      <c r="O130" s="143"/>
      <c r="P130" s="45">
        <f t="shared" ref="P130:P156" si="363">P129+1</f>
        <v>103</v>
      </c>
      <c r="Q130" s="46">
        <v>2</v>
      </c>
      <c r="R130" s="41" t="str">
        <f t="shared" si="362"/>
        <v>X</v>
      </c>
      <c r="S130" s="185" t="s">
        <v>190</v>
      </c>
      <c r="T130" s="43"/>
      <c r="U130" s="41" t="s">
        <v>80</v>
      </c>
      <c r="V130" s="44"/>
      <c r="W130" s="22">
        <v>3</v>
      </c>
      <c r="X130" s="47" t="s">
        <v>191</v>
      </c>
      <c r="Y130" s="47">
        <v>2</v>
      </c>
      <c r="Z130" s="47">
        <v>2</v>
      </c>
      <c r="AA130" s="42" t="s">
        <v>163</v>
      </c>
      <c r="AB130" s="42" t="s">
        <v>57</v>
      </c>
      <c r="AC130" s="166"/>
      <c r="AD130" s="160"/>
      <c r="AE130" s="141"/>
      <c r="AF130" s="203" t="str">
        <f t="shared" si="298"/>
        <v xml:space="preserve">  </v>
      </c>
      <c r="AG130" s="174" t="str">
        <f t="shared" si="237"/>
        <v>NG</v>
      </c>
      <c r="AH130" s="141"/>
      <c r="AI130" s="172" t="s">
        <v>71</v>
      </c>
      <c r="AJ130" s="160"/>
      <c r="AK130" s="141"/>
      <c r="AL130" s="203" t="str">
        <f t="shared" si="281"/>
        <v xml:space="preserve">  </v>
      </c>
      <c r="AM130" s="174" t="str">
        <f t="shared" si="324"/>
        <v>NG</v>
      </c>
      <c r="AN130" s="141"/>
      <c r="AO130" s="172" t="s">
        <v>71</v>
      </c>
      <c r="AP130" s="160"/>
      <c r="AQ130" s="141"/>
      <c r="AR130" s="203" t="str">
        <f t="shared" si="299"/>
        <v xml:space="preserve">  </v>
      </c>
      <c r="AS130" s="174" t="str">
        <f t="shared" si="238"/>
        <v>NG</v>
      </c>
      <c r="AT130" s="141"/>
      <c r="AU130" s="172" t="s">
        <v>71</v>
      </c>
      <c r="AV130" s="160"/>
      <c r="AW130" s="141"/>
      <c r="AX130" s="203" t="str">
        <f t="shared" si="300"/>
        <v xml:space="preserve">  </v>
      </c>
      <c r="AY130" s="174" t="str">
        <f t="shared" si="239"/>
        <v>NG</v>
      </c>
      <c r="AZ130" s="141"/>
      <c r="BA130" s="172" t="s">
        <v>71</v>
      </c>
      <c r="BB130" s="160"/>
      <c r="BC130" s="141"/>
      <c r="BD130" s="203" t="str">
        <f t="shared" si="301"/>
        <v xml:space="preserve">  </v>
      </c>
      <c r="BE130" s="174" t="str">
        <f t="shared" si="240"/>
        <v>NG</v>
      </c>
      <c r="BF130" s="141"/>
      <c r="BG130" s="172" t="s">
        <v>71</v>
      </c>
      <c r="BH130" s="160"/>
      <c r="BI130" s="141"/>
      <c r="BJ130" s="203" t="str">
        <f t="shared" si="302"/>
        <v xml:space="preserve">  </v>
      </c>
      <c r="BK130" s="174" t="str">
        <f t="shared" si="241"/>
        <v>NG</v>
      </c>
      <c r="BL130" s="141"/>
      <c r="BM130" s="172" t="s">
        <v>71</v>
      </c>
      <c r="BN130" s="160"/>
      <c r="BO130" s="141"/>
      <c r="BP130" s="203" t="str">
        <f t="shared" si="303"/>
        <v xml:space="preserve">  </v>
      </c>
      <c r="BQ130" s="174" t="str">
        <f t="shared" si="242"/>
        <v>NG</v>
      </c>
      <c r="BR130" s="141"/>
      <c r="BS130" s="172" t="s">
        <v>71</v>
      </c>
      <c r="BT130" s="160"/>
      <c r="BU130" s="141"/>
      <c r="BV130" s="203" t="str">
        <f t="shared" si="304"/>
        <v xml:space="preserve">  </v>
      </c>
      <c r="BW130" s="174" t="str">
        <f t="shared" si="243"/>
        <v>NG</v>
      </c>
      <c r="BX130" s="141"/>
      <c r="BY130" s="172" t="s">
        <v>71</v>
      </c>
      <c r="BZ130" s="160"/>
      <c r="CA130" s="141"/>
      <c r="CB130" s="203" t="str">
        <f t="shared" si="305"/>
        <v xml:space="preserve">  </v>
      </c>
      <c r="CC130" s="174" t="str">
        <f t="shared" si="244"/>
        <v>NG</v>
      </c>
      <c r="CD130" s="141"/>
      <c r="CE130" s="172" t="s">
        <v>71</v>
      </c>
      <c r="CF130" s="160"/>
      <c r="CG130" s="141"/>
      <c r="CH130" s="203" t="str">
        <f t="shared" si="306"/>
        <v xml:space="preserve">  </v>
      </c>
      <c r="CI130" s="174" t="str">
        <f t="shared" si="245"/>
        <v>NG</v>
      </c>
      <c r="CJ130" s="141"/>
      <c r="CK130" s="172" t="s">
        <v>71</v>
      </c>
      <c r="CL130" s="160"/>
      <c r="CM130" s="141"/>
      <c r="CN130" s="203" t="str">
        <f t="shared" si="307"/>
        <v xml:space="preserve">  </v>
      </c>
      <c r="CO130" s="174" t="str">
        <f t="shared" si="246"/>
        <v>NG</v>
      </c>
      <c r="CP130" s="141"/>
      <c r="CQ130" s="172" t="s">
        <v>71</v>
      </c>
      <c r="CR130" s="160"/>
      <c r="CS130" s="141"/>
      <c r="CT130" s="203" t="str">
        <f t="shared" si="308"/>
        <v xml:space="preserve">  </v>
      </c>
      <c r="CU130" s="174" t="str">
        <f t="shared" si="247"/>
        <v>NG</v>
      </c>
      <c r="CV130" s="141"/>
      <c r="CW130" s="172" t="s">
        <v>71</v>
      </c>
      <c r="CX130" s="160"/>
      <c r="CY130" s="141"/>
      <c r="CZ130" s="203" t="str">
        <f t="shared" si="309"/>
        <v xml:space="preserve">  </v>
      </c>
      <c r="DA130" s="174" t="str">
        <f t="shared" si="248"/>
        <v>NG</v>
      </c>
      <c r="DB130" s="141"/>
      <c r="DC130" s="172" t="s">
        <v>71</v>
      </c>
      <c r="DD130" s="160"/>
      <c r="DE130" s="141"/>
      <c r="DF130" s="203" t="str">
        <f t="shared" si="310"/>
        <v xml:space="preserve">  </v>
      </c>
      <c r="DG130" s="174" t="str">
        <f t="shared" si="249"/>
        <v>NG</v>
      </c>
      <c r="DH130" s="141"/>
      <c r="DI130" s="172" t="s">
        <v>71</v>
      </c>
      <c r="DJ130" s="160"/>
      <c r="DK130" s="141"/>
      <c r="DL130" s="203" t="str">
        <f t="shared" si="311"/>
        <v xml:space="preserve">  </v>
      </c>
      <c r="DM130" s="174" t="str">
        <f t="shared" si="250"/>
        <v>NG</v>
      </c>
      <c r="DN130" s="141"/>
      <c r="DO130" s="172" t="s">
        <v>71</v>
      </c>
      <c r="DP130" s="160"/>
      <c r="DQ130" s="141"/>
      <c r="DR130" s="203" t="str">
        <f t="shared" si="312"/>
        <v xml:space="preserve">  </v>
      </c>
      <c r="DS130" s="174" t="str">
        <f t="shared" si="354"/>
        <v>NG</v>
      </c>
      <c r="DT130" s="141"/>
      <c r="DU130" s="172" t="s">
        <v>71</v>
      </c>
      <c r="DV130" s="160"/>
      <c r="DW130" s="141"/>
      <c r="DX130" s="203" t="str">
        <f t="shared" si="313"/>
        <v xml:space="preserve">  </v>
      </c>
      <c r="DY130" s="174" t="str">
        <f t="shared" si="355"/>
        <v>NG</v>
      </c>
      <c r="DZ130" s="141"/>
      <c r="EA130" s="172" t="s">
        <v>71</v>
      </c>
      <c r="EB130" s="160"/>
      <c r="EC130" s="141"/>
      <c r="ED130" s="203" t="str">
        <f t="shared" si="314"/>
        <v xml:space="preserve">  </v>
      </c>
      <c r="EE130" s="174" t="str">
        <f t="shared" si="356"/>
        <v>NG</v>
      </c>
      <c r="EF130" s="141"/>
      <c r="EG130" s="172" t="s">
        <v>71</v>
      </c>
      <c r="EH130" s="160"/>
      <c r="EI130" s="141"/>
      <c r="EJ130" s="203" t="str">
        <f t="shared" si="315"/>
        <v xml:space="preserve">  </v>
      </c>
      <c r="EK130" s="174" t="str">
        <f t="shared" si="357"/>
        <v>NG</v>
      </c>
      <c r="EL130" s="141"/>
      <c r="EM130" s="172" t="s">
        <v>71</v>
      </c>
      <c r="EN130" s="160"/>
      <c r="EO130" s="141"/>
      <c r="EP130" s="203" t="str">
        <f t="shared" si="316"/>
        <v xml:space="preserve">  </v>
      </c>
      <c r="EQ130" s="174" t="str">
        <f t="shared" si="358"/>
        <v>NG</v>
      </c>
      <c r="ER130" s="141"/>
      <c r="ES130" s="172" t="s">
        <v>71</v>
      </c>
      <c r="ET130" s="160"/>
      <c r="EU130" s="141"/>
      <c r="EV130" s="203" t="str">
        <f t="shared" si="317"/>
        <v xml:space="preserve">  </v>
      </c>
      <c r="EW130" s="174" t="str">
        <f t="shared" si="359"/>
        <v>NG</v>
      </c>
      <c r="EX130" s="141"/>
      <c r="EY130" s="172" t="s">
        <v>71</v>
      </c>
      <c r="EZ130" s="160"/>
      <c r="FA130" s="141"/>
      <c r="FB130" s="203" t="str">
        <f t="shared" si="318"/>
        <v xml:space="preserve">  </v>
      </c>
      <c r="FC130" s="174" t="str">
        <f t="shared" si="360"/>
        <v>NG</v>
      </c>
      <c r="FD130" s="141"/>
      <c r="FE130" s="172" t="s">
        <v>71</v>
      </c>
      <c r="FF130" s="160"/>
      <c r="FG130" s="141"/>
      <c r="FH130" s="203" t="str">
        <f t="shared" si="319"/>
        <v xml:space="preserve">  </v>
      </c>
      <c r="FI130" s="174" t="str">
        <f t="shared" si="361"/>
        <v>NG</v>
      </c>
      <c r="FJ130" s="141"/>
      <c r="FK130" s="172" t="s">
        <v>71</v>
      </c>
      <c r="FL130" s="160"/>
      <c r="FM130" s="141"/>
      <c r="FN130" s="203" t="str">
        <f t="shared" si="320"/>
        <v xml:space="preserve">  </v>
      </c>
      <c r="FO130" s="174" t="str">
        <f t="shared" si="251"/>
        <v>NG</v>
      </c>
      <c r="FP130" s="141"/>
      <c r="FQ130" s="172" t="s">
        <v>71</v>
      </c>
      <c r="FR130" s="160"/>
      <c r="FS130" s="141"/>
      <c r="FT130" s="203" t="str">
        <f t="shared" si="321"/>
        <v xml:space="preserve">  </v>
      </c>
      <c r="FU130" s="174" t="str">
        <f t="shared" si="252"/>
        <v>NG</v>
      </c>
      <c r="FV130" s="141"/>
      <c r="FW130" s="172" t="s">
        <v>71</v>
      </c>
      <c r="FX130" s="160"/>
      <c r="FY130" s="141"/>
      <c r="FZ130" s="203" t="str">
        <f t="shared" si="322"/>
        <v xml:space="preserve">  </v>
      </c>
      <c r="GA130" s="174" t="str">
        <f t="shared" si="253"/>
        <v>NG</v>
      </c>
      <c r="GB130" s="141"/>
      <c r="GC130" s="172" t="s">
        <v>71</v>
      </c>
    </row>
    <row r="131" spans="2:185" s="52" customFormat="1">
      <c r="B131" s="48">
        <f t="shared" si="323"/>
        <v>124</v>
      </c>
      <c r="C131" s="37"/>
      <c r="D131" s="37"/>
      <c r="E131" s="37"/>
      <c r="F131" s="49" t="s">
        <v>192</v>
      </c>
      <c r="G131" s="39"/>
      <c r="H131" s="40"/>
      <c r="I131" s="42"/>
      <c r="J131" s="42" t="s">
        <v>316</v>
      </c>
      <c r="K131" s="42"/>
      <c r="L131" s="42"/>
      <c r="M131" s="47" t="s">
        <v>324</v>
      </c>
      <c r="N131" s="47"/>
      <c r="O131" s="143"/>
      <c r="P131" s="45">
        <f t="shared" si="363"/>
        <v>104</v>
      </c>
      <c r="Q131" s="46">
        <v>255</v>
      </c>
      <c r="R131" s="41" t="str">
        <f t="shared" si="362"/>
        <v>NX</v>
      </c>
      <c r="S131" s="185" t="s">
        <v>193</v>
      </c>
      <c r="T131" s="43"/>
      <c r="U131" s="41" t="s">
        <v>80</v>
      </c>
      <c r="V131" s="44"/>
      <c r="W131" s="22">
        <v>3</v>
      </c>
      <c r="X131" s="47" t="s">
        <v>194</v>
      </c>
      <c r="Y131" s="47">
        <v>1</v>
      </c>
      <c r="Z131" s="47">
        <v>255</v>
      </c>
      <c r="AA131" s="42" t="s">
        <v>195</v>
      </c>
      <c r="AB131" s="42" t="s">
        <v>57</v>
      </c>
      <c r="AC131" s="166"/>
      <c r="AD131" s="160"/>
      <c r="AE131" s="162"/>
      <c r="AF131" s="204" t="str">
        <f t="shared" si="298"/>
        <v xml:space="preserve">                                                                                                                                                                                                                                                               </v>
      </c>
      <c r="AG131" s="174" t="str">
        <f t="shared" si="237"/>
        <v>NG</v>
      </c>
      <c r="AH131" s="162"/>
      <c r="AI131" s="276" t="str">
        <f>IF(OR(AE$8="判定対象外",AH$8="判定対象外",AH131="-"),"-",IF(AE131=AH131,"OK","NG"))</f>
        <v>OK</v>
      </c>
      <c r="AJ131" s="160"/>
      <c r="AK131" s="162"/>
      <c r="AL131" s="204" t="str">
        <f t="shared" si="281"/>
        <v xml:space="preserve">                                                                                                                                                                                                                                                               </v>
      </c>
      <c r="AM131" s="174" t="str">
        <f t="shared" si="324"/>
        <v>NG</v>
      </c>
      <c r="AN131" s="162"/>
      <c r="AO131" s="276" t="str">
        <f>IF(OR(AK$8="判定対象外",AN$8="判定対象外",AN131="-"),"-",IF(AK131=AN131,"OK","NG"))</f>
        <v>OK</v>
      </c>
      <c r="AP131" s="160"/>
      <c r="AQ131" s="162"/>
      <c r="AR131" s="204" t="str">
        <f t="shared" si="299"/>
        <v xml:space="preserve">                                                                                                                                                                                                                                                               </v>
      </c>
      <c r="AS131" s="174" t="str">
        <f t="shared" si="238"/>
        <v>NG</v>
      </c>
      <c r="AT131" s="162"/>
      <c r="AU131" s="276" t="str">
        <f>IF(OR(AQ$8="判定対象外",AT$8="判定対象外",AT131="-"),"-",IF(AQ131=AT131,"OK","NG"))</f>
        <v>OK</v>
      </c>
      <c r="AV131" s="160"/>
      <c r="AW131" s="162"/>
      <c r="AX131" s="204" t="str">
        <f t="shared" si="300"/>
        <v xml:space="preserve">                                                                                                                                                                                                                                                               </v>
      </c>
      <c r="AY131" s="174" t="str">
        <f t="shared" si="239"/>
        <v>NG</v>
      </c>
      <c r="AZ131" s="162"/>
      <c r="BA131" s="276" t="str">
        <f>IF(OR(AW$8="判定対象外",AZ$8="判定対象外",AZ131="-"),"-",IF(AW131=AZ131,"OK","NG"))</f>
        <v>OK</v>
      </c>
      <c r="BB131" s="160"/>
      <c r="BC131" s="162"/>
      <c r="BD131" s="204" t="str">
        <f t="shared" si="301"/>
        <v xml:space="preserve">                                                                                                                                                                                                                                                               </v>
      </c>
      <c r="BE131" s="174" t="str">
        <f t="shared" si="240"/>
        <v>NG</v>
      </c>
      <c r="BF131" s="162"/>
      <c r="BG131" s="276" t="str">
        <f>IF(OR(BC$8="判定対象外",BF$8="判定対象外",BF131="-"),"-",IF(BC131=BF131,"OK","NG"))</f>
        <v>OK</v>
      </c>
      <c r="BH131" s="160"/>
      <c r="BI131" s="162"/>
      <c r="BJ131" s="204" t="str">
        <f t="shared" si="302"/>
        <v xml:space="preserve">                                                                                                                                                                                                                                                               </v>
      </c>
      <c r="BK131" s="174" t="str">
        <f t="shared" si="241"/>
        <v>NG</v>
      </c>
      <c r="BL131" s="162"/>
      <c r="BM131" s="276" t="str">
        <f>IF(OR(BI$8="判定対象外",BL$8="判定対象外",BL131="-"),"-",IF(BI131=BL131,"OK","NG"))</f>
        <v>OK</v>
      </c>
      <c r="BN131" s="160"/>
      <c r="BO131" s="162"/>
      <c r="BP131" s="204" t="str">
        <f t="shared" si="303"/>
        <v xml:space="preserve">                                                                                                                                                                                                                                                               </v>
      </c>
      <c r="BQ131" s="174" t="str">
        <f t="shared" si="242"/>
        <v>NG</v>
      </c>
      <c r="BR131" s="162"/>
      <c r="BS131" s="276" t="str">
        <f>IF(OR(BO$8="判定対象外",BR$8="判定対象外",BR131="-"),"-",IF(BO131=BR131,"OK","NG"))</f>
        <v>OK</v>
      </c>
      <c r="BT131" s="160"/>
      <c r="BU131" s="162"/>
      <c r="BV131" s="204" t="str">
        <f t="shared" si="304"/>
        <v xml:space="preserve">                                                                                                                                                                                                                                                               </v>
      </c>
      <c r="BW131" s="174" t="str">
        <f t="shared" si="243"/>
        <v>NG</v>
      </c>
      <c r="BX131" s="162"/>
      <c r="BY131" s="276" t="str">
        <f>IF(OR(BU$8="判定対象外",BX$8="判定対象外",BX131="-"),"-",IF(BU131=BX131,"OK","NG"))</f>
        <v>OK</v>
      </c>
      <c r="BZ131" s="160"/>
      <c r="CA131" s="162"/>
      <c r="CB131" s="204" t="str">
        <f t="shared" si="305"/>
        <v xml:space="preserve">                                                                                                                                                                                                                                                               </v>
      </c>
      <c r="CC131" s="174" t="str">
        <f t="shared" si="244"/>
        <v>NG</v>
      </c>
      <c r="CD131" s="162"/>
      <c r="CE131" s="276" t="str">
        <f>IF(OR(CA$8="判定対象外",CD$8="判定対象外",CD131="-"),"-",IF(CA131=CD131,"OK","NG"))</f>
        <v>OK</v>
      </c>
      <c r="CF131" s="160"/>
      <c r="CG131" s="162"/>
      <c r="CH131" s="204" t="str">
        <f t="shared" si="306"/>
        <v xml:space="preserve">                                                                                                                                                                                                                                                               </v>
      </c>
      <c r="CI131" s="174" t="str">
        <f t="shared" si="245"/>
        <v>NG</v>
      </c>
      <c r="CJ131" s="162"/>
      <c r="CK131" s="276" t="str">
        <f>IF(OR(CG$8="判定対象外",CJ$8="判定対象外",CJ131="-"),"-",IF(CG131=CJ131,"OK","NG"))</f>
        <v>OK</v>
      </c>
      <c r="CL131" s="160"/>
      <c r="CM131" s="162"/>
      <c r="CN131" s="204" t="str">
        <f t="shared" si="307"/>
        <v xml:space="preserve">                                                                                                                                                                                                                                                               </v>
      </c>
      <c r="CO131" s="174" t="str">
        <f t="shared" si="246"/>
        <v>NG</v>
      </c>
      <c r="CP131" s="162"/>
      <c r="CQ131" s="276" t="str">
        <f>IF(OR(CM$8="判定対象外",CP$8="判定対象外",CP131="-"),"-",IF(CM131=CP131,"OK","NG"))</f>
        <v>OK</v>
      </c>
      <c r="CR131" s="160"/>
      <c r="CS131" s="162"/>
      <c r="CT131" s="204" t="str">
        <f t="shared" si="308"/>
        <v xml:space="preserve">                                                                                                                                                                                                                                                               </v>
      </c>
      <c r="CU131" s="174" t="str">
        <f t="shared" si="247"/>
        <v>NG</v>
      </c>
      <c r="CV131" s="162"/>
      <c r="CW131" s="276" t="str">
        <f>IF(OR(CS$8="判定対象外",CV$8="判定対象外",CV131="-"),"-",IF(CS131=CV131,"OK","NG"))</f>
        <v>OK</v>
      </c>
      <c r="CX131" s="160"/>
      <c r="CY131" s="162"/>
      <c r="CZ131" s="204" t="str">
        <f t="shared" si="309"/>
        <v xml:space="preserve">                                                                                                                                                                                                                                                               </v>
      </c>
      <c r="DA131" s="174" t="str">
        <f t="shared" si="248"/>
        <v>NG</v>
      </c>
      <c r="DB131" s="162"/>
      <c r="DC131" s="276" t="str">
        <f>IF(OR(CY$8="判定対象外",DB$8="判定対象外",DB131="-"),"-",IF(CY131=DB131,"OK","NG"))</f>
        <v>OK</v>
      </c>
      <c r="DD131" s="160"/>
      <c r="DE131" s="162"/>
      <c r="DF131" s="204" t="str">
        <f t="shared" si="310"/>
        <v xml:space="preserve">                                                                                                                                                                                                                                                               </v>
      </c>
      <c r="DG131" s="174" t="str">
        <f t="shared" si="249"/>
        <v>NG</v>
      </c>
      <c r="DH131" s="162"/>
      <c r="DI131" s="276" t="str">
        <f>IF(OR(DE$8="判定対象外",DH$8="判定対象外",DH131="-"),"-",IF(DE131=DH131,"OK","NG"))</f>
        <v>OK</v>
      </c>
      <c r="DJ131" s="160"/>
      <c r="DK131" s="162"/>
      <c r="DL131" s="204" t="str">
        <f t="shared" si="311"/>
        <v xml:space="preserve">                                                                                                                                                                                                                                                               </v>
      </c>
      <c r="DM131" s="174" t="str">
        <f t="shared" si="250"/>
        <v>NG</v>
      </c>
      <c r="DN131" s="162"/>
      <c r="DO131" s="276" t="str">
        <f>IF(OR(DK$8="判定対象外",DN$8="判定対象外",DN131="-"),"-",IF(DK131=DN131,"OK","NG"))</f>
        <v>OK</v>
      </c>
      <c r="DP131" s="160"/>
      <c r="DQ131" s="162"/>
      <c r="DR131" s="204" t="str">
        <f t="shared" si="312"/>
        <v xml:space="preserve">                                                                                                                                                                                                                                                               </v>
      </c>
      <c r="DS131" s="174" t="str">
        <f t="shared" si="354"/>
        <v>NG</v>
      </c>
      <c r="DT131" s="162"/>
      <c r="DU131" s="276" t="str">
        <f>IF(OR(DQ$8="判定対象外",DT$8="判定対象外",DT131="-"),"-",IF(DQ131=DT131,"OK","NG"))</f>
        <v>OK</v>
      </c>
      <c r="DV131" s="160"/>
      <c r="DW131" s="162"/>
      <c r="DX131" s="204" t="str">
        <f t="shared" si="313"/>
        <v xml:space="preserve">                                                                                                                                                                                                                                                               </v>
      </c>
      <c r="DY131" s="174" t="str">
        <f t="shared" si="355"/>
        <v>NG</v>
      </c>
      <c r="DZ131" s="162"/>
      <c r="EA131" s="276" t="str">
        <f>IF(OR(DW$8="判定対象外",DZ$8="判定対象外",DZ131="-"),"-",IF(DW131=DZ131,"OK","NG"))</f>
        <v>OK</v>
      </c>
      <c r="EB131" s="160"/>
      <c r="EC131" s="162"/>
      <c r="ED131" s="204" t="str">
        <f t="shared" si="314"/>
        <v xml:space="preserve">                                                                                                                                                                                                                                                               </v>
      </c>
      <c r="EE131" s="174" t="str">
        <f t="shared" si="356"/>
        <v>NG</v>
      </c>
      <c r="EF131" s="162"/>
      <c r="EG131" s="276" t="str">
        <f>IF(OR(EC$8="判定対象外",EF$8="判定対象外",EF131="-"),"-",IF(EC131=EF131,"OK","NG"))</f>
        <v>OK</v>
      </c>
      <c r="EH131" s="160"/>
      <c r="EI131" s="162"/>
      <c r="EJ131" s="204" t="str">
        <f t="shared" si="315"/>
        <v xml:space="preserve">                                                                                                                                                                                                                                                               </v>
      </c>
      <c r="EK131" s="174" t="str">
        <f t="shared" si="357"/>
        <v>NG</v>
      </c>
      <c r="EL131" s="162"/>
      <c r="EM131" s="276" t="str">
        <f>IF(OR(EI$8="判定対象外",EL$8="判定対象外",EL131="-"),"-",IF(EI131=EL131,"OK","NG"))</f>
        <v>OK</v>
      </c>
      <c r="EN131" s="160"/>
      <c r="EO131" s="162"/>
      <c r="EP131" s="204" t="str">
        <f t="shared" si="316"/>
        <v xml:space="preserve">                                                                                                                                                                                                                                                               </v>
      </c>
      <c r="EQ131" s="174" t="str">
        <f t="shared" si="358"/>
        <v>NG</v>
      </c>
      <c r="ER131" s="162"/>
      <c r="ES131" s="276" t="str">
        <f>IF(OR(EO$8="判定対象外",ER$8="判定対象外",ER131="-"),"-",IF(EO131=ER131,"OK","NG"))</f>
        <v>OK</v>
      </c>
      <c r="ET131" s="160"/>
      <c r="EU131" s="162"/>
      <c r="EV131" s="204" t="str">
        <f t="shared" si="317"/>
        <v xml:space="preserve">                                                                                                                                                                                                                                                               </v>
      </c>
      <c r="EW131" s="174" t="str">
        <f t="shared" si="359"/>
        <v>NG</v>
      </c>
      <c r="EX131" s="162"/>
      <c r="EY131" s="276" t="str">
        <f>IF(OR(EU$8="判定対象外",EX$8="判定対象外",EX131="-"),"-",IF(EU131=EX131,"OK","NG"))</f>
        <v>OK</v>
      </c>
      <c r="EZ131" s="160"/>
      <c r="FA131" s="162"/>
      <c r="FB131" s="204" t="str">
        <f t="shared" si="318"/>
        <v xml:space="preserve">                                                                                                                                                                                                                                                               </v>
      </c>
      <c r="FC131" s="174" t="str">
        <f t="shared" si="360"/>
        <v>NG</v>
      </c>
      <c r="FD131" s="162"/>
      <c r="FE131" s="276" t="str">
        <f>IF(OR(FA$8="判定対象外",FD$8="判定対象外",FD131="-"),"-",IF(FA131=FD131,"OK","NG"))</f>
        <v>OK</v>
      </c>
      <c r="FF131" s="160"/>
      <c r="FG131" s="162"/>
      <c r="FH131" s="204" t="str">
        <f t="shared" si="319"/>
        <v xml:space="preserve">                                                                                                                                                                                                                                                               </v>
      </c>
      <c r="FI131" s="174" t="str">
        <f t="shared" si="361"/>
        <v>NG</v>
      </c>
      <c r="FJ131" s="162"/>
      <c r="FK131" s="276" t="str">
        <f>IF(OR(FG$8="判定対象外",FJ$8="判定対象外",FJ131="-"),"-",IF(FG131=FJ131,"OK","NG"))</f>
        <v>OK</v>
      </c>
      <c r="FL131" s="160"/>
      <c r="FM131" s="162"/>
      <c r="FN131" s="204" t="str">
        <f t="shared" si="320"/>
        <v xml:space="preserve">                                                                                                                                                                                                                                                               </v>
      </c>
      <c r="FO131" s="174" t="str">
        <f t="shared" si="251"/>
        <v>NG</v>
      </c>
      <c r="FP131" s="162"/>
      <c r="FQ131" s="276" t="str">
        <f>IF(OR(FM$8="判定対象外",FP$8="判定対象外",FP131="-"),"-",IF(FM131=FP131,"OK","NG"))</f>
        <v>OK</v>
      </c>
      <c r="FR131" s="160"/>
      <c r="FS131" s="162"/>
      <c r="FT131" s="204" t="str">
        <f t="shared" si="321"/>
        <v xml:space="preserve">                                                                                                                                                                                                                                                               </v>
      </c>
      <c r="FU131" s="174" t="str">
        <f t="shared" si="252"/>
        <v>NG</v>
      </c>
      <c r="FV131" s="162"/>
      <c r="FW131" s="276" t="str">
        <f>IF(OR(FS$8="判定対象外",FV$8="判定対象外",FV131="-"),"-",IF(FS131=FV131,"OK","NG"))</f>
        <v>OK</v>
      </c>
      <c r="FX131" s="160"/>
      <c r="FY131" s="162"/>
      <c r="FZ131" s="204" t="str">
        <f t="shared" si="322"/>
        <v xml:space="preserve">                                                                                                                                                                                                                                                               </v>
      </c>
      <c r="GA131" s="174" t="str">
        <f t="shared" si="253"/>
        <v>NG</v>
      </c>
      <c r="GB131" s="162"/>
      <c r="GC131" s="276" t="str">
        <f>IF(OR(FY$8="判定対象外",GB$8="判定対象外",GB131="-"),"-",IF(FY131=GB131,"OK","NG"))</f>
        <v>OK</v>
      </c>
    </row>
    <row r="132" spans="2:185" s="52" customFormat="1">
      <c r="B132" s="53">
        <f t="shared" si="323"/>
        <v>125</v>
      </c>
      <c r="C132" s="37"/>
      <c r="D132" s="37"/>
      <c r="E132" s="37"/>
      <c r="F132" s="54" t="s">
        <v>325</v>
      </c>
      <c r="G132" s="54"/>
      <c r="H132" s="55"/>
      <c r="I132" s="57"/>
      <c r="J132" s="57"/>
      <c r="K132" s="57"/>
      <c r="L132" s="57"/>
      <c r="M132" s="58" t="s">
        <v>326</v>
      </c>
      <c r="N132" s="62"/>
      <c r="O132" s="150"/>
      <c r="P132" s="45">
        <f t="shared" si="363"/>
        <v>105</v>
      </c>
      <c r="Q132" s="60">
        <v>256</v>
      </c>
      <c r="R132" s="41" t="str">
        <f t="shared" si="362"/>
        <v>NX</v>
      </c>
      <c r="S132" s="185" t="s">
        <v>196</v>
      </c>
      <c r="T132" s="43"/>
      <c r="U132" s="41" t="s">
        <v>80</v>
      </c>
      <c r="V132" s="44"/>
      <c r="W132" s="61">
        <v>3</v>
      </c>
      <c r="X132" s="62" t="s">
        <v>197</v>
      </c>
      <c r="Y132" s="62">
        <v>1</v>
      </c>
      <c r="Z132" s="62">
        <v>256</v>
      </c>
      <c r="AA132" s="57" t="s">
        <v>101</v>
      </c>
      <c r="AB132" s="57" t="s">
        <v>80</v>
      </c>
      <c r="AC132" s="214"/>
      <c r="AD132" s="160"/>
      <c r="AE132" s="141"/>
      <c r="AF132" s="203" t="str">
        <f t="shared" si="298"/>
        <v xml:space="preserve">                                                                                                                                                                                                                                                                </v>
      </c>
      <c r="AG132" s="174" t="str">
        <f t="shared" si="237"/>
        <v>NG</v>
      </c>
      <c r="AH132" s="141"/>
      <c r="AI132" s="172" t="s">
        <v>71</v>
      </c>
      <c r="AJ132" s="160"/>
      <c r="AK132" s="141"/>
      <c r="AL132" s="203" t="str">
        <f t="shared" si="281"/>
        <v xml:space="preserve">                                                                                                                                                                                                                                                                </v>
      </c>
      <c r="AM132" s="174" t="str">
        <f t="shared" si="324"/>
        <v>NG</v>
      </c>
      <c r="AN132" s="141"/>
      <c r="AO132" s="172" t="s">
        <v>71</v>
      </c>
      <c r="AP132" s="160"/>
      <c r="AQ132" s="141"/>
      <c r="AR132" s="203" t="str">
        <f t="shared" si="299"/>
        <v xml:space="preserve">                                                                                                                                                                                                                                                                </v>
      </c>
      <c r="AS132" s="174" t="str">
        <f t="shared" si="238"/>
        <v>NG</v>
      </c>
      <c r="AT132" s="141"/>
      <c r="AU132" s="172" t="s">
        <v>71</v>
      </c>
      <c r="AV132" s="160"/>
      <c r="AW132" s="141"/>
      <c r="AX132" s="203" t="str">
        <f t="shared" si="300"/>
        <v xml:space="preserve">                                                                                                                                                                                                                                                                </v>
      </c>
      <c r="AY132" s="174" t="str">
        <f t="shared" si="239"/>
        <v>NG</v>
      </c>
      <c r="AZ132" s="141"/>
      <c r="BA132" s="172" t="s">
        <v>71</v>
      </c>
      <c r="BB132" s="160"/>
      <c r="BC132" s="141"/>
      <c r="BD132" s="203" t="str">
        <f t="shared" si="301"/>
        <v xml:space="preserve">                                                                                                                                                                                                                                                                </v>
      </c>
      <c r="BE132" s="174" t="str">
        <f t="shared" si="240"/>
        <v>NG</v>
      </c>
      <c r="BF132" s="141"/>
      <c r="BG132" s="172" t="s">
        <v>71</v>
      </c>
      <c r="BH132" s="160"/>
      <c r="BI132" s="141"/>
      <c r="BJ132" s="203" t="str">
        <f t="shared" si="302"/>
        <v xml:space="preserve">                                                                                                                                                                                                                                                                </v>
      </c>
      <c r="BK132" s="174" t="str">
        <f t="shared" si="241"/>
        <v>NG</v>
      </c>
      <c r="BL132" s="141"/>
      <c r="BM132" s="172" t="s">
        <v>71</v>
      </c>
      <c r="BN132" s="160"/>
      <c r="BO132" s="141"/>
      <c r="BP132" s="203" t="str">
        <f t="shared" si="303"/>
        <v xml:space="preserve">                                                                                                                                                                                                                                                                </v>
      </c>
      <c r="BQ132" s="174" t="str">
        <f t="shared" si="242"/>
        <v>NG</v>
      </c>
      <c r="BR132" s="141"/>
      <c r="BS132" s="172" t="s">
        <v>71</v>
      </c>
      <c r="BT132" s="160"/>
      <c r="BU132" s="141"/>
      <c r="BV132" s="203" t="str">
        <f t="shared" si="304"/>
        <v xml:space="preserve">                                                                                                                                                                                                                                                                </v>
      </c>
      <c r="BW132" s="174" t="str">
        <f t="shared" si="243"/>
        <v>NG</v>
      </c>
      <c r="BX132" s="141"/>
      <c r="BY132" s="172" t="s">
        <v>71</v>
      </c>
      <c r="BZ132" s="160"/>
      <c r="CA132" s="141"/>
      <c r="CB132" s="203" t="str">
        <f t="shared" si="305"/>
        <v xml:space="preserve">                                                                                                                                                                                                                                                                </v>
      </c>
      <c r="CC132" s="174" t="str">
        <f t="shared" si="244"/>
        <v>NG</v>
      </c>
      <c r="CD132" s="141"/>
      <c r="CE132" s="172" t="s">
        <v>71</v>
      </c>
      <c r="CF132" s="160"/>
      <c r="CG132" s="141"/>
      <c r="CH132" s="203" t="str">
        <f t="shared" si="306"/>
        <v xml:space="preserve">                                                                                                                                                                                                                                                                </v>
      </c>
      <c r="CI132" s="174" t="str">
        <f t="shared" si="245"/>
        <v>NG</v>
      </c>
      <c r="CJ132" s="141"/>
      <c r="CK132" s="172" t="s">
        <v>71</v>
      </c>
      <c r="CL132" s="160"/>
      <c r="CM132" s="141"/>
      <c r="CN132" s="203" t="str">
        <f t="shared" si="307"/>
        <v xml:space="preserve">                                                                                                                                                                                                                                                                </v>
      </c>
      <c r="CO132" s="174" t="str">
        <f t="shared" si="246"/>
        <v>NG</v>
      </c>
      <c r="CP132" s="141"/>
      <c r="CQ132" s="172" t="s">
        <v>71</v>
      </c>
      <c r="CR132" s="160"/>
      <c r="CS132" s="141"/>
      <c r="CT132" s="203" t="str">
        <f t="shared" si="308"/>
        <v xml:space="preserve">                                                                                                                                                                                                                                                                </v>
      </c>
      <c r="CU132" s="174" t="str">
        <f t="shared" si="247"/>
        <v>NG</v>
      </c>
      <c r="CV132" s="141"/>
      <c r="CW132" s="172" t="s">
        <v>71</v>
      </c>
      <c r="CX132" s="160"/>
      <c r="CY132" s="141"/>
      <c r="CZ132" s="203" t="str">
        <f t="shared" si="309"/>
        <v xml:space="preserve">                                                                                                                                                                                                                                                                </v>
      </c>
      <c r="DA132" s="174" t="str">
        <f t="shared" si="248"/>
        <v>NG</v>
      </c>
      <c r="DB132" s="141"/>
      <c r="DC132" s="172" t="s">
        <v>71</v>
      </c>
      <c r="DD132" s="160"/>
      <c r="DE132" s="141"/>
      <c r="DF132" s="203" t="str">
        <f t="shared" si="310"/>
        <v xml:space="preserve">                                                                                                                                                                                                                                                                </v>
      </c>
      <c r="DG132" s="174" t="str">
        <f t="shared" si="249"/>
        <v>NG</v>
      </c>
      <c r="DH132" s="141"/>
      <c r="DI132" s="172" t="s">
        <v>71</v>
      </c>
      <c r="DJ132" s="160"/>
      <c r="DK132" s="141"/>
      <c r="DL132" s="203" t="str">
        <f t="shared" si="311"/>
        <v xml:space="preserve">                                                                                                                                                                                                                                                                </v>
      </c>
      <c r="DM132" s="174" t="str">
        <f t="shared" si="250"/>
        <v>NG</v>
      </c>
      <c r="DN132" s="141"/>
      <c r="DO132" s="172" t="s">
        <v>71</v>
      </c>
      <c r="DP132" s="160"/>
      <c r="DQ132" s="141"/>
      <c r="DR132" s="203" t="str">
        <f t="shared" si="312"/>
        <v xml:space="preserve">                                                                                                                                                                                                                                                                </v>
      </c>
      <c r="DS132" s="174" t="str">
        <f t="shared" si="354"/>
        <v>NG</v>
      </c>
      <c r="DT132" s="141"/>
      <c r="DU132" s="172" t="s">
        <v>71</v>
      </c>
      <c r="DV132" s="160"/>
      <c r="DW132" s="141"/>
      <c r="DX132" s="203" t="str">
        <f t="shared" si="313"/>
        <v xml:space="preserve">                                                                                                                                                                                                                                                                </v>
      </c>
      <c r="DY132" s="174" t="str">
        <f t="shared" si="355"/>
        <v>NG</v>
      </c>
      <c r="DZ132" s="141"/>
      <c r="EA132" s="172" t="s">
        <v>71</v>
      </c>
      <c r="EB132" s="160"/>
      <c r="EC132" s="141"/>
      <c r="ED132" s="203" t="str">
        <f t="shared" si="314"/>
        <v xml:space="preserve">                                                                                                                                                                                                                                                                </v>
      </c>
      <c r="EE132" s="174" t="str">
        <f t="shared" si="356"/>
        <v>NG</v>
      </c>
      <c r="EF132" s="141"/>
      <c r="EG132" s="172" t="s">
        <v>71</v>
      </c>
      <c r="EH132" s="160"/>
      <c r="EI132" s="141"/>
      <c r="EJ132" s="203" t="str">
        <f t="shared" si="315"/>
        <v xml:space="preserve">                                                                                                                                                                                                                                                                </v>
      </c>
      <c r="EK132" s="174" t="str">
        <f t="shared" si="357"/>
        <v>NG</v>
      </c>
      <c r="EL132" s="141"/>
      <c r="EM132" s="172" t="s">
        <v>71</v>
      </c>
      <c r="EN132" s="160"/>
      <c r="EO132" s="141"/>
      <c r="EP132" s="203" t="str">
        <f t="shared" si="316"/>
        <v xml:space="preserve">                                                                                                                                                                                                                                                                </v>
      </c>
      <c r="EQ132" s="174" t="str">
        <f t="shared" si="358"/>
        <v>NG</v>
      </c>
      <c r="ER132" s="141"/>
      <c r="ES132" s="172" t="s">
        <v>71</v>
      </c>
      <c r="ET132" s="160"/>
      <c r="EU132" s="141"/>
      <c r="EV132" s="203" t="str">
        <f t="shared" si="317"/>
        <v xml:space="preserve">                                                                                                                                                                                                                                                                </v>
      </c>
      <c r="EW132" s="174" t="str">
        <f t="shared" si="359"/>
        <v>NG</v>
      </c>
      <c r="EX132" s="141"/>
      <c r="EY132" s="172" t="s">
        <v>71</v>
      </c>
      <c r="EZ132" s="160"/>
      <c r="FA132" s="141"/>
      <c r="FB132" s="203" t="str">
        <f t="shared" si="318"/>
        <v xml:space="preserve">                                                                                                                                                                                                                                                                </v>
      </c>
      <c r="FC132" s="174" t="str">
        <f t="shared" si="360"/>
        <v>NG</v>
      </c>
      <c r="FD132" s="141"/>
      <c r="FE132" s="172" t="s">
        <v>71</v>
      </c>
      <c r="FF132" s="160"/>
      <c r="FG132" s="141"/>
      <c r="FH132" s="203" t="str">
        <f t="shared" si="319"/>
        <v xml:space="preserve">                                                                                                                                                                                                                                                                </v>
      </c>
      <c r="FI132" s="174" t="str">
        <f t="shared" si="361"/>
        <v>NG</v>
      </c>
      <c r="FJ132" s="141"/>
      <c r="FK132" s="172" t="s">
        <v>71</v>
      </c>
      <c r="FL132" s="160"/>
      <c r="FM132" s="141"/>
      <c r="FN132" s="203" t="str">
        <f t="shared" si="320"/>
        <v xml:space="preserve">                                                                                                                                                                                                                                                                </v>
      </c>
      <c r="FO132" s="174" t="str">
        <f t="shared" si="251"/>
        <v>NG</v>
      </c>
      <c r="FP132" s="141"/>
      <c r="FQ132" s="172" t="s">
        <v>71</v>
      </c>
      <c r="FR132" s="160"/>
      <c r="FS132" s="141"/>
      <c r="FT132" s="203" t="str">
        <f t="shared" si="321"/>
        <v xml:space="preserve">                                                                                                                                                                                                                                                                </v>
      </c>
      <c r="FU132" s="174" t="str">
        <f t="shared" si="252"/>
        <v>NG</v>
      </c>
      <c r="FV132" s="141"/>
      <c r="FW132" s="172" t="s">
        <v>71</v>
      </c>
      <c r="FX132" s="160"/>
      <c r="FY132" s="141"/>
      <c r="FZ132" s="203" t="str">
        <f t="shared" si="322"/>
        <v xml:space="preserve">                                                                                                                                                                                                                                                                </v>
      </c>
      <c r="GA132" s="174" t="str">
        <f t="shared" si="253"/>
        <v>NG</v>
      </c>
      <c r="GB132" s="141"/>
      <c r="GC132" s="172" t="s">
        <v>71</v>
      </c>
    </row>
    <row r="133" spans="2:185" s="52" customFormat="1" ht="63.75">
      <c r="B133" s="48">
        <f t="shared" si="323"/>
        <v>126</v>
      </c>
      <c r="C133" s="37"/>
      <c r="D133" s="37"/>
      <c r="E133" s="37"/>
      <c r="F133" s="49" t="s">
        <v>198</v>
      </c>
      <c r="G133" s="39"/>
      <c r="H133" s="40"/>
      <c r="I133" s="42"/>
      <c r="J133" s="42"/>
      <c r="K133" s="42"/>
      <c r="L133" s="42"/>
      <c r="M133" s="63" t="s">
        <v>327</v>
      </c>
      <c r="N133" s="47"/>
      <c r="O133" s="143"/>
      <c r="P133" s="45">
        <f t="shared" si="363"/>
        <v>106</v>
      </c>
      <c r="Q133" s="46">
        <v>256</v>
      </c>
      <c r="R133" s="41" t="str">
        <f t="shared" si="362"/>
        <v>NX</v>
      </c>
      <c r="S133" s="185" t="s">
        <v>199</v>
      </c>
      <c r="T133" s="43"/>
      <c r="U133" s="41" t="s">
        <v>80</v>
      </c>
      <c r="V133" s="44"/>
      <c r="W133" s="22">
        <v>3</v>
      </c>
      <c r="X133" s="47" t="s">
        <v>200</v>
      </c>
      <c r="Y133" s="47">
        <v>1</v>
      </c>
      <c r="Z133" s="47">
        <v>256</v>
      </c>
      <c r="AA133" s="42" t="s">
        <v>195</v>
      </c>
      <c r="AB133" s="42" t="s">
        <v>80</v>
      </c>
      <c r="AC133" s="166"/>
      <c r="AD133" s="160"/>
      <c r="AE133" s="162"/>
      <c r="AF133" s="167" t="str">
        <f t="shared" si="298"/>
        <v xml:space="preserve">                                                                                                                                                                                                                                                                </v>
      </c>
      <c r="AG133" s="174" t="str">
        <f t="shared" si="237"/>
        <v>NG</v>
      </c>
      <c r="AH133" s="162"/>
      <c r="AI133" s="172" t="s">
        <v>71</v>
      </c>
      <c r="AJ133" s="160"/>
      <c r="AK133" s="162"/>
      <c r="AL133" s="167" t="str">
        <f t="shared" si="281"/>
        <v xml:space="preserve">                                                                                                                                                                                                                                                                </v>
      </c>
      <c r="AM133" s="174" t="str">
        <f t="shared" si="324"/>
        <v>NG</v>
      </c>
      <c r="AN133" s="162"/>
      <c r="AO133" s="172" t="s">
        <v>71</v>
      </c>
      <c r="AP133" s="160"/>
      <c r="AQ133" s="162"/>
      <c r="AR133" s="167" t="str">
        <f t="shared" si="299"/>
        <v xml:space="preserve">                                                                                                                                                                                                                                                                </v>
      </c>
      <c r="AS133" s="174" t="str">
        <f t="shared" si="238"/>
        <v>NG</v>
      </c>
      <c r="AT133" s="162"/>
      <c r="AU133" s="172" t="s">
        <v>71</v>
      </c>
      <c r="AV133" s="160"/>
      <c r="AW133" s="162"/>
      <c r="AX133" s="167" t="str">
        <f t="shared" si="300"/>
        <v xml:space="preserve">                                                                                                                                                                                                                                                                </v>
      </c>
      <c r="AY133" s="174" t="str">
        <f t="shared" si="239"/>
        <v>NG</v>
      </c>
      <c r="AZ133" s="162"/>
      <c r="BA133" s="172" t="s">
        <v>71</v>
      </c>
      <c r="BB133" s="160"/>
      <c r="BC133" s="162"/>
      <c r="BD133" s="167" t="str">
        <f t="shared" si="301"/>
        <v xml:space="preserve">                                                                                                                                                                                                                                                                </v>
      </c>
      <c r="BE133" s="174" t="str">
        <f t="shared" si="240"/>
        <v>NG</v>
      </c>
      <c r="BF133" s="162"/>
      <c r="BG133" s="172" t="s">
        <v>71</v>
      </c>
      <c r="BH133" s="160"/>
      <c r="BI133" s="162"/>
      <c r="BJ133" s="167" t="str">
        <f t="shared" si="302"/>
        <v xml:space="preserve">                                                                                                                                                                                                                                                                </v>
      </c>
      <c r="BK133" s="174" t="str">
        <f t="shared" si="241"/>
        <v>NG</v>
      </c>
      <c r="BL133" s="162"/>
      <c r="BM133" s="172" t="s">
        <v>71</v>
      </c>
      <c r="BN133" s="160"/>
      <c r="BO133" s="162"/>
      <c r="BP133" s="167" t="str">
        <f t="shared" si="303"/>
        <v xml:space="preserve">                                                                                                                                                                                                                                                                </v>
      </c>
      <c r="BQ133" s="174" t="str">
        <f t="shared" si="242"/>
        <v>NG</v>
      </c>
      <c r="BR133" s="162"/>
      <c r="BS133" s="172" t="s">
        <v>71</v>
      </c>
      <c r="BT133" s="160"/>
      <c r="BU133" s="162"/>
      <c r="BV133" s="167" t="str">
        <f t="shared" si="304"/>
        <v xml:space="preserve">                                                                                                                                                                                                                                                                </v>
      </c>
      <c r="BW133" s="174" t="str">
        <f t="shared" si="243"/>
        <v>NG</v>
      </c>
      <c r="BX133" s="162"/>
      <c r="BY133" s="172" t="s">
        <v>71</v>
      </c>
      <c r="BZ133" s="160"/>
      <c r="CA133" s="162"/>
      <c r="CB133" s="167" t="str">
        <f t="shared" si="305"/>
        <v xml:space="preserve">                                                                                                                                                                                                                                                                </v>
      </c>
      <c r="CC133" s="174" t="str">
        <f t="shared" si="244"/>
        <v>NG</v>
      </c>
      <c r="CD133" s="162"/>
      <c r="CE133" s="172" t="s">
        <v>71</v>
      </c>
      <c r="CF133" s="160"/>
      <c r="CG133" s="162"/>
      <c r="CH133" s="167" t="str">
        <f t="shared" si="306"/>
        <v xml:space="preserve">                                                                                                                                                                                                                                                                </v>
      </c>
      <c r="CI133" s="174" t="str">
        <f t="shared" si="245"/>
        <v>NG</v>
      </c>
      <c r="CJ133" s="162"/>
      <c r="CK133" s="172" t="s">
        <v>71</v>
      </c>
      <c r="CL133" s="160"/>
      <c r="CM133" s="162"/>
      <c r="CN133" s="167" t="str">
        <f t="shared" si="307"/>
        <v xml:space="preserve">                                                                                                                                                                                                                                                                </v>
      </c>
      <c r="CO133" s="174" t="str">
        <f t="shared" si="246"/>
        <v>NG</v>
      </c>
      <c r="CP133" s="162"/>
      <c r="CQ133" s="172" t="s">
        <v>71</v>
      </c>
      <c r="CR133" s="160"/>
      <c r="CS133" s="162"/>
      <c r="CT133" s="167" t="str">
        <f t="shared" si="308"/>
        <v xml:space="preserve">                                                                                                                                                                                                                                                                </v>
      </c>
      <c r="CU133" s="174" t="str">
        <f t="shared" si="247"/>
        <v>NG</v>
      </c>
      <c r="CV133" s="162"/>
      <c r="CW133" s="172" t="s">
        <v>71</v>
      </c>
      <c r="CX133" s="160"/>
      <c r="CY133" s="162"/>
      <c r="CZ133" s="167" t="str">
        <f t="shared" si="309"/>
        <v xml:space="preserve">                                                                                                                                                                                                                                                                </v>
      </c>
      <c r="DA133" s="174" t="str">
        <f t="shared" si="248"/>
        <v>NG</v>
      </c>
      <c r="DB133" s="162"/>
      <c r="DC133" s="172" t="s">
        <v>71</v>
      </c>
      <c r="DD133" s="160"/>
      <c r="DE133" s="162"/>
      <c r="DF133" s="167" t="str">
        <f t="shared" si="310"/>
        <v xml:space="preserve">                                                                                                                                                                                                                                                                </v>
      </c>
      <c r="DG133" s="174" t="str">
        <f t="shared" si="249"/>
        <v>NG</v>
      </c>
      <c r="DH133" s="162"/>
      <c r="DI133" s="172" t="s">
        <v>71</v>
      </c>
      <c r="DJ133" s="160"/>
      <c r="DK133" s="162"/>
      <c r="DL133" s="167" t="str">
        <f t="shared" si="311"/>
        <v xml:space="preserve">                                                                                                                                                                                                                                                                </v>
      </c>
      <c r="DM133" s="174" t="str">
        <f t="shared" si="250"/>
        <v>NG</v>
      </c>
      <c r="DN133" s="162"/>
      <c r="DO133" s="172" t="s">
        <v>71</v>
      </c>
      <c r="DP133" s="160"/>
      <c r="DQ133" s="162"/>
      <c r="DR133" s="167" t="str">
        <f t="shared" si="312"/>
        <v xml:space="preserve">                                                                                                                                                                                                                                                                </v>
      </c>
      <c r="DS133" s="174" t="str">
        <f t="shared" si="354"/>
        <v>NG</v>
      </c>
      <c r="DT133" s="162"/>
      <c r="DU133" s="172" t="s">
        <v>71</v>
      </c>
      <c r="DV133" s="160"/>
      <c r="DW133" s="162"/>
      <c r="DX133" s="167" t="str">
        <f t="shared" si="313"/>
        <v xml:space="preserve">                                                                                                                                                                                                                                                                </v>
      </c>
      <c r="DY133" s="174" t="str">
        <f t="shared" si="355"/>
        <v>NG</v>
      </c>
      <c r="DZ133" s="162"/>
      <c r="EA133" s="172" t="s">
        <v>71</v>
      </c>
      <c r="EB133" s="160"/>
      <c r="EC133" s="162"/>
      <c r="ED133" s="167" t="str">
        <f t="shared" si="314"/>
        <v xml:space="preserve">                                                                                                                                                                                                                                                                </v>
      </c>
      <c r="EE133" s="174" t="str">
        <f t="shared" si="356"/>
        <v>NG</v>
      </c>
      <c r="EF133" s="162"/>
      <c r="EG133" s="172" t="s">
        <v>71</v>
      </c>
      <c r="EH133" s="160"/>
      <c r="EI133" s="162"/>
      <c r="EJ133" s="167" t="str">
        <f t="shared" si="315"/>
        <v xml:space="preserve">                                                                                                                                                                                                                                                                </v>
      </c>
      <c r="EK133" s="174" t="str">
        <f t="shared" si="357"/>
        <v>NG</v>
      </c>
      <c r="EL133" s="162"/>
      <c r="EM133" s="172" t="s">
        <v>71</v>
      </c>
      <c r="EN133" s="160"/>
      <c r="EO133" s="162"/>
      <c r="EP133" s="167" t="str">
        <f t="shared" si="316"/>
        <v xml:space="preserve">                                                                                                                                                                                                                                                                </v>
      </c>
      <c r="EQ133" s="174" t="str">
        <f t="shared" si="358"/>
        <v>NG</v>
      </c>
      <c r="ER133" s="162"/>
      <c r="ES133" s="172" t="s">
        <v>71</v>
      </c>
      <c r="ET133" s="160"/>
      <c r="EU133" s="162"/>
      <c r="EV133" s="167" t="str">
        <f t="shared" si="317"/>
        <v xml:space="preserve">                                                                                                                                                                                                                                                                </v>
      </c>
      <c r="EW133" s="174" t="str">
        <f t="shared" si="359"/>
        <v>NG</v>
      </c>
      <c r="EX133" s="162"/>
      <c r="EY133" s="172" t="s">
        <v>71</v>
      </c>
      <c r="EZ133" s="160"/>
      <c r="FA133" s="162"/>
      <c r="FB133" s="167" t="str">
        <f t="shared" si="318"/>
        <v xml:space="preserve">                                                                                                                                                                                                                                                                </v>
      </c>
      <c r="FC133" s="174" t="str">
        <f t="shared" si="360"/>
        <v>NG</v>
      </c>
      <c r="FD133" s="162"/>
      <c r="FE133" s="172" t="s">
        <v>71</v>
      </c>
      <c r="FF133" s="160"/>
      <c r="FG133" s="162"/>
      <c r="FH133" s="167" t="str">
        <f t="shared" si="319"/>
        <v xml:space="preserve">                                                                                                                                                                                                                                                                </v>
      </c>
      <c r="FI133" s="174" t="str">
        <f t="shared" si="361"/>
        <v>NG</v>
      </c>
      <c r="FJ133" s="162"/>
      <c r="FK133" s="172" t="s">
        <v>71</v>
      </c>
      <c r="FL133" s="160"/>
      <c r="FM133" s="162"/>
      <c r="FN133" s="167" t="str">
        <f t="shared" si="320"/>
        <v xml:space="preserve">                                                                                                                                                                                                                                                                </v>
      </c>
      <c r="FO133" s="174" t="str">
        <f t="shared" si="251"/>
        <v>NG</v>
      </c>
      <c r="FP133" s="162"/>
      <c r="FQ133" s="172" t="s">
        <v>71</v>
      </c>
      <c r="FR133" s="160"/>
      <c r="FS133" s="162"/>
      <c r="FT133" s="167" t="str">
        <f t="shared" si="321"/>
        <v xml:space="preserve">                                                                                                                                                                                                                                                                </v>
      </c>
      <c r="FU133" s="174" t="str">
        <f t="shared" si="252"/>
        <v>NG</v>
      </c>
      <c r="FV133" s="162"/>
      <c r="FW133" s="172" t="s">
        <v>71</v>
      </c>
      <c r="FX133" s="160"/>
      <c r="FY133" s="162"/>
      <c r="FZ133" s="167" t="str">
        <f t="shared" si="322"/>
        <v xml:space="preserve">                                                                                                                                                                                                                                                                </v>
      </c>
      <c r="GA133" s="174" t="str">
        <f t="shared" si="253"/>
        <v>NG</v>
      </c>
      <c r="GB133" s="162"/>
      <c r="GC133" s="172" t="s">
        <v>71</v>
      </c>
    </row>
    <row r="134" spans="2:185" s="52" customFormat="1" ht="63.75">
      <c r="B134" s="48">
        <f t="shared" si="323"/>
        <v>127</v>
      </c>
      <c r="C134" s="37"/>
      <c r="D134" s="37"/>
      <c r="E134" s="37"/>
      <c r="F134" s="49" t="s">
        <v>201</v>
      </c>
      <c r="G134" s="39"/>
      <c r="H134" s="40"/>
      <c r="I134" s="42"/>
      <c r="J134" s="42"/>
      <c r="K134" s="42"/>
      <c r="L134" s="42"/>
      <c r="M134" s="63" t="s">
        <v>328</v>
      </c>
      <c r="N134" s="47"/>
      <c r="O134" s="143"/>
      <c r="P134" s="45">
        <f t="shared" si="363"/>
        <v>107</v>
      </c>
      <c r="Q134" s="46">
        <v>256</v>
      </c>
      <c r="R134" s="41" t="str">
        <f t="shared" si="362"/>
        <v>NX</v>
      </c>
      <c r="S134" s="185" t="s">
        <v>202</v>
      </c>
      <c r="T134" s="43"/>
      <c r="U134" s="41" t="s">
        <v>80</v>
      </c>
      <c r="V134" s="44"/>
      <c r="W134" s="22">
        <v>3</v>
      </c>
      <c r="X134" s="47" t="s">
        <v>203</v>
      </c>
      <c r="Y134" s="47">
        <v>1</v>
      </c>
      <c r="Z134" s="47">
        <v>256</v>
      </c>
      <c r="AA134" s="42" t="s">
        <v>195</v>
      </c>
      <c r="AB134" s="42" t="s">
        <v>80</v>
      </c>
      <c r="AC134" s="166"/>
      <c r="AD134" s="160"/>
      <c r="AE134" s="162"/>
      <c r="AF134" s="167" t="str">
        <f t="shared" si="298"/>
        <v xml:space="preserve">                                                                                                                                                                                                                                                                </v>
      </c>
      <c r="AG134" s="174" t="str">
        <f t="shared" si="237"/>
        <v>NG</v>
      </c>
      <c r="AH134" s="162"/>
      <c r="AI134" s="172" t="s">
        <v>71</v>
      </c>
      <c r="AJ134" s="160"/>
      <c r="AK134" s="162"/>
      <c r="AL134" s="167" t="str">
        <f t="shared" si="281"/>
        <v xml:space="preserve">                                                                                                                                                                                                                                                                </v>
      </c>
      <c r="AM134" s="174" t="str">
        <f t="shared" si="324"/>
        <v>NG</v>
      </c>
      <c r="AN134" s="162"/>
      <c r="AO134" s="172" t="s">
        <v>71</v>
      </c>
      <c r="AP134" s="160"/>
      <c r="AQ134" s="162"/>
      <c r="AR134" s="167" t="str">
        <f t="shared" si="299"/>
        <v xml:space="preserve">                                                                                                                                                                                                                                                                </v>
      </c>
      <c r="AS134" s="174" t="str">
        <f t="shared" si="238"/>
        <v>NG</v>
      </c>
      <c r="AT134" s="162"/>
      <c r="AU134" s="172" t="s">
        <v>71</v>
      </c>
      <c r="AV134" s="160"/>
      <c r="AW134" s="162"/>
      <c r="AX134" s="167" t="str">
        <f t="shared" si="300"/>
        <v xml:space="preserve">                                                                                                                                                                                                                                                                </v>
      </c>
      <c r="AY134" s="174" t="str">
        <f t="shared" si="239"/>
        <v>NG</v>
      </c>
      <c r="AZ134" s="162"/>
      <c r="BA134" s="172" t="s">
        <v>71</v>
      </c>
      <c r="BB134" s="160"/>
      <c r="BC134" s="162"/>
      <c r="BD134" s="167" t="str">
        <f t="shared" si="301"/>
        <v xml:space="preserve">                                                                                                                                                                                                                                                                </v>
      </c>
      <c r="BE134" s="174" t="str">
        <f t="shared" si="240"/>
        <v>NG</v>
      </c>
      <c r="BF134" s="162"/>
      <c r="BG134" s="172" t="s">
        <v>71</v>
      </c>
      <c r="BH134" s="160"/>
      <c r="BI134" s="162"/>
      <c r="BJ134" s="167" t="str">
        <f t="shared" si="302"/>
        <v xml:space="preserve">                                                                                                                                                                                                                                                                </v>
      </c>
      <c r="BK134" s="174" t="str">
        <f t="shared" si="241"/>
        <v>NG</v>
      </c>
      <c r="BL134" s="162"/>
      <c r="BM134" s="172" t="s">
        <v>71</v>
      </c>
      <c r="BN134" s="160"/>
      <c r="BO134" s="162"/>
      <c r="BP134" s="167" t="str">
        <f t="shared" si="303"/>
        <v xml:space="preserve">                                                                                                                                                                                                                                                                </v>
      </c>
      <c r="BQ134" s="174" t="str">
        <f t="shared" si="242"/>
        <v>NG</v>
      </c>
      <c r="BR134" s="162"/>
      <c r="BS134" s="172" t="s">
        <v>71</v>
      </c>
      <c r="BT134" s="160"/>
      <c r="BU134" s="162"/>
      <c r="BV134" s="167" t="str">
        <f t="shared" si="304"/>
        <v xml:space="preserve">                                                                                                                                                                                                                                                                </v>
      </c>
      <c r="BW134" s="174" t="str">
        <f t="shared" si="243"/>
        <v>NG</v>
      </c>
      <c r="BX134" s="162"/>
      <c r="BY134" s="172" t="s">
        <v>71</v>
      </c>
      <c r="BZ134" s="160"/>
      <c r="CA134" s="162"/>
      <c r="CB134" s="167" t="str">
        <f t="shared" si="305"/>
        <v xml:space="preserve">                                                                                                                                                                                                                                                                </v>
      </c>
      <c r="CC134" s="174" t="str">
        <f t="shared" si="244"/>
        <v>NG</v>
      </c>
      <c r="CD134" s="162"/>
      <c r="CE134" s="172" t="s">
        <v>71</v>
      </c>
      <c r="CF134" s="160"/>
      <c r="CG134" s="162"/>
      <c r="CH134" s="167" t="str">
        <f t="shared" si="306"/>
        <v xml:space="preserve">                                                                                                                                                                                                                                                                </v>
      </c>
      <c r="CI134" s="174" t="str">
        <f t="shared" si="245"/>
        <v>NG</v>
      </c>
      <c r="CJ134" s="162"/>
      <c r="CK134" s="172" t="s">
        <v>71</v>
      </c>
      <c r="CL134" s="160"/>
      <c r="CM134" s="162"/>
      <c r="CN134" s="167" t="str">
        <f t="shared" si="307"/>
        <v xml:space="preserve">                                                                                                                                                                                                                                                                </v>
      </c>
      <c r="CO134" s="174" t="str">
        <f t="shared" si="246"/>
        <v>NG</v>
      </c>
      <c r="CP134" s="162"/>
      <c r="CQ134" s="172" t="s">
        <v>71</v>
      </c>
      <c r="CR134" s="160"/>
      <c r="CS134" s="162"/>
      <c r="CT134" s="167" t="str">
        <f t="shared" si="308"/>
        <v xml:space="preserve">                                                                                                                                                                                                                                                                </v>
      </c>
      <c r="CU134" s="174" t="str">
        <f t="shared" si="247"/>
        <v>NG</v>
      </c>
      <c r="CV134" s="162"/>
      <c r="CW134" s="172" t="s">
        <v>71</v>
      </c>
      <c r="CX134" s="160"/>
      <c r="CY134" s="162"/>
      <c r="CZ134" s="167" t="str">
        <f t="shared" si="309"/>
        <v xml:space="preserve">                                                                                                                                                                                                                                                                </v>
      </c>
      <c r="DA134" s="174" t="str">
        <f t="shared" si="248"/>
        <v>NG</v>
      </c>
      <c r="DB134" s="162"/>
      <c r="DC134" s="172" t="s">
        <v>71</v>
      </c>
      <c r="DD134" s="160"/>
      <c r="DE134" s="162"/>
      <c r="DF134" s="167" t="str">
        <f t="shared" si="310"/>
        <v xml:space="preserve">                                                                                                                                                                                                                                                                </v>
      </c>
      <c r="DG134" s="174" t="str">
        <f t="shared" si="249"/>
        <v>NG</v>
      </c>
      <c r="DH134" s="162"/>
      <c r="DI134" s="172" t="s">
        <v>71</v>
      </c>
      <c r="DJ134" s="160"/>
      <c r="DK134" s="162"/>
      <c r="DL134" s="167" t="str">
        <f t="shared" si="311"/>
        <v xml:space="preserve">                                                                                                                                                                                                                                                                </v>
      </c>
      <c r="DM134" s="174" t="str">
        <f t="shared" si="250"/>
        <v>NG</v>
      </c>
      <c r="DN134" s="162"/>
      <c r="DO134" s="172" t="s">
        <v>71</v>
      </c>
      <c r="DP134" s="160"/>
      <c r="DQ134" s="162"/>
      <c r="DR134" s="167" t="str">
        <f t="shared" si="312"/>
        <v xml:space="preserve">                                                                                                                                                                                                                                                                </v>
      </c>
      <c r="DS134" s="174" t="str">
        <f t="shared" si="354"/>
        <v>NG</v>
      </c>
      <c r="DT134" s="162"/>
      <c r="DU134" s="172" t="s">
        <v>71</v>
      </c>
      <c r="DV134" s="160"/>
      <c r="DW134" s="162"/>
      <c r="DX134" s="167" t="str">
        <f t="shared" si="313"/>
        <v xml:space="preserve">                                                                                                                                                                                                                                                                </v>
      </c>
      <c r="DY134" s="174" t="str">
        <f t="shared" si="355"/>
        <v>NG</v>
      </c>
      <c r="DZ134" s="162"/>
      <c r="EA134" s="172" t="s">
        <v>71</v>
      </c>
      <c r="EB134" s="160"/>
      <c r="EC134" s="162"/>
      <c r="ED134" s="167" t="str">
        <f t="shared" si="314"/>
        <v xml:space="preserve">                                                                                                                                                                                                                                                                </v>
      </c>
      <c r="EE134" s="174" t="str">
        <f t="shared" si="356"/>
        <v>NG</v>
      </c>
      <c r="EF134" s="162"/>
      <c r="EG134" s="172" t="s">
        <v>71</v>
      </c>
      <c r="EH134" s="160"/>
      <c r="EI134" s="162"/>
      <c r="EJ134" s="167" t="str">
        <f t="shared" si="315"/>
        <v xml:space="preserve">                                                                                                                                                                                                                                                                </v>
      </c>
      <c r="EK134" s="174" t="str">
        <f t="shared" si="357"/>
        <v>NG</v>
      </c>
      <c r="EL134" s="162"/>
      <c r="EM134" s="172" t="s">
        <v>71</v>
      </c>
      <c r="EN134" s="160"/>
      <c r="EO134" s="162"/>
      <c r="EP134" s="167" t="str">
        <f t="shared" si="316"/>
        <v xml:space="preserve">                                                                                                                                                                                                                                                                </v>
      </c>
      <c r="EQ134" s="174" t="str">
        <f t="shared" si="358"/>
        <v>NG</v>
      </c>
      <c r="ER134" s="162"/>
      <c r="ES134" s="172" t="s">
        <v>71</v>
      </c>
      <c r="ET134" s="160"/>
      <c r="EU134" s="162"/>
      <c r="EV134" s="167" t="str">
        <f t="shared" si="317"/>
        <v xml:space="preserve">                                                                                                                                                                                                                                                                </v>
      </c>
      <c r="EW134" s="174" t="str">
        <f t="shared" si="359"/>
        <v>NG</v>
      </c>
      <c r="EX134" s="162"/>
      <c r="EY134" s="172" t="s">
        <v>71</v>
      </c>
      <c r="EZ134" s="160"/>
      <c r="FA134" s="162"/>
      <c r="FB134" s="167" t="str">
        <f t="shared" si="318"/>
        <v xml:space="preserve">                                                                                                                                                                                                                                                                </v>
      </c>
      <c r="FC134" s="174" t="str">
        <f t="shared" si="360"/>
        <v>NG</v>
      </c>
      <c r="FD134" s="162"/>
      <c r="FE134" s="172" t="s">
        <v>71</v>
      </c>
      <c r="FF134" s="160"/>
      <c r="FG134" s="162"/>
      <c r="FH134" s="167" t="str">
        <f t="shared" si="319"/>
        <v xml:space="preserve">                                                                                                                                                                                                                                                                </v>
      </c>
      <c r="FI134" s="174" t="str">
        <f t="shared" si="361"/>
        <v>NG</v>
      </c>
      <c r="FJ134" s="162"/>
      <c r="FK134" s="172" t="s">
        <v>71</v>
      </c>
      <c r="FL134" s="160"/>
      <c r="FM134" s="162"/>
      <c r="FN134" s="167" t="str">
        <f t="shared" si="320"/>
        <v xml:space="preserve">                                                                                                                                                                                                                                                                </v>
      </c>
      <c r="FO134" s="174" t="str">
        <f t="shared" si="251"/>
        <v>NG</v>
      </c>
      <c r="FP134" s="162"/>
      <c r="FQ134" s="172" t="s">
        <v>71</v>
      </c>
      <c r="FR134" s="160"/>
      <c r="FS134" s="162"/>
      <c r="FT134" s="167" t="str">
        <f t="shared" si="321"/>
        <v xml:space="preserve">                                                                                                                                                                                                                                                                </v>
      </c>
      <c r="FU134" s="174" t="str">
        <f t="shared" si="252"/>
        <v>NG</v>
      </c>
      <c r="FV134" s="162"/>
      <c r="FW134" s="172" t="s">
        <v>71</v>
      </c>
      <c r="FX134" s="160"/>
      <c r="FY134" s="162"/>
      <c r="FZ134" s="167" t="str">
        <f t="shared" si="322"/>
        <v xml:space="preserve">                                                                                                                                                                                                                                                                </v>
      </c>
      <c r="GA134" s="174" t="str">
        <f t="shared" si="253"/>
        <v>NG</v>
      </c>
      <c r="GB134" s="162"/>
      <c r="GC134" s="172" t="s">
        <v>71</v>
      </c>
    </row>
    <row r="135" spans="2:185" s="52" customFormat="1" ht="69" customHeight="1">
      <c r="B135" s="53">
        <f t="shared" si="323"/>
        <v>128</v>
      </c>
      <c r="C135" s="37"/>
      <c r="D135" s="37"/>
      <c r="E135" s="37"/>
      <c r="F135" s="188" t="s">
        <v>329</v>
      </c>
      <c r="G135" s="39"/>
      <c r="H135" s="40"/>
      <c r="I135" s="42"/>
      <c r="J135" s="42" t="s">
        <v>316</v>
      </c>
      <c r="K135" s="42"/>
      <c r="L135" s="42"/>
      <c r="M135" s="63" t="s">
        <v>330</v>
      </c>
      <c r="N135" s="47"/>
      <c r="O135" s="143"/>
      <c r="P135" s="45">
        <f t="shared" si="363"/>
        <v>108</v>
      </c>
      <c r="Q135" s="46">
        <v>1</v>
      </c>
      <c r="R135" s="41" t="s">
        <v>81</v>
      </c>
      <c r="S135" s="185" t="s">
        <v>204</v>
      </c>
      <c r="T135" s="43"/>
      <c r="U135" s="41" t="s">
        <v>80</v>
      </c>
      <c r="V135" s="44"/>
      <c r="W135" s="22">
        <v>3</v>
      </c>
      <c r="X135" s="47" t="s">
        <v>205</v>
      </c>
      <c r="Y135" s="47">
        <v>1</v>
      </c>
      <c r="Z135" s="47">
        <v>1</v>
      </c>
      <c r="AA135" s="42">
        <v>9</v>
      </c>
      <c r="AB135" s="42" t="s">
        <v>57</v>
      </c>
      <c r="AC135" s="166"/>
      <c r="AD135" s="160"/>
      <c r="AE135" s="162"/>
      <c r="AF135" s="203" t="str">
        <f t="shared" si="298"/>
        <v xml:space="preserve"> </v>
      </c>
      <c r="AG135" s="174" t="str">
        <f t="shared" si="237"/>
        <v>NG</v>
      </c>
      <c r="AH135" s="162"/>
      <c r="AI135" s="276" t="str">
        <f>IF(OR(AE$8="判定対象外",AH$8="判定対象外",AH135="-"),"-",IF(AE135=AH135,"OK","NG"))</f>
        <v>OK</v>
      </c>
      <c r="AJ135" s="160"/>
      <c r="AK135" s="162"/>
      <c r="AL135" s="203" t="str">
        <f t="shared" si="281"/>
        <v xml:space="preserve"> </v>
      </c>
      <c r="AM135" s="174" t="str">
        <f t="shared" si="324"/>
        <v>NG</v>
      </c>
      <c r="AN135" s="162"/>
      <c r="AO135" s="276" t="str">
        <f>IF(OR(AK$8="判定対象外",AN$8="判定対象外",AN135="-"),"-",IF(AK135=AN135,"OK","NG"))</f>
        <v>OK</v>
      </c>
      <c r="AP135" s="160"/>
      <c r="AQ135" s="162"/>
      <c r="AR135" s="203" t="str">
        <f t="shared" si="299"/>
        <v xml:space="preserve"> </v>
      </c>
      <c r="AS135" s="174" t="str">
        <f t="shared" si="238"/>
        <v>NG</v>
      </c>
      <c r="AT135" s="162"/>
      <c r="AU135" s="276" t="str">
        <f>IF(OR(AQ$8="判定対象外",AT$8="判定対象外",AT135="-"),"-",IF(AQ135=AT135,"OK","NG"))</f>
        <v>OK</v>
      </c>
      <c r="AV135" s="160"/>
      <c r="AW135" s="162"/>
      <c r="AX135" s="203" t="str">
        <f t="shared" si="300"/>
        <v xml:space="preserve"> </v>
      </c>
      <c r="AY135" s="174" t="str">
        <f t="shared" si="239"/>
        <v>NG</v>
      </c>
      <c r="AZ135" s="162"/>
      <c r="BA135" s="276" t="str">
        <f>IF(OR(AW$8="判定対象外",AZ$8="判定対象外",AZ135="-"),"-",IF(AW135=AZ135,"OK","NG"))</f>
        <v>OK</v>
      </c>
      <c r="BB135" s="160"/>
      <c r="BC135" s="162"/>
      <c r="BD135" s="203" t="str">
        <f t="shared" si="301"/>
        <v xml:space="preserve"> </v>
      </c>
      <c r="BE135" s="174" t="str">
        <f t="shared" si="240"/>
        <v>NG</v>
      </c>
      <c r="BF135" s="162"/>
      <c r="BG135" s="276" t="str">
        <f>IF(OR(BC$8="判定対象外",BF$8="判定対象外",BF135="-"),"-",IF(BC135=BF135,"OK","NG"))</f>
        <v>OK</v>
      </c>
      <c r="BH135" s="160"/>
      <c r="BI135" s="162"/>
      <c r="BJ135" s="203" t="str">
        <f t="shared" si="302"/>
        <v xml:space="preserve"> </v>
      </c>
      <c r="BK135" s="174" t="str">
        <f t="shared" si="241"/>
        <v>NG</v>
      </c>
      <c r="BL135" s="162"/>
      <c r="BM135" s="276" t="str">
        <f>IF(OR(BI$8="判定対象外",BL$8="判定対象外",BL135="-"),"-",IF(BI135=BL135,"OK","NG"))</f>
        <v>OK</v>
      </c>
      <c r="BN135" s="160"/>
      <c r="BO135" s="162"/>
      <c r="BP135" s="203" t="str">
        <f t="shared" si="303"/>
        <v xml:space="preserve"> </v>
      </c>
      <c r="BQ135" s="174" t="str">
        <f t="shared" si="242"/>
        <v>NG</v>
      </c>
      <c r="BR135" s="162"/>
      <c r="BS135" s="276" t="str">
        <f>IF(OR(BO$8="判定対象外",BR$8="判定対象外",BR135="-"),"-",IF(BO135=BR135,"OK","NG"))</f>
        <v>OK</v>
      </c>
      <c r="BT135" s="160"/>
      <c r="BU135" s="162"/>
      <c r="BV135" s="203" t="str">
        <f t="shared" si="304"/>
        <v xml:space="preserve"> </v>
      </c>
      <c r="BW135" s="174" t="str">
        <f t="shared" si="243"/>
        <v>NG</v>
      </c>
      <c r="BX135" s="162"/>
      <c r="BY135" s="276" t="str">
        <f>IF(OR(BU$8="判定対象外",BX$8="判定対象外",BX135="-"),"-",IF(BU135=BX135,"OK","NG"))</f>
        <v>OK</v>
      </c>
      <c r="BZ135" s="160"/>
      <c r="CA135" s="162"/>
      <c r="CB135" s="203" t="str">
        <f t="shared" si="305"/>
        <v xml:space="preserve"> </v>
      </c>
      <c r="CC135" s="174" t="str">
        <f t="shared" si="244"/>
        <v>NG</v>
      </c>
      <c r="CD135" s="162"/>
      <c r="CE135" s="276" t="str">
        <f>IF(OR(CA$8="判定対象外",CD$8="判定対象外",CD135="-"),"-",IF(CA135=CD135,"OK","NG"))</f>
        <v>OK</v>
      </c>
      <c r="CF135" s="160"/>
      <c r="CG135" s="162"/>
      <c r="CH135" s="203" t="str">
        <f t="shared" si="306"/>
        <v xml:space="preserve"> </v>
      </c>
      <c r="CI135" s="174" t="str">
        <f t="shared" si="245"/>
        <v>NG</v>
      </c>
      <c r="CJ135" s="162"/>
      <c r="CK135" s="276" t="str">
        <f>IF(OR(CG$8="判定対象外",CJ$8="判定対象外",CJ135="-"),"-",IF(CG135=CJ135,"OK","NG"))</f>
        <v>OK</v>
      </c>
      <c r="CL135" s="160"/>
      <c r="CM135" s="162"/>
      <c r="CN135" s="203" t="str">
        <f t="shared" si="307"/>
        <v xml:space="preserve"> </v>
      </c>
      <c r="CO135" s="174" t="str">
        <f t="shared" si="246"/>
        <v>NG</v>
      </c>
      <c r="CP135" s="162"/>
      <c r="CQ135" s="276" t="str">
        <f>IF(OR(CM$8="判定対象外",CP$8="判定対象外",CP135="-"),"-",IF(CM135=CP135,"OK","NG"))</f>
        <v>OK</v>
      </c>
      <c r="CR135" s="160"/>
      <c r="CS135" s="162"/>
      <c r="CT135" s="203" t="str">
        <f t="shared" si="308"/>
        <v xml:space="preserve"> </v>
      </c>
      <c r="CU135" s="174" t="str">
        <f t="shared" si="247"/>
        <v>NG</v>
      </c>
      <c r="CV135" s="162"/>
      <c r="CW135" s="276" t="str">
        <f>IF(OR(CS$8="判定対象外",CV$8="判定対象外",CV135="-"),"-",IF(CS135=CV135,"OK","NG"))</f>
        <v>OK</v>
      </c>
      <c r="CX135" s="160"/>
      <c r="CY135" s="162"/>
      <c r="CZ135" s="203" t="str">
        <f t="shared" si="309"/>
        <v xml:space="preserve"> </v>
      </c>
      <c r="DA135" s="174" t="str">
        <f t="shared" si="248"/>
        <v>NG</v>
      </c>
      <c r="DB135" s="162"/>
      <c r="DC135" s="276" t="str">
        <f>IF(OR(CY$8="判定対象外",DB$8="判定対象外",DB135="-"),"-",IF(CY135=DB135,"OK","NG"))</f>
        <v>OK</v>
      </c>
      <c r="DD135" s="160"/>
      <c r="DE135" s="162"/>
      <c r="DF135" s="203" t="str">
        <f t="shared" si="310"/>
        <v xml:space="preserve"> </v>
      </c>
      <c r="DG135" s="174" t="str">
        <f t="shared" si="249"/>
        <v>NG</v>
      </c>
      <c r="DH135" s="162"/>
      <c r="DI135" s="276" t="str">
        <f>IF(OR(DE$8="判定対象外",DH$8="判定対象外",DH135="-"),"-",IF(DE135=DH135,"OK","NG"))</f>
        <v>OK</v>
      </c>
      <c r="DJ135" s="160"/>
      <c r="DK135" s="162"/>
      <c r="DL135" s="203" t="str">
        <f t="shared" si="311"/>
        <v xml:space="preserve"> </v>
      </c>
      <c r="DM135" s="174" t="str">
        <f t="shared" si="250"/>
        <v>NG</v>
      </c>
      <c r="DN135" s="162"/>
      <c r="DO135" s="276" t="str">
        <f>IF(OR(DK$8="判定対象外",DN$8="判定対象外",DN135="-"),"-",IF(DK135=DN135,"OK","NG"))</f>
        <v>OK</v>
      </c>
      <c r="DP135" s="160"/>
      <c r="DQ135" s="162"/>
      <c r="DR135" s="203" t="str">
        <f t="shared" si="312"/>
        <v xml:space="preserve"> </v>
      </c>
      <c r="DS135" s="174" t="str">
        <f t="shared" si="354"/>
        <v>NG</v>
      </c>
      <c r="DT135" s="162"/>
      <c r="DU135" s="276" t="str">
        <f>IF(OR(DQ$8="判定対象外",DT$8="判定対象外",DT135="-"),"-",IF(DQ135=DT135,"OK","NG"))</f>
        <v>OK</v>
      </c>
      <c r="DV135" s="160"/>
      <c r="DW135" s="162"/>
      <c r="DX135" s="203" t="str">
        <f t="shared" si="313"/>
        <v xml:space="preserve"> </v>
      </c>
      <c r="DY135" s="174" t="str">
        <f t="shared" si="355"/>
        <v>NG</v>
      </c>
      <c r="DZ135" s="162"/>
      <c r="EA135" s="276" t="str">
        <f>IF(OR(DW$8="判定対象外",DZ$8="判定対象外",DZ135="-"),"-",IF(DW135=DZ135,"OK","NG"))</f>
        <v>OK</v>
      </c>
      <c r="EB135" s="160"/>
      <c r="EC135" s="162"/>
      <c r="ED135" s="203" t="str">
        <f t="shared" si="314"/>
        <v xml:space="preserve"> </v>
      </c>
      <c r="EE135" s="174" t="str">
        <f t="shared" si="356"/>
        <v>NG</v>
      </c>
      <c r="EF135" s="162"/>
      <c r="EG135" s="276" t="str">
        <f>IF(OR(EC$8="判定対象外",EF$8="判定対象外",EF135="-"),"-",IF(EC135=EF135,"OK","NG"))</f>
        <v>OK</v>
      </c>
      <c r="EH135" s="160"/>
      <c r="EI135" s="162"/>
      <c r="EJ135" s="203" t="str">
        <f t="shared" si="315"/>
        <v xml:space="preserve"> </v>
      </c>
      <c r="EK135" s="174" t="str">
        <f t="shared" si="357"/>
        <v>NG</v>
      </c>
      <c r="EL135" s="162"/>
      <c r="EM135" s="276" t="str">
        <f>IF(OR(EI$8="判定対象外",EL$8="判定対象外",EL135="-"),"-",IF(EI135=EL135,"OK","NG"))</f>
        <v>OK</v>
      </c>
      <c r="EN135" s="160"/>
      <c r="EO135" s="162"/>
      <c r="EP135" s="203" t="str">
        <f t="shared" si="316"/>
        <v xml:space="preserve"> </v>
      </c>
      <c r="EQ135" s="174" t="str">
        <f t="shared" si="358"/>
        <v>NG</v>
      </c>
      <c r="ER135" s="162"/>
      <c r="ES135" s="276" t="str">
        <f>IF(OR(EO$8="判定対象外",ER$8="判定対象外",ER135="-"),"-",IF(EO135=ER135,"OK","NG"))</f>
        <v>OK</v>
      </c>
      <c r="ET135" s="160"/>
      <c r="EU135" s="162"/>
      <c r="EV135" s="203" t="str">
        <f t="shared" si="317"/>
        <v xml:space="preserve"> </v>
      </c>
      <c r="EW135" s="174" t="str">
        <f t="shared" si="359"/>
        <v>NG</v>
      </c>
      <c r="EX135" s="162"/>
      <c r="EY135" s="276" t="str">
        <f>IF(OR(EU$8="判定対象外",EX$8="判定対象外",EX135="-"),"-",IF(EU135=EX135,"OK","NG"))</f>
        <v>OK</v>
      </c>
      <c r="EZ135" s="160"/>
      <c r="FA135" s="162"/>
      <c r="FB135" s="203" t="str">
        <f t="shared" si="318"/>
        <v xml:space="preserve"> </v>
      </c>
      <c r="FC135" s="174" t="str">
        <f t="shared" si="360"/>
        <v>NG</v>
      </c>
      <c r="FD135" s="162"/>
      <c r="FE135" s="276" t="str">
        <f>IF(OR(FA$8="判定対象外",FD$8="判定対象外",FD135="-"),"-",IF(FA135=FD135,"OK","NG"))</f>
        <v>OK</v>
      </c>
      <c r="FF135" s="160"/>
      <c r="FG135" s="162"/>
      <c r="FH135" s="203" t="str">
        <f t="shared" si="319"/>
        <v xml:space="preserve"> </v>
      </c>
      <c r="FI135" s="174" t="str">
        <f t="shared" si="361"/>
        <v>NG</v>
      </c>
      <c r="FJ135" s="162"/>
      <c r="FK135" s="276" t="str">
        <f>IF(OR(FG$8="判定対象外",FJ$8="判定対象外",FJ135="-"),"-",IF(FG135=FJ135,"OK","NG"))</f>
        <v>OK</v>
      </c>
      <c r="FL135" s="160"/>
      <c r="FM135" s="162"/>
      <c r="FN135" s="203" t="str">
        <f t="shared" si="320"/>
        <v xml:space="preserve"> </v>
      </c>
      <c r="FO135" s="174" t="str">
        <f t="shared" si="251"/>
        <v>NG</v>
      </c>
      <c r="FP135" s="162"/>
      <c r="FQ135" s="276" t="str">
        <f>IF(OR(FM$8="判定対象外",FP$8="判定対象外",FP135="-"),"-",IF(FM135=FP135,"OK","NG"))</f>
        <v>OK</v>
      </c>
      <c r="FR135" s="160"/>
      <c r="FS135" s="162"/>
      <c r="FT135" s="203" t="str">
        <f t="shared" si="321"/>
        <v xml:space="preserve"> </v>
      </c>
      <c r="FU135" s="174" t="str">
        <f t="shared" si="252"/>
        <v>NG</v>
      </c>
      <c r="FV135" s="162"/>
      <c r="FW135" s="276" t="str">
        <f>IF(OR(FS$8="判定対象外",FV$8="判定対象外",FV135="-"),"-",IF(FS135=FV135,"OK","NG"))</f>
        <v>OK</v>
      </c>
      <c r="FX135" s="160"/>
      <c r="FY135" s="162"/>
      <c r="FZ135" s="203" t="str">
        <f t="shared" si="322"/>
        <v xml:space="preserve"> </v>
      </c>
      <c r="GA135" s="174" t="str">
        <f t="shared" si="253"/>
        <v>NG</v>
      </c>
      <c r="GB135" s="162"/>
      <c r="GC135" s="276" t="str">
        <f>IF(OR(FY$8="判定対象外",GB$8="判定対象外",GB135="-"),"-",IF(FY135=GB135,"OK","NG"))</f>
        <v>OK</v>
      </c>
    </row>
    <row r="136" spans="2:185" s="52" customFormat="1" ht="114.75">
      <c r="B136" s="48">
        <f t="shared" si="323"/>
        <v>129</v>
      </c>
      <c r="C136" s="37"/>
      <c r="D136" s="37"/>
      <c r="E136" s="37"/>
      <c r="F136" s="49" t="s">
        <v>206</v>
      </c>
      <c r="G136" s="39"/>
      <c r="H136" s="40"/>
      <c r="I136" s="42"/>
      <c r="J136" s="42"/>
      <c r="K136" s="42"/>
      <c r="L136" s="42"/>
      <c r="M136" s="163" t="s">
        <v>331</v>
      </c>
      <c r="N136" s="47"/>
      <c r="O136" s="143"/>
      <c r="P136" s="45">
        <f t="shared" si="363"/>
        <v>109</v>
      </c>
      <c r="Q136" s="46">
        <v>1</v>
      </c>
      <c r="R136" s="41" t="s">
        <v>81</v>
      </c>
      <c r="S136" s="185" t="s">
        <v>207</v>
      </c>
      <c r="T136" s="43"/>
      <c r="U136" s="41" t="s">
        <v>80</v>
      </c>
      <c r="V136" s="44"/>
      <c r="W136" s="22">
        <v>3</v>
      </c>
      <c r="X136" s="47" t="s">
        <v>98</v>
      </c>
      <c r="Y136" s="47">
        <v>1</v>
      </c>
      <c r="Z136" s="47">
        <v>1</v>
      </c>
      <c r="AA136" s="42">
        <v>9</v>
      </c>
      <c r="AB136" s="42" t="s">
        <v>57</v>
      </c>
      <c r="AC136" s="215"/>
      <c r="AD136" s="160"/>
      <c r="AE136" s="162"/>
      <c r="AF136" s="203" t="str">
        <f t="shared" si="298"/>
        <v xml:space="preserve"> </v>
      </c>
      <c r="AG136" s="174" t="str">
        <f t="shared" ref="AG136:AG199" si="364">IF(OR(AE$8="判定対象外",AF$8="判定対象外",AF136="-"),"-",IF(AE136=AF136,"OK","NG"))</f>
        <v>NG</v>
      </c>
      <c r="AH136" s="162"/>
      <c r="AI136" s="172" t="s">
        <v>71</v>
      </c>
      <c r="AJ136" s="160"/>
      <c r="AK136" s="162"/>
      <c r="AL136" s="203" t="str">
        <f t="shared" si="281"/>
        <v xml:space="preserve"> </v>
      </c>
      <c r="AM136" s="174" t="str">
        <f t="shared" si="324"/>
        <v>NG</v>
      </c>
      <c r="AN136" s="162"/>
      <c r="AO136" s="172" t="s">
        <v>71</v>
      </c>
      <c r="AP136" s="160"/>
      <c r="AQ136" s="162"/>
      <c r="AR136" s="203" t="str">
        <f t="shared" si="299"/>
        <v xml:space="preserve"> </v>
      </c>
      <c r="AS136" s="174" t="str">
        <f t="shared" ref="AS136:AS199" si="365">IF(OR(AQ$8="判定対象外",AR$8="判定対象外",AR136="-"),"-",IF(AQ136=AR136,"OK","NG"))</f>
        <v>NG</v>
      </c>
      <c r="AT136" s="162"/>
      <c r="AU136" s="172" t="s">
        <v>71</v>
      </c>
      <c r="AV136" s="160"/>
      <c r="AW136" s="162"/>
      <c r="AX136" s="203" t="str">
        <f t="shared" si="300"/>
        <v xml:space="preserve"> </v>
      </c>
      <c r="AY136" s="174" t="str">
        <f t="shared" ref="AY136:AY199" si="366">IF(OR(AW$8="判定対象外",AX$8="判定対象外",AX136="-"),"-",IF(AW136=AX136,"OK","NG"))</f>
        <v>NG</v>
      </c>
      <c r="AZ136" s="162"/>
      <c r="BA136" s="172" t="s">
        <v>71</v>
      </c>
      <c r="BB136" s="160"/>
      <c r="BC136" s="162"/>
      <c r="BD136" s="203" t="str">
        <f t="shared" si="301"/>
        <v xml:space="preserve"> </v>
      </c>
      <c r="BE136" s="174" t="str">
        <f t="shared" ref="BE136:BE199" si="367">IF(OR(BC$8="判定対象外",BD$8="判定対象外",BD136="-"),"-",IF(BC136=BD136,"OK","NG"))</f>
        <v>NG</v>
      </c>
      <c r="BF136" s="162"/>
      <c r="BG136" s="172" t="s">
        <v>71</v>
      </c>
      <c r="BH136" s="160"/>
      <c r="BI136" s="162"/>
      <c r="BJ136" s="203" t="str">
        <f t="shared" si="302"/>
        <v xml:space="preserve"> </v>
      </c>
      <c r="BK136" s="174" t="str">
        <f t="shared" ref="BK136:BK199" si="368">IF(OR(BI$8="判定対象外",BJ$8="判定対象外",BJ136="-"),"-",IF(BI136=BJ136,"OK","NG"))</f>
        <v>NG</v>
      </c>
      <c r="BL136" s="162"/>
      <c r="BM136" s="172" t="s">
        <v>71</v>
      </c>
      <c r="BN136" s="160"/>
      <c r="BO136" s="162"/>
      <c r="BP136" s="203" t="str">
        <f t="shared" si="303"/>
        <v xml:space="preserve"> </v>
      </c>
      <c r="BQ136" s="174" t="str">
        <f t="shared" ref="BQ136:BQ199" si="369">IF(OR(BO$8="判定対象外",BP$8="判定対象外",BP136="-"),"-",IF(BO136=BP136,"OK","NG"))</f>
        <v>NG</v>
      </c>
      <c r="BR136" s="162"/>
      <c r="BS136" s="172" t="s">
        <v>71</v>
      </c>
      <c r="BT136" s="160"/>
      <c r="BU136" s="162"/>
      <c r="BV136" s="203" t="str">
        <f t="shared" si="304"/>
        <v xml:space="preserve"> </v>
      </c>
      <c r="BW136" s="174" t="str">
        <f t="shared" ref="BW136:BW199" si="370">IF(OR(BU$8="判定対象外",BV$8="判定対象外",BV136="-"),"-",IF(BU136=BV136,"OK","NG"))</f>
        <v>NG</v>
      </c>
      <c r="BX136" s="162"/>
      <c r="BY136" s="172" t="s">
        <v>71</v>
      </c>
      <c r="BZ136" s="160"/>
      <c r="CA136" s="162"/>
      <c r="CB136" s="203" t="str">
        <f t="shared" si="305"/>
        <v xml:space="preserve"> </v>
      </c>
      <c r="CC136" s="174" t="str">
        <f t="shared" ref="CC136:CC199" si="371">IF(OR(CA$8="判定対象外",CB$8="判定対象外",CB136="-"),"-",IF(CA136=CB136,"OK","NG"))</f>
        <v>NG</v>
      </c>
      <c r="CD136" s="162"/>
      <c r="CE136" s="172" t="s">
        <v>71</v>
      </c>
      <c r="CF136" s="160"/>
      <c r="CG136" s="162"/>
      <c r="CH136" s="203" t="str">
        <f t="shared" si="306"/>
        <v xml:space="preserve"> </v>
      </c>
      <c r="CI136" s="174" t="str">
        <f t="shared" ref="CI136:CI199" si="372">IF(OR(CG$8="判定対象外",CH$8="判定対象外",CH136="-"),"-",IF(CG136=CH136,"OK","NG"))</f>
        <v>NG</v>
      </c>
      <c r="CJ136" s="162"/>
      <c r="CK136" s="172" t="s">
        <v>71</v>
      </c>
      <c r="CL136" s="160"/>
      <c r="CM136" s="162"/>
      <c r="CN136" s="203" t="str">
        <f t="shared" si="307"/>
        <v xml:space="preserve"> </v>
      </c>
      <c r="CO136" s="174" t="str">
        <f t="shared" ref="CO136:CO199" si="373">IF(OR(CM$8="判定対象外",CN$8="判定対象外",CN136="-"),"-",IF(CM136=CN136,"OK","NG"))</f>
        <v>NG</v>
      </c>
      <c r="CP136" s="162"/>
      <c r="CQ136" s="172" t="s">
        <v>71</v>
      </c>
      <c r="CR136" s="160"/>
      <c r="CS136" s="162"/>
      <c r="CT136" s="203" t="str">
        <f t="shared" si="308"/>
        <v xml:space="preserve"> </v>
      </c>
      <c r="CU136" s="174" t="str">
        <f t="shared" ref="CU136:CU199" si="374">IF(OR(CS$8="判定対象外",CT$8="判定対象外",CT136="-"),"-",IF(CS136=CT136,"OK","NG"))</f>
        <v>NG</v>
      </c>
      <c r="CV136" s="162"/>
      <c r="CW136" s="172" t="s">
        <v>71</v>
      </c>
      <c r="CX136" s="160"/>
      <c r="CY136" s="162"/>
      <c r="CZ136" s="203" t="str">
        <f t="shared" si="309"/>
        <v xml:space="preserve"> </v>
      </c>
      <c r="DA136" s="174" t="str">
        <f t="shared" ref="DA136:DA199" si="375">IF(OR(CY$8="判定対象外",CZ$8="判定対象外",CZ136="-"),"-",IF(CY136=CZ136,"OK","NG"))</f>
        <v>NG</v>
      </c>
      <c r="DB136" s="162"/>
      <c r="DC136" s="172" t="s">
        <v>71</v>
      </c>
      <c r="DD136" s="160"/>
      <c r="DE136" s="162"/>
      <c r="DF136" s="203" t="str">
        <f t="shared" si="310"/>
        <v xml:space="preserve"> </v>
      </c>
      <c r="DG136" s="174" t="str">
        <f t="shared" ref="DG136:DG199" si="376">IF(OR(DE$8="判定対象外",DF$8="判定対象外",DF136="-"),"-",IF(DE136=DF136,"OK","NG"))</f>
        <v>NG</v>
      </c>
      <c r="DH136" s="162"/>
      <c r="DI136" s="172" t="s">
        <v>71</v>
      </c>
      <c r="DJ136" s="160"/>
      <c r="DK136" s="162"/>
      <c r="DL136" s="203" t="str">
        <f t="shared" si="311"/>
        <v xml:space="preserve"> </v>
      </c>
      <c r="DM136" s="174" t="str">
        <f t="shared" ref="DM136:DM199" si="377">IF(OR(DK$8="判定対象外",DL$8="判定対象外",DL136="-"),"-",IF(DK136=DL136,"OK","NG"))</f>
        <v>NG</v>
      </c>
      <c r="DN136" s="162"/>
      <c r="DO136" s="172" t="s">
        <v>71</v>
      </c>
      <c r="DP136" s="160"/>
      <c r="DQ136" s="162"/>
      <c r="DR136" s="203" t="str">
        <f t="shared" si="312"/>
        <v xml:space="preserve"> </v>
      </c>
      <c r="DS136" s="174" t="str">
        <f t="shared" si="354"/>
        <v>NG</v>
      </c>
      <c r="DT136" s="162"/>
      <c r="DU136" s="172" t="s">
        <v>71</v>
      </c>
      <c r="DV136" s="160"/>
      <c r="DW136" s="162"/>
      <c r="DX136" s="203" t="str">
        <f t="shared" si="313"/>
        <v xml:space="preserve"> </v>
      </c>
      <c r="DY136" s="174" t="str">
        <f t="shared" si="355"/>
        <v>NG</v>
      </c>
      <c r="DZ136" s="162"/>
      <c r="EA136" s="172" t="s">
        <v>71</v>
      </c>
      <c r="EB136" s="160"/>
      <c r="EC136" s="162"/>
      <c r="ED136" s="203" t="str">
        <f t="shared" si="314"/>
        <v xml:space="preserve"> </v>
      </c>
      <c r="EE136" s="174" t="str">
        <f t="shared" si="356"/>
        <v>NG</v>
      </c>
      <c r="EF136" s="162"/>
      <c r="EG136" s="172" t="s">
        <v>71</v>
      </c>
      <c r="EH136" s="160"/>
      <c r="EI136" s="162"/>
      <c r="EJ136" s="203" t="str">
        <f t="shared" si="315"/>
        <v xml:space="preserve"> </v>
      </c>
      <c r="EK136" s="174" t="str">
        <f t="shared" si="357"/>
        <v>NG</v>
      </c>
      <c r="EL136" s="162"/>
      <c r="EM136" s="172" t="s">
        <v>71</v>
      </c>
      <c r="EN136" s="160"/>
      <c r="EO136" s="162"/>
      <c r="EP136" s="203" t="str">
        <f t="shared" si="316"/>
        <v xml:space="preserve"> </v>
      </c>
      <c r="EQ136" s="174" t="str">
        <f t="shared" si="358"/>
        <v>NG</v>
      </c>
      <c r="ER136" s="162"/>
      <c r="ES136" s="172" t="s">
        <v>71</v>
      </c>
      <c r="ET136" s="160"/>
      <c r="EU136" s="162"/>
      <c r="EV136" s="203" t="str">
        <f t="shared" si="317"/>
        <v xml:space="preserve"> </v>
      </c>
      <c r="EW136" s="174" t="str">
        <f t="shared" si="359"/>
        <v>NG</v>
      </c>
      <c r="EX136" s="162"/>
      <c r="EY136" s="172" t="s">
        <v>71</v>
      </c>
      <c r="EZ136" s="160"/>
      <c r="FA136" s="162"/>
      <c r="FB136" s="203" t="str">
        <f t="shared" si="318"/>
        <v xml:space="preserve"> </v>
      </c>
      <c r="FC136" s="174" t="str">
        <f t="shared" si="360"/>
        <v>NG</v>
      </c>
      <c r="FD136" s="162"/>
      <c r="FE136" s="172" t="s">
        <v>71</v>
      </c>
      <c r="FF136" s="160"/>
      <c r="FG136" s="162"/>
      <c r="FH136" s="203" t="str">
        <f t="shared" si="319"/>
        <v xml:space="preserve"> </v>
      </c>
      <c r="FI136" s="174" t="str">
        <f t="shared" si="361"/>
        <v>NG</v>
      </c>
      <c r="FJ136" s="162"/>
      <c r="FK136" s="172" t="s">
        <v>71</v>
      </c>
      <c r="FL136" s="160"/>
      <c r="FM136" s="162"/>
      <c r="FN136" s="203" t="str">
        <f t="shared" si="320"/>
        <v xml:space="preserve"> </v>
      </c>
      <c r="FO136" s="174" t="str">
        <f t="shared" ref="FO136:FO199" si="378">IF(OR(FM$8="判定対象外",FN$8="判定対象外",FN136="-"),"-",IF(FM136=FN136,"OK","NG"))</f>
        <v>NG</v>
      </c>
      <c r="FP136" s="162"/>
      <c r="FQ136" s="172" t="s">
        <v>71</v>
      </c>
      <c r="FR136" s="160"/>
      <c r="FS136" s="162"/>
      <c r="FT136" s="203" t="str">
        <f t="shared" si="321"/>
        <v xml:space="preserve"> </v>
      </c>
      <c r="FU136" s="174" t="str">
        <f t="shared" ref="FU136:FU199" si="379">IF(OR(FS$8="判定対象外",FT$8="判定対象外",FT136="-"),"-",IF(FS136=FT136,"OK","NG"))</f>
        <v>NG</v>
      </c>
      <c r="FV136" s="162"/>
      <c r="FW136" s="172" t="s">
        <v>71</v>
      </c>
      <c r="FX136" s="160"/>
      <c r="FY136" s="162"/>
      <c r="FZ136" s="203" t="str">
        <f t="shared" si="322"/>
        <v xml:space="preserve"> </v>
      </c>
      <c r="GA136" s="174" t="str">
        <f t="shared" ref="GA136:GA199" si="380">IF(OR(FY$8="判定対象外",FZ$8="判定対象外",FZ136="-"),"-",IF(FY136=FZ136,"OK","NG"))</f>
        <v>NG</v>
      </c>
      <c r="GB136" s="162"/>
      <c r="GC136" s="172" t="s">
        <v>71</v>
      </c>
    </row>
    <row r="137" spans="2:185" s="52" customFormat="1" ht="138.75" customHeight="1">
      <c r="B137" s="216">
        <f t="shared" si="323"/>
        <v>130</v>
      </c>
      <c r="C137" s="37"/>
      <c r="D137" s="37"/>
      <c r="E137" s="37"/>
      <c r="F137" s="188" t="s">
        <v>332</v>
      </c>
      <c r="G137" s="39"/>
      <c r="H137" s="40"/>
      <c r="I137" s="42"/>
      <c r="J137" s="42"/>
      <c r="K137" s="42"/>
      <c r="L137" s="42"/>
      <c r="M137" s="63" t="s">
        <v>333</v>
      </c>
      <c r="N137" s="47"/>
      <c r="O137" s="143"/>
      <c r="P137" s="45">
        <f t="shared" si="363"/>
        <v>110</v>
      </c>
      <c r="Q137" s="46">
        <v>1</v>
      </c>
      <c r="R137" s="41" t="str">
        <f t="shared" ref="R137:R154" si="381">IF(AA137="M","NX",AA137)</f>
        <v>X</v>
      </c>
      <c r="S137" s="185" t="s">
        <v>208</v>
      </c>
      <c r="T137" s="43"/>
      <c r="U137" s="41" t="s">
        <v>80</v>
      </c>
      <c r="V137" s="44"/>
      <c r="W137" s="22">
        <v>3</v>
      </c>
      <c r="X137" s="47" t="s">
        <v>209</v>
      </c>
      <c r="Y137" s="47">
        <v>1</v>
      </c>
      <c r="Z137" s="47">
        <v>1</v>
      </c>
      <c r="AA137" s="42" t="s">
        <v>81</v>
      </c>
      <c r="AB137" s="42" t="s">
        <v>80</v>
      </c>
      <c r="AC137" s="166"/>
      <c r="AD137" s="160"/>
      <c r="AE137" s="162"/>
      <c r="AF137" s="203" t="str">
        <f t="shared" si="298"/>
        <v xml:space="preserve"> </v>
      </c>
      <c r="AG137" s="174" t="str">
        <f t="shared" si="364"/>
        <v>NG</v>
      </c>
      <c r="AH137" s="162"/>
      <c r="AI137" s="276" t="str">
        <f>IF(OR(AE$8="判定対象外",AH$8="判定対象外",AH137="-"),"-",IF(AE137=AH137,"OK","NG"))</f>
        <v>OK</v>
      </c>
      <c r="AJ137" s="160"/>
      <c r="AK137" s="162"/>
      <c r="AL137" s="203" t="str">
        <f t="shared" si="281"/>
        <v xml:space="preserve"> </v>
      </c>
      <c r="AM137" s="174" t="str">
        <f t="shared" si="324"/>
        <v>NG</v>
      </c>
      <c r="AN137" s="162"/>
      <c r="AO137" s="276" t="str">
        <f>IF(OR(AK$8="判定対象外",AN$8="判定対象外",AN137="-"),"-",IF(AK137=AN137,"OK","NG"))</f>
        <v>OK</v>
      </c>
      <c r="AP137" s="160"/>
      <c r="AQ137" s="162"/>
      <c r="AR137" s="203" t="str">
        <f t="shared" si="299"/>
        <v xml:space="preserve"> </v>
      </c>
      <c r="AS137" s="174" t="str">
        <f t="shared" si="365"/>
        <v>NG</v>
      </c>
      <c r="AT137" s="162"/>
      <c r="AU137" s="276" t="str">
        <f>IF(OR(AQ$8="判定対象外",AT$8="判定対象外",AT137="-"),"-",IF(AQ137=AT137,"OK","NG"))</f>
        <v>OK</v>
      </c>
      <c r="AV137" s="160"/>
      <c r="AW137" s="162"/>
      <c r="AX137" s="203" t="str">
        <f t="shared" si="300"/>
        <v xml:space="preserve"> </v>
      </c>
      <c r="AY137" s="174" t="str">
        <f t="shared" si="366"/>
        <v>NG</v>
      </c>
      <c r="AZ137" s="162"/>
      <c r="BA137" s="276" t="str">
        <f>IF(OR(AW$8="判定対象外",AZ$8="判定対象外",AZ137="-"),"-",IF(AW137=AZ137,"OK","NG"))</f>
        <v>OK</v>
      </c>
      <c r="BB137" s="160"/>
      <c r="BC137" s="162"/>
      <c r="BD137" s="203" t="str">
        <f t="shared" si="301"/>
        <v xml:space="preserve"> </v>
      </c>
      <c r="BE137" s="174" t="str">
        <f t="shared" si="367"/>
        <v>NG</v>
      </c>
      <c r="BF137" s="162"/>
      <c r="BG137" s="276" t="str">
        <f>IF(OR(BC$8="判定対象外",BF$8="判定対象外",BF137="-"),"-",IF(BC137=BF137,"OK","NG"))</f>
        <v>OK</v>
      </c>
      <c r="BH137" s="160"/>
      <c r="BI137" s="162"/>
      <c r="BJ137" s="203" t="str">
        <f t="shared" si="302"/>
        <v xml:space="preserve"> </v>
      </c>
      <c r="BK137" s="174" t="str">
        <f t="shared" si="368"/>
        <v>NG</v>
      </c>
      <c r="BL137" s="162"/>
      <c r="BM137" s="276" t="str">
        <f>IF(OR(BI$8="判定対象外",BL$8="判定対象外",BL137="-"),"-",IF(BI137=BL137,"OK","NG"))</f>
        <v>OK</v>
      </c>
      <c r="BN137" s="160"/>
      <c r="BO137" s="162"/>
      <c r="BP137" s="203" t="str">
        <f t="shared" si="303"/>
        <v xml:space="preserve"> </v>
      </c>
      <c r="BQ137" s="174" t="str">
        <f t="shared" si="369"/>
        <v>NG</v>
      </c>
      <c r="BR137" s="162"/>
      <c r="BS137" s="276" t="str">
        <f>IF(OR(BO$8="判定対象外",BR$8="判定対象外",BR137="-"),"-",IF(BO137=BR137,"OK","NG"))</f>
        <v>OK</v>
      </c>
      <c r="BT137" s="160"/>
      <c r="BU137" s="162"/>
      <c r="BV137" s="203" t="str">
        <f t="shared" si="304"/>
        <v xml:space="preserve"> </v>
      </c>
      <c r="BW137" s="174" t="str">
        <f t="shared" si="370"/>
        <v>NG</v>
      </c>
      <c r="BX137" s="162"/>
      <c r="BY137" s="276" t="str">
        <f>IF(OR(BU$8="判定対象外",BX$8="判定対象外",BX137="-"),"-",IF(BU137=BX137,"OK","NG"))</f>
        <v>OK</v>
      </c>
      <c r="BZ137" s="160"/>
      <c r="CA137" s="162"/>
      <c r="CB137" s="203" t="str">
        <f t="shared" si="305"/>
        <v xml:space="preserve"> </v>
      </c>
      <c r="CC137" s="174" t="str">
        <f t="shared" si="371"/>
        <v>NG</v>
      </c>
      <c r="CD137" s="162"/>
      <c r="CE137" s="276" t="str">
        <f>IF(OR(CA$8="判定対象外",CD$8="判定対象外",CD137="-"),"-",IF(CA137=CD137,"OK","NG"))</f>
        <v>OK</v>
      </c>
      <c r="CF137" s="160"/>
      <c r="CG137" s="162"/>
      <c r="CH137" s="203" t="str">
        <f t="shared" si="306"/>
        <v xml:space="preserve"> </v>
      </c>
      <c r="CI137" s="174" t="str">
        <f t="shared" si="372"/>
        <v>NG</v>
      </c>
      <c r="CJ137" s="162"/>
      <c r="CK137" s="276" t="str">
        <f>IF(OR(CG$8="判定対象外",CJ$8="判定対象外",CJ137="-"),"-",IF(CG137=CJ137,"OK","NG"))</f>
        <v>OK</v>
      </c>
      <c r="CL137" s="160"/>
      <c r="CM137" s="162"/>
      <c r="CN137" s="203" t="str">
        <f t="shared" si="307"/>
        <v xml:space="preserve"> </v>
      </c>
      <c r="CO137" s="174" t="str">
        <f t="shared" si="373"/>
        <v>NG</v>
      </c>
      <c r="CP137" s="162"/>
      <c r="CQ137" s="276" t="str">
        <f>IF(OR(CM$8="判定対象外",CP$8="判定対象外",CP137="-"),"-",IF(CM137=CP137,"OK","NG"))</f>
        <v>OK</v>
      </c>
      <c r="CR137" s="160"/>
      <c r="CS137" s="162"/>
      <c r="CT137" s="203" t="str">
        <f t="shared" si="308"/>
        <v xml:space="preserve"> </v>
      </c>
      <c r="CU137" s="174" t="str">
        <f t="shared" si="374"/>
        <v>NG</v>
      </c>
      <c r="CV137" s="162"/>
      <c r="CW137" s="276" t="str">
        <f>IF(OR(CS$8="判定対象外",CV$8="判定対象外",CV137="-"),"-",IF(CS137=CV137,"OK","NG"))</f>
        <v>OK</v>
      </c>
      <c r="CX137" s="160"/>
      <c r="CY137" s="162"/>
      <c r="CZ137" s="203" t="str">
        <f t="shared" si="309"/>
        <v xml:space="preserve"> </v>
      </c>
      <c r="DA137" s="174" t="str">
        <f t="shared" si="375"/>
        <v>NG</v>
      </c>
      <c r="DB137" s="162"/>
      <c r="DC137" s="276" t="str">
        <f>IF(OR(CY$8="判定対象外",DB$8="判定対象外",DB137="-"),"-",IF(CY137=DB137,"OK","NG"))</f>
        <v>OK</v>
      </c>
      <c r="DD137" s="160"/>
      <c r="DE137" s="162"/>
      <c r="DF137" s="203" t="str">
        <f t="shared" si="310"/>
        <v xml:space="preserve"> </v>
      </c>
      <c r="DG137" s="174" t="str">
        <f t="shared" si="376"/>
        <v>NG</v>
      </c>
      <c r="DH137" s="162"/>
      <c r="DI137" s="276" t="str">
        <f>IF(OR(DE$8="判定対象外",DH$8="判定対象外",DH137="-"),"-",IF(DE137=DH137,"OK","NG"))</f>
        <v>OK</v>
      </c>
      <c r="DJ137" s="160"/>
      <c r="DK137" s="162"/>
      <c r="DL137" s="203" t="str">
        <f t="shared" si="311"/>
        <v xml:space="preserve"> </v>
      </c>
      <c r="DM137" s="174" t="str">
        <f t="shared" si="377"/>
        <v>NG</v>
      </c>
      <c r="DN137" s="162"/>
      <c r="DO137" s="276" t="str">
        <f>IF(OR(DK$8="判定対象外",DN$8="判定対象外",DN137="-"),"-",IF(DK137=DN137,"OK","NG"))</f>
        <v>OK</v>
      </c>
      <c r="DP137" s="160"/>
      <c r="DQ137" s="162"/>
      <c r="DR137" s="203" t="str">
        <f t="shared" si="312"/>
        <v xml:space="preserve"> </v>
      </c>
      <c r="DS137" s="174" t="str">
        <f t="shared" si="354"/>
        <v>NG</v>
      </c>
      <c r="DT137" s="162"/>
      <c r="DU137" s="276" t="str">
        <f>IF(OR(DQ$8="判定対象外",DT$8="判定対象外",DT137="-"),"-",IF(DQ137=DT137,"OK","NG"))</f>
        <v>OK</v>
      </c>
      <c r="DV137" s="160"/>
      <c r="DW137" s="162"/>
      <c r="DX137" s="203" t="str">
        <f t="shared" si="313"/>
        <v xml:space="preserve"> </v>
      </c>
      <c r="DY137" s="174" t="str">
        <f t="shared" si="355"/>
        <v>NG</v>
      </c>
      <c r="DZ137" s="162"/>
      <c r="EA137" s="276" t="str">
        <f>IF(OR(DW$8="判定対象外",DZ$8="判定対象外",DZ137="-"),"-",IF(DW137=DZ137,"OK","NG"))</f>
        <v>OK</v>
      </c>
      <c r="EB137" s="160"/>
      <c r="EC137" s="162"/>
      <c r="ED137" s="203" t="str">
        <f t="shared" si="314"/>
        <v xml:space="preserve"> </v>
      </c>
      <c r="EE137" s="174" t="str">
        <f t="shared" si="356"/>
        <v>NG</v>
      </c>
      <c r="EF137" s="162"/>
      <c r="EG137" s="276" t="str">
        <f>IF(OR(EC$8="判定対象外",EF$8="判定対象外",EF137="-"),"-",IF(EC137=EF137,"OK","NG"))</f>
        <v>OK</v>
      </c>
      <c r="EH137" s="160"/>
      <c r="EI137" s="162"/>
      <c r="EJ137" s="203" t="str">
        <f t="shared" si="315"/>
        <v xml:space="preserve"> </v>
      </c>
      <c r="EK137" s="174" t="str">
        <f t="shared" si="357"/>
        <v>NG</v>
      </c>
      <c r="EL137" s="162"/>
      <c r="EM137" s="276" t="str">
        <f>IF(OR(EI$8="判定対象外",EL$8="判定対象外",EL137="-"),"-",IF(EI137=EL137,"OK","NG"))</f>
        <v>OK</v>
      </c>
      <c r="EN137" s="160"/>
      <c r="EO137" s="162"/>
      <c r="EP137" s="203" t="str">
        <f t="shared" si="316"/>
        <v xml:space="preserve"> </v>
      </c>
      <c r="EQ137" s="174" t="str">
        <f t="shared" si="358"/>
        <v>NG</v>
      </c>
      <c r="ER137" s="162"/>
      <c r="ES137" s="276" t="str">
        <f>IF(OR(EO$8="判定対象外",ER$8="判定対象外",ER137="-"),"-",IF(EO137=ER137,"OK","NG"))</f>
        <v>OK</v>
      </c>
      <c r="ET137" s="160"/>
      <c r="EU137" s="162"/>
      <c r="EV137" s="203" t="str">
        <f t="shared" si="317"/>
        <v xml:space="preserve"> </v>
      </c>
      <c r="EW137" s="174" t="str">
        <f t="shared" si="359"/>
        <v>NG</v>
      </c>
      <c r="EX137" s="162"/>
      <c r="EY137" s="276" t="str">
        <f>IF(OR(EU$8="判定対象外",EX$8="判定対象外",EX137="-"),"-",IF(EU137=EX137,"OK","NG"))</f>
        <v>OK</v>
      </c>
      <c r="EZ137" s="160"/>
      <c r="FA137" s="162"/>
      <c r="FB137" s="203" t="str">
        <f t="shared" si="318"/>
        <v xml:space="preserve"> </v>
      </c>
      <c r="FC137" s="174" t="str">
        <f t="shared" si="360"/>
        <v>NG</v>
      </c>
      <c r="FD137" s="162"/>
      <c r="FE137" s="276" t="str">
        <f>IF(OR(FA$8="判定対象外",FD$8="判定対象外",FD137="-"),"-",IF(FA137=FD137,"OK","NG"))</f>
        <v>OK</v>
      </c>
      <c r="FF137" s="160"/>
      <c r="FG137" s="162"/>
      <c r="FH137" s="203" t="str">
        <f t="shared" si="319"/>
        <v xml:space="preserve"> </v>
      </c>
      <c r="FI137" s="174" t="str">
        <f t="shared" si="361"/>
        <v>NG</v>
      </c>
      <c r="FJ137" s="162"/>
      <c r="FK137" s="276" t="str">
        <f>IF(OR(FG$8="判定対象外",FJ$8="判定対象外",FJ137="-"),"-",IF(FG137=FJ137,"OK","NG"))</f>
        <v>OK</v>
      </c>
      <c r="FL137" s="160"/>
      <c r="FM137" s="162"/>
      <c r="FN137" s="203" t="str">
        <f t="shared" si="320"/>
        <v xml:space="preserve"> </v>
      </c>
      <c r="FO137" s="174" t="str">
        <f t="shared" si="378"/>
        <v>NG</v>
      </c>
      <c r="FP137" s="162"/>
      <c r="FQ137" s="276" t="str">
        <f>IF(OR(FM$8="判定対象外",FP$8="判定対象外",FP137="-"),"-",IF(FM137=FP137,"OK","NG"))</f>
        <v>OK</v>
      </c>
      <c r="FR137" s="160"/>
      <c r="FS137" s="162"/>
      <c r="FT137" s="203" t="str">
        <f t="shared" si="321"/>
        <v xml:space="preserve"> </v>
      </c>
      <c r="FU137" s="174" t="str">
        <f t="shared" si="379"/>
        <v>NG</v>
      </c>
      <c r="FV137" s="162"/>
      <c r="FW137" s="276" t="str">
        <f>IF(OR(FS$8="判定対象外",FV$8="判定対象外",FV137="-"),"-",IF(FS137=FV137,"OK","NG"))</f>
        <v>OK</v>
      </c>
      <c r="FX137" s="160"/>
      <c r="FY137" s="162"/>
      <c r="FZ137" s="203" t="str">
        <f t="shared" si="322"/>
        <v xml:space="preserve"> </v>
      </c>
      <c r="GA137" s="174" t="str">
        <f t="shared" si="380"/>
        <v>NG</v>
      </c>
      <c r="GB137" s="162"/>
      <c r="GC137" s="276" t="str">
        <f>IF(OR(FY$8="判定対象外",GB$8="判定対象外",GB137="-"),"-",IF(FY137=GB137,"OK","NG"))</f>
        <v>OK</v>
      </c>
    </row>
    <row r="138" spans="2:185" s="52" customFormat="1">
      <c r="B138" s="216">
        <f t="shared" si="323"/>
        <v>131</v>
      </c>
      <c r="C138" s="37"/>
      <c r="D138" s="37"/>
      <c r="E138" s="37"/>
      <c r="F138" s="49" t="s">
        <v>210</v>
      </c>
      <c r="G138" s="39"/>
      <c r="H138" s="40"/>
      <c r="I138" s="42"/>
      <c r="J138" s="42"/>
      <c r="K138" s="42"/>
      <c r="L138" s="42"/>
      <c r="M138" s="163" t="s">
        <v>334</v>
      </c>
      <c r="N138" s="47"/>
      <c r="O138" s="143"/>
      <c r="P138" s="45">
        <f t="shared" si="363"/>
        <v>111</v>
      </c>
      <c r="Q138" s="46">
        <v>400</v>
      </c>
      <c r="R138" s="41" t="str">
        <f t="shared" si="381"/>
        <v>NX</v>
      </c>
      <c r="S138" s="185" t="s">
        <v>211</v>
      </c>
      <c r="T138" s="43"/>
      <c r="U138" s="41" t="s">
        <v>80</v>
      </c>
      <c r="V138" s="44"/>
      <c r="W138" s="22">
        <v>3</v>
      </c>
      <c r="X138" s="47" t="s">
        <v>212</v>
      </c>
      <c r="Y138" s="47">
        <v>1</v>
      </c>
      <c r="Z138" s="47">
        <v>400</v>
      </c>
      <c r="AA138" s="42" t="s">
        <v>195</v>
      </c>
      <c r="AB138" s="42" t="s">
        <v>80</v>
      </c>
      <c r="AC138" s="166"/>
      <c r="AD138" s="160"/>
      <c r="AE138" s="162"/>
      <c r="AF138" s="175" t="str">
        <f t="shared" si="298"/>
        <v xml:space="preserve">                                                                                                                                                                                                                                                                                                                                                                                                                </v>
      </c>
      <c r="AG138" s="174" t="str">
        <f t="shared" si="364"/>
        <v>NG</v>
      </c>
      <c r="AH138" s="162"/>
      <c r="AI138" s="276" t="str">
        <f>IF(OR(AE$8="判定対象外",AH$8="判定対象外",AH138="-"),"-",IF(AE138=AH138,"OK","NG"))</f>
        <v>OK</v>
      </c>
      <c r="AJ138" s="160"/>
      <c r="AK138" s="162"/>
      <c r="AL138" s="175" t="str">
        <f t="shared" si="281"/>
        <v xml:space="preserve">                                                                                                                                                                                                                                                                                                                                                                                                                </v>
      </c>
      <c r="AM138" s="174" t="str">
        <f t="shared" si="324"/>
        <v>NG</v>
      </c>
      <c r="AN138" s="162"/>
      <c r="AO138" s="276" t="str">
        <f>IF(OR(AK$8="判定対象外",AN$8="判定対象外",AN138="-"),"-",IF(AK138=AN138,"OK","NG"))</f>
        <v>OK</v>
      </c>
      <c r="AP138" s="160"/>
      <c r="AQ138" s="162"/>
      <c r="AR138" s="175" t="str">
        <f t="shared" si="299"/>
        <v xml:space="preserve">                                                                                                                                                                                                                                                                                                                                                                                                                </v>
      </c>
      <c r="AS138" s="174" t="str">
        <f t="shared" si="365"/>
        <v>NG</v>
      </c>
      <c r="AT138" s="162"/>
      <c r="AU138" s="276" t="str">
        <f>IF(OR(AQ$8="判定対象外",AT$8="判定対象外",AT138="-"),"-",IF(AQ138=AT138,"OK","NG"))</f>
        <v>OK</v>
      </c>
      <c r="AV138" s="160"/>
      <c r="AW138" s="162"/>
      <c r="AX138" s="175" t="str">
        <f t="shared" si="300"/>
        <v xml:space="preserve">                                                                                                                                                                                                                                                                                                                                                                                                                </v>
      </c>
      <c r="AY138" s="174" t="str">
        <f t="shared" si="366"/>
        <v>NG</v>
      </c>
      <c r="AZ138" s="162"/>
      <c r="BA138" s="276" t="str">
        <f>IF(OR(AW$8="判定対象外",AZ$8="判定対象外",AZ138="-"),"-",IF(AW138=AZ138,"OK","NG"))</f>
        <v>OK</v>
      </c>
      <c r="BB138" s="160"/>
      <c r="BC138" s="162"/>
      <c r="BD138" s="175" t="str">
        <f t="shared" si="301"/>
        <v xml:space="preserve">                                                                                                                                                                                                                                                                                                                                                                                                                </v>
      </c>
      <c r="BE138" s="174" t="str">
        <f t="shared" si="367"/>
        <v>NG</v>
      </c>
      <c r="BF138" s="162"/>
      <c r="BG138" s="276" t="str">
        <f>IF(OR(BC$8="判定対象外",BF$8="判定対象外",BF138="-"),"-",IF(BC138=BF138,"OK","NG"))</f>
        <v>OK</v>
      </c>
      <c r="BH138" s="160"/>
      <c r="BI138" s="162"/>
      <c r="BJ138" s="175" t="str">
        <f t="shared" si="302"/>
        <v xml:space="preserve">                                                                                                                                                                                                                                                                                                                                                                                                                </v>
      </c>
      <c r="BK138" s="174" t="str">
        <f t="shared" si="368"/>
        <v>NG</v>
      </c>
      <c r="BL138" s="162"/>
      <c r="BM138" s="276" t="str">
        <f>IF(OR(BI$8="判定対象外",BL$8="判定対象外",BL138="-"),"-",IF(BI138=BL138,"OK","NG"))</f>
        <v>OK</v>
      </c>
      <c r="BN138" s="160"/>
      <c r="BO138" s="162"/>
      <c r="BP138" s="175" t="str">
        <f t="shared" si="303"/>
        <v xml:space="preserve">                                                                                                                                                                                                                                                                                                                                                                                                                </v>
      </c>
      <c r="BQ138" s="174" t="str">
        <f t="shared" si="369"/>
        <v>NG</v>
      </c>
      <c r="BR138" s="162"/>
      <c r="BS138" s="276" t="str">
        <f>IF(OR(BO$8="判定対象外",BR$8="判定対象外",BR138="-"),"-",IF(BO138=BR138,"OK","NG"))</f>
        <v>OK</v>
      </c>
      <c r="BT138" s="160"/>
      <c r="BU138" s="162"/>
      <c r="BV138" s="175" t="str">
        <f t="shared" si="304"/>
        <v xml:space="preserve">                                                                                                                                                                                                                                                                                                                                                                                                                </v>
      </c>
      <c r="BW138" s="174" t="str">
        <f t="shared" si="370"/>
        <v>NG</v>
      </c>
      <c r="BX138" s="162"/>
      <c r="BY138" s="276" t="str">
        <f>IF(OR(BU$8="判定対象外",BX$8="判定対象外",BX138="-"),"-",IF(BU138=BX138,"OK","NG"))</f>
        <v>OK</v>
      </c>
      <c r="BZ138" s="160"/>
      <c r="CA138" s="162"/>
      <c r="CB138" s="175" t="str">
        <f t="shared" si="305"/>
        <v xml:space="preserve">                                                                                                                                                                                                                                                                                                                                                                                                                </v>
      </c>
      <c r="CC138" s="174" t="str">
        <f t="shared" si="371"/>
        <v>NG</v>
      </c>
      <c r="CD138" s="162"/>
      <c r="CE138" s="276" t="str">
        <f>IF(OR(CA$8="判定対象外",CD$8="判定対象外",CD138="-"),"-",IF(CA138=CD138,"OK","NG"))</f>
        <v>OK</v>
      </c>
      <c r="CF138" s="160"/>
      <c r="CG138" s="162"/>
      <c r="CH138" s="175" t="str">
        <f t="shared" si="306"/>
        <v xml:space="preserve">                                                                                                                                                                                                                                                                                                                                                                                                                </v>
      </c>
      <c r="CI138" s="174" t="str">
        <f t="shared" si="372"/>
        <v>NG</v>
      </c>
      <c r="CJ138" s="162"/>
      <c r="CK138" s="276" t="str">
        <f>IF(OR(CG$8="判定対象外",CJ$8="判定対象外",CJ138="-"),"-",IF(CG138=CJ138,"OK","NG"))</f>
        <v>OK</v>
      </c>
      <c r="CL138" s="160"/>
      <c r="CM138" s="162"/>
      <c r="CN138" s="175" t="str">
        <f t="shared" si="307"/>
        <v xml:space="preserve">                                                                                                                                                                                                                                                                                                                                                                                                                </v>
      </c>
      <c r="CO138" s="174" t="str">
        <f t="shared" si="373"/>
        <v>NG</v>
      </c>
      <c r="CP138" s="162"/>
      <c r="CQ138" s="276" t="str">
        <f>IF(OR(CM$8="判定対象外",CP$8="判定対象外",CP138="-"),"-",IF(CM138=CP138,"OK","NG"))</f>
        <v>OK</v>
      </c>
      <c r="CR138" s="160"/>
      <c r="CS138" s="162"/>
      <c r="CT138" s="175" t="str">
        <f t="shared" si="308"/>
        <v xml:space="preserve">                                                                                                                                                                                                                                                                                                                                                                                                                </v>
      </c>
      <c r="CU138" s="174" t="str">
        <f t="shared" si="374"/>
        <v>NG</v>
      </c>
      <c r="CV138" s="162"/>
      <c r="CW138" s="276" t="str">
        <f>IF(OR(CS$8="判定対象外",CV$8="判定対象外",CV138="-"),"-",IF(CS138=CV138,"OK","NG"))</f>
        <v>OK</v>
      </c>
      <c r="CX138" s="160"/>
      <c r="CY138" s="162"/>
      <c r="CZ138" s="175" t="str">
        <f t="shared" si="309"/>
        <v xml:space="preserve">                                                                                                                                                                                                                                                                                                                                                                                                                </v>
      </c>
      <c r="DA138" s="174" t="str">
        <f t="shared" si="375"/>
        <v>NG</v>
      </c>
      <c r="DB138" s="162"/>
      <c r="DC138" s="276" t="str">
        <f>IF(OR(CY$8="判定対象外",DB$8="判定対象外",DB138="-"),"-",IF(CY138=DB138,"OK","NG"))</f>
        <v>OK</v>
      </c>
      <c r="DD138" s="160"/>
      <c r="DE138" s="162"/>
      <c r="DF138" s="175" t="str">
        <f t="shared" si="310"/>
        <v xml:space="preserve">                                                                                                                                                                                                                                                                                                                                                                                                                </v>
      </c>
      <c r="DG138" s="174" t="str">
        <f t="shared" si="376"/>
        <v>NG</v>
      </c>
      <c r="DH138" s="162"/>
      <c r="DI138" s="276" t="str">
        <f>IF(OR(DE$8="判定対象外",DH$8="判定対象外",DH138="-"),"-",IF(DE138=DH138,"OK","NG"))</f>
        <v>OK</v>
      </c>
      <c r="DJ138" s="160"/>
      <c r="DK138" s="162"/>
      <c r="DL138" s="175" t="str">
        <f t="shared" si="311"/>
        <v xml:space="preserve">                                                                                                                                                                                                                                                                                                                                                                                                                </v>
      </c>
      <c r="DM138" s="174" t="str">
        <f t="shared" si="377"/>
        <v>NG</v>
      </c>
      <c r="DN138" s="162"/>
      <c r="DO138" s="276" t="str">
        <f>IF(OR(DK$8="判定対象外",DN$8="判定対象外",DN138="-"),"-",IF(DK138=DN138,"OK","NG"))</f>
        <v>OK</v>
      </c>
      <c r="DP138" s="160"/>
      <c r="DQ138" s="162"/>
      <c r="DR138" s="175" t="str">
        <f t="shared" si="312"/>
        <v xml:space="preserve">                                                                                                                                                                                                                                                                                                                                                                                                                </v>
      </c>
      <c r="DS138" s="174" t="str">
        <f t="shared" si="354"/>
        <v>NG</v>
      </c>
      <c r="DT138" s="162"/>
      <c r="DU138" s="276" t="str">
        <f>IF(OR(DQ$8="判定対象外",DT$8="判定対象外",DT138="-"),"-",IF(DQ138=DT138,"OK","NG"))</f>
        <v>OK</v>
      </c>
      <c r="DV138" s="160"/>
      <c r="DW138" s="162"/>
      <c r="DX138" s="175" t="str">
        <f t="shared" si="313"/>
        <v xml:space="preserve">                                                                                                                                                                                                                                                                                                                                                                                                                </v>
      </c>
      <c r="DY138" s="174" t="str">
        <f t="shared" si="355"/>
        <v>NG</v>
      </c>
      <c r="DZ138" s="162"/>
      <c r="EA138" s="276" t="str">
        <f>IF(OR(DW$8="判定対象外",DZ$8="判定対象外",DZ138="-"),"-",IF(DW138=DZ138,"OK","NG"))</f>
        <v>OK</v>
      </c>
      <c r="EB138" s="160"/>
      <c r="EC138" s="162"/>
      <c r="ED138" s="175" t="str">
        <f t="shared" si="314"/>
        <v xml:space="preserve">                                                                                                                                                                                                                                                                                                                                                                                                                </v>
      </c>
      <c r="EE138" s="174" t="str">
        <f t="shared" si="356"/>
        <v>NG</v>
      </c>
      <c r="EF138" s="162"/>
      <c r="EG138" s="276" t="str">
        <f>IF(OR(EC$8="判定対象外",EF$8="判定対象外",EF138="-"),"-",IF(EC138=EF138,"OK","NG"))</f>
        <v>OK</v>
      </c>
      <c r="EH138" s="160"/>
      <c r="EI138" s="162"/>
      <c r="EJ138" s="175" t="str">
        <f t="shared" si="315"/>
        <v xml:space="preserve">                                                                                                                                                                                                                                                                                                                                                                                                                </v>
      </c>
      <c r="EK138" s="174" t="str">
        <f t="shared" si="357"/>
        <v>NG</v>
      </c>
      <c r="EL138" s="162"/>
      <c r="EM138" s="276" t="str">
        <f>IF(OR(EI$8="判定対象外",EL$8="判定対象外",EL138="-"),"-",IF(EI138=EL138,"OK","NG"))</f>
        <v>OK</v>
      </c>
      <c r="EN138" s="160"/>
      <c r="EO138" s="162"/>
      <c r="EP138" s="175" t="str">
        <f t="shared" si="316"/>
        <v xml:space="preserve">                                                                                                                                                                                                                                                                                                                                                                                                                </v>
      </c>
      <c r="EQ138" s="174" t="str">
        <f t="shared" si="358"/>
        <v>NG</v>
      </c>
      <c r="ER138" s="162"/>
      <c r="ES138" s="276" t="str">
        <f>IF(OR(EO$8="判定対象外",ER$8="判定対象外",ER138="-"),"-",IF(EO138=ER138,"OK","NG"))</f>
        <v>OK</v>
      </c>
      <c r="ET138" s="160"/>
      <c r="EU138" s="162"/>
      <c r="EV138" s="175" t="str">
        <f t="shared" si="317"/>
        <v xml:space="preserve">                                                                                                                                                                                                                                                                                                                                                                                                                </v>
      </c>
      <c r="EW138" s="174" t="str">
        <f t="shared" si="359"/>
        <v>NG</v>
      </c>
      <c r="EX138" s="162"/>
      <c r="EY138" s="276" t="str">
        <f>IF(OR(EU$8="判定対象外",EX$8="判定対象外",EX138="-"),"-",IF(EU138=EX138,"OK","NG"))</f>
        <v>OK</v>
      </c>
      <c r="EZ138" s="160"/>
      <c r="FA138" s="162"/>
      <c r="FB138" s="175" t="str">
        <f t="shared" si="318"/>
        <v xml:space="preserve">                                                                                                                                                                                                                                                                                                                                                                                                                </v>
      </c>
      <c r="FC138" s="174" t="str">
        <f t="shared" si="360"/>
        <v>NG</v>
      </c>
      <c r="FD138" s="162"/>
      <c r="FE138" s="276" t="str">
        <f>IF(OR(FA$8="判定対象外",FD$8="判定対象外",FD138="-"),"-",IF(FA138=FD138,"OK","NG"))</f>
        <v>OK</v>
      </c>
      <c r="FF138" s="160"/>
      <c r="FG138" s="162"/>
      <c r="FH138" s="175" t="str">
        <f t="shared" si="319"/>
        <v xml:space="preserve">                                                                                                                                                                                                                                                                                                                                                                                                                </v>
      </c>
      <c r="FI138" s="174" t="str">
        <f t="shared" si="361"/>
        <v>NG</v>
      </c>
      <c r="FJ138" s="162"/>
      <c r="FK138" s="276" t="str">
        <f>IF(OR(FG$8="判定対象外",FJ$8="判定対象外",FJ138="-"),"-",IF(FG138=FJ138,"OK","NG"))</f>
        <v>OK</v>
      </c>
      <c r="FL138" s="160"/>
      <c r="FM138" s="162"/>
      <c r="FN138" s="175" t="str">
        <f t="shared" si="320"/>
        <v xml:space="preserve">                                                                                                                                                                                                                                                                                                                                                                                                                </v>
      </c>
      <c r="FO138" s="174" t="str">
        <f t="shared" si="378"/>
        <v>NG</v>
      </c>
      <c r="FP138" s="162"/>
      <c r="FQ138" s="276" t="str">
        <f>IF(OR(FM$8="判定対象外",FP$8="判定対象外",FP138="-"),"-",IF(FM138=FP138,"OK","NG"))</f>
        <v>OK</v>
      </c>
      <c r="FR138" s="160"/>
      <c r="FS138" s="162"/>
      <c r="FT138" s="175" t="str">
        <f t="shared" si="321"/>
        <v xml:space="preserve">                                                                                                                                                                                                                                                                                                                                                                                                                </v>
      </c>
      <c r="FU138" s="174" t="str">
        <f t="shared" si="379"/>
        <v>NG</v>
      </c>
      <c r="FV138" s="162"/>
      <c r="FW138" s="276" t="str">
        <f>IF(OR(FS$8="判定対象外",FV$8="判定対象外",FV138="-"),"-",IF(FS138=FV138,"OK","NG"))</f>
        <v>OK</v>
      </c>
      <c r="FX138" s="160"/>
      <c r="FY138" s="162"/>
      <c r="FZ138" s="175" t="str">
        <f t="shared" si="322"/>
        <v xml:space="preserve">                                                                                                                                                                                                                                                                                                                                                                                                                </v>
      </c>
      <c r="GA138" s="174" t="str">
        <f t="shared" si="380"/>
        <v>NG</v>
      </c>
      <c r="GB138" s="162"/>
      <c r="GC138" s="276" t="str">
        <f>IF(OR(FY$8="判定対象外",GB$8="判定対象外",GB138="-"),"-",IF(FY138=GB138,"OK","NG"))</f>
        <v>OK</v>
      </c>
    </row>
    <row r="139" spans="2:185" s="52" customFormat="1" ht="63.75">
      <c r="B139" s="216">
        <f t="shared" si="323"/>
        <v>132</v>
      </c>
      <c r="C139" s="37"/>
      <c r="D139" s="37"/>
      <c r="E139" s="37"/>
      <c r="F139" s="49" t="s">
        <v>213</v>
      </c>
      <c r="G139" s="39"/>
      <c r="H139" s="40"/>
      <c r="I139" s="42"/>
      <c r="J139" s="42"/>
      <c r="K139" s="42"/>
      <c r="L139" s="42"/>
      <c r="M139" s="163" t="s">
        <v>335</v>
      </c>
      <c r="N139" s="47"/>
      <c r="O139" s="143"/>
      <c r="P139" s="45">
        <f t="shared" si="363"/>
        <v>112</v>
      </c>
      <c r="Q139" s="46">
        <v>400</v>
      </c>
      <c r="R139" s="41" t="str">
        <f t="shared" si="381"/>
        <v>NX</v>
      </c>
      <c r="S139" s="185" t="s">
        <v>214</v>
      </c>
      <c r="T139" s="43"/>
      <c r="U139" s="41" t="s">
        <v>80</v>
      </c>
      <c r="V139" s="44"/>
      <c r="W139" s="22">
        <v>3</v>
      </c>
      <c r="X139" s="47" t="s">
        <v>215</v>
      </c>
      <c r="Y139" s="47">
        <v>1</v>
      </c>
      <c r="Z139" s="47">
        <v>400</v>
      </c>
      <c r="AA139" s="42" t="s">
        <v>195</v>
      </c>
      <c r="AB139" s="42" t="s">
        <v>80</v>
      </c>
      <c r="AC139" s="166"/>
      <c r="AD139" s="160"/>
      <c r="AE139" s="162"/>
      <c r="AF139" s="146" t="str">
        <f t="shared" si="298"/>
        <v xml:space="preserve">                                                                                                                                                                                                                                                                                                                                                                                                                </v>
      </c>
      <c r="AG139" s="174" t="str">
        <f t="shared" si="364"/>
        <v>NG</v>
      </c>
      <c r="AH139" s="162"/>
      <c r="AI139" s="172" t="s">
        <v>71</v>
      </c>
      <c r="AJ139" s="160"/>
      <c r="AK139" s="162"/>
      <c r="AL139" s="146" t="str">
        <f t="shared" si="281"/>
        <v xml:space="preserve">                                                                                                                                                                                                                                                                                                                                                                                                                </v>
      </c>
      <c r="AM139" s="174" t="str">
        <f t="shared" si="324"/>
        <v>NG</v>
      </c>
      <c r="AN139" s="162"/>
      <c r="AO139" s="172" t="s">
        <v>71</v>
      </c>
      <c r="AP139" s="160"/>
      <c r="AQ139" s="162"/>
      <c r="AR139" s="146" t="str">
        <f t="shared" si="299"/>
        <v xml:space="preserve">                                                                                                                                                                                                                                                                                                                                                                                                                </v>
      </c>
      <c r="AS139" s="174" t="str">
        <f t="shared" si="365"/>
        <v>NG</v>
      </c>
      <c r="AT139" s="162"/>
      <c r="AU139" s="172" t="s">
        <v>71</v>
      </c>
      <c r="AV139" s="160"/>
      <c r="AW139" s="162"/>
      <c r="AX139" s="146" t="str">
        <f t="shared" si="300"/>
        <v xml:space="preserve">                                                                                                                                                                                                                                                                                                                                                                                                                </v>
      </c>
      <c r="AY139" s="174" t="str">
        <f t="shared" si="366"/>
        <v>NG</v>
      </c>
      <c r="AZ139" s="162"/>
      <c r="BA139" s="172" t="s">
        <v>71</v>
      </c>
      <c r="BB139" s="160"/>
      <c r="BC139" s="162"/>
      <c r="BD139" s="146" t="str">
        <f t="shared" si="301"/>
        <v xml:space="preserve">                                                                                                                                                                                                                                                                                                                                                                                                                </v>
      </c>
      <c r="BE139" s="174" t="str">
        <f t="shared" si="367"/>
        <v>NG</v>
      </c>
      <c r="BF139" s="162"/>
      <c r="BG139" s="172" t="s">
        <v>71</v>
      </c>
      <c r="BH139" s="160"/>
      <c r="BI139" s="162"/>
      <c r="BJ139" s="146" t="str">
        <f t="shared" si="302"/>
        <v xml:space="preserve">                                                                                                                                                                                                                                                                                                                                                                                                                </v>
      </c>
      <c r="BK139" s="174" t="str">
        <f t="shared" si="368"/>
        <v>NG</v>
      </c>
      <c r="BL139" s="162"/>
      <c r="BM139" s="172" t="s">
        <v>71</v>
      </c>
      <c r="BN139" s="160"/>
      <c r="BO139" s="162"/>
      <c r="BP139" s="146" t="str">
        <f t="shared" si="303"/>
        <v xml:space="preserve">                                                                                                                                                                                                                                                                                                                                                                                                                </v>
      </c>
      <c r="BQ139" s="174" t="str">
        <f t="shared" si="369"/>
        <v>NG</v>
      </c>
      <c r="BR139" s="162"/>
      <c r="BS139" s="172" t="s">
        <v>71</v>
      </c>
      <c r="BT139" s="160"/>
      <c r="BU139" s="162"/>
      <c r="BV139" s="146" t="str">
        <f t="shared" si="304"/>
        <v xml:space="preserve">                                                                                                                                                                                                                                                                                                                                                                                                                </v>
      </c>
      <c r="BW139" s="174" t="str">
        <f t="shared" si="370"/>
        <v>NG</v>
      </c>
      <c r="BX139" s="162"/>
      <c r="BY139" s="172" t="s">
        <v>71</v>
      </c>
      <c r="BZ139" s="160"/>
      <c r="CA139" s="162"/>
      <c r="CB139" s="146" t="str">
        <f t="shared" si="305"/>
        <v xml:space="preserve">                                                                                                                                                                                                                                                                                                                                                                                                                </v>
      </c>
      <c r="CC139" s="174" t="str">
        <f t="shared" si="371"/>
        <v>NG</v>
      </c>
      <c r="CD139" s="162"/>
      <c r="CE139" s="172" t="s">
        <v>71</v>
      </c>
      <c r="CF139" s="160"/>
      <c r="CG139" s="162"/>
      <c r="CH139" s="146" t="str">
        <f t="shared" si="306"/>
        <v xml:space="preserve">                                                                                                                                                                                                                                                                                                                                                                                                                </v>
      </c>
      <c r="CI139" s="174" t="str">
        <f t="shared" si="372"/>
        <v>NG</v>
      </c>
      <c r="CJ139" s="162"/>
      <c r="CK139" s="172" t="s">
        <v>71</v>
      </c>
      <c r="CL139" s="160"/>
      <c r="CM139" s="162"/>
      <c r="CN139" s="146" t="str">
        <f t="shared" si="307"/>
        <v xml:space="preserve">                                                                                                                                                                                                                                                                                                                                                                                                                </v>
      </c>
      <c r="CO139" s="174" t="str">
        <f t="shared" si="373"/>
        <v>NG</v>
      </c>
      <c r="CP139" s="162"/>
      <c r="CQ139" s="172" t="s">
        <v>71</v>
      </c>
      <c r="CR139" s="160"/>
      <c r="CS139" s="162"/>
      <c r="CT139" s="146" t="str">
        <f t="shared" si="308"/>
        <v xml:space="preserve">                                                                                                                                                                                                                                                                                                                                                                                                                </v>
      </c>
      <c r="CU139" s="174" t="str">
        <f t="shared" si="374"/>
        <v>NG</v>
      </c>
      <c r="CV139" s="162"/>
      <c r="CW139" s="172" t="s">
        <v>71</v>
      </c>
      <c r="CX139" s="160"/>
      <c r="CY139" s="162"/>
      <c r="CZ139" s="146" t="str">
        <f t="shared" si="309"/>
        <v xml:space="preserve">                                                                                                                                                                                                                                                                                                                                                                                                                </v>
      </c>
      <c r="DA139" s="174" t="str">
        <f t="shared" si="375"/>
        <v>NG</v>
      </c>
      <c r="DB139" s="162"/>
      <c r="DC139" s="172" t="s">
        <v>71</v>
      </c>
      <c r="DD139" s="160"/>
      <c r="DE139" s="162"/>
      <c r="DF139" s="146" t="str">
        <f t="shared" si="310"/>
        <v xml:space="preserve">                                                                                                                                                                                                                                                                                                                                                                                                                </v>
      </c>
      <c r="DG139" s="174" t="str">
        <f t="shared" si="376"/>
        <v>NG</v>
      </c>
      <c r="DH139" s="162"/>
      <c r="DI139" s="172" t="s">
        <v>71</v>
      </c>
      <c r="DJ139" s="160"/>
      <c r="DK139" s="162"/>
      <c r="DL139" s="146" t="str">
        <f t="shared" si="311"/>
        <v xml:space="preserve">                                                                                                                                                                                                                                                                                                                                                                                                                </v>
      </c>
      <c r="DM139" s="174" t="str">
        <f t="shared" si="377"/>
        <v>NG</v>
      </c>
      <c r="DN139" s="162"/>
      <c r="DO139" s="172" t="s">
        <v>71</v>
      </c>
      <c r="DP139" s="160"/>
      <c r="DQ139" s="162"/>
      <c r="DR139" s="146" t="str">
        <f t="shared" si="312"/>
        <v xml:space="preserve">                                                                                                                                                                                                                                                                                                                                                                                                                </v>
      </c>
      <c r="DS139" s="174" t="str">
        <f t="shared" si="354"/>
        <v>NG</v>
      </c>
      <c r="DT139" s="162"/>
      <c r="DU139" s="172" t="s">
        <v>71</v>
      </c>
      <c r="DV139" s="160"/>
      <c r="DW139" s="162"/>
      <c r="DX139" s="146" t="str">
        <f t="shared" si="313"/>
        <v xml:space="preserve">                                                                                                                                                                                                                                                                                                                                                                                                                </v>
      </c>
      <c r="DY139" s="174" t="str">
        <f t="shared" si="355"/>
        <v>NG</v>
      </c>
      <c r="DZ139" s="162"/>
      <c r="EA139" s="172" t="s">
        <v>71</v>
      </c>
      <c r="EB139" s="160"/>
      <c r="EC139" s="162"/>
      <c r="ED139" s="146" t="str">
        <f t="shared" si="314"/>
        <v xml:space="preserve">                                                                                                                                                                                                                                                                                                                                                                                                                </v>
      </c>
      <c r="EE139" s="174" t="str">
        <f t="shared" si="356"/>
        <v>NG</v>
      </c>
      <c r="EF139" s="162"/>
      <c r="EG139" s="172" t="s">
        <v>71</v>
      </c>
      <c r="EH139" s="160"/>
      <c r="EI139" s="162"/>
      <c r="EJ139" s="146" t="str">
        <f t="shared" si="315"/>
        <v xml:space="preserve">                                                                                                                                                                                                                                                                                                                                                                                                                </v>
      </c>
      <c r="EK139" s="174" t="str">
        <f t="shared" si="357"/>
        <v>NG</v>
      </c>
      <c r="EL139" s="162"/>
      <c r="EM139" s="172" t="s">
        <v>71</v>
      </c>
      <c r="EN139" s="160"/>
      <c r="EO139" s="162"/>
      <c r="EP139" s="146" t="str">
        <f t="shared" si="316"/>
        <v xml:space="preserve">                                                                                                                                                                                                                                                                                                                                                                                                                </v>
      </c>
      <c r="EQ139" s="174" t="str">
        <f t="shared" si="358"/>
        <v>NG</v>
      </c>
      <c r="ER139" s="162"/>
      <c r="ES139" s="172" t="s">
        <v>71</v>
      </c>
      <c r="ET139" s="160"/>
      <c r="EU139" s="162"/>
      <c r="EV139" s="146" t="str">
        <f t="shared" si="317"/>
        <v xml:space="preserve">                                                                                                                                                                                                                                                                                                                                                                                                                </v>
      </c>
      <c r="EW139" s="174" t="str">
        <f t="shared" si="359"/>
        <v>NG</v>
      </c>
      <c r="EX139" s="162"/>
      <c r="EY139" s="172" t="s">
        <v>71</v>
      </c>
      <c r="EZ139" s="160"/>
      <c r="FA139" s="162"/>
      <c r="FB139" s="146" t="str">
        <f t="shared" si="318"/>
        <v xml:space="preserve">                                                                                                                                                                                                                                                                                                                                                                                                                </v>
      </c>
      <c r="FC139" s="174" t="str">
        <f t="shared" si="360"/>
        <v>NG</v>
      </c>
      <c r="FD139" s="162"/>
      <c r="FE139" s="172" t="s">
        <v>71</v>
      </c>
      <c r="FF139" s="160"/>
      <c r="FG139" s="162"/>
      <c r="FH139" s="146" t="str">
        <f t="shared" si="319"/>
        <v xml:space="preserve">                                                                                                                                                                                                                                                                                                                                                                                                                </v>
      </c>
      <c r="FI139" s="174" t="str">
        <f t="shared" si="361"/>
        <v>NG</v>
      </c>
      <c r="FJ139" s="162"/>
      <c r="FK139" s="172" t="s">
        <v>71</v>
      </c>
      <c r="FL139" s="160"/>
      <c r="FM139" s="162"/>
      <c r="FN139" s="146" t="str">
        <f t="shared" si="320"/>
        <v xml:space="preserve">                                                                                                                                                                                                                                                                                                                                                                                                                </v>
      </c>
      <c r="FO139" s="174" t="str">
        <f t="shared" si="378"/>
        <v>NG</v>
      </c>
      <c r="FP139" s="162"/>
      <c r="FQ139" s="172" t="s">
        <v>71</v>
      </c>
      <c r="FR139" s="160"/>
      <c r="FS139" s="162"/>
      <c r="FT139" s="146" t="str">
        <f t="shared" si="321"/>
        <v xml:space="preserve">                                                                                                                                                                                                                                                                                                                                                                                                                </v>
      </c>
      <c r="FU139" s="174" t="str">
        <f t="shared" si="379"/>
        <v>NG</v>
      </c>
      <c r="FV139" s="162"/>
      <c r="FW139" s="172" t="s">
        <v>71</v>
      </c>
      <c r="FX139" s="160"/>
      <c r="FY139" s="162"/>
      <c r="FZ139" s="146" t="str">
        <f t="shared" si="322"/>
        <v xml:space="preserve">                                                                                                                                                                                                                                                                                                                                                                                                                </v>
      </c>
      <c r="GA139" s="174" t="str">
        <f t="shared" si="380"/>
        <v>NG</v>
      </c>
      <c r="GB139" s="162"/>
      <c r="GC139" s="172" t="s">
        <v>71</v>
      </c>
    </row>
    <row r="140" spans="2:185" s="52" customFormat="1">
      <c r="B140" s="216">
        <f t="shared" si="323"/>
        <v>133</v>
      </c>
      <c r="C140" s="37"/>
      <c r="D140" s="37"/>
      <c r="E140" s="37"/>
      <c r="F140" s="49" t="s">
        <v>216</v>
      </c>
      <c r="G140" s="39"/>
      <c r="H140" s="40"/>
      <c r="I140" s="42"/>
      <c r="J140" s="42"/>
      <c r="K140" s="42"/>
      <c r="L140" s="42"/>
      <c r="M140" s="63" t="s">
        <v>336</v>
      </c>
      <c r="N140" s="47"/>
      <c r="O140" s="143"/>
      <c r="P140" s="45">
        <f t="shared" si="363"/>
        <v>113</v>
      </c>
      <c r="Q140" s="46">
        <v>400</v>
      </c>
      <c r="R140" s="41" t="str">
        <f t="shared" si="381"/>
        <v>NX</v>
      </c>
      <c r="S140" s="185" t="s">
        <v>217</v>
      </c>
      <c r="T140" s="43"/>
      <c r="U140" s="41" t="s">
        <v>80</v>
      </c>
      <c r="V140" s="44"/>
      <c r="W140" s="22">
        <v>3</v>
      </c>
      <c r="X140" s="47" t="s">
        <v>218</v>
      </c>
      <c r="Y140" s="47">
        <v>1</v>
      </c>
      <c r="Z140" s="47">
        <v>400</v>
      </c>
      <c r="AA140" s="42" t="s">
        <v>195</v>
      </c>
      <c r="AB140" s="42" t="s">
        <v>80</v>
      </c>
      <c r="AC140" s="166"/>
      <c r="AD140" s="160"/>
      <c r="AE140" s="141"/>
      <c r="AF140" s="146" t="str">
        <f t="shared" si="298"/>
        <v xml:space="preserve">                                                                                                                                                                                                                                                                                                                                                                                                                </v>
      </c>
      <c r="AG140" s="174" t="str">
        <f t="shared" si="364"/>
        <v>NG</v>
      </c>
      <c r="AH140" s="141"/>
      <c r="AI140" s="172" t="s">
        <v>71</v>
      </c>
      <c r="AJ140" s="160"/>
      <c r="AK140" s="141"/>
      <c r="AL140" s="146" t="str">
        <f t="shared" si="281"/>
        <v xml:space="preserve">                                                                                                                                                                                                                                                                                                                                                                                                                </v>
      </c>
      <c r="AM140" s="174" t="str">
        <f t="shared" si="324"/>
        <v>NG</v>
      </c>
      <c r="AN140" s="141"/>
      <c r="AO140" s="172" t="s">
        <v>71</v>
      </c>
      <c r="AP140" s="160"/>
      <c r="AQ140" s="141"/>
      <c r="AR140" s="146" t="str">
        <f t="shared" si="299"/>
        <v xml:space="preserve">                                                                                                                                                                                                                                                                                                                                                                                                                </v>
      </c>
      <c r="AS140" s="174" t="str">
        <f t="shared" si="365"/>
        <v>NG</v>
      </c>
      <c r="AT140" s="141"/>
      <c r="AU140" s="172" t="s">
        <v>71</v>
      </c>
      <c r="AV140" s="160"/>
      <c r="AW140" s="141"/>
      <c r="AX140" s="146" t="str">
        <f t="shared" si="300"/>
        <v xml:space="preserve">                                                                                                                                                                                                                                                                                                                                                                                                                </v>
      </c>
      <c r="AY140" s="174" t="str">
        <f t="shared" si="366"/>
        <v>NG</v>
      </c>
      <c r="AZ140" s="141"/>
      <c r="BA140" s="172" t="s">
        <v>71</v>
      </c>
      <c r="BB140" s="160"/>
      <c r="BC140" s="141"/>
      <c r="BD140" s="146" t="str">
        <f t="shared" si="301"/>
        <v xml:space="preserve">                                                                                                                                                                                                                                                                                                                                                                                                                </v>
      </c>
      <c r="BE140" s="174" t="str">
        <f t="shared" si="367"/>
        <v>NG</v>
      </c>
      <c r="BF140" s="141"/>
      <c r="BG140" s="172" t="s">
        <v>71</v>
      </c>
      <c r="BH140" s="160"/>
      <c r="BI140" s="141"/>
      <c r="BJ140" s="146" t="str">
        <f t="shared" si="302"/>
        <v xml:space="preserve">                                                                                                                                                                                                                                                                                                                                                                                                                </v>
      </c>
      <c r="BK140" s="174" t="str">
        <f t="shared" si="368"/>
        <v>NG</v>
      </c>
      <c r="BL140" s="141"/>
      <c r="BM140" s="172" t="s">
        <v>71</v>
      </c>
      <c r="BN140" s="160"/>
      <c r="BO140" s="141"/>
      <c r="BP140" s="146" t="str">
        <f t="shared" si="303"/>
        <v xml:space="preserve">                                                                                                                                                                                                                                                                                                                                                                                                                </v>
      </c>
      <c r="BQ140" s="174" t="str">
        <f t="shared" si="369"/>
        <v>NG</v>
      </c>
      <c r="BR140" s="141"/>
      <c r="BS140" s="172" t="s">
        <v>71</v>
      </c>
      <c r="BT140" s="160"/>
      <c r="BU140" s="141"/>
      <c r="BV140" s="146" t="str">
        <f t="shared" si="304"/>
        <v xml:space="preserve">                                                                                                                                                                                                                                                                                                                                                                                                                </v>
      </c>
      <c r="BW140" s="174" t="str">
        <f t="shared" si="370"/>
        <v>NG</v>
      </c>
      <c r="BX140" s="141"/>
      <c r="BY140" s="172" t="s">
        <v>71</v>
      </c>
      <c r="BZ140" s="160"/>
      <c r="CA140" s="141"/>
      <c r="CB140" s="146" t="str">
        <f t="shared" si="305"/>
        <v xml:space="preserve">                                                                                                                                                                                                                                                                                                                                                                                                                </v>
      </c>
      <c r="CC140" s="174" t="str">
        <f t="shared" si="371"/>
        <v>NG</v>
      </c>
      <c r="CD140" s="141"/>
      <c r="CE140" s="172" t="s">
        <v>71</v>
      </c>
      <c r="CF140" s="160"/>
      <c r="CG140" s="141"/>
      <c r="CH140" s="146" t="str">
        <f t="shared" si="306"/>
        <v xml:space="preserve">                                                                                                                                                                                                                                                                                                                                                                                                                </v>
      </c>
      <c r="CI140" s="174" t="str">
        <f t="shared" si="372"/>
        <v>NG</v>
      </c>
      <c r="CJ140" s="141"/>
      <c r="CK140" s="172" t="s">
        <v>71</v>
      </c>
      <c r="CL140" s="160"/>
      <c r="CM140" s="141"/>
      <c r="CN140" s="146" t="str">
        <f t="shared" si="307"/>
        <v xml:space="preserve">                                                                                                                                                                                                                                                                                                                                                                                                                </v>
      </c>
      <c r="CO140" s="174" t="str">
        <f t="shared" si="373"/>
        <v>NG</v>
      </c>
      <c r="CP140" s="141"/>
      <c r="CQ140" s="172" t="s">
        <v>71</v>
      </c>
      <c r="CR140" s="160"/>
      <c r="CS140" s="141"/>
      <c r="CT140" s="146" t="str">
        <f t="shared" si="308"/>
        <v xml:space="preserve">                                                                                                                                                                                                                                                                                                                                                                                                                </v>
      </c>
      <c r="CU140" s="174" t="str">
        <f t="shared" si="374"/>
        <v>NG</v>
      </c>
      <c r="CV140" s="141"/>
      <c r="CW140" s="172" t="s">
        <v>71</v>
      </c>
      <c r="CX140" s="160"/>
      <c r="CY140" s="141"/>
      <c r="CZ140" s="146" t="str">
        <f t="shared" si="309"/>
        <v xml:space="preserve">                                                                                                                                                                                                                                                                                                                                                                                                                </v>
      </c>
      <c r="DA140" s="174" t="str">
        <f t="shared" si="375"/>
        <v>NG</v>
      </c>
      <c r="DB140" s="141"/>
      <c r="DC140" s="172" t="s">
        <v>71</v>
      </c>
      <c r="DD140" s="160"/>
      <c r="DE140" s="141"/>
      <c r="DF140" s="146" t="str">
        <f t="shared" si="310"/>
        <v xml:space="preserve">                                                                                                                                                                                                                                                                                                                                                                                                                </v>
      </c>
      <c r="DG140" s="174" t="str">
        <f t="shared" si="376"/>
        <v>NG</v>
      </c>
      <c r="DH140" s="141"/>
      <c r="DI140" s="172" t="s">
        <v>71</v>
      </c>
      <c r="DJ140" s="160"/>
      <c r="DK140" s="141"/>
      <c r="DL140" s="146" t="str">
        <f t="shared" si="311"/>
        <v xml:space="preserve">                                                                                                                                                                                                                                                                                                                                                                                                                </v>
      </c>
      <c r="DM140" s="174" t="str">
        <f t="shared" si="377"/>
        <v>NG</v>
      </c>
      <c r="DN140" s="141"/>
      <c r="DO140" s="172" t="s">
        <v>71</v>
      </c>
      <c r="DP140" s="160"/>
      <c r="DQ140" s="141"/>
      <c r="DR140" s="146" t="str">
        <f t="shared" si="312"/>
        <v xml:space="preserve">                                                                                                                                                                                                                                                                                                                                                                                                                </v>
      </c>
      <c r="DS140" s="174" t="str">
        <f t="shared" si="354"/>
        <v>NG</v>
      </c>
      <c r="DT140" s="141"/>
      <c r="DU140" s="172" t="s">
        <v>71</v>
      </c>
      <c r="DV140" s="160"/>
      <c r="DW140" s="141"/>
      <c r="DX140" s="146" t="str">
        <f t="shared" si="313"/>
        <v xml:space="preserve">                                                                                                                                                                                                                                                                                                                                                                                                                </v>
      </c>
      <c r="DY140" s="174" t="str">
        <f t="shared" si="355"/>
        <v>NG</v>
      </c>
      <c r="DZ140" s="141"/>
      <c r="EA140" s="172" t="s">
        <v>71</v>
      </c>
      <c r="EB140" s="160"/>
      <c r="EC140" s="141"/>
      <c r="ED140" s="146" t="str">
        <f t="shared" si="314"/>
        <v xml:space="preserve">                                                                                                                                                                                                                                                                                                                                                                                                                </v>
      </c>
      <c r="EE140" s="174" t="str">
        <f t="shared" si="356"/>
        <v>NG</v>
      </c>
      <c r="EF140" s="141"/>
      <c r="EG140" s="172" t="s">
        <v>71</v>
      </c>
      <c r="EH140" s="160"/>
      <c r="EI140" s="141"/>
      <c r="EJ140" s="146" t="str">
        <f t="shared" si="315"/>
        <v xml:space="preserve">                                                                                                                                                                                                                                                                                                                                                                                                                </v>
      </c>
      <c r="EK140" s="174" t="str">
        <f t="shared" si="357"/>
        <v>NG</v>
      </c>
      <c r="EL140" s="141"/>
      <c r="EM140" s="172" t="s">
        <v>71</v>
      </c>
      <c r="EN140" s="160"/>
      <c r="EO140" s="141"/>
      <c r="EP140" s="146" t="str">
        <f t="shared" si="316"/>
        <v xml:space="preserve">                                                                                                                                                                                                                                                                                                                                                                                                                </v>
      </c>
      <c r="EQ140" s="174" t="str">
        <f t="shared" si="358"/>
        <v>NG</v>
      </c>
      <c r="ER140" s="141"/>
      <c r="ES140" s="172" t="s">
        <v>71</v>
      </c>
      <c r="ET140" s="160"/>
      <c r="EU140" s="141"/>
      <c r="EV140" s="146" t="str">
        <f t="shared" si="317"/>
        <v xml:space="preserve">                                                                                                                                                                                                                                                                                                                                                                                                                </v>
      </c>
      <c r="EW140" s="174" t="str">
        <f t="shared" si="359"/>
        <v>NG</v>
      </c>
      <c r="EX140" s="141"/>
      <c r="EY140" s="172" t="s">
        <v>71</v>
      </c>
      <c r="EZ140" s="160"/>
      <c r="FA140" s="141"/>
      <c r="FB140" s="146" t="str">
        <f t="shared" si="318"/>
        <v xml:space="preserve">                                                                                                                                                                                                                                                                                                                                                                                                                </v>
      </c>
      <c r="FC140" s="174" t="str">
        <f t="shared" si="360"/>
        <v>NG</v>
      </c>
      <c r="FD140" s="141"/>
      <c r="FE140" s="172" t="s">
        <v>71</v>
      </c>
      <c r="FF140" s="160"/>
      <c r="FG140" s="141"/>
      <c r="FH140" s="146" t="str">
        <f t="shared" si="319"/>
        <v xml:space="preserve">                                                                                                                                                                                                                                                                                                                                                                                                                </v>
      </c>
      <c r="FI140" s="174" t="str">
        <f t="shared" si="361"/>
        <v>NG</v>
      </c>
      <c r="FJ140" s="141"/>
      <c r="FK140" s="172" t="s">
        <v>71</v>
      </c>
      <c r="FL140" s="160"/>
      <c r="FM140" s="141"/>
      <c r="FN140" s="146" t="str">
        <f t="shared" si="320"/>
        <v xml:space="preserve">                                                                                                                                                                                                                                                                                                                                                                                                                </v>
      </c>
      <c r="FO140" s="174" t="str">
        <f t="shared" si="378"/>
        <v>NG</v>
      </c>
      <c r="FP140" s="141"/>
      <c r="FQ140" s="172" t="s">
        <v>71</v>
      </c>
      <c r="FR140" s="160"/>
      <c r="FS140" s="141"/>
      <c r="FT140" s="146" t="str">
        <f t="shared" si="321"/>
        <v xml:space="preserve">                                                                                                                                                                                                                                                                                                                                                                                                                </v>
      </c>
      <c r="FU140" s="174" t="str">
        <f t="shared" si="379"/>
        <v>NG</v>
      </c>
      <c r="FV140" s="141"/>
      <c r="FW140" s="172" t="s">
        <v>71</v>
      </c>
      <c r="FX140" s="160"/>
      <c r="FY140" s="141"/>
      <c r="FZ140" s="146" t="str">
        <f t="shared" si="322"/>
        <v xml:space="preserve">                                                                                                                                                                                                                                                                                                                                                                                                                </v>
      </c>
      <c r="GA140" s="174" t="str">
        <f t="shared" si="380"/>
        <v>NG</v>
      </c>
      <c r="GB140" s="141"/>
      <c r="GC140" s="172" t="s">
        <v>71</v>
      </c>
    </row>
    <row r="141" spans="2:185" s="52" customFormat="1" ht="76.5">
      <c r="B141" s="216">
        <f t="shared" si="323"/>
        <v>134</v>
      </c>
      <c r="C141" s="37"/>
      <c r="D141" s="37"/>
      <c r="E141" s="37"/>
      <c r="F141" s="49" t="s">
        <v>219</v>
      </c>
      <c r="G141" s="39"/>
      <c r="H141" s="40"/>
      <c r="I141" s="42"/>
      <c r="J141" s="42"/>
      <c r="K141" s="42"/>
      <c r="L141" s="42"/>
      <c r="M141" s="63" t="s">
        <v>337</v>
      </c>
      <c r="N141" s="47"/>
      <c r="O141" s="143"/>
      <c r="P141" s="45">
        <f t="shared" si="363"/>
        <v>114</v>
      </c>
      <c r="Q141" s="46">
        <v>400</v>
      </c>
      <c r="R141" s="41" t="str">
        <f t="shared" si="381"/>
        <v>NX</v>
      </c>
      <c r="S141" s="185" t="s">
        <v>220</v>
      </c>
      <c r="T141" s="43"/>
      <c r="U141" s="41" t="s">
        <v>80</v>
      </c>
      <c r="V141" s="44"/>
      <c r="W141" s="22">
        <v>3</v>
      </c>
      <c r="X141" s="47" t="s">
        <v>221</v>
      </c>
      <c r="Y141" s="47">
        <v>1</v>
      </c>
      <c r="Z141" s="47">
        <v>400</v>
      </c>
      <c r="AA141" s="42" t="s">
        <v>195</v>
      </c>
      <c r="AB141" s="42" t="s">
        <v>80</v>
      </c>
      <c r="AC141" s="166"/>
      <c r="AD141" s="160"/>
      <c r="AE141" s="141"/>
      <c r="AF141" s="146" t="str">
        <f t="shared" si="298"/>
        <v xml:space="preserve">                                                                                                                                                                                                                                                                                                                                                                                                                </v>
      </c>
      <c r="AG141" s="174" t="str">
        <f t="shared" si="364"/>
        <v>NG</v>
      </c>
      <c r="AH141" s="141"/>
      <c r="AI141" s="172" t="s">
        <v>71</v>
      </c>
      <c r="AJ141" s="160"/>
      <c r="AK141" s="141"/>
      <c r="AL141" s="146" t="str">
        <f t="shared" si="281"/>
        <v xml:space="preserve">                                                                                                                                                                                                                                                                                                                                                                                                                </v>
      </c>
      <c r="AM141" s="174" t="str">
        <f t="shared" si="324"/>
        <v>NG</v>
      </c>
      <c r="AN141" s="141"/>
      <c r="AO141" s="172" t="s">
        <v>71</v>
      </c>
      <c r="AP141" s="160"/>
      <c r="AQ141" s="141"/>
      <c r="AR141" s="146" t="str">
        <f t="shared" si="299"/>
        <v xml:space="preserve">                                                                                                                                                                                                                                                                                                                                                                                                                </v>
      </c>
      <c r="AS141" s="174" t="str">
        <f t="shared" si="365"/>
        <v>NG</v>
      </c>
      <c r="AT141" s="141"/>
      <c r="AU141" s="172" t="s">
        <v>71</v>
      </c>
      <c r="AV141" s="160"/>
      <c r="AW141" s="141"/>
      <c r="AX141" s="146" t="str">
        <f t="shared" si="300"/>
        <v xml:space="preserve">                                                                                                                                                                                                                                                                                                                                                                                                                </v>
      </c>
      <c r="AY141" s="174" t="str">
        <f t="shared" si="366"/>
        <v>NG</v>
      </c>
      <c r="AZ141" s="141"/>
      <c r="BA141" s="172" t="s">
        <v>71</v>
      </c>
      <c r="BB141" s="160"/>
      <c r="BC141" s="141"/>
      <c r="BD141" s="146" t="str">
        <f t="shared" si="301"/>
        <v xml:space="preserve">                                                                                                                                                                                                                                                                                                                                                                                                                </v>
      </c>
      <c r="BE141" s="174" t="str">
        <f t="shared" si="367"/>
        <v>NG</v>
      </c>
      <c r="BF141" s="141"/>
      <c r="BG141" s="172" t="s">
        <v>71</v>
      </c>
      <c r="BH141" s="160"/>
      <c r="BI141" s="141"/>
      <c r="BJ141" s="146" t="str">
        <f t="shared" si="302"/>
        <v xml:space="preserve">                                                                                                                                                                                                                                                                                                                                                                                                                </v>
      </c>
      <c r="BK141" s="174" t="str">
        <f t="shared" si="368"/>
        <v>NG</v>
      </c>
      <c r="BL141" s="141"/>
      <c r="BM141" s="172" t="s">
        <v>71</v>
      </c>
      <c r="BN141" s="160"/>
      <c r="BO141" s="141"/>
      <c r="BP141" s="146" t="str">
        <f t="shared" si="303"/>
        <v xml:space="preserve">                                                                                                                                                                                                                                                                                                                                                                                                                </v>
      </c>
      <c r="BQ141" s="174" t="str">
        <f t="shared" si="369"/>
        <v>NG</v>
      </c>
      <c r="BR141" s="141"/>
      <c r="BS141" s="172" t="s">
        <v>71</v>
      </c>
      <c r="BT141" s="160"/>
      <c r="BU141" s="141"/>
      <c r="BV141" s="146" t="str">
        <f t="shared" si="304"/>
        <v xml:space="preserve">                                                                                                                                                                                                                                                                                                                                                                                                                </v>
      </c>
      <c r="BW141" s="174" t="str">
        <f t="shared" si="370"/>
        <v>NG</v>
      </c>
      <c r="BX141" s="141"/>
      <c r="BY141" s="172" t="s">
        <v>71</v>
      </c>
      <c r="BZ141" s="160"/>
      <c r="CA141" s="141"/>
      <c r="CB141" s="146" t="str">
        <f t="shared" si="305"/>
        <v xml:space="preserve">                                                                                                                                                                                                                                                                                                                                                                                                                </v>
      </c>
      <c r="CC141" s="174" t="str">
        <f t="shared" si="371"/>
        <v>NG</v>
      </c>
      <c r="CD141" s="141"/>
      <c r="CE141" s="172" t="s">
        <v>71</v>
      </c>
      <c r="CF141" s="160"/>
      <c r="CG141" s="141"/>
      <c r="CH141" s="146" t="str">
        <f t="shared" si="306"/>
        <v xml:space="preserve">                                                                                                                                                                                                                                                                                                                                                                                                                </v>
      </c>
      <c r="CI141" s="174" t="str">
        <f t="shared" si="372"/>
        <v>NG</v>
      </c>
      <c r="CJ141" s="141"/>
      <c r="CK141" s="172" t="s">
        <v>71</v>
      </c>
      <c r="CL141" s="160"/>
      <c r="CM141" s="141"/>
      <c r="CN141" s="146" t="str">
        <f t="shared" si="307"/>
        <v xml:space="preserve">                                                                                                                                                                                                                                                                                                                                                                                                                </v>
      </c>
      <c r="CO141" s="174" t="str">
        <f t="shared" si="373"/>
        <v>NG</v>
      </c>
      <c r="CP141" s="141"/>
      <c r="CQ141" s="172" t="s">
        <v>71</v>
      </c>
      <c r="CR141" s="160"/>
      <c r="CS141" s="141"/>
      <c r="CT141" s="146" t="str">
        <f t="shared" si="308"/>
        <v xml:space="preserve">                                                                                                                                                                                                                                                                                                                                                                                                                </v>
      </c>
      <c r="CU141" s="174" t="str">
        <f t="shared" si="374"/>
        <v>NG</v>
      </c>
      <c r="CV141" s="141"/>
      <c r="CW141" s="172" t="s">
        <v>71</v>
      </c>
      <c r="CX141" s="160"/>
      <c r="CY141" s="141"/>
      <c r="CZ141" s="146" t="str">
        <f t="shared" si="309"/>
        <v xml:space="preserve">                                                                                                                                                                                                                                                                                                                                                                                                                </v>
      </c>
      <c r="DA141" s="174" t="str">
        <f t="shared" si="375"/>
        <v>NG</v>
      </c>
      <c r="DB141" s="141"/>
      <c r="DC141" s="172" t="s">
        <v>71</v>
      </c>
      <c r="DD141" s="160"/>
      <c r="DE141" s="141"/>
      <c r="DF141" s="146" t="str">
        <f t="shared" si="310"/>
        <v xml:space="preserve">                                                                                                                                                                                                                                                                                                                                                                                                                </v>
      </c>
      <c r="DG141" s="174" t="str">
        <f t="shared" si="376"/>
        <v>NG</v>
      </c>
      <c r="DH141" s="141"/>
      <c r="DI141" s="172" t="s">
        <v>71</v>
      </c>
      <c r="DJ141" s="160"/>
      <c r="DK141" s="141"/>
      <c r="DL141" s="146" t="str">
        <f t="shared" si="311"/>
        <v xml:space="preserve">                                                                                                                                                                                                                                                                                                                                                                                                                </v>
      </c>
      <c r="DM141" s="174" t="str">
        <f t="shared" si="377"/>
        <v>NG</v>
      </c>
      <c r="DN141" s="141"/>
      <c r="DO141" s="172" t="s">
        <v>71</v>
      </c>
      <c r="DP141" s="160"/>
      <c r="DQ141" s="141"/>
      <c r="DR141" s="146" t="str">
        <f t="shared" si="312"/>
        <v xml:space="preserve">                                                                                                                                                                                                                                                                                                                                                                                                                </v>
      </c>
      <c r="DS141" s="174" t="str">
        <f t="shared" si="354"/>
        <v>NG</v>
      </c>
      <c r="DT141" s="141"/>
      <c r="DU141" s="172" t="s">
        <v>71</v>
      </c>
      <c r="DV141" s="160"/>
      <c r="DW141" s="141"/>
      <c r="DX141" s="146" t="str">
        <f t="shared" si="313"/>
        <v xml:space="preserve">                                                                                                                                                                                                                                                                                                                                                                                                                </v>
      </c>
      <c r="DY141" s="174" t="str">
        <f t="shared" si="355"/>
        <v>NG</v>
      </c>
      <c r="DZ141" s="141"/>
      <c r="EA141" s="172" t="s">
        <v>71</v>
      </c>
      <c r="EB141" s="160"/>
      <c r="EC141" s="141"/>
      <c r="ED141" s="146" t="str">
        <f t="shared" si="314"/>
        <v xml:space="preserve">                                                                                                                                                                                                                                                                                                                                                                                                                </v>
      </c>
      <c r="EE141" s="174" t="str">
        <f t="shared" si="356"/>
        <v>NG</v>
      </c>
      <c r="EF141" s="141"/>
      <c r="EG141" s="172" t="s">
        <v>71</v>
      </c>
      <c r="EH141" s="160"/>
      <c r="EI141" s="141"/>
      <c r="EJ141" s="146" t="str">
        <f t="shared" si="315"/>
        <v xml:space="preserve">                                                                                                                                                                                                                                                                                                                                                                                                                </v>
      </c>
      <c r="EK141" s="174" t="str">
        <f t="shared" si="357"/>
        <v>NG</v>
      </c>
      <c r="EL141" s="141"/>
      <c r="EM141" s="172" t="s">
        <v>71</v>
      </c>
      <c r="EN141" s="160"/>
      <c r="EO141" s="141"/>
      <c r="EP141" s="146" t="str">
        <f t="shared" si="316"/>
        <v xml:space="preserve">                                                                                                                                                                                                                                                                                                                                                                                                                </v>
      </c>
      <c r="EQ141" s="174" t="str">
        <f t="shared" si="358"/>
        <v>NG</v>
      </c>
      <c r="ER141" s="141"/>
      <c r="ES141" s="172" t="s">
        <v>71</v>
      </c>
      <c r="ET141" s="160"/>
      <c r="EU141" s="141"/>
      <c r="EV141" s="146" t="str">
        <f t="shared" si="317"/>
        <v xml:space="preserve">                                                                                                                                                                                                                                                                                                                                                                                                                </v>
      </c>
      <c r="EW141" s="174" t="str">
        <f t="shared" si="359"/>
        <v>NG</v>
      </c>
      <c r="EX141" s="141"/>
      <c r="EY141" s="172" t="s">
        <v>71</v>
      </c>
      <c r="EZ141" s="160"/>
      <c r="FA141" s="141"/>
      <c r="FB141" s="146" t="str">
        <f t="shared" si="318"/>
        <v xml:space="preserve">                                                                                                                                                                                                                                                                                                                                                                                                                </v>
      </c>
      <c r="FC141" s="174" t="str">
        <f t="shared" si="360"/>
        <v>NG</v>
      </c>
      <c r="FD141" s="141"/>
      <c r="FE141" s="172" t="s">
        <v>71</v>
      </c>
      <c r="FF141" s="160"/>
      <c r="FG141" s="141"/>
      <c r="FH141" s="146" t="str">
        <f t="shared" si="319"/>
        <v xml:space="preserve">                                                                                                                                                                                                                                                                                                                                                                                                                </v>
      </c>
      <c r="FI141" s="174" t="str">
        <f t="shared" si="361"/>
        <v>NG</v>
      </c>
      <c r="FJ141" s="141"/>
      <c r="FK141" s="172" t="s">
        <v>71</v>
      </c>
      <c r="FL141" s="160"/>
      <c r="FM141" s="141"/>
      <c r="FN141" s="146" t="str">
        <f t="shared" si="320"/>
        <v xml:space="preserve">                                                                                                                                                                                                                                                                                                                                                                                                                </v>
      </c>
      <c r="FO141" s="174" t="str">
        <f t="shared" si="378"/>
        <v>NG</v>
      </c>
      <c r="FP141" s="141"/>
      <c r="FQ141" s="172" t="s">
        <v>71</v>
      </c>
      <c r="FR141" s="160"/>
      <c r="FS141" s="141"/>
      <c r="FT141" s="146" t="str">
        <f t="shared" si="321"/>
        <v xml:space="preserve">                                                                                                                                                                                                                                                                                                                                                                                                                </v>
      </c>
      <c r="FU141" s="174" t="str">
        <f t="shared" si="379"/>
        <v>NG</v>
      </c>
      <c r="FV141" s="141"/>
      <c r="FW141" s="172" t="s">
        <v>71</v>
      </c>
      <c r="FX141" s="160"/>
      <c r="FY141" s="141"/>
      <c r="FZ141" s="146" t="str">
        <f t="shared" si="322"/>
        <v xml:space="preserve">                                                                                                                                                                                                                                                                                                                                                                                                                </v>
      </c>
      <c r="GA141" s="174" t="str">
        <f t="shared" si="380"/>
        <v>NG</v>
      </c>
      <c r="GB141" s="141"/>
      <c r="GC141" s="172" t="s">
        <v>71</v>
      </c>
    </row>
    <row r="142" spans="2:185" s="52" customFormat="1">
      <c r="B142" s="216">
        <f t="shared" si="323"/>
        <v>135</v>
      </c>
      <c r="C142" s="37"/>
      <c r="D142" s="37"/>
      <c r="E142" s="37"/>
      <c r="F142" s="49" t="s">
        <v>222</v>
      </c>
      <c r="G142" s="39"/>
      <c r="H142" s="40"/>
      <c r="I142" s="42"/>
      <c r="J142" s="42"/>
      <c r="K142" s="42"/>
      <c r="L142" s="42"/>
      <c r="M142" s="63" t="s">
        <v>336</v>
      </c>
      <c r="N142" s="47"/>
      <c r="O142" s="143"/>
      <c r="P142" s="45">
        <f t="shared" si="363"/>
        <v>115</v>
      </c>
      <c r="Q142" s="46">
        <v>400</v>
      </c>
      <c r="R142" s="41" t="str">
        <f t="shared" si="381"/>
        <v>NX</v>
      </c>
      <c r="S142" s="185" t="s">
        <v>223</v>
      </c>
      <c r="T142" s="43"/>
      <c r="U142" s="41" t="s">
        <v>80</v>
      </c>
      <c r="V142" s="44"/>
      <c r="W142" s="22">
        <v>3</v>
      </c>
      <c r="X142" s="47" t="s">
        <v>224</v>
      </c>
      <c r="Y142" s="47">
        <v>1</v>
      </c>
      <c r="Z142" s="47">
        <v>400</v>
      </c>
      <c r="AA142" s="42" t="s">
        <v>195</v>
      </c>
      <c r="AB142" s="42" t="s">
        <v>80</v>
      </c>
      <c r="AC142" s="166"/>
      <c r="AD142" s="160"/>
      <c r="AE142" s="141"/>
      <c r="AF142" s="146" t="str">
        <f t="shared" si="298"/>
        <v xml:space="preserve">                                                                                                                                                                                                                                                                                                                                                                                                                </v>
      </c>
      <c r="AG142" s="174" t="str">
        <f t="shared" si="364"/>
        <v>NG</v>
      </c>
      <c r="AH142" s="141"/>
      <c r="AI142" s="172" t="s">
        <v>71</v>
      </c>
      <c r="AJ142" s="160"/>
      <c r="AK142" s="141"/>
      <c r="AL142" s="146" t="str">
        <f t="shared" ref="AL142:AL205" si="382">IF(AN142="-","-",AN142&amp;REPT(IF($R142="N","　",IF($R142="9","0"," ")),$Z142-LENB(AN142)))</f>
        <v xml:space="preserve">                                                                                                                                                                                                                                                                                                                                                                                                                </v>
      </c>
      <c r="AM142" s="174" t="str">
        <f t="shared" si="324"/>
        <v>NG</v>
      </c>
      <c r="AN142" s="141"/>
      <c r="AO142" s="172" t="s">
        <v>71</v>
      </c>
      <c r="AP142" s="160"/>
      <c r="AQ142" s="141"/>
      <c r="AR142" s="146" t="str">
        <f t="shared" si="299"/>
        <v xml:space="preserve">                                                                                                                                                                                                                                                                                                                                                                                                                </v>
      </c>
      <c r="AS142" s="174" t="str">
        <f t="shared" si="365"/>
        <v>NG</v>
      </c>
      <c r="AT142" s="141"/>
      <c r="AU142" s="172" t="s">
        <v>71</v>
      </c>
      <c r="AV142" s="160"/>
      <c r="AW142" s="141"/>
      <c r="AX142" s="146" t="str">
        <f t="shared" si="300"/>
        <v xml:space="preserve">                                                                                                                                                                                                                                                                                                                                                                                                                </v>
      </c>
      <c r="AY142" s="174" t="str">
        <f t="shared" si="366"/>
        <v>NG</v>
      </c>
      <c r="AZ142" s="141"/>
      <c r="BA142" s="172" t="s">
        <v>71</v>
      </c>
      <c r="BB142" s="160"/>
      <c r="BC142" s="141"/>
      <c r="BD142" s="146" t="str">
        <f t="shared" si="301"/>
        <v xml:space="preserve">                                                                                                                                                                                                                                                                                                                                                                                                                </v>
      </c>
      <c r="BE142" s="174" t="str">
        <f t="shared" si="367"/>
        <v>NG</v>
      </c>
      <c r="BF142" s="141"/>
      <c r="BG142" s="172" t="s">
        <v>71</v>
      </c>
      <c r="BH142" s="160"/>
      <c r="BI142" s="141"/>
      <c r="BJ142" s="146" t="str">
        <f t="shared" si="302"/>
        <v xml:space="preserve">                                                                                                                                                                                                                                                                                                                                                                                                                </v>
      </c>
      <c r="BK142" s="174" t="str">
        <f t="shared" si="368"/>
        <v>NG</v>
      </c>
      <c r="BL142" s="141"/>
      <c r="BM142" s="172" t="s">
        <v>71</v>
      </c>
      <c r="BN142" s="160"/>
      <c r="BO142" s="141"/>
      <c r="BP142" s="146" t="str">
        <f t="shared" si="303"/>
        <v xml:space="preserve">                                                                                                                                                                                                                                                                                                                                                                                                                </v>
      </c>
      <c r="BQ142" s="174" t="str">
        <f t="shared" si="369"/>
        <v>NG</v>
      </c>
      <c r="BR142" s="141"/>
      <c r="BS142" s="172" t="s">
        <v>71</v>
      </c>
      <c r="BT142" s="160"/>
      <c r="BU142" s="141"/>
      <c r="BV142" s="146" t="str">
        <f t="shared" si="304"/>
        <v xml:space="preserve">                                                                                                                                                                                                                                                                                                                                                                                                                </v>
      </c>
      <c r="BW142" s="174" t="str">
        <f t="shared" si="370"/>
        <v>NG</v>
      </c>
      <c r="BX142" s="141"/>
      <c r="BY142" s="172" t="s">
        <v>71</v>
      </c>
      <c r="BZ142" s="160"/>
      <c r="CA142" s="141"/>
      <c r="CB142" s="146" t="str">
        <f t="shared" si="305"/>
        <v xml:space="preserve">                                                                                                                                                                                                                                                                                                                                                                                                                </v>
      </c>
      <c r="CC142" s="174" t="str">
        <f t="shared" si="371"/>
        <v>NG</v>
      </c>
      <c r="CD142" s="141"/>
      <c r="CE142" s="172" t="s">
        <v>71</v>
      </c>
      <c r="CF142" s="160"/>
      <c r="CG142" s="141"/>
      <c r="CH142" s="146" t="str">
        <f t="shared" si="306"/>
        <v xml:space="preserve">                                                                                                                                                                                                                                                                                                                                                                                                                </v>
      </c>
      <c r="CI142" s="174" t="str">
        <f t="shared" si="372"/>
        <v>NG</v>
      </c>
      <c r="CJ142" s="141"/>
      <c r="CK142" s="172" t="s">
        <v>71</v>
      </c>
      <c r="CL142" s="160"/>
      <c r="CM142" s="141"/>
      <c r="CN142" s="146" t="str">
        <f t="shared" si="307"/>
        <v xml:space="preserve">                                                                                                                                                                                                                                                                                                                                                                                                                </v>
      </c>
      <c r="CO142" s="174" t="str">
        <f t="shared" si="373"/>
        <v>NG</v>
      </c>
      <c r="CP142" s="141"/>
      <c r="CQ142" s="172" t="s">
        <v>71</v>
      </c>
      <c r="CR142" s="160"/>
      <c r="CS142" s="141"/>
      <c r="CT142" s="146" t="str">
        <f t="shared" si="308"/>
        <v xml:space="preserve">                                                                                                                                                                                                                                                                                                                                                                                                                </v>
      </c>
      <c r="CU142" s="174" t="str">
        <f t="shared" si="374"/>
        <v>NG</v>
      </c>
      <c r="CV142" s="141"/>
      <c r="CW142" s="172" t="s">
        <v>71</v>
      </c>
      <c r="CX142" s="160"/>
      <c r="CY142" s="141"/>
      <c r="CZ142" s="146" t="str">
        <f t="shared" si="309"/>
        <v xml:space="preserve">                                                                                                                                                                                                                                                                                                                                                                                                                </v>
      </c>
      <c r="DA142" s="174" t="str">
        <f t="shared" si="375"/>
        <v>NG</v>
      </c>
      <c r="DB142" s="141"/>
      <c r="DC142" s="172" t="s">
        <v>71</v>
      </c>
      <c r="DD142" s="160"/>
      <c r="DE142" s="141"/>
      <c r="DF142" s="146" t="str">
        <f t="shared" si="310"/>
        <v xml:space="preserve">                                                                                                                                                                                                                                                                                                                                                                                                                </v>
      </c>
      <c r="DG142" s="174" t="str">
        <f t="shared" si="376"/>
        <v>NG</v>
      </c>
      <c r="DH142" s="141"/>
      <c r="DI142" s="172" t="s">
        <v>71</v>
      </c>
      <c r="DJ142" s="160"/>
      <c r="DK142" s="141"/>
      <c r="DL142" s="146" t="str">
        <f t="shared" si="311"/>
        <v xml:space="preserve">                                                                                                                                                                                                                                                                                                                                                                                                                </v>
      </c>
      <c r="DM142" s="174" t="str">
        <f t="shared" si="377"/>
        <v>NG</v>
      </c>
      <c r="DN142" s="141"/>
      <c r="DO142" s="172" t="s">
        <v>71</v>
      </c>
      <c r="DP142" s="160"/>
      <c r="DQ142" s="141"/>
      <c r="DR142" s="146" t="str">
        <f t="shared" si="312"/>
        <v xml:space="preserve">                                                                                                                                                                                                                                                                                                                                                                                                                </v>
      </c>
      <c r="DS142" s="174" t="str">
        <f t="shared" si="354"/>
        <v>NG</v>
      </c>
      <c r="DT142" s="141"/>
      <c r="DU142" s="172" t="s">
        <v>71</v>
      </c>
      <c r="DV142" s="160"/>
      <c r="DW142" s="141"/>
      <c r="DX142" s="146" t="str">
        <f t="shared" si="313"/>
        <v xml:space="preserve">                                                                                                                                                                                                                                                                                                                                                                                                                </v>
      </c>
      <c r="DY142" s="174" t="str">
        <f t="shared" si="355"/>
        <v>NG</v>
      </c>
      <c r="DZ142" s="141"/>
      <c r="EA142" s="172" t="s">
        <v>71</v>
      </c>
      <c r="EB142" s="160"/>
      <c r="EC142" s="141"/>
      <c r="ED142" s="146" t="str">
        <f t="shared" si="314"/>
        <v xml:space="preserve">                                                                                                                                                                                                                                                                                                                                                                                                                </v>
      </c>
      <c r="EE142" s="174" t="str">
        <f t="shared" si="356"/>
        <v>NG</v>
      </c>
      <c r="EF142" s="141"/>
      <c r="EG142" s="172" t="s">
        <v>71</v>
      </c>
      <c r="EH142" s="160"/>
      <c r="EI142" s="141"/>
      <c r="EJ142" s="146" t="str">
        <f t="shared" si="315"/>
        <v xml:space="preserve">                                                                                                                                                                                                                                                                                                                                                                                                                </v>
      </c>
      <c r="EK142" s="174" t="str">
        <f t="shared" si="357"/>
        <v>NG</v>
      </c>
      <c r="EL142" s="141"/>
      <c r="EM142" s="172" t="s">
        <v>71</v>
      </c>
      <c r="EN142" s="160"/>
      <c r="EO142" s="141"/>
      <c r="EP142" s="146" t="str">
        <f t="shared" si="316"/>
        <v xml:space="preserve">                                                                                                                                                                                                                                                                                                                                                                                                                </v>
      </c>
      <c r="EQ142" s="174" t="str">
        <f t="shared" si="358"/>
        <v>NG</v>
      </c>
      <c r="ER142" s="141"/>
      <c r="ES142" s="172" t="s">
        <v>71</v>
      </c>
      <c r="ET142" s="160"/>
      <c r="EU142" s="141"/>
      <c r="EV142" s="146" t="str">
        <f t="shared" si="317"/>
        <v xml:space="preserve">                                                                                                                                                                                                                                                                                                                                                                                                                </v>
      </c>
      <c r="EW142" s="174" t="str">
        <f t="shared" si="359"/>
        <v>NG</v>
      </c>
      <c r="EX142" s="141"/>
      <c r="EY142" s="172" t="s">
        <v>71</v>
      </c>
      <c r="EZ142" s="160"/>
      <c r="FA142" s="141"/>
      <c r="FB142" s="146" t="str">
        <f t="shared" si="318"/>
        <v xml:space="preserve">                                                                                                                                                                                                                                                                                                                                                                                                                </v>
      </c>
      <c r="FC142" s="174" t="str">
        <f t="shared" si="360"/>
        <v>NG</v>
      </c>
      <c r="FD142" s="141"/>
      <c r="FE142" s="172" t="s">
        <v>71</v>
      </c>
      <c r="FF142" s="160"/>
      <c r="FG142" s="141"/>
      <c r="FH142" s="146" t="str">
        <f t="shared" si="319"/>
        <v xml:space="preserve">                                                                                                                                                                                                                                                                                                                                                                                                                </v>
      </c>
      <c r="FI142" s="174" t="str">
        <f t="shared" si="361"/>
        <v>NG</v>
      </c>
      <c r="FJ142" s="141"/>
      <c r="FK142" s="172" t="s">
        <v>71</v>
      </c>
      <c r="FL142" s="160"/>
      <c r="FM142" s="141"/>
      <c r="FN142" s="146" t="str">
        <f t="shared" si="320"/>
        <v xml:space="preserve">                                                                                                                                                                                                                                                                                                                                                                                                                </v>
      </c>
      <c r="FO142" s="174" t="str">
        <f t="shared" si="378"/>
        <v>NG</v>
      </c>
      <c r="FP142" s="141"/>
      <c r="FQ142" s="172" t="s">
        <v>71</v>
      </c>
      <c r="FR142" s="160"/>
      <c r="FS142" s="141"/>
      <c r="FT142" s="146" t="str">
        <f t="shared" si="321"/>
        <v xml:space="preserve">                                                                                                                                                                                                                                                                                                                                                                                                                </v>
      </c>
      <c r="FU142" s="174" t="str">
        <f t="shared" si="379"/>
        <v>NG</v>
      </c>
      <c r="FV142" s="141"/>
      <c r="FW142" s="172" t="s">
        <v>71</v>
      </c>
      <c r="FX142" s="160"/>
      <c r="FY142" s="141"/>
      <c r="FZ142" s="146" t="str">
        <f t="shared" si="322"/>
        <v xml:space="preserve">                                                                                                                                                                                                                                                                                                                                                                                                                </v>
      </c>
      <c r="GA142" s="174" t="str">
        <f t="shared" si="380"/>
        <v>NG</v>
      </c>
      <c r="GB142" s="141"/>
      <c r="GC142" s="172" t="s">
        <v>71</v>
      </c>
    </row>
    <row r="143" spans="2:185" s="52" customFormat="1">
      <c r="B143" s="216">
        <f t="shared" si="323"/>
        <v>136</v>
      </c>
      <c r="C143" s="37"/>
      <c r="D143" s="37"/>
      <c r="E143" s="37"/>
      <c r="F143" s="49" t="s">
        <v>225</v>
      </c>
      <c r="G143" s="39"/>
      <c r="H143" s="40"/>
      <c r="I143" s="42"/>
      <c r="J143" s="42"/>
      <c r="K143" s="42"/>
      <c r="L143" s="42"/>
      <c r="M143" s="63" t="s">
        <v>336</v>
      </c>
      <c r="N143" s="47"/>
      <c r="O143" s="143"/>
      <c r="P143" s="45">
        <f t="shared" si="363"/>
        <v>116</v>
      </c>
      <c r="Q143" s="46">
        <v>400</v>
      </c>
      <c r="R143" s="41" t="str">
        <f t="shared" si="381"/>
        <v>NX</v>
      </c>
      <c r="S143" s="185" t="s">
        <v>226</v>
      </c>
      <c r="T143" s="43"/>
      <c r="U143" s="41" t="s">
        <v>80</v>
      </c>
      <c r="V143" s="44"/>
      <c r="W143" s="22">
        <v>3</v>
      </c>
      <c r="X143" s="47" t="s">
        <v>227</v>
      </c>
      <c r="Y143" s="47">
        <v>1</v>
      </c>
      <c r="Z143" s="47">
        <v>400</v>
      </c>
      <c r="AA143" s="42" t="s">
        <v>195</v>
      </c>
      <c r="AB143" s="42" t="s">
        <v>80</v>
      </c>
      <c r="AC143" s="166"/>
      <c r="AD143" s="160"/>
      <c r="AE143" s="141"/>
      <c r="AF143" s="146" t="str">
        <f t="shared" si="298"/>
        <v xml:space="preserve">                                                                                                                                                                                                                                                                                                                                                                                                                </v>
      </c>
      <c r="AG143" s="174" t="str">
        <f t="shared" si="364"/>
        <v>NG</v>
      </c>
      <c r="AH143" s="141"/>
      <c r="AI143" s="172" t="s">
        <v>71</v>
      </c>
      <c r="AJ143" s="160"/>
      <c r="AK143" s="141"/>
      <c r="AL143" s="146" t="str">
        <f t="shared" si="382"/>
        <v xml:space="preserve">                                                                                                                                                                                                                                                                                                                                                                                                                </v>
      </c>
      <c r="AM143" s="174" t="str">
        <f t="shared" si="324"/>
        <v>NG</v>
      </c>
      <c r="AN143" s="141"/>
      <c r="AO143" s="172" t="s">
        <v>71</v>
      </c>
      <c r="AP143" s="160"/>
      <c r="AQ143" s="141"/>
      <c r="AR143" s="146" t="str">
        <f t="shared" si="299"/>
        <v xml:space="preserve">                                                                                                                                                                                                                                                                                                                                                                                                                </v>
      </c>
      <c r="AS143" s="174" t="str">
        <f t="shared" si="365"/>
        <v>NG</v>
      </c>
      <c r="AT143" s="141"/>
      <c r="AU143" s="172" t="s">
        <v>71</v>
      </c>
      <c r="AV143" s="160"/>
      <c r="AW143" s="141"/>
      <c r="AX143" s="146" t="str">
        <f t="shared" si="300"/>
        <v xml:space="preserve">                                                                                                                                                                                                                                                                                                                                                                                                                </v>
      </c>
      <c r="AY143" s="174" t="str">
        <f t="shared" si="366"/>
        <v>NG</v>
      </c>
      <c r="AZ143" s="141"/>
      <c r="BA143" s="172" t="s">
        <v>71</v>
      </c>
      <c r="BB143" s="160"/>
      <c r="BC143" s="141"/>
      <c r="BD143" s="146" t="str">
        <f t="shared" si="301"/>
        <v xml:space="preserve">                                                                                                                                                                                                                                                                                                                                                                                                                </v>
      </c>
      <c r="BE143" s="174" t="str">
        <f t="shared" si="367"/>
        <v>NG</v>
      </c>
      <c r="BF143" s="141"/>
      <c r="BG143" s="172" t="s">
        <v>71</v>
      </c>
      <c r="BH143" s="160"/>
      <c r="BI143" s="141"/>
      <c r="BJ143" s="146" t="str">
        <f t="shared" si="302"/>
        <v xml:space="preserve">                                                                                                                                                                                                                                                                                                                                                                                                                </v>
      </c>
      <c r="BK143" s="174" t="str">
        <f t="shared" si="368"/>
        <v>NG</v>
      </c>
      <c r="BL143" s="141"/>
      <c r="BM143" s="172" t="s">
        <v>71</v>
      </c>
      <c r="BN143" s="160"/>
      <c r="BO143" s="141"/>
      <c r="BP143" s="146" t="str">
        <f t="shared" si="303"/>
        <v xml:space="preserve">                                                                                                                                                                                                                                                                                                                                                                                                                </v>
      </c>
      <c r="BQ143" s="174" t="str">
        <f t="shared" si="369"/>
        <v>NG</v>
      </c>
      <c r="BR143" s="141"/>
      <c r="BS143" s="172" t="s">
        <v>71</v>
      </c>
      <c r="BT143" s="160"/>
      <c r="BU143" s="141"/>
      <c r="BV143" s="146" t="str">
        <f t="shared" si="304"/>
        <v xml:space="preserve">                                                                                                                                                                                                                                                                                                                                                                                                                </v>
      </c>
      <c r="BW143" s="174" t="str">
        <f t="shared" si="370"/>
        <v>NG</v>
      </c>
      <c r="BX143" s="141"/>
      <c r="BY143" s="172" t="s">
        <v>71</v>
      </c>
      <c r="BZ143" s="160"/>
      <c r="CA143" s="141"/>
      <c r="CB143" s="146" t="str">
        <f t="shared" si="305"/>
        <v xml:space="preserve">                                                                                                                                                                                                                                                                                                                                                                                                                </v>
      </c>
      <c r="CC143" s="174" t="str">
        <f t="shared" si="371"/>
        <v>NG</v>
      </c>
      <c r="CD143" s="141"/>
      <c r="CE143" s="172" t="s">
        <v>71</v>
      </c>
      <c r="CF143" s="160"/>
      <c r="CG143" s="141"/>
      <c r="CH143" s="146" t="str">
        <f t="shared" si="306"/>
        <v xml:space="preserve">                                                                                                                                                                                                                                                                                                                                                                                                                </v>
      </c>
      <c r="CI143" s="174" t="str">
        <f t="shared" si="372"/>
        <v>NG</v>
      </c>
      <c r="CJ143" s="141"/>
      <c r="CK143" s="172" t="s">
        <v>71</v>
      </c>
      <c r="CL143" s="160"/>
      <c r="CM143" s="141"/>
      <c r="CN143" s="146" t="str">
        <f t="shared" si="307"/>
        <v xml:space="preserve">                                                                                                                                                                                                                                                                                                                                                                                                                </v>
      </c>
      <c r="CO143" s="174" t="str">
        <f t="shared" si="373"/>
        <v>NG</v>
      </c>
      <c r="CP143" s="141"/>
      <c r="CQ143" s="172" t="s">
        <v>71</v>
      </c>
      <c r="CR143" s="160"/>
      <c r="CS143" s="141"/>
      <c r="CT143" s="146" t="str">
        <f t="shared" si="308"/>
        <v xml:space="preserve">                                                                                                                                                                                                                                                                                                                                                                                                                </v>
      </c>
      <c r="CU143" s="174" t="str">
        <f t="shared" si="374"/>
        <v>NG</v>
      </c>
      <c r="CV143" s="141"/>
      <c r="CW143" s="172" t="s">
        <v>71</v>
      </c>
      <c r="CX143" s="160"/>
      <c r="CY143" s="141"/>
      <c r="CZ143" s="146" t="str">
        <f t="shared" si="309"/>
        <v xml:space="preserve">                                                                                                                                                                                                                                                                                                                                                                                                                </v>
      </c>
      <c r="DA143" s="174" t="str">
        <f t="shared" si="375"/>
        <v>NG</v>
      </c>
      <c r="DB143" s="141"/>
      <c r="DC143" s="172" t="s">
        <v>71</v>
      </c>
      <c r="DD143" s="160"/>
      <c r="DE143" s="141"/>
      <c r="DF143" s="146" t="str">
        <f t="shared" si="310"/>
        <v xml:space="preserve">                                                                                                                                                                                                                                                                                                                                                                                                                </v>
      </c>
      <c r="DG143" s="174" t="str">
        <f t="shared" si="376"/>
        <v>NG</v>
      </c>
      <c r="DH143" s="141"/>
      <c r="DI143" s="172" t="s">
        <v>71</v>
      </c>
      <c r="DJ143" s="160"/>
      <c r="DK143" s="141"/>
      <c r="DL143" s="146" t="str">
        <f t="shared" si="311"/>
        <v xml:space="preserve">                                                                                                                                                                                                                                                                                                                                                                                                                </v>
      </c>
      <c r="DM143" s="174" t="str">
        <f t="shared" si="377"/>
        <v>NG</v>
      </c>
      <c r="DN143" s="141"/>
      <c r="DO143" s="172" t="s">
        <v>71</v>
      </c>
      <c r="DP143" s="160"/>
      <c r="DQ143" s="141"/>
      <c r="DR143" s="146" t="str">
        <f t="shared" si="312"/>
        <v xml:space="preserve">                                                                                                                                                                                                                                                                                                                                                                                                                </v>
      </c>
      <c r="DS143" s="174" t="str">
        <f t="shared" si="354"/>
        <v>NG</v>
      </c>
      <c r="DT143" s="141"/>
      <c r="DU143" s="172" t="s">
        <v>71</v>
      </c>
      <c r="DV143" s="160"/>
      <c r="DW143" s="141"/>
      <c r="DX143" s="146" t="str">
        <f t="shared" si="313"/>
        <v xml:space="preserve">                                                                                                                                                                                                                                                                                                                                                                                                                </v>
      </c>
      <c r="DY143" s="174" t="str">
        <f t="shared" si="355"/>
        <v>NG</v>
      </c>
      <c r="DZ143" s="141"/>
      <c r="EA143" s="172" t="s">
        <v>71</v>
      </c>
      <c r="EB143" s="160"/>
      <c r="EC143" s="141"/>
      <c r="ED143" s="146" t="str">
        <f t="shared" si="314"/>
        <v xml:space="preserve">                                                                                                                                                                                                                                                                                                                                                                                                                </v>
      </c>
      <c r="EE143" s="174" t="str">
        <f t="shared" si="356"/>
        <v>NG</v>
      </c>
      <c r="EF143" s="141"/>
      <c r="EG143" s="172" t="s">
        <v>71</v>
      </c>
      <c r="EH143" s="160"/>
      <c r="EI143" s="141"/>
      <c r="EJ143" s="146" t="str">
        <f t="shared" si="315"/>
        <v xml:space="preserve">                                                                                                                                                                                                                                                                                                                                                                                                                </v>
      </c>
      <c r="EK143" s="174" t="str">
        <f t="shared" si="357"/>
        <v>NG</v>
      </c>
      <c r="EL143" s="141"/>
      <c r="EM143" s="172" t="s">
        <v>71</v>
      </c>
      <c r="EN143" s="160"/>
      <c r="EO143" s="141"/>
      <c r="EP143" s="146" t="str">
        <f t="shared" si="316"/>
        <v xml:space="preserve">                                                                                                                                                                                                                                                                                                                                                                                                                </v>
      </c>
      <c r="EQ143" s="174" t="str">
        <f t="shared" si="358"/>
        <v>NG</v>
      </c>
      <c r="ER143" s="141"/>
      <c r="ES143" s="172" t="s">
        <v>71</v>
      </c>
      <c r="ET143" s="160"/>
      <c r="EU143" s="141"/>
      <c r="EV143" s="146" t="str">
        <f t="shared" si="317"/>
        <v xml:space="preserve">                                                                                                                                                                                                                                                                                                                                                                                                                </v>
      </c>
      <c r="EW143" s="174" t="str">
        <f t="shared" si="359"/>
        <v>NG</v>
      </c>
      <c r="EX143" s="141"/>
      <c r="EY143" s="172" t="s">
        <v>71</v>
      </c>
      <c r="EZ143" s="160"/>
      <c r="FA143" s="141"/>
      <c r="FB143" s="146" t="str">
        <f t="shared" si="318"/>
        <v xml:space="preserve">                                                                                                                                                                                                                                                                                                                                                                                                                </v>
      </c>
      <c r="FC143" s="174" t="str">
        <f t="shared" si="360"/>
        <v>NG</v>
      </c>
      <c r="FD143" s="141"/>
      <c r="FE143" s="172" t="s">
        <v>71</v>
      </c>
      <c r="FF143" s="160"/>
      <c r="FG143" s="141"/>
      <c r="FH143" s="146" t="str">
        <f t="shared" si="319"/>
        <v xml:space="preserve">                                                                                                                                                                                                                                                                                                                                                                                                                </v>
      </c>
      <c r="FI143" s="174" t="str">
        <f t="shared" si="361"/>
        <v>NG</v>
      </c>
      <c r="FJ143" s="141"/>
      <c r="FK143" s="172" t="s">
        <v>71</v>
      </c>
      <c r="FL143" s="160"/>
      <c r="FM143" s="141"/>
      <c r="FN143" s="146" t="str">
        <f t="shared" si="320"/>
        <v xml:space="preserve">                                                                                                                                                                                                                                                                                                                                                                                                                </v>
      </c>
      <c r="FO143" s="174" t="str">
        <f t="shared" si="378"/>
        <v>NG</v>
      </c>
      <c r="FP143" s="141"/>
      <c r="FQ143" s="172" t="s">
        <v>71</v>
      </c>
      <c r="FR143" s="160"/>
      <c r="FS143" s="141"/>
      <c r="FT143" s="146" t="str">
        <f t="shared" si="321"/>
        <v xml:space="preserve">                                                                                                                                                                                                                                                                                                                                                                                                                </v>
      </c>
      <c r="FU143" s="174" t="str">
        <f t="shared" si="379"/>
        <v>NG</v>
      </c>
      <c r="FV143" s="141"/>
      <c r="FW143" s="172" t="s">
        <v>71</v>
      </c>
      <c r="FX143" s="160"/>
      <c r="FY143" s="141"/>
      <c r="FZ143" s="146" t="str">
        <f t="shared" si="322"/>
        <v xml:space="preserve">                                                                                                                                                                                                                                                                                                                                                                                                                </v>
      </c>
      <c r="GA143" s="174" t="str">
        <f t="shared" si="380"/>
        <v>NG</v>
      </c>
      <c r="GB143" s="141"/>
      <c r="GC143" s="172" t="s">
        <v>71</v>
      </c>
    </row>
    <row r="144" spans="2:185" s="52" customFormat="1" ht="89.25">
      <c r="B144" s="216">
        <f t="shared" si="323"/>
        <v>137</v>
      </c>
      <c r="C144" s="37"/>
      <c r="D144" s="37"/>
      <c r="E144" s="37"/>
      <c r="F144" s="49" t="s">
        <v>228</v>
      </c>
      <c r="G144" s="39"/>
      <c r="H144" s="40"/>
      <c r="I144" s="42"/>
      <c r="J144" s="42"/>
      <c r="K144" s="42"/>
      <c r="L144" s="42"/>
      <c r="M144" s="63" t="s">
        <v>338</v>
      </c>
      <c r="N144" s="47"/>
      <c r="O144" s="143"/>
      <c r="P144" s="45">
        <f t="shared" si="363"/>
        <v>117</v>
      </c>
      <c r="Q144" s="46">
        <v>1</v>
      </c>
      <c r="R144" s="41" t="str">
        <f t="shared" si="381"/>
        <v>X</v>
      </c>
      <c r="S144" s="185" t="s">
        <v>229</v>
      </c>
      <c r="T144" s="43"/>
      <c r="U144" s="41" t="s">
        <v>80</v>
      </c>
      <c r="V144" s="44"/>
      <c r="W144" s="22">
        <v>3</v>
      </c>
      <c r="X144" s="47" t="s">
        <v>230</v>
      </c>
      <c r="Y144" s="47">
        <v>1</v>
      </c>
      <c r="Z144" s="47">
        <v>1</v>
      </c>
      <c r="AA144" s="42" t="s">
        <v>163</v>
      </c>
      <c r="AB144" s="42" t="s">
        <v>57</v>
      </c>
      <c r="AC144" s="217"/>
      <c r="AD144" s="160"/>
      <c r="AE144" s="162"/>
      <c r="AF144" s="203" t="str">
        <f t="shared" si="298"/>
        <v xml:space="preserve"> </v>
      </c>
      <c r="AG144" s="174" t="str">
        <f t="shared" si="364"/>
        <v>NG</v>
      </c>
      <c r="AH144" s="162"/>
      <c r="AI144" s="172" t="s">
        <v>71</v>
      </c>
      <c r="AJ144" s="160"/>
      <c r="AK144" s="162"/>
      <c r="AL144" s="203" t="str">
        <f t="shared" si="382"/>
        <v xml:space="preserve"> </v>
      </c>
      <c r="AM144" s="174" t="str">
        <f t="shared" si="324"/>
        <v>NG</v>
      </c>
      <c r="AN144" s="162"/>
      <c r="AO144" s="172" t="s">
        <v>71</v>
      </c>
      <c r="AP144" s="160"/>
      <c r="AQ144" s="162"/>
      <c r="AR144" s="203" t="str">
        <f t="shared" si="299"/>
        <v xml:space="preserve"> </v>
      </c>
      <c r="AS144" s="174" t="str">
        <f t="shared" si="365"/>
        <v>NG</v>
      </c>
      <c r="AT144" s="162"/>
      <c r="AU144" s="172" t="s">
        <v>71</v>
      </c>
      <c r="AV144" s="160"/>
      <c r="AW144" s="162"/>
      <c r="AX144" s="203" t="str">
        <f t="shared" si="300"/>
        <v xml:space="preserve"> </v>
      </c>
      <c r="AY144" s="174" t="str">
        <f t="shared" si="366"/>
        <v>NG</v>
      </c>
      <c r="AZ144" s="162"/>
      <c r="BA144" s="172" t="s">
        <v>71</v>
      </c>
      <c r="BB144" s="160"/>
      <c r="BC144" s="162"/>
      <c r="BD144" s="203" t="str">
        <f t="shared" si="301"/>
        <v xml:space="preserve"> </v>
      </c>
      <c r="BE144" s="174" t="str">
        <f t="shared" si="367"/>
        <v>NG</v>
      </c>
      <c r="BF144" s="162"/>
      <c r="BG144" s="172" t="s">
        <v>71</v>
      </c>
      <c r="BH144" s="160"/>
      <c r="BI144" s="162"/>
      <c r="BJ144" s="203" t="str">
        <f t="shared" si="302"/>
        <v xml:space="preserve"> </v>
      </c>
      <c r="BK144" s="174" t="str">
        <f t="shared" si="368"/>
        <v>NG</v>
      </c>
      <c r="BL144" s="162"/>
      <c r="BM144" s="172" t="s">
        <v>71</v>
      </c>
      <c r="BN144" s="160"/>
      <c r="BO144" s="162"/>
      <c r="BP144" s="203" t="str">
        <f t="shared" si="303"/>
        <v xml:space="preserve"> </v>
      </c>
      <c r="BQ144" s="174" t="str">
        <f t="shared" si="369"/>
        <v>NG</v>
      </c>
      <c r="BR144" s="162"/>
      <c r="BS144" s="172" t="s">
        <v>71</v>
      </c>
      <c r="BT144" s="160"/>
      <c r="BU144" s="162"/>
      <c r="BV144" s="203" t="str">
        <f t="shared" si="304"/>
        <v xml:space="preserve"> </v>
      </c>
      <c r="BW144" s="174" t="str">
        <f t="shared" si="370"/>
        <v>NG</v>
      </c>
      <c r="BX144" s="162"/>
      <c r="BY144" s="172" t="s">
        <v>71</v>
      </c>
      <c r="BZ144" s="160"/>
      <c r="CA144" s="162"/>
      <c r="CB144" s="203" t="str">
        <f t="shared" si="305"/>
        <v xml:space="preserve"> </v>
      </c>
      <c r="CC144" s="174" t="str">
        <f t="shared" si="371"/>
        <v>NG</v>
      </c>
      <c r="CD144" s="162"/>
      <c r="CE144" s="172" t="s">
        <v>71</v>
      </c>
      <c r="CF144" s="160"/>
      <c r="CG144" s="162"/>
      <c r="CH144" s="203" t="str">
        <f t="shared" si="306"/>
        <v xml:space="preserve"> </v>
      </c>
      <c r="CI144" s="174" t="str">
        <f t="shared" si="372"/>
        <v>NG</v>
      </c>
      <c r="CJ144" s="162"/>
      <c r="CK144" s="172" t="s">
        <v>71</v>
      </c>
      <c r="CL144" s="160"/>
      <c r="CM144" s="162"/>
      <c r="CN144" s="203" t="str">
        <f t="shared" si="307"/>
        <v xml:space="preserve"> </v>
      </c>
      <c r="CO144" s="174" t="str">
        <f t="shared" si="373"/>
        <v>NG</v>
      </c>
      <c r="CP144" s="162"/>
      <c r="CQ144" s="172" t="s">
        <v>71</v>
      </c>
      <c r="CR144" s="160"/>
      <c r="CS144" s="162"/>
      <c r="CT144" s="203" t="str">
        <f t="shared" si="308"/>
        <v xml:space="preserve"> </v>
      </c>
      <c r="CU144" s="174" t="str">
        <f t="shared" si="374"/>
        <v>NG</v>
      </c>
      <c r="CV144" s="162"/>
      <c r="CW144" s="172" t="s">
        <v>71</v>
      </c>
      <c r="CX144" s="160"/>
      <c r="CY144" s="162"/>
      <c r="CZ144" s="203" t="str">
        <f t="shared" si="309"/>
        <v xml:space="preserve"> </v>
      </c>
      <c r="DA144" s="174" t="str">
        <f t="shared" si="375"/>
        <v>NG</v>
      </c>
      <c r="DB144" s="162"/>
      <c r="DC144" s="172" t="s">
        <v>71</v>
      </c>
      <c r="DD144" s="160"/>
      <c r="DE144" s="162"/>
      <c r="DF144" s="203" t="str">
        <f t="shared" si="310"/>
        <v xml:space="preserve"> </v>
      </c>
      <c r="DG144" s="174" t="str">
        <f t="shared" si="376"/>
        <v>NG</v>
      </c>
      <c r="DH144" s="162"/>
      <c r="DI144" s="172" t="s">
        <v>71</v>
      </c>
      <c r="DJ144" s="160"/>
      <c r="DK144" s="162"/>
      <c r="DL144" s="203" t="str">
        <f t="shared" si="311"/>
        <v xml:space="preserve"> </v>
      </c>
      <c r="DM144" s="174" t="str">
        <f t="shared" si="377"/>
        <v>NG</v>
      </c>
      <c r="DN144" s="162"/>
      <c r="DO144" s="172" t="s">
        <v>71</v>
      </c>
      <c r="DP144" s="160"/>
      <c r="DQ144" s="162"/>
      <c r="DR144" s="203" t="str">
        <f t="shared" si="312"/>
        <v xml:space="preserve"> </v>
      </c>
      <c r="DS144" s="174" t="str">
        <f t="shared" si="354"/>
        <v>NG</v>
      </c>
      <c r="DT144" s="162"/>
      <c r="DU144" s="172" t="s">
        <v>71</v>
      </c>
      <c r="DV144" s="160"/>
      <c r="DW144" s="162"/>
      <c r="DX144" s="203" t="str">
        <f t="shared" si="313"/>
        <v xml:space="preserve"> </v>
      </c>
      <c r="DY144" s="174" t="str">
        <f t="shared" si="355"/>
        <v>NG</v>
      </c>
      <c r="DZ144" s="162"/>
      <c r="EA144" s="172" t="s">
        <v>71</v>
      </c>
      <c r="EB144" s="160"/>
      <c r="EC144" s="162"/>
      <c r="ED144" s="203" t="str">
        <f t="shared" si="314"/>
        <v xml:space="preserve"> </v>
      </c>
      <c r="EE144" s="174" t="str">
        <f t="shared" si="356"/>
        <v>NG</v>
      </c>
      <c r="EF144" s="162"/>
      <c r="EG144" s="172" t="s">
        <v>71</v>
      </c>
      <c r="EH144" s="160"/>
      <c r="EI144" s="162"/>
      <c r="EJ144" s="203" t="str">
        <f t="shared" si="315"/>
        <v xml:space="preserve"> </v>
      </c>
      <c r="EK144" s="174" t="str">
        <f t="shared" si="357"/>
        <v>NG</v>
      </c>
      <c r="EL144" s="162"/>
      <c r="EM144" s="172" t="s">
        <v>71</v>
      </c>
      <c r="EN144" s="160"/>
      <c r="EO144" s="162"/>
      <c r="EP144" s="203" t="str">
        <f t="shared" si="316"/>
        <v xml:space="preserve"> </v>
      </c>
      <c r="EQ144" s="174" t="str">
        <f t="shared" si="358"/>
        <v>NG</v>
      </c>
      <c r="ER144" s="162"/>
      <c r="ES144" s="172" t="s">
        <v>71</v>
      </c>
      <c r="ET144" s="160"/>
      <c r="EU144" s="162"/>
      <c r="EV144" s="203" t="str">
        <f t="shared" si="317"/>
        <v xml:space="preserve"> </v>
      </c>
      <c r="EW144" s="174" t="str">
        <f t="shared" si="359"/>
        <v>NG</v>
      </c>
      <c r="EX144" s="162"/>
      <c r="EY144" s="172" t="s">
        <v>71</v>
      </c>
      <c r="EZ144" s="160"/>
      <c r="FA144" s="162"/>
      <c r="FB144" s="203" t="str">
        <f t="shared" si="318"/>
        <v xml:space="preserve"> </v>
      </c>
      <c r="FC144" s="174" t="str">
        <f t="shared" si="360"/>
        <v>NG</v>
      </c>
      <c r="FD144" s="162"/>
      <c r="FE144" s="172" t="s">
        <v>71</v>
      </c>
      <c r="FF144" s="160"/>
      <c r="FG144" s="162"/>
      <c r="FH144" s="203" t="str">
        <f t="shared" si="319"/>
        <v xml:space="preserve"> </v>
      </c>
      <c r="FI144" s="174" t="str">
        <f t="shared" si="361"/>
        <v>NG</v>
      </c>
      <c r="FJ144" s="162"/>
      <c r="FK144" s="172" t="s">
        <v>71</v>
      </c>
      <c r="FL144" s="160"/>
      <c r="FM144" s="162"/>
      <c r="FN144" s="203" t="str">
        <f t="shared" si="320"/>
        <v xml:space="preserve"> </v>
      </c>
      <c r="FO144" s="174" t="str">
        <f t="shared" si="378"/>
        <v>NG</v>
      </c>
      <c r="FP144" s="162"/>
      <c r="FQ144" s="172" t="s">
        <v>71</v>
      </c>
      <c r="FR144" s="160"/>
      <c r="FS144" s="162"/>
      <c r="FT144" s="203" t="str">
        <f t="shared" si="321"/>
        <v xml:space="preserve"> </v>
      </c>
      <c r="FU144" s="174" t="str">
        <f t="shared" si="379"/>
        <v>NG</v>
      </c>
      <c r="FV144" s="162"/>
      <c r="FW144" s="172" t="s">
        <v>71</v>
      </c>
      <c r="FX144" s="160"/>
      <c r="FY144" s="162"/>
      <c r="FZ144" s="203" t="str">
        <f t="shared" si="322"/>
        <v xml:space="preserve"> </v>
      </c>
      <c r="GA144" s="174" t="str">
        <f t="shared" si="380"/>
        <v>NG</v>
      </c>
      <c r="GB144" s="162"/>
      <c r="GC144" s="172" t="s">
        <v>71</v>
      </c>
    </row>
    <row r="145" spans="1:185" s="52" customFormat="1">
      <c r="B145" s="216">
        <f t="shared" si="323"/>
        <v>138</v>
      </c>
      <c r="C145" s="37"/>
      <c r="D145" s="37"/>
      <c r="E145" s="37"/>
      <c r="F145" s="49" t="s">
        <v>231</v>
      </c>
      <c r="G145" s="39"/>
      <c r="H145" s="40"/>
      <c r="I145" s="42"/>
      <c r="J145" s="42"/>
      <c r="K145" s="42"/>
      <c r="L145" s="42"/>
      <c r="M145" s="63"/>
      <c r="N145" s="47"/>
      <c r="O145" s="143"/>
      <c r="P145" s="45">
        <f t="shared" si="363"/>
        <v>118</v>
      </c>
      <c r="Q145" s="46">
        <v>128</v>
      </c>
      <c r="R145" s="41" t="str">
        <f t="shared" si="381"/>
        <v>X</v>
      </c>
      <c r="S145" s="185" t="s">
        <v>232</v>
      </c>
      <c r="T145" s="43"/>
      <c r="U145" s="41" t="s">
        <v>80</v>
      </c>
      <c r="V145" s="44"/>
      <c r="W145" s="22">
        <v>3</v>
      </c>
      <c r="X145" s="47" t="s">
        <v>233</v>
      </c>
      <c r="Y145" s="47">
        <v>1</v>
      </c>
      <c r="Z145" s="47">
        <v>128</v>
      </c>
      <c r="AA145" s="42" t="s">
        <v>163</v>
      </c>
      <c r="AB145" s="42" t="s">
        <v>57</v>
      </c>
      <c r="AC145" s="166"/>
      <c r="AD145" s="160"/>
      <c r="AE145" s="141"/>
      <c r="AF145" s="203" t="str">
        <f t="shared" si="298"/>
        <v xml:space="preserve">                                                                                                                                </v>
      </c>
      <c r="AG145" s="174" t="str">
        <f t="shared" si="364"/>
        <v>NG</v>
      </c>
      <c r="AH145" s="141"/>
      <c r="AI145" s="276" t="str">
        <f>IF(OR(AE$8="判定対象外",AH$8="判定対象外",AH145="-"),"-",IF(AE145=AH145,"OK","NG"))</f>
        <v>OK</v>
      </c>
      <c r="AJ145" s="160"/>
      <c r="AK145" s="141"/>
      <c r="AL145" s="203" t="str">
        <f t="shared" si="382"/>
        <v xml:space="preserve">                                                                                                                                </v>
      </c>
      <c r="AM145" s="174" t="str">
        <f t="shared" si="324"/>
        <v>NG</v>
      </c>
      <c r="AN145" s="141"/>
      <c r="AO145" s="276" t="str">
        <f>IF(OR(AK$8="判定対象外",AN$8="判定対象外",AN145="-"),"-",IF(AK145=AN145,"OK","NG"))</f>
        <v>OK</v>
      </c>
      <c r="AP145" s="160"/>
      <c r="AQ145" s="141"/>
      <c r="AR145" s="203" t="str">
        <f t="shared" si="299"/>
        <v xml:space="preserve">                                                                                                                                </v>
      </c>
      <c r="AS145" s="174" t="str">
        <f t="shared" si="365"/>
        <v>NG</v>
      </c>
      <c r="AT145" s="141"/>
      <c r="AU145" s="276" t="str">
        <f>IF(OR(AQ$8="判定対象外",AT$8="判定対象外",AT145="-"),"-",IF(AQ145=AT145,"OK","NG"))</f>
        <v>OK</v>
      </c>
      <c r="AV145" s="160"/>
      <c r="AW145" s="141"/>
      <c r="AX145" s="203" t="str">
        <f t="shared" si="300"/>
        <v xml:space="preserve">                                                                                                                                </v>
      </c>
      <c r="AY145" s="174" t="str">
        <f t="shared" si="366"/>
        <v>NG</v>
      </c>
      <c r="AZ145" s="141"/>
      <c r="BA145" s="276" t="str">
        <f>IF(OR(AW$8="判定対象外",AZ$8="判定対象外",AZ145="-"),"-",IF(AW145=AZ145,"OK","NG"))</f>
        <v>OK</v>
      </c>
      <c r="BB145" s="160"/>
      <c r="BC145" s="141"/>
      <c r="BD145" s="203" t="str">
        <f t="shared" si="301"/>
        <v xml:space="preserve">                                                                                                                                </v>
      </c>
      <c r="BE145" s="174" t="str">
        <f t="shared" si="367"/>
        <v>NG</v>
      </c>
      <c r="BF145" s="141"/>
      <c r="BG145" s="276" t="str">
        <f>IF(OR(BC$8="判定対象外",BF$8="判定対象外",BF145="-"),"-",IF(BC145=BF145,"OK","NG"))</f>
        <v>OK</v>
      </c>
      <c r="BH145" s="160"/>
      <c r="BI145" s="141"/>
      <c r="BJ145" s="203" t="str">
        <f t="shared" si="302"/>
        <v xml:space="preserve">                                                                                                                                </v>
      </c>
      <c r="BK145" s="174" t="str">
        <f t="shared" si="368"/>
        <v>NG</v>
      </c>
      <c r="BL145" s="141"/>
      <c r="BM145" s="276" t="str">
        <f>IF(OR(BI$8="判定対象外",BL$8="判定対象外",BL145="-"),"-",IF(BI145=BL145,"OK","NG"))</f>
        <v>OK</v>
      </c>
      <c r="BN145" s="160"/>
      <c r="BO145" s="141"/>
      <c r="BP145" s="203" t="str">
        <f t="shared" si="303"/>
        <v xml:space="preserve">                                                                                                                                </v>
      </c>
      <c r="BQ145" s="174" t="str">
        <f t="shared" si="369"/>
        <v>NG</v>
      </c>
      <c r="BR145" s="141"/>
      <c r="BS145" s="276" t="str">
        <f>IF(OR(BO$8="判定対象外",BR$8="判定対象外",BR145="-"),"-",IF(BO145=BR145,"OK","NG"))</f>
        <v>OK</v>
      </c>
      <c r="BT145" s="160"/>
      <c r="BU145" s="141"/>
      <c r="BV145" s="203" t="str">
        <f t="shared" si="304"/>
        <v xml:space="preserve">                                                                                                                                </v>
      </c>
      <c r="BW145" s="174" t="str">
        <f t="shared" si="370"/>
        <v>NG</v>
      </c>
      <c r="BX145" s="141"/>
      <c r="BY145" s="276" t="str">
        <f>IF(OR(BU$8="判定対象外",BX$8="判定対象外",BX145="-"),"-",IF(BU145=BX145,"OK","NG"))</f>
        <v>OK</v>
      </c>
      <c r="BZ145" s="160"/>
      <c r="CA145" s="141"/>
      <c r="CB145" s="203" t="str">
        <f t="shared" si="305"/>
        <v xml:space="preserve">                                                                                                                                </v>
      </c>
      <c r="CC145" s="174" t="str">
        <f t="shared" si="371"/>
        <v>NG</v>
      </c>
      <c r="CD145" s="141"/>
      <c r="CE145" s="276" t="str">
        <f>IF(OR(CA$8="判定対象外",CD$8="判定対象外",CD145="-"),"-",IF(CA145=CD145,"OK","NG"))</f>
        <v>OK</v>
      </c>
      <c r="CF145" s="160"/>
      <c r="CG145" s="141"/>
      <c r="CH145" s="203" t="str">
        <f t="shared" si="306"/>
        <v xml:space="preserve">                                                                                                                                </v>
      </c>
      <c r="CI145" s="174" t="str">
        <f t="shared" si="372"/>
        <v>NG</v>
      </c>
      <c r="CJ145" s="141"/>
      <c r="CK145" s="276" t="str">
        <f>IF(OR(CG$8="判定対象外",CJ$8="判定対象外",CJ145="-"),"-",IF(CG145=CJ145,"OK","NG"))</f>
        <v>OK</v>
      </c>
      <c r="CL145" s="160"/>
      <c r="CM145" s="141"/>
      <c r="CN145" s="203" t="str">
        <f t="shared" si="307"/>
        <v xml:space="preserve">                                                                                                                                </v>
      </c>
      <c r="CO145" s="174" t="str">
        <f t="shared" si="373"/>
        <v>NG</v>
      </c>
      <c r="CP145" s="141"/>
      <c r="CQ145" s="276" t="str">
        <f>IF(OR(CM$8="判定対象外",CP$8="判定対象外",CP145="-"),"-",IF(CM145=CP145,"OK","NG"))</f>
        <v>OK</v>
      </c>
      <c r="CR145" s="160"/>
      <c r="CS145" s="141"/>
      <c r="CT145" s="203" t="str">
        <f t="shared" si="308"/>
        <v xml:space="preserve">                                                                                                                                </v>
      </c>
      <c r="CU145" s="174" t="str">
        <f t="shared" si="374"/>
        <v>NG</v>
      </c>
      <c r="CV145" s="141"/>
      <c r="CW145" s="276" t="str">
        <f>IF(OR(CS$8="判定対象外",CV$8="判定対象外",CV145="-"),"-",IF(CS145=CV145,"OK","NG"))</f>
        <v>OK</v>
      </c>
      <c r="CX145" s="160"/>
      <c r="CY145" s="141"/>
      <c r="CZ145" s="203" t="str">
        <f t="shared" si="309"/>
        <v xml:space="preserve">                                                                                                                                </v>
      </c>
      <c r="DA145" s="174" t="str">
        <f t="shared" si="375"/>
        <v>NG</v>
      </c>
      <c r="DB145" s="141"/>
      <c r="DC145" s="276" t="str">
        <f>IF(OR(CY$8="判定対象外",DB$8="判定対象外",DB145="-"),"-",IF(CY145=DB145,"OK","NG"))</f>
        <v>OK</v>
      </c>
      <c r="DD145" s="160"/>
      <c r="DE145" s="141"/>
      <c r="DF145" s="203" t="str">
        <f t="shared" si="310"/>
        <v xml:space="preserve">                                                                                                                                </v>
      </c>
      <c r="DG145" s="174" t="str">
        <f t="shared" si="376"/>
        <v>NG</v>
      </c>
      <c r="DH145" s="141"/>
      <c r="DI145" s="276" t="str">
        <f>IF(OR(DE$8="判定対象外",DH$8="判定対象外",DH145="-"),"-",IF(DE145=DH145,"OK","NG"))</f>
        <v>OK</v>
      </c>
      <c r="DJ145" s="160"/>
      <c r="DK145" s="141"/>
      <c r="DL145" s="203" t="str">
        <f t="shared" si="311"/>
        <v xml:space="preserve">                                                                                                                                </v>
      </c>
      <c r="DM145" s="174" t="str">
        <f t="shared" si="377"/>
        <v>NG</v>
      </c>
      <c r="DN145" s="141"/>
      <c r="DO145" s="276" t="str">
        <f>IF(OR(DK$8="判定対象外",DN$8="判定対象外",DN145="-"),"-",IF(DK145=DN145,"OK","NG"))</f>
        <v>OK</v>
      </c>
      <c r="DP145" s="160"/>
      <c r="DQ145" s="141"/>
      <c r="DR145" s="203" t="str">
        <f t="shared" si="312"/>
        <v xml:space="preserve">                                                                                                                                </v>
      </c>
      <c r="DS145" s="174" t="str">
        <f t="shared" si="354"/>
        <v>NG</v>
      </c>
      <c r="DT145" s="141"/>
      <c r="DU145" s="276" t="str">
        <f>IF(OR(DQ$8="判定対象外",DT$8="判定対象外",DT145="-"),"-",IF(DQ145=DT145,"OK","NG"))</f>
        <v>OK</v>
      </c>
      <c r="DV145" s="160"/>
      <c r="DW145" s="141"/>
      <c r="DX145" s="203" t="str">
        <f t="shared" si="313"/>
        <v xml:space="preserve">                                                                                                                                </v>
      </c>
      <c r="DY145" s="174" t="str">
        <f t="shared" si="355"/>
        <v>NG</v>
      </c>
      <c r="DZ145" s="141"/>
      <c r="EA145" s="276" t="str">
        <f>IF(OR(DW$8="判定対象外",DZ$8="判定対象外",DZ145="-"),"-",IF(DW145=DZ145,"OK","NG"))</f>
        <v>OK</v>
      </c>
      <c r="EB145" s="160"/>
      <c r="EC145" s="141"/>
      <c r="ED145" s="203" t="str">
        <f t="shared" si="314"/>
        <v xml:space="preserve">                                                                                                                                </v>
      </c>
      <c r="EE145" s="174" t="str">
        <f t="shared" si="356"/>
        <v>NG</v>
      </c>
      <c r="EF145" s="141"/>
      <c r="EG145" s="276" t="str">
        <f>IF(OR(EC$8="判定対象外",EF$8="判定対象外",EF145="-"),"-",IF(EC145=EF145,"OK","NG"))</f>
        <v>OK</v>
      </c>
      <c r="EH145" s="160"/>
      <c r="EI145" s="141"/>
      <c r="EJ145" s="203" t="str">
        <f t="shared" si="315"/>
        <v xml:space="preserve">                                                                                                                                </v>
      </c>
      <c r="EK145" s="174" t="str">
        <f t="shared" si="357"/>
        <v>NG</v>
      </c>
      <c r="EL145" s="141"/>
      <c r="EM145" s="276" t="str">
        <f>IF(OR(EI$8="判定対象外",EL$8="判定対象外",EL145="-"),"-",IF(EI145=EL145,"OK","NG"))</f>
        <v>OK</v>
      </c>
      <c r="EN145" s="160"/>
      <c r="EO145" s="141"/>
      <c r="EP145" s="203" t="str">
        <f t="shared" si="316"/>
        <v xml:space="preserve">                                                                                                                                </v>
      </c>
      <c r="EQ145" s="174" t="str">
        <f t="shared" si="358"/>
        <v>NG</v>
      </c>
      <c r="ER145" s="141"/>
      <c r="ES145" s="276" t="str">
        <f>IF(OR(EO$8="判定対象外",ER$8="判定対象外",ER145="-"),"-",IF(EO145=ER145,"OK","NG"))</f>
        <v>OK</v>
      </c>
      <c r="ET145" s="160"/>
      <c r="EU145" s="141"/>
      <c r="EV145" s="203" t="str">
        <f t="shared" si="317"/>
        <v xml:space="preserve">                                                                                                                                </v>
      </c>
      <c r="EW145" s="174" t="str">
        <f t="shared" si="359"/>
        <v>NG</v>
      </c>
      <c r="EX145" s="141"/>
      <c r="EY145" s="276" t="str">
        <f>IF(OR(EU$8="判定対象外",EX$8="判定対象外",EX145="-"),"-",IF(EU145=EX145,"OK","NG"))</f>
        <v>OK</v>
      </c>
      <c r="EZ145" s="160"/>
      <c r="FA145" s="141"/>
      <c r="FB145" s="203" t="str">
        <f t="shared" si="318"/>
        <v xml:space="preserve">                                                                                                                                </v>
      </c>
      <c r="FC145" s="174" t="str">
        <f t="shared" si="360"/>
        <v>NG</v>
      </c>
      <c r="FD145" s="141"/>
      <c r="FE145" s="276" t="str">
        <f>IF(OR(FA$8="判定対象外",FD$8="判定対象外",FD145="-"),"-",IF(FA145=FD145,"OK","NG"))</f>
        <v>OK</v>
      </c>
      <c r="FF145" s="160"/>
      <c r="FG145" s="141"/>
      <c r="FH145" s="203" t="str">
        <f t="shared" si="319"/>
        <v xml:space="preserve">                                                                                                                                </v>
      </c>
      <c r="FI145" s="174" t="str">
        <f t="shared" si="361"/>
        <v>NG</v>
      </c>
      <c r="FJ145" s="141"/>
      <c r="FK145" s="276" t="str">
        <f>IF(OR(FG$8="判定対象外",FJ$8="判定対象外",FJ145="-"),"-",IF(FG145=FJ145,"OK","NG"))</f>
        <v>OK</v>
      </c>
      <c r="FL145" s="160"/>
      <c r="FM145" s="141"/>
      <c r="FN145" s="203" t="str">
        <f t="shared" si="320"/>
        <v xml:space="preserve">                                                                                                                                </v>
      </c>
      <c r="FO145" s="174" t="str">
        <f t="shared" si="378"/>
        <v>NG</v>
      </c>
      <c r="FP145" s="141"/>
      <c r="FQ145" s="276" t="str">
        <f>IF(OR(FM$8="判定対象外",FP$8="判定対象外",FP145="-"),"-",IF(FM145=FP145,"OK","NG"))</f>
        <v>OK</v>
      </c>
      <c r="FR145" s="160"/>
      <c r="FS145" s="141"/>
      <c r="FT145" s="203" t="str">
        <f t="shared" si="321"/>
        <v xml:space="preserve">                                                                                                                                </v>
      </c>
      <c r="FU145" s="174" t="str">
        <f t="shared" si="379"/>
        <v>NG</v>
      </c>
      <c r="FV145" s="141"/>
      <c r="FW145" s="276" t="str">
        <f>IF(OR(FS$8="判定対象外",FV$8="判定対象外",FV145="-"),"-",IF(FS145=FV145,"OK","NG"))</f>
        <v>OK</v>
      </c>
      <c r="FX145" s="160"/>
      <c r="FY145" s="141"/>
      <c r="FZ145" s="203" t="str">
        <f t="shared" si="322"/>
        <v xml:space="preserve">                                                                                                                                </v>
      </c>
      <c r="GA145" s="174" t="str">
        <f t="shared" si="380"/>
        <v>NG</v>
      </c>
      <c r="GB145" s="141"/>
      <c r="GC145" s="276" t="str">
        <f>IF(OR(FY$8="判定対象外",GB$8="判定対象外",GB145="-"),"-",IF(FY145=GB145,"OK","NG"))</f>
        <v>OK</v>
      </c>
    </row>
    <row r="146" spans="1:185" s="52" customFormat="1" ht="114.75">
      <c r="B146" s="216">
        <f t="shared" si="323"/>
        <v>139</v>
      </c>
      <c r="C146" s="37"/>
      <c r="D146" s="37"/>
      <c r="E146" s="37"/>
      <c r="F146" s="49" t="s">
        <v>339</v>
      </c>
      <c r="G146" s="39"/>
      <c r="H146" s="40"/>
      <c r="I146" s="42"/>
      <c r="J146" s="42"/>
      <c r="K146" s="42"/>
      <c r="L146" s="42"/>
      <c r="M146" s="63" t="s">
        <v>340</v>
      </c>
      <c r="N146" s="47"/>
      <c r="O146" s="143"/>
      <c r="P146" s="45">
        <f t="shared" si="363"/>
        <v>119</v>
      </c>
      <c r="Q146" s="46">
        <v>1</v>
      </c>
      <c r="R146" s="41" t="str">
        <f t="shared" si="381"/>
        <v>X</v>
      </c>
      <c r="S146" s="185" t="s">
        <v>234</v>
      </c>
      <c r="T146" s="43"/>
      <c r="U146" s="41" t="s">
        <v>80</v>
      </c>
      <c r="V146" s="44"/>
      <c r="W146" s="22">
        <v>3</v>
      </c>
      <c r="X146" s="47" t="s">
        <v>235</v>
      </c>
      <c r="Y146" s="47">
        <v>1</v>
      </c>
      <c r="Z146" s="47">
        <v>1</v>
      </c>
      <c r="AA146" s="42" t="s">
        <v>163</v>
      </c>
      <c r="AB146" s="42" t="s">
        <v>57</v>
      </c>
      <c r="AC146" s="217"/>
      <c r="AD146" s="160"/>
      <c r="AE146" s="162"/>
      <c r="AF146" s="203" t="str">
        <f t="shared" si="298"/>
        <v xml:space="preserve"> </v>
      </c>
      <c r="AG146" s="174" t="str">
        <f t="shared" si="364"/>
        <v>NG</v>
      </c>
      <c r="AH146" s="162"/>
      <c r="AI146" s="172" t="s">
        <v>71</v>
      </c>
      <c r="AJ146" s="160"/>
      <c r="AK146" s="162"/>
      <c r="AL146" s="203" t="str">
        <f t="shared" si="382"/>
        <v xml:space="preserve"> </v>
      </c>
      <c r="AM146" s="174" t="str">
        <f t="shared" si="324"/>
        <v>NG</v>
      </c>
      <c r="AN146" s="162"/>
      <c r="AO146" s="172" t="s">
        <v>71</v>
      </c>
      <c r="AP146" s="160"/>
      <c r="AQ146" s="162"/>
      <c r="AR146" s="203" t="str">
        <f t="shared" si="299"/>
        <v xml:space="preserve"> </v>
      </c>
      <c r="AS146" s="174" t="str">
        <f t="shared" si="365"/>
        <v>NG</v>
      </c>
      <c r="AT146" s="162"/>
      <c r="AU146" s="172" t="s">
        <v>71</v>
      </c>
      <c r="AV146" s="160"/>
      <c r="AW146" s="162"/>
      <c r="AX146" s="203" t="str">
        <f t="shared" si="300"/>
        <v xml:space="preserve"> </v>
      </c>
      <c r="AY146" s="174" t="str">
        <f t="shared" si="366"/>
        <v>NG</v>
      </c>
      <c r="AZ146" s="162"/>
      <c r="BA146" s="172" t="s">
        <v>71</v>
      </c>
      <c r="BB146" s="160"/>
      <c r="BC146" s="162"/>
      <c r="BD146" s="203" t="str">
        <f t="shared" si="301"/>
        <v xml:space="preserve"> </v>
      </c>
      <c r="BE146" s="174" t="str">
        <f t="shared" si="367"/>
        <v>NG</v>
      </c>
      <c r="BF146" s="162"/>
      <c r="BG146" s="172" t="s">
        <v>71</v>
      </c>
      <c r="BH146" s="160"/>
      <c r="BI146" s="162"/>
      <c r="BJ146" s="203" t="str">
        <f t="shared" si="302"/>
        <v xml:space="preserve"> </v>
      </c>
      <c r="BK146" s="174" t="str">
        <f t="shared" si="368"/>
        <v>NG</v>
      </c>
      <c r="BL146" s="162"/>
      <c r="BM146" s="172" t="s">
        <v>71</v>
      </c>
      <c r="BN146" s="160"/>
      <c r="BO146" s="162"/>
      <c r="BP146" s="203" t="str">
        <f t="shared" si="303"/>
        <v xml:space="preserve"> </v>
      </c>
      <c r="BQ146" s="174" t="str">
        <f t="shared" si="369"/>
        <v>NG</v>
      </c>
      <c r="BR146" s="162"/>
      <c r="BS146" s="172" t="s">
        <v>71</v>
      </c>
      <c r="BT146" s="160"/>
      <c r="BU146" s="162"/>
      <c r="BV146" s="203" t="str">
        <f t="shared" si="304"/>
        <v xml:space="preserve"> </v>
      </c>
      <c r="BW146" s="174" t="str">
        <f t="shared" si="370"/>
        <v>NG</v>
      </c>
      <c r="BX146" s="162"/>
      <c r="BY146" s="172" t="s">
        <v>71</v>
      </c>
      <c r="BZ146" s="160"/>
      <c r="CA146" s="162"/>
      <c r="CB146" s="203" t="str">
        <f t="shared" si="305"/>
        <v xml:space="preserve"> </v>
      </c>
      <c r="CC146" s="174" t="str">
        <f t="shared" si="371"/>
        <v>NG</v>
      </c>
      <c r="CD146" s="162"/>
      <c r="CE146" s="172" t="s">
        <v>71</v>
      </c>
      <c r="CF146" s="160"/>
      <c r="CG146" s="162"/>
      <c r="CH146" s="203" t="str">
        <f t="shared" si="306"/>
        <v xml:space="preserve"> </v>
      </c>
      <c r="CI146" s="174" t="str">
        <f t="shared" si="372"/>
        <v>NG</v>
      </c>
      <c r="CJ146" s="162"/>
      <c r="CK146" s="172" t="s">
        <v>71</v>
      </c>
      <c r="CL146" s="160"/>
      <c r="CM146" s="162"/>
      <c r="CN146" s="203" t="str">
        <f t="shared" si="307"/>
        <v xml:space="preserve"> </v>
      </c>
      <c r="CO146" s="174" t="str">
        <f t="shared" si="373"/>
        <v>NG</v>
      </c>
      <c r="CP146" s="162"/>
      <c r="CQ146" s="172" t="s">
        <v>71</v>
      </c>
      <c r="CR146" s="160"/>
      <c r="CS146" s="162"/>
      <c r="CT146" s="203" t="str">
        <f t="shared" si="308"/>
        <v xml:space="preserve"> </v>
      </c>
      <c r="CU146" s="174" t="str">
        <f t="shared" si="374"/>
        <v>NG</v>
      </c>
      <c r="CV146" s="162"/>
      <c r="CW146" s="172" t="s">
        <v>71</v>
      </c>
      <c r="CX146" s="160"/>
      <c r="CY146" s="162"/>
      <c r="CZ146" s="203" t="str">
        <f t="shared" si="309"/>
        <v xml:space="preserve"> </v>
      </c>
      <c r="DA146" s="174" t="str">
        <f t="shared" si="375"/>
        <v>NG</v>
      </c>
      <c r="DB146" s="162"/>
      <c r="DC146" s="172" t="s">
        <v>71</v>
      </c>
      <c r="DD146" s="160"/>
      <c r="DE146" s="162"/>
      <c r="DF146" s="203" t="str">
        <f t="shared" si="310"/>
        <v xml:space="preserve"> </v>
      </c>
      <c r="DG146" s="174" t="str">
        <f t="shared" si="376"/>
        <v>NG</v>
      </c>
      <c r="DH146" s="162"/>
      <c r="DI146" s="172" t="s">
        <v>71</v>
      </c>
      <c r="DJ146" s="160"/>
      <c r="DK146" s="162"/>
      <c r="DL146" s="203" t="str">
        <f t="shared" si="311"/>
        <v xml:space="preserve"> </v>
      </c>
      <c r="DM146" s="174" t="str">
        <f t="shared" si="377"/>
        <v>NG</v>
      </c>
      <c r="DN146" s="162"/>
      <c r="DO146" s="172" t="s">
        <v>71</v>
      </c>
      <c r="DP146" s="160"/>
      <c r="DQ146" s="162"/>
      <c r="DR146" s="203" t="str">
        <f t="shared" si="312"/>
        <v xml:space="preserve"> </v>
      </c>
      <c r="DS146" s="174" t="str">
        <f t="shared" si="354"/>
        <v>NG</v>
      </c>
      <c r="DT146" s="162"/>
      <c r="DU146" s="172" t="s">
        <v>71</v>
      </c>
      <c r="DV146" s="160"/>
      <c r="DW146" s="162"/>
      <c r="DX146" s="203" t="str">
        <f t="shared" si="313"/>
        <v xml:space="preserve"> </v>
      </c>
      <c r="DY146" s="174" t="str">
        <f t="shared" si="355"/>
        <v>NG</v>
      </c>
      <c r="DZ146" s="162"/>
      <c r="EA146" s="172" t="s">
        <v>71</v>
      </c>
      <c r="EB146" s="160"/>
      <c r="EC146" s="162"/>
      <c r="ED146" s="203" t="str">
        <f t="shared" si="314"/>
        <v xml:space="preserve"> </v>
      </c>
      <c r="EE146" s="174" t="str">
        <f t="shared" si="356"/>
        <v>NG</v>
      </c>
      <c r="EF146" s="162"/>
      <c r="EG146" s="172" t="s">
        <v>71</v>
      </c>
      <c r="EH146" s="160"/>
      <c r="EI146" s="162"/>
      <c r="EJ146" s="203" t="str">
        <f t="shared" si="315"/>
        <v xml:space="preserve"> </v>
      </c>
      <c r="EK146" s="174" t="str">
        <f t="shared" si="357"/>
        <v>NG</v>
      </c>
      <c r="EL146" s="162"/>
      <c r="EM146" s="172" t="s">
        <v>71</v>
      </c>
      <c r="EN146" s="160"/>
      <c r="EO146" s="162"/>
      <c r="EP146" s="203" t="str">
        <f t="shared" si="316"/>
        <v xml:space="preserve"> </v>
      </c>
      <c r="EQ146" s="174" t="str">
        <f t="shared" si="358"/>
        <v>NG</v>
      </c>
      <c r="ER146" s="162"/>
      <c r="ES146" s="172" t="s">
        <v>71</v>
      </c>
      <c r="ET146" s="160"/>
      <c r="EU146" s="162"/>
      <c r="EV146" s="203" t="str">
        <f t="shared" si="317"/>
        <v xml:space="preserve"> </v>
      </c>
      <c r="EW146" s="174" t="str">
        <f t="shared" si="359"/>
        <v>NG</v>
      </c>
      <c r="EX146" s="162"/>
      <c r="EY146" s="172" t="s">
        <v>71</v>
      </c>
      <c r="EZ146" s="160"/>
      <c r="FA146" s="162"/>
      <c r="FB146" s="203" t="str">
        <f t="shared" si="318"/>
        <v xml:space="preserve"> </v>
      </c>
      <c r="FC146" s="174" t="str">
        <f t="shared" si="360"/>
        <v>NG</v>
      </c>
      <c r="FD146" s="162"/>
      <c r="FE146" s="172" t="s">
        <v>71</v>
      </c>
      <c r="FF146" s="160"/>
      <c r="FG146" s="162"/>
      <c r="FH146" s="203" t="str">
        <f t="shared" si="319"/>
        <v xml:space="preserve"> </v>
      </c>
      <c r="FI146" s="174" t="str">
        <f t="shared" si="361"/>
        <v>NG</v>
      </c>
      <c r="FJ146" s="162"/>
      <c r="FK146" s="172" t="s">
        <v>71</v>
      </c>
      <c r="FL146" s="160"/>
      <c r="FM146" s="162"/>
      <c r="FN146" s="203" t="str">
        <f t="shared" si="320"/>
        <v xml:space="preserve"> </v>
      </c>
      <c r="FO146" s="174" t="str">
        <f t="shared" si="378"/>
        <v>NG</v>
      </c>
      <c r="FP146" s="162"/>
      <c r="FQ146" s="172" t="s">
        <v>71</v>
      </c>
      <c r="FR146" s="160"/>
      <c r="FS146" s="162"/>
      <c r="FT146" s="203" t="str">
        <f t="shared" si="321"/>
        <v xml:space="preserve"> </v>
      </c>
      <c r="FU146" s="174" t="str">
        <f t="shared" si="379"/>
        <v>NG</v>
      </c>
      <c r="FV146" s="162"/>
      <c r="FW146" s="172" t="s">
        <v>71</v>
      </c>
      <c r="FX146" s="160"/>
      <c r="FY146" s="162"/>
      <c r="FZ146" s="203" t="str">
        <f t="shared" si="322"/>
        <v xml:space="preserve"> </v>
      </c>
      <c r="GA146" s="174" t="str">
        <f t="shared" si="380"/>
        <v>NG</v>
      </c>
      <c r="GB146" s="162"/>
      <c r="GC146" s="172" t="s">
        <v>71</v>
      </c>
    </row>
    <row r="147" spans="1:185" s="52" customFormat="1" ht="127.5">
      <c r="B147" s="216">
        <f t="shared" si="323"/>
        <v>140</v>
      </c>
      <c r="C147" s="37"/>
      <c r="D147" s="37"/>
      <c r="E147" s="37"/>
      <c r="F147" s="49" t="s">
        <v>341</v>
      </c>
      <c r="G147" s="39"/>
      <c r="H147" s="40"/>
      <c r="I147" s="42"/>
      <c r="J147" s="42" t="s">
        <v>316</v>
      </c>
      <c r="K147" s="42"/>
      <c r="L147" s="42"/>
      <c r="M147" s="163" t="s">
        <v>342</v>
      </c>
      <c r="N147" s="47"/>
      <c r="O147" s="143"/>
      <c r="P147" s="45">
        <f t="shared" si="363"/>
        <v>120</v>
      </c>
      <c r="Q147" s="46">
        <v>1</v>
      </c>
      <c r="R147" s="41" t="str">
        <f t="shared" si="381"/>
        <v>X</v>
      </c>
      <c r="S147" s="185" t="s">
        <v>236</v>
      </c>
      <c r="T147" s="43"/>
      <c r="U147" s="41" t="s">
        <v>80</v>
      </c>
      <c r="V147" s="44"/>
      <c r="W147" s="22">
        <v>3</v>
      </c>
      <c r="X147" s="47" t="s">
        <v>237</v>
      </c>
      <c r="Y147" s="47">
        <v>1</v>
      </c>
      <c r="Z147" s="47">
        <v>1</v>
      </c>
      <c r="AA147" s="42" t="s">
        <v>163</v>
      </c>
      <c r="AB147" s="42" t="s">
        <v>57</v>
      </c>
      <c r="AC147" s="217"/>
      <c r="AD147" s="160"/>
      <c r="AE147" s="162"/>
      <c r="AF147" s="203" t="str">
        <f t="shared" si="298"/>
        <v xml:space="preserve"> </v>
      </c>
      <c r="AG147" s="174" t="str">
        <f t="shared" si="364"/>
        <v>NG</v>
      </c>
      <c r="AH147" s="162"/>
      <c r="AI147" s="276" t="str">
        <f>IF(OR(AE$8="判定対象外",AH$8="判定対象外",AH147="-"),"-",IF(AE147=AH147,"OK","NG"))</f>
        <v>OK</v>
      </c>
      <c r="AJ147" s="160"/>
      <c r="AK147" s="162"/>
      <c r="AL147" s="203" t="str">
        <f t="shared" si="382"/>
        <v xml:space="preserve"> </v>
      </c>
      <c r="AM147" s="174" t="str">
        <f t="shared" si="324"/>
        <v>NG</v>
      </c>
      <c r="AN147" s="162"/>
      <c r="AO147" s="276" t="str">
        <f>IF(OR(AK$8="判定対象外",AN$8="判定対象外",AN147="-"),"-",IF(AK147=AN147,"OK","NG"))</f>
        <v>OK</v>
      </c>
      <c r="AP147" s="160"/>
      <c r="AQ147" s="162"/>
      <c r="AR147" s="203" t="str">
        <f t="shared" si="299"/>
        <v xml:space="preserve"> </v>
      </c>
      <c r="AS147" s="174" t="str">
        <f t="shared" si="365"/>
        <v>NG</v>
      </c>
      <c r="AT147" s="162"/>
      <c r="AU147" s="276" t="str">
        <f>IF(OR(AQ$8="判定対象外",AT$8="判定対象外",AT147="-"),"-",IF(AQ147=AT147,"OK","NG"))</f>
        <v>OK</v>
      </c>
      <c r="AV147" s="160"/>
      <c r="AW147" s="162"/>
      <c r="AX147" s="203" t="str">
        <f t="shared" si="300"/>
        <v xml:space="preserve"> </v>
      </c>
      <c r="AY147" s="174" t="str">
        <f t="shared" si="366"/>
        <v>NG</v>
      </c>
      <c r="AZ147" s="162"/>
      <c r="BA147" s="276" t="str">
        <f>IF(OR(AW$8="判定対象外",AZ$8="判定対象外",AZ147="-"),"-",IF(AW147=AZ147,"OK","NG"))</f>
        <v>OK</v>
      </c>
      <c r="BB147" s="160"/>
      <c r="BC147" s="162"/>
      <c r="BD147" s="203" t="str">
        <f t="shared" si="301"/>
        <v xml:space="preserve"> </v>
      </c>
      <c r="BE147" s="174" t="str">
        <f t="shared" si="367"/>
        <v>NG</v>
      </c>
      <c r="BF147" s="162"/>
      <c r="BG147" s="276" t="str">
        <f>IF(OR(BC$8="判定対象外",BF$8="判定対象外",BF147="-"),"-",IF(BC147=BF147,"OK","NG"))</f>
        <v>OK</v>
      </c>
      <c r="BH147" s="160"/>
      <c r="BI147" s="162"/>
      <c r="BJ147" s="203" t="str">
        <f t="shared" si="302"/>
        <v xml:space="preserve"> </v>
      </c>
      <c r="BK147" s="174" t="str">
        <f t="shared" si="368"/>
        <v>NG</v>
      </c>
      <c r="BL147" s="162"/>
      <c r="BM147" s="276" t="str">
        <f>IF(OR(BI$8="判定対象外",BL$8="判定対象外",BL147="-"),"-",IF(BI147=BL147,"OK","NG"))</f>
        <v>OK</v>
      </c>
      <c r="BN147" s="160"/>
      <c r="BO147" s="162"/>
      <c r="BP147" s="203" t="str">
        <f t="shared" si="303"/>
        <v xml:space="preserve"> </v>
      </c>
      <c r="BQ147" s="174" t="str">
        <f t="shared" si="369"/>
        <v>NG</v>
      </c>
      <c r="BR147" s="162"/>
      <c r="BS147" s="276" t="str">
        <f>IF(OR(BO$8="判定対象外",BR$8="判定対象外",BR147="-"),"-",IF(BO147=BR147,"OK","NG"))</f>
        <v>OK</v>
      </c>
      <c r="BT147" s="160"/>
      <c r="BU147" s="162"/>
      <c r="BV147" s="203" t="str">
        <f t="shared" si="304"/>
        <v xml:space="preserve"> </v>
      </c>
      <c r="BW147" s="174" t="str">
        <f t="shared" si="370"/>
        <v>NG</v>
      </c>
      <c r="BX147" s="162"/>
      <c r="BY147" s="276" t="str">
        <f>IF(OR(BU$8="判定対象外",BX$8="判定対象外",BX147="-"),"-",IF(BU147=BX147,"OK","NG"))</f>
        <v>OK</v>
      </c>
      <c r="BZ147" s="160"/>
      <c r="CA147" s="162"/>
      <c r="CB147" s="203" t="str">
        <f t="shared" si="305"/>
        <v xml:space="preserve"> </v>
      </c>
      <c r="CC147" s="174" t="str">
        <f t="shared" si="371"/>
        <v>NG</v>
      </c>
      <c r="CD147" s="162"/>
      <c r="CE147" s="276" t="str">
        <f>IF(OR(CA$8="判定対象外",CD$8="判定対象外",CD147="-"),"-",IF(CA147=CD147,"OK","NG"))</f>
        <v>OK</v>
      </c>
      <c r="CF147" s="160"/>
      <c r="CG147" s="162"/>
      <c r="CH147" s="203" t="str">
        <f t="shared" si="306"/>
        <v xml:space="preserve"> </v>
      </c>
      <c r="CI147" s="174" t="str">
        <f t="shared" si="372"/>
        <v>NG</v>
      </c>
      <c r="CJ147" s="162"/>
      <c r="CK147" s="276" t="str">
        <f>IF(OR(CG$8="判定対象外",CJ$8="判定対象外",CJ147="-"),"-",IF(CG147=CJ147,"OK","NG"))</f>
        <v>OK</v>
      </c>
      <c r="CL147" s="160"/>
      <c r="CM147" s="162"/>
      <c r="CN147" s="203" t="str">
        <f t="shared" si="307"/>
        <v xml:space="preserve"> </v>
      </c>
      <c r="CO147" s="174" t="str">
        <f t="shared" si="373"/>
        <v>NG</v>
      </c>
      <c r="CP147" s="162"/>
      <c r="CQ147" s="276" t="str">
        <f>IF(OR(CM$8="判定対象外",CP$8="判定対象外",CP147="-"),"-",IF(CM147=CP147,"OK","NG"))</f>
        <v>OK</v>
      </c>
      <c r="CR147" s="160"/>
      <c r="CS147" s="162"/>
      <c r="CT147" s="203" t="str">
        <f t="shared" si="308"/>
        <v xml:space="preserve"> </v>
      </c>
      <c r="CU147" s="174" t="str">
        <f t="shared" si="374"/>
        <v>NG</v>
      </c>
      <c r="CV147" s="162"/>
      <c r="CW147" s="276" t="str">
        <f>IF(OR(CS$8="判定対象外",CV$8="判定対象外",CV147="-"),"-",IF(CS147=CV147,"OK","NG"))</f>
        <v>OK</v>
      </c>
      <c r="CX147" s="160"/>
      <c r="CY147" s="162"/>
      <c r="CZ147" s="203" t="str">
        <f t="shared" si="309"/>
        <v xml:space="preserve"> </v>
      </c>
      <c r="DA147" s="174" t="str">
        <f t="shared" si="375"/>
        <v>NG</v>
      </c>
      <c r="DB147" s="162"/>
      <c r="DC147" s="276" t="str">
        <f>IF(OR(CY$8="判定対象外",DB$8="判定対象外",DB147="-"),"-",IF(CY147=DB147,"OK","NG"))</f>
        <v>OK</v>
      </c>
      <c r="DD147" s="160"/>
      <c r="DE147" s="162"/>
      <c r="DF147" s="203" t="str">
        <f t="shared" si="310"/>
        <v xml:space="preserve"> </v>
      </c>
      <c r="DG147" s="174" t="str">
        <f t="shared" si="376"/>
        <v>NG</v>
      </c>
      <c r="DH147" s="162"/>
      <c r="DI147" s="276" t="str">
        <f>IF(OR(DE$8="判定対象外",DH$8="判定対象外",DH147="-"),"-",IF(DE147=DH147,"OK","NG"))</f>
        <v>OK</v>
      </c>
      <c r="DJ147" s="160"/>
      <c r="DK147" s="162"/>
      <c r="DL147" s="203" t="str">
        <f t="shared" si="311"/>
        <v xml:space="preserve"> </v>
      </c>
      <c r="DM147" s="174" t="str">
        <f t="shared" si="377"/>
        <v>NG</v>
      </c>
      <c r="DN147" s="162"/>
      <c r="DO147" s="276" t="str">
        <f>IF(OR(DK$8="判定対象外",DN$8="判定対象外",DN147="-"),"-",IF(DK147=DN147,"OK","NG"))</f>
        <v>OK</v>
      </c>
      <c r="DP147" s="160"/>
      <c r="DQ147" s="162"/>
      <c r="DR147" s="203" t="str">
        <f t="shared" si="312"/>
        <v xml:space="preserve"> </v>
      </c>
      <c r="DS147" s="174" t="str">
        <f t="shared" si="354"/>
        <v>NG</v>
      </c>
      <c r="DT147" s="162"/>
      <c r="DU147" s="276" t="str">
        <f>IF(OR(DQ$8="判定対象外",DT$8="判定対象外",DT147="-"),"-",IF(DQ147=DT147,"OK","NG"))</f>
        <v>OK</v>
      </c>
      <c r="DV147" s="160"/>
      <c r="DW147" s="162"/>
      <c r="DX147" s="203" t="str">
        <f t="shared" si="313"/>
        <v xml:space="preserve"> </v>
      </c>
      <c r="DY147" s="174" t="str">
        <f t="shared" si="355"/>
        <v>NG</v>
      </c>
      <c r="DZ147" s="162"/>
      <c r="EA147" s="276" t="str">
        <f>IF(OR(DW$8="判定対象外",DZ$8="判定対象外",DZ147="-"),"-",IF(DW147=DZ147,"OK","NG"))</f>
        <v>OK</v>
      </c>
      <c r="EB147" s="160"/>
      <c r="EC147" s="162"/>
      <c r="ED147" s="203" t="str">
        <f t="shared" si="314"/>
        <v xml:space="preserve"> </v>
      </c>
      <c r="EE147" s="174" t="str">
        <f t="shared" si="356"/>
        <v>NG</v>
      </c>
      <c r="EF147" s="162"/>
      <c r="EG147" s="276" t="str">
        <f>IF(OR(EC$8="判定対象外",EF$8="判定対象外",EF147="-"),"-",IF(EC147=EF147,"OK","NG"))</f>
        <v>OK</v>
      </c>
      <c r="EH147" s="160"/>
      <c r="EI147" s="162"/>
      <c r="EJ147" s="203" t="str">
        <f t="shared" si="315"/>
        <v xml:space="preserve"> </v>
      </c>
      <c r="EK147" s="174" t="str">
        <f t="shared" si="357"/>
        <v>NG</v>
      </c>
      <c r="EL147" s="162"/>
      <c r="EM147" s="276" t="str">
        <f>IF(OR(EI$8="判定対象外",EL$8="判定対象外",EL147="-"),"-",IF(EI147=EL147,"OK","NG"))</f>
        <v>OK</v>
      </c>
      <c r="EN147" s="160"/>
      <c r="EO147" s="162"/>
      <c r="EP147" s="203" t="str">
        <f t="shared" si="316"/>
        <v xml:space="preserve"> </v>
      </c>
      <c r="EQ147" s="174" t="str">
        <f t="shared" si="358"/>
        <v>NG</v>
      </c>
      <c r="ER147" s="162"/>
      <c r="ES147" s="276" t="str">
        <f>IF(OR(EO$8="判定対象外",ER$8="判定対象外",ER147="-"),"-",IF(EO147=ER147,"OK","NG"))</f>
        <v>OK</v>
      </c>
      <c r="ET147" s="160"/>
      <c r="EU147" s="162"/>
      <c r="EV147" s="203" t="str">
        <f t="shared" si="317"/>
        <v xml:space="preserve"> </v>
      </c>
      <c r="EW147" s="174" t="str">
        <f t="shared" si="359"/>
        <v>NG</v>
      </c>
      <c r="EX147" s="162"/>
      <c r="EY147" s="276" t="str">
        <f>IF(OR(EU$8="判定対象外",EX$8="判定対象外",EX147="-"),"-",IF(EU147=EX147,"OK","NG"))</f>
        <v>OK</v>
      </c>
      <c r="EZ147" s="160"/>
      <c r="FA147" s="162"/>
      <c r="FB147" s="203" t="str">
        <f t="shared" si="318"/>
        <v xml:space="preserve"> </v>
      </c>
      <c r="FC147" s="174" t="str">
        <f t="shared" si="360"/>
        <v>NG</v>
      </c>
      <c r="FD147" s="162"/>
      <c r="FE147" s="276" t="str">
        <f>IF(OR(FA$8="判定対象外",FD$8="判定対象外",FD147="-"),"-",IF(FA147=FD147,"OK","NG"))</f>
        <v>OK</v>
      </c>
      <c r="FF147" s="160"/>
      <c r="FG147" s="162"/>
      <c r="FH147" s="203" t="str">
        <f t="shared" si="319"/>
        <v xml:space="preserve"> </v>
      </c>
      <c r="FI147" s="174" t="str">
        <f t="shared" si="361"/>
        <v>NG</v>
      </c>
      <c r="FJ147" s="162"/>
      <c r="FK147" s="276" t="str">
        <f>IF(OR(FG$8="判定対象外",FJ$8="判定対象外",FJ147="-"),"-",IF(FG147=FJ147,"OK","NG"))</f>
        <v>OK</v>
      </c>
      <c r="FL147" s="160"/>
      <c r="FM147" s="162"/>
      <c r="FN147" s="203" t="str">
        <f t="shared" si="320"/>
        <v xml:space="preserve"> </v>
      </c>
      <c r="FO147" s="174" t="str">
        <f t="shared" si="378"/>
        <v>NG</v>
      </c>
      <c r="FP147" s="162"/>
      <c r="FQ147" s="276" t="str">
        <f>IF(OR(FM$8="判定対象外",FP$8="判定対象外",FP147="-"),"-",IF(FM147=FP147,"OK","NG"))</f>
        <v>OK</v>
      </c>
      <c r="FR147" s="160"/>
      <c r="FS147" s="162"/>
      <c r="FT147" s="203" t="str">
        <f t="shared" si="321"/>
        <v xml:space="preserve"> </v>
      </c>
      <c r="FU147" s="174" t="str">
        <f t="shared" si="379"/>
        <v>NG</v>
      </c>
      <c r="FV147" s="162"/>
      <c r="FW147" s="276" t="str">
        <f>IF(OR(FS$8="判定対象外",FV$8="判定対象外",FV147="-"),"-",IF(FS147=FV147,"OK","NG"))</f>
        <v>OK</v>
      </c>
      <c r="FX147" s="160"/>
      <c r="FY147" s="162"/>
      <c r="FZ147" s="203" t="str">
        <f t="shared" si="322"/>
        <v xml:space="preserve"> </v>
      </c>
      <c r="GA147" s="174" t="str">
        <f t="shared" si="380"/>
        <v>NG</v>
      </c>
      <c r="GB147" s="162"/>
      <c r="GC147" s="276" t="str">
        <f>IF(OR(FY$8="判定対象外",GB$8="判定対象外",GB147="-"),"-",IF(FY147=GB147,"OK","NG"))</f>
        <v>OK</v>
      </c>
    </row>
    <row r="148" spans="1:185" s="52" customFormat="1" ht="319.5" customHeight="1">
      <c r="B148" s="216">
        <f t="shared" si="323"/>
        <v>141</v>
      </c>
      <c r="C148" s="37"/>
      <c r="D148" s="37"/>
      <c r="E148" s="25"/>
      <c r="F148" s="218" t="s">
        <v>288</v>
      </c>
      <c r="G148" s="27"/>
      <c r="H148" s="28"/>
      <c r="I148" s="42"/>
      <c r="J148" s="42" t="s">
        <v>316</v>
      </c>
      <c r="K148" s="42"/>
      <c r="L148" s="42"/>
      <c r="M148" s="161" t="s">
        <v>343</v>
      </c>
      <c r="N148" s="39"/>
      <c r="O148" s="143"/>
      <c r="P148" s="45">
        <f t="shared" si="363"/>
        <v>121</v>
      </c>
      <c r="Q148" s="46">
        <v>2</v>
      </c>
      <c r="R148" s="41" t="str">
        <f t="shared" si="381"/>
        <v>X</v>
      </c>
      <c r="S148" s="185" t="s">
        <v>238</v>
      </c>
      <c r="T148" s="43"/>
      <c r="U148" s="41" t="s">
        <v>80</v>
      </c>
      <c r="V148" s="44"/>
      <c r="W148" s="22">
        <v>3</v>
      </c>
      <c r="X148" s="47" t="s">
        <v>239</v>
      </c>
      <c r="Y148" s="47">
        <v>2</v>
      </c>
      <c r="Z148" s="47">
        <v>2</v>
      </c>
      <c r="AA148" s="42" t="s">
        <v>81</v>
      </c>
      <c r="AB148" s="42" t="s">
        <v>80</v>
      </c>
      <c r="AC148" s="164"/>
      <c r="AD148" s="160"/>
      <c r="AE148" s="162"/>
      <c r="AF148" s="167" t="str">
        <f t="shared" si="298"/>
        <v xml:space="preserve">  </v>
      </c>
      <c r="AG148" s="174" t="str">
        <f t="shared" si="364"/>
        <v>NG</v>
      </c>
      <c r="AH148" s="162"/>
      <c r="AI148" s="276" t="str">
        <f>IF(OR(AE$8="判定対象外",AH$8="判定対象外",AH148="-"),"-",IF(AE148=AH148,"OK","NG"))</f>
        <v>OK</v>
      </c>
      <c r="AJ148" s="160"/>
      <c r="AK148" s="162"/>
      <c r="AL148" s="167" t="str">
        <f t="shared" si="382"/>
        <v xml:space="preserve">  </v>
      </c>
      <c r="AM148" s="174" t="str">
        <f t="shared" si="324"/>
        <v>NG</v>
      </c>
      <c r="AN148" s="162"/>
      <c r="AO148" s="276" t="str">
        <f>IF(OR(AK$8="判定対象外",AN$8="判定対象外",AN148="-"),"-",IF(AK148=AN148,"OK","NG"))</f>
        <v>OK</v>
      </c>
      <c r="AP148" s="160"/>
      <c r="AQ148" s="162"/>
      <c r="AR148" s="167" t="str">
        <f t="shared" si="299"/>
        <v xml:space="preserve">  </v>
      </c>
      <c r="AS148" s="174" t="str">
        <f t="shared" si="365"/>
        <v>NG</v>
      </c>
      <c r="AT148" s="162"/>
      <c r="AU148" s="276" t="str">
        <f>IF(OR(AQ$8="判定対象外",AT$8="判定対象外",AT148="-"),"-",IF(AQ148=AT148,"OK","NG"))</f>
        <v>OK</v>
      </c>
      <c r="AV148" s="160"/>
      <c r="AW148" s="162"/>
      <c r="AX148" s="167" t="str">
        <f t="shared" si="300"/>
        <v xml:space="preserve">  </v>
      </c>
      <c r="AY148" s="174" t="str">
        <f t="shared" si="366"/>
        <v>NG</v>
      </c>
      <c r="AZ148" s="162"/>
      <c r="BA148" s="276" t="str">
        <f>IF(OR(AW$8="判定対象外",AZ$8="判定対象外",AZ148="-"),"-",IF(AW148=AZ148,"OK","NG"))</f>
        <v>OK</v>
      </c>
      <c r="BB148" s="160"/>
      <c r="BC148" s="162"/>
      <c r="BD148" s="167" t="str">
        <f t="shared" si="301"/>
        <v xml:space="preserve">  </v>
      </c>
      <c r="BE148" s="174" t="str">
        <f t="shared" si="367"/>
        <v>NG</v>
      </c>
      <c r="BF148" s="162"/>
      <c r="BG148" s="276" t="str">
        <f>IF(OR(BC$8="判定対象外",BF$8="判定対象外",BF148="-"),"-",IF(BC148=BF148,"OK","NG"))</f>
        <v>OK</v>
      </c>
      <c r="BH148" s="160"/>
      <c r="BI148" s="162"/>
      <c r="BJ148" s="167" t="str">
        <f t="shared" si="302"/>
        <v xml:space="preserve">  </v>
      </c>
      <c r="BK148" s="174" t="str">
        <f t="shared" si="368"/>
        <v>NG</v>
      </c>
      <c r="BL148" s="162"/>
      <c r="BM148" s="276" t="str">
        <f>IF(OR(BI$8="判定対象外",BL$8="判定対象外",BL148="-"),"-",IF(BI148=BL148,"OK","NG"))</f>
        <v>OK</v>
      </c>
      <c r="BN148" s="160"/>
      <c r="BO148" s="162"/>
      <c r="BP148" s="167" t="str">
        <f t="shared" si="303"/>
        <v xml:space="preserve">  </v>
      </c>
      <c r="BQ148" s="174" t="str">
        <f t="shared" si="369"/>
        <v>NG</v>
      </c>
      <c r="BR148" s="162"/>
      <c r="BS148" s="276" t="str">
        <f>IF(OR(BO$8="判定対象外",BR$8="判定対象外",BR148="-"),"-",IF(BO148=BR148,"OK","NG"))</f>
        <v>OK</v>
      </c>
      <c r="BT148" s="160"/>
      <c r="BU148" s="162"/>
      <c r="BV148" s="167" t="str">
        <f t="shared" si="304"/>
        <v xml:space="preserve">  </v>
      </c>
      <c r="BW148" s="174" t="str">
        <f t="shared" si="370"/>
        <v>NG</v>
      </c>
      <c r="BX148" s="162"/>
      <c r="BY148" s="276" t="str">
        <f>IF(OR(BU$8="判定対象外",BX$8="判定対象外",BX148="-"),"-",IF(BU148=BX148,"OK","NG"))</f>
        <v>OK</v>
      </c>
      <c r="BZ148" s="160"/>
      <c r="CA148" s="162"/>
      <c r="CB148" s="167" t="str">
        <f t="shared" si="305"/>
        <v xml:space="preserve">  </v>
      </c>
      <c r="CC148" s="174" t="str">
        <f t="shared" si="371"/>
        <v>NG</v>
      </c>
      <c r="CD148" s="162"/>
      <c r="CE148" s="276" t="str">
        <f>IF(OR(CA$8="判定対象外",CD$8="判定対象外",CD148="-"),"-",IF(CA148=CD148,"OK","NG"))</f>
        <v>OK</v>
      </c>
      <c r="CF148" s="160"/>
      <c r="CG148" s="162"/>
      <c r="CH148" s="167" t="str">
        <f t="shared" si="306"/>
        <v xml:space="preserve">  </v>
      </c>
      <c r="CI148" s="174" t="str">
        <f t="shared" si="372"/>
        <v>NG</v>
      </c>
      <c r="CJ148" s="162"/>
      <c r="CK148" s="276" t="str">
        <f>IF(OR(CG$8="判定対象外",CJ$8="判定対象外",CJ148="-"),"-",IF(CG148=CJ148,"OK","NG"))</f>
        <v>OK</v>
      </c>
      <c r="CL148" s="160"/>
      <c r="CM148" s="162"/>
      <c r="CN148" s="167" t="str">
        <f t="shared" si="307"/>
        <v xml:space="preserve">  </v>
      </c>
      <c r="CO148" s="174" t="str">
        <f t="shared" si="373"/>
        <v>NG</v>
      </c>
      <c r="CP148" s="162"/>
      <c r="CQ148" s="276" t="str">
        <f>IF(OR(CM$8="判定対象外",CP$8="判定対象外",CP148="-"),"-",IF(CM148=CP148,"OK","NG"))</f>
        <v>OK</v>
      </c>
      <c r="CR148" s="160"/>
      <c r="CS148" s="162"/>
      <c r="CT148" s="167" t="str">
        <f t="shared" si="308"/>
        <v xml:space="preserve">  </v>
      </c>
      <c r="CU148" s="174" t="str">
        <f t="shared" si="374"/>
        <v>NG</v>
      </c>
      <c r="CV148" s="162"/>
      <c r="CW148" s="276" t="str">
        <f>IF(OR(CS$8="判定対象外",CV$8="判定対象外",CV148="-"),"-",IF(CS148=CV148,"OK","NG"))</f>
        <v>OK</v>
      </c>
      <c r="CX148" s="160"/>
      <c r="CY148" s="162"/>
      <c r="CZ148" s="167" t="str">
        <f t="shared" si="309"/>
        <v xml:space="preserve">  </v>
      </c>
      <c r="DA148" s="174" t="str">
        <f t="shared" si="375"/>
        <v>NG</v>
      </c>
      <c r="DB148" s="162"/>
      <c r="DC148" s="276" t="str">
        <f>IF(OR(CY$8="判定対象外",DB$8="判定対象外",DB148="-"),"-",IF(CY148=DB148,"OK","NG"))</f>
        <v>OK</v>
      </c>
      <c r="DD148" s="160"/>
      <c r="DE148" s="162"/>
      <c r="DF148" s="167" t="str">
        <f t="shared" si="310"/>
        <v xml:space="preserve">  </v>
      </c>
      <c r="DG148" s="174" t="str">
        <f t="shared" si="376"/>
        <v>NG</v>
      </c>
      <c r="DH148" s="162"/>
      <c r="DI148" s="276" t="str">
        <f>IF(OR(DE$8="判定対象外",DH$8="判定対象外",DH148="-"),"-",IF(DE148=DH148,"OK","NG"))</f>
        <v>OK</v>
      </c>
      <c r="DJ148" s="160"/>
      <c r="DK148" s="162"/>
      <c r="DL148" s="167" t="str">
        <f t="shared" si="311"/>
        <v xml:space="preserve">  </v>
      </c>
      <c r="DM148" s="174" t="str">
        <f t="shared" si="377"/>
        <v>NG</v>
      </c>
      <c r="DN148" s="162"/>
      <c r="DO148" s="276" t="str">
        <f>IF(OR(DK$8="判定対象外",DN$8="判定対象外",DN148="-"),"-",IF(DK148=DN148,"OK","NG"))</f>
        <v>OK</v>
      </c>
      <c r="DP148" s="160"/>
      <c r="DQ148" s="162"/>
      <c r="DR148" s="167" t="str">
        <f t="shared" si="312"/>
        <v xml:space="preserve">  </v>
      </c>
      <c r="DS148" s="174" t="str">
        <f t="shared" si="354"/>
        <v>NG</v>
      </c>
      <c r="DT148" s="162"/>
      <c r="DU148" s="276" t="str">
        <f>IF(OR(DQ$8="判定対象外",DT$8="判定対象外",DT148="-"),"-",IF(DQ148=DT148,"OK","NG"))</f>
        <v>OK</v>
      </c>
      <c r="DV148" s="160"/>
      <c r="DW148" s="162"/>
      <c r="DX148" s="167" t="str">
        <f t="shared" si="313"/>
        <v xml:space="preserve">  </v>
      </c>
      <c r="DY148" s="174" t="str">
        <f t="shared" si="355"/>
        <v>NG</v>
      </c>
      <c r="DZ148" s="162"/>
      <c r="EA148" s="276" t="str">
        <f>IF(OR(DW$8="判定対象外",DZ$8="判定対象外",DZ148="-"),"-",IF(DW148=DZ148,"OK","NG"))</f>
        <v>OK</v>
      </c>
      <c r="EB148" s="160"/>
      <c r="EC148" s="162"/>
      <c r="ED148" s="167" t="str">
        <f t="shared" si="314"/>
        <v xml:space="preserve">  </v>
      </c>
      <c r="EE148" s="174" t="str">
        <f t="shared" si="356"/>
        <v>NG</v>
      </c>
      <c r="EF148" s="162"/>
      <c r="EG148" s="276" t="str">
        <f>IF(OR(EC$8="判定対象外",EF$8="判定対象外",EF148="-"),"-",IF(EC148=EF148,"OK","NG"))</f>
        <v>OK</v>
      </c>
      <c r="EH148" s="160"/>
      <c r="EI148" s="162"/>
      <c r="EJ148" s="167" t="str">
        <f t="shared" si="315"/>
        <v xml:space="preserve">  </v>
      </c>
      <c r="EK148" s="174" t="str">
        <f t="shared" si="357"/>
        <v>NG</v>
      </c>
      <c r="EL148" s="162"/>
      <c r="EM148" s="276" t="str">
        <f>IF(OR(EI$8="判定対象外",EL$8="判定対象外",EL148="-"),"-",IF(EI148=EL148,"OK","NG"))</f>
        <v>OK</v>
      </c>
      <c r="EN148" s="160"/>
      <c r="EO148" s="162"/>
      <c r="EP148" s="167" t="str">
        <f t="shared" si="316"/>
        <v xml:space="preserve">  </v>
      </c>
      <c r="EQ148" s="174" t="str">
        <f t="shared" si="358"/>
        <v>NG</v>
      </c>
      <c r="ER148" s="162"/>
      <c r="ES148" s="276" t="str">
        <f>IF(OR(EO$8="判定対象外",ER$8="判定対象外",ER148="-"),"-",IF(EO148=ER148,"OK","NG"))</f>
        <v>OK</v>
      </c>
      <c r="ET148" s="160"/>
      <c r="EU148" s="162"/>
      <c r="EV148" s="167" t="str">
        <f t="shared" si="317"/>
        <v xml:space="preserve">  </v>
      </c>
      <c r="EW148" s="174" t="str">
        <f t="shared" si="359"/>
        <v>NG</v>
      </c>
      <c r="EX148" s="162"/>
      <c r="EY148" s="276" t="str">
        <f>IF(OR(EU$8="判定対象外",EX$8="判定対象外",EX148="-"),"-",IF(EU148=EX148,"OK","NG"))</f>
        <v>OK</v>
      </c>
      <c r="EZ148" s="160"/>
      <c r="FA148" s="162"/>
      <c r="FB148" s="167" t="str">
        <f t="shared" si="318"/>
        <v xml:space="preserve">  </v>
      </c>
      <c r="FC148" s="174" t="str">
        <f t="shared" si="360"/>
        <v>NG</v>
      </c>
      <c r="FD148" s="162"/>
      <c r="FE148" s="276" t="str">
        <f>IF(OR(FA$8="判定対象外",FD$8="判定対象外",FD148="-"),"-",IF(FA148=FD148,"OK","NG"))</f>
        <v>OK</v>
      </c>
      <c r="FF148" s="160"/>
      <c r="FG148" s="162"/>
      <c r="FH148" s="167" t="str">
        <f t="shared" si="319"/>
        <v xml:space="preserve">  </v>
      </c>
      <c r="FI148" s="174" t="str">
        <f t="shared" si="361"/>
        <v>NG</v>
      </c>
      <c r="FJ148" s="162"/>
      <c r="FK148" s="276" t="str">
        <f>IF(OR(FG$8="判定対象外",FJ$8="判定対象外",FJ148="-"),"-",IF(FG148=FJ148,"OK","NG"))</f>
        <v>OK</v>
      </c>
      <c r="FL148" s="160"/>
      <c r="FM148" s="162"/>
      <c r="FN148" s="167" t="str">
        <f t="shared" si="320"/>
        <v xml:space="preserve">  </v>
      </c>
      <c r="FO148" s="174" t="str">
        <f t="shared" si="378"/>
        <v>NG</v>
      </c>
      <c r="FP148" s="162"/>
      <c r="FQ148" s="276" t="str">
        <f>IF(OR(FM$8="判定対象外",FP$8="判定対象外",FP148="-"),"-",IF(FM148=FP148,"OK","NG"))</f>
        <v>OK</v>
      </c>
      <c r="FR148" s="160"/>
      <c r="FS148" s="162"/>
      <c r="FT148" s="167" t="str">
        <f t="shared" si="321"/>
        <v xml:space="preserve">  </v>
      </c>
      <c r="FU148" s="174" t="str">
        <f t="shared" si="379"/>
        <v>NG</v>
      </c>
      <c r="FV148" s="162"/>
      <c r="FW148" s="276" t="str">
        <f>IF(OR(FS$8="判定対象外",FV$8="判定対象外",FV148="-"),"-",IF(FS148=FV148,"OK","NG"))</f>
        <v>OK</v>
      </c>
      <c r="FX148" s="160"/>
      <c r="FY148" s="162"/>
      <c r="FZ148" s="167" t="str">
        <f t="shared" si="322"/>
        <v xml:space="preserve">  </v>
      </c>
      <c r="GA148" s="174" t="str">
        <f t="shared" si="380"/>
        <v>NG</v>
      </c>
      <c r="GB148" s="162"/>
      <c r="GC148" s="276" t="str">
        <f>IF(OR(FY$8="判定対象外",GB$8="判定対象外",GB148="-"),"-",IF(FY148=GB148,"OK","NG"))</f>
        <v>OK</v>
      </c>
    </row>
    <row r="149" spans="1:185" s="52" customFormat="1" ht="25.5">
      <c r="B149" s="216">
        <f t="shared" si="323"/>
        <v>142</v>
      </c>
      <c r="C149" s="37"/>
      <c r="D149" s="37"/>
      <c r="E149" s="25"/>
      <c r="F149" s="184" t="s">
        <v>344</v>
      </c>
      <c r="G149" s="27"/>
      <c r="H149" s="28"/>
      <c r="I149" s="42"/>
      <c r="J149" s="42"/>
      <c r="K149" s="42"/>
      <c r="L149" s="42"/>
      <c r="M149" s="63" t="s">
        <v>345</v>
      </c>
      <c r="N149" s="39"/>
      <c r="O149" s="143"/>
      <c r="P149" s="45">
        <f t="shared" si="363"/>
        <v>122</v>
      </c>
      <c r="Q149" s="46">
        <v>7</v>
      </c>
      <c r="R149" s="41" t="str">
        <f t="shared" si="381"/>
        <v>X</v>
      </c>
      <c r="S149" s="185" t="s">
        <v>240</v>
      </c>
      <c r="T149" s="43"/>
      <c r="U149" s="41" t="s">
        <v>80</v>
      </c>
      <c r="V149" s="44"/>
      <c r="W149" s="22">
        <v>3</v>
      </c>
      <c r="X149" s="47" t="s">
        <v>241</v>
      </c>
      <c r="Y149" s="47">
        <v>7</v>
      </c>
      <c r="Z149" s="47">
        <v>7</v>
      </c>
      <c r="AA149" s="42" t="s">
        <v>81</v>
      </c>
      <c r="AB149" s="42" t="s">
        <v>80</v>
      </c>
      <c r="AC149" s="219"/>
      <c r="AD149" s="160"/>
      <c r="AE149" s="141"/>
      <c r="AF149" s="203" t="str">
        <f t="shared" ref="AF149:AF212" si="383">IF(AH149="-","-",AH149&amp;REPT(IF($R149="N","　",IF($R149="9","0"," ")),$Z149-LENB(AH149)))</f>
        <v xml:space="preserve">       </v>
      </c>
      <c r="AG149" s="174" t="str">
        <f t="shared" si="364"/>
        <v>NG</v>
      </c>
      <c r="AH149" s="141"/>
      <c r="AI149" s="172" t="s">
        <v>71</v>
      </c>
      <c r="AJ149" s="160"/>
      <c r="AK149" s="141"/>
      <c r="AL149" s="203" t="str">
        <f t="shared" si="382"/>
        <v xml:space="preserve">       </v>
      </c>
      <c r="AM149" s="174" t="str">
        <f t="shared" si="324"/>
        <v>NG</v>
      </c>
      <c r="AN149" s="141"/>
      <c r="AO149" s="172" t="s">
        <v>71</v>
      </c>
      <c r="AP149" s="160"/>
      <c r="AQ149" s="141"/>
      <c r="AR149" s="203" t="str">
        <f t="shared" ref="AR149:AR212" si="384">IF(AT149="-","-",AT149&amp;REPT(IF($R149="N","　",IF($R149="9","0"," ")),$Z149-LENB(AT149)))</f>
        <v xml:space="preserve">       </v>
      </c>
      <c r="AS149" s="174" t="str">
        <f t="shared" si="365"/>
        <v>NG</v>
      </c>
      <c r="AT149" s="141"/>
      <c r="AU149" s="172" t="s">
        <v>71</v>
      </c>
      <c r="AV149" s="160"/>
      <c r="AW149" s="141"/>
      <c r="AX149" s="203" t="str">
        <f t="shared" ref="AX149:AX212" si="385">IF(AZ149="-","-",AZ149&amp;REPT(IF($R149="N","　",IF($R149="9","0"," ")),$Z149-LENB(AZ149)))</f>
        <v xml:space="preserve">       </v>
      </c>
      <c r="AY149" s="174" t="str">
        <f t="shared" si="366"/>
        <v>NG</v>
      </c>
      <c r="AZ149" s="141"/>
      <c r="BA149" s="172" t="s">
        <v>71</v>
      </c>
      <c r="BB149" s="160"/>
      <c r="BC149" s="141"/>
      <c r="BD149" s="203" t="str">
        <f t="shared" ref="BD149:BD212" si="386">IF(BF149="-","-",BF149&amp;REPT(IF($R149="N","　",IF($R149="9","0"," ")),$Z149-LENB(BF149)))</f>
        <v xml:space="preserve">       </v>
      </c>
      <c r="BE149" s="174" t="str">
        <f t="shared" si="367"/>
        <v>NG</v>
      </c>
      <c r="BF149" s="141"/>
      <c r="BG149" s="172" t="s">
        <v>71</v>
      </c>
      <c r="BH149" s="160"/>
      <c r="BI149" s="141"/>
      <c r="BJ149" s="203" t="str">
        <f t="shared" ref="BJ149:BJ212" si="387">IF(BL149="-","-",BL149&amp;REPT(IF($R149="N","　",IF($R149="9","0"," ")),$Z149-LENB(BL149)))</f>
        <v xml:space="preserve">       </v>
      </c>
      <c r="BK149" s="174" t="str">
        <f t="shared" si="368"/>
        <v>NG</v>
      </c>
      <c r="BL149" s="141"/>
      <c r="BM149" s="172" t="s">
        <v>71</v>
      </c>
      <c r="BN149" s="160"/>
      <c r="BO149" s="141"/>
      <c r="BP149" s="203" t="str">
        <f t="shared" ref="BP149:BP212" si="388">IF(BR149="-","-",BR149&amp;REPT(IF($R149="N","　",IF($R149="9","0"," ")),$Z149-LENB(BR149)))</f>
        <v xml:space="preserve">       </v>
      </c>
      <c r="BQ149" s="174" t="str">
        <f t="shared" si="369"/>
        <v>NG</v>
      </c>
      <c r="BR149" s="141"/>
      <c r="BS149" s="172" t="s">
        <v>71</v>
      </c>
      <c r="BT149" s="160"/>
      <c r="BU149" s="141"/>
      <c r="BV149" s="203" t="str">
        <f t="shared" ref="BV149:BV212" si="389">IF(BX149="-","-",BX149&amp;REPT(IF($R149="N","　",IF($R149="9","0"," ")),$Z149-LENB(BX149)))</f>
        <v xml:space="preserve">       </v>
      </c>
      <c r="BW149" s="174" t="str">
        <f t="shared" si="370"/>
        <v>NG</v>
      </c>
      <c r="BX149" s="141"/>
      <c r="BY149" s="172" t="s">
        <v>71</v>
      </c>
      <c r="BZ149" s="160"/>
      <c r="CA149" s="141"/>
      <c r="CB149" s="203" t="str">
        <f t="shared" ref="CB149:CB212" si="390">IF(CD149="-","-",CD149&amp;REPT(IF($R149="N","　",IF($R149="9","0"," ")),$Z149-LENB(CD149)))</f>
        <v xml:space="preserve">       </v>
      </c>
      <c r="CC149" s="174" t="str">
        <f t="shared" si="371"/>
        <v>NG</v>
      </c>
      <c r="CD149" s="141"/>
      <c r="CE149" s="172" t="s">
        <v>71</v>
      </c>
      <c r="CF149" s="160"/>
      <c r="CG149" s="141"/>
      <c r="CH149" s="203" t="str">
        <f t="shared" ref="CH149:CH212" si="391">IF(CJ149="-","-",CJ149&amp;REPT(IF($R149="N","　",IF($R149="9","0"," ")),$Z149-LENB(CJ149)))</f>
        <v xml:space="preserve">       </v>
      </c>
      <c r="CI149" s="174" t="str">
        <f t="shared" si="372"/>
        <v>NG</v>
      </c>
      <c r="CJ149" s="141"/>
      <c r="CK149" s="172" t="s">
        <v>71</v>
      </c>
      <c r="CL149" s="160"/>
      <c r="CM149" s="141"/>
      <c r="CN149" s="203" t="str">
        <f t="shared" ref="CN149:CN212" si="392">IF(CP149="-","-",CP149&amp;REPT(IF($R149="N","　",IF($R149="9","0"," ")),$Z149-LENB(CP149)))</f>
        <v xml:space="preserve">       </v>
      </c>
      <c r="CO149" s="174" t="str">
        <f t="shared" si="373"/>
        <v>NG</v>
      </c>
      <c r="CP149" s="141"/>
      <c r="CQ149" s="172" t="s">
        <v>71</v>
      </c>
      <c r="CR149" s="160"/>
      <c r="CS149" s="141"/>
      <c r="CT149" s="203" t="str">
        <f t="shared" ref="CT149:CT212" si="393">IF(CV149="-","-",CV149&amp;REPT(IF($R149="N","　",IF($R149="9","0"," ")),$Z149-LENB(CV149)))</f>
        <v xml:space="preserve">       </v>
      </c>
      <c r="CU149" s="174" t="str">
        <f t="shared" si="374"/>
        <v>NG</v>
      </c>
      <c r="CV149" s="141"/>
      <c r="CW149" s="172" t="s">
        <v>71</v>
      </c>
      <c r="CX149" s="160"/>
      <c r="CY149" s="141"/>
      <c r="CZ149" s="203" t="str">
        <f t="shared" ref="CZ149:CZ212" si="394">IF(DB149="-","-",DB149&amp;REPT(IF($R149="N","　",IF($R149="9","0"," ")),$Z149-LENB(DB149)))</f>
        <v xml:space="preserve">       </v>
      </c>
      <c r="DA149" s="174" t="str">
        <f t="shared" si="375"/>
        <v>NG</v>
      </c>
      <c r="DB149" s="141"/>
      <c r="DC149" s="172" t="s">
        <v>71</v>
      </c>
      <c r="DD149" s="160"/>
      <c r="DE149" s="141"/>
      <c r="DF149" s="203" t="str">
        <f t="shared" ref="DF149:DF212" si="395">IF(DH149="-","-",DH149&amp;REPT(IF($R149="N","　",IF($R149="9","0"," ")),$Z149-LENB(DH149)))</f>
        <v xml:space="preserve">       </v>
      </c>
      <c r="DG149" s="174" t="str">
        <f t="shared" si="376"/>
        <v>NG</v>
      </c>
      <c r="DH149" s="141"/>
      <c r="DI149" s="172" t="s">
        <v>71</v>
      </c>
      <c r="DJ149" s="160"/>
      <c r="DK149" s="141"/>
      <c r="DL149" s="203" t="str">
        <f t="shared" ref="DL149:DL212" si="396">IF(DN149="-","-",DN149&amp;REPT(IF($R149="N","　",IF($R149="9","0"," ")),$Z149-LENB(DN149)))</f>
        <v xml:space="preserve">       </v>
      </c>
      <c r="DM149" s="174" t="str">
        <f t="shared" si="377"/>
        <v>NG</v>
      </c>
      <c r="DN149" s="141"/>
      <c r="DO149" s="172" t="s">
        <v>71</v>
      </c>
      <c r="DP149" s="160"/>
      <c r="DQ149" s="141"/>
      <c r="DR149" s="203" t="str">
        <f t="shared" ref="DR149:DR212" si="397">IF(DT149="-","-",DT149&amp;REPT(IF($R149="N","　",IF($R149="9","0"," ")),$Z149-LENB(DT149)))</f>
        <v xml:space="preserve">       </v>
      </c>
      <c r="DS149" s="174" t="str">
        <f t="shared" si="354"/>
        <v>NG</v>
      </c>
      <c r="DT149" s="141"/>
      <c r="DU149" s="172" t="s">
        <v>71</v>
      </c>
      <c r="DV149" s="160"/>
      <c r="DW149" s="141"/>
      <c r="DX149" s="203" t="str">
        <f t="shared" ref="DX149:DX212" si="398">IF(DZ149="-","-",DZ149&amp;REPT(IF($R149="N","　",IF($R149="9","0"," ")),$Z149-LENB(DZ149)))</f>
        <v xml:space="preserve">       </v>
      </c>
      <c r="DY149" s="174" t="str">
        <f t="shared" si="355"/>
        <v>NG</v>
      </c>
      <c r="DZ149" s="141"/>
      <c r="EA149" s="172" t="s">
        <v>71</v>
      </c>
      <c r="EB149" s="160"/>
      <c r="EC149" s="141"/>
      <c r="ED149" s="203" t="str">
        <f t="shared" ref="ED149:ED212" si="399">IF(EF149="-","-",EF149&amp;REPT(IF($R149="N","　",IF($R149="9","0"," ")),$Z149-LENB(EF149)))</f>
        <v xml:space="preserve">       </v>
      </c>
      <c r="EE149" s="174" t="str">
        <f t="shared" si="356"/>
        <v>NG</v>
      </c>
      <c r="EF149" s="141"/>
      <c r="EG149" s="172" t="s">
        <v>71</v>
      </c>
      <c r="EH149" s="160"/>
      <c r="EI149" s="141"/>
      <c r="EJ149" s="203" t="str">
        <f t="shared" ref="EJ149:EJ212" si="400">IF(EL149="-","-",EL149&amp;REPT(IF($R149="N","　",IF($R149="9","0"," ")),$Z149-LENB(EL149)))</f>
        <v xml:space="preserve">       </v>
      </c>
      <c r="EK149" s="174" t="str">
        <f t="shared" si="357"/>
        <v>NG</v>
      </c>
      <c r="EL149" s="141"/>
      <c r="EM149" s="172" t="s">
        <v>71</v>
      </c>
      <c r="EN149" s="160"/>
      <c r="EO149" s="141"/>
      <c r="EP149" s="203" t="str">
        <f t="shared" ref="EP149:EP212" si="401">IF(ER149="-","-",ER149&amp;REPT(IF($R149="N","　",IF($R149="9","0"," ")),$Z149-LENB(ER149)))</f>
        <v xml:space="preserve">       </v>
      </c>
      <c r="EQ149" s="174" t="str">
        <f t="shared" si="358"/>
        <v>NG</v>
      </c>
      <c r="ER149" s="141"/>
      <c r="ES149" s="172" t="s">
        <v>71</v>
      </c>
      <c r="ET149" s="160"/>
      <c r="EU149" s="141"/>
      <c r="EV149" s="203" t="str">
        <f t="shared" ref="EV149:EV212" si="402">IF(EX149="-","-",EX149&amp;REPT(IF($R149="N","　",IF($R149="9","0"," ")),$Z149-LENB(EX149)))</f>
        <v xml:space="preserve">       </v>
      </c>
      <c r="EW149" s="174" t="str">
        <f t="shared" si="359"/>
        <v>NG</v>
      </c>
      <c r="EX149" s="141"/>
      <c r="EY149" s="172" t="s">
        <v>71</v>
      </c>
      <c r="EZ149" s="160"/>
      <c r="FA149" s="141"/>
      <c r="FB149" s="203" t="str">
        <f t="shared" ref="FB149:FB212" si="403">IF(FD149="-","-",FD149&amp;REPT(IF($R149="N","　",IF($R149="9","0"," ")),$Z149-LENB(FD149)))</f>
        <v xml:space="preserve">       </v>
      </c>
      <c r="FC149" s="174" t="str">
        <f t="shared" si="360"/>
        <v>NG</v>
      </c>
      <c r="FD149" s="141"/>
      <c r="FE149" s="172" t="s">
        <v>71</v>
      </c>
      <c r="FF149" s="160"/>
      <c r="FG149" s="141"/>
      <c r="FH149" s="203" t="str">
        <f t="shared" ref="FH149:FH212" si="404">IF(FJ149="-","-",FJ149&amp;REPT(IF($R149="N","　",IF($R149="9","0"," ")),$Z149-LENB(FJ149)))</f>
        <v xml:space="preserve">       </v>
      </c>
      <c r="FI149" s="174" t="str">
        <f t="shared" si="361"/>
        <v>NG</v>
      </c>
      <c r="FJ149" s="141"/>
      <c r="FK149" s="172" t="s">
        <v>71</v>
      </c>
      <c r="FL149" s="160"/>
      <c r="FM149" s="141"/>
      <c r="FN149" s="203" t="str">
        <f t="shared" ref="FN149:FN212" si="405">IF(FP149="-","-",FP149&amp;REPT(IF($R149="N","　",IF($R149="9","0"," ")),$Z149-LENB(FP149)))</f>
        <v xml:space="preserve">       </v>
      </c>
      <c r="FO149" s="174" t="str">
        <f t="shared" si="378"/>
        <v>NG</v>
      </c>
      <c r="FP149" s="141"/>
      <c r="FQ149" s="172" t="s">
        <v>71</v>
      </c>
      <c r="FR149" s="160"/>
      <c r="FS149" s="141"/>
      <c r="FT149" s="203" t="str">
        <f t="shared" ref="FT149:FT212" si="406">IF(FV149="-","-",FV149&amp;REPT(IF($R149="N","　",IF($R149="9","0"," ")),$Z149-LENB(FV149)))</f>
        <v xml:space="preserve">       </v>
      </c>
      <c r="FU149" s="174" t="str">
        <f t="shared" si="379"/>
        <v>NG</v>
      </c>
      <c r="FV149" s="141"/>
      <c r="FW149" s="172" t="s">
        <v>71</v>
      </c>
      <c r="FX149" s="160"/>
      <c r="FY149" s="141"/>
      <c r="FZ149" s="203" t="str">
        <f t="shared" ref="FZ149:FZ212" si="407">IF(GB149="-","-",GB149&amp;REPT(IF($R149="N","　",IF($R149="9","0"," ")),$Z149-LENB(GB149)))</f>
        <v xml:space="preserve">       </v>
      </c>
      <c r="GA149" s="174" t="str">
        <f t="shared" si="380"/>
        <v>NG</v>
      </c>
      <c r="GB149" s="141"/>
      <c r="GC149" s="172" t="s">
        <v>71</v>
      </c>
    </row>
    <row r="150" spans="1:185" s="237" customFormat="1" ht="25.5">
      <c r="B150" s="216">
        <f t="shared" si="323"/>
        <v>143</v>
      </c>
      <c r="C150" s="220"/>
      <c r="D150" s="220"/>
      <c r="E150" s="221"/>
      <c r="F150" s="222" t="s">
        <v>346</v>
      </c>
      <c r="G150" s="223"/>
      <c r="H150" s="224"/>
      <c r="I150" s="225"/>
      <c r="J150" s="225"/>
      <c r="K150" s="226"/>
      <c r="L150" s="226"/>
      <c r="M150" s="227" t="s">
        <v>345</v>
      </c>
      <c r="N150" s="228"/>
      <c r="O150" s="229"/>
      <c r="P150" s="45">
        <f t="shared" si="363"/>
        <v>123</v>
      </c>
      <c r="Q150" s="230">
        <v>10</v>
      </c>
      <c r="R150" s="41" t="str">
        <f t="shared" si="381"/>
        <v>X</v>
      </c>
      <c r="S150" s="185" t="s">
        <v>242</v>
      </c>
      <c r="T150" s="231"/>
      <c r="U150" s="41" t="s">
        <v>80</v>
      </c>
      <c r="V150" s="229"/>
      <c r="W150" s="232">
        <v>3</v>
      </c>
      <c r="X150" s="194" t="s">
        <v>243</v>
      </c>
      <c r="Y150" s="194">
        <v>10</v>
      </c>
      <c r="Z150" s="194">
        <v>10</v>
      </c>
      <c r="AA150" s="225" t="s">
        <v>163</v>
      </c>
      <c r="AB150" s="225" t="s">
        <v>57</v>
      </c>
      <c r="AC150" s="219"/>
      <c r="AD150" s="233"/>
      <c r="AE150" s="268"/>
      <c r="AF150" s="235" t="str">
        <f t="shared" si="383"/>
        <v xml:space="preserve">          </v>
      </c>
      <c r="AG150" s="174" t="str">
        <f t="shared" si="364"/>
        <v>NG</v>
      </c>
      <c r="AH150" s="268"/>
      <c r="AI150" s="172" t="s">
        <v>71</v>
      </c>
      <c r="AJ150" s="233"/>
      <c r="AK150" s="234"/>
      <c r="AL150" s="235" t="str">
        <f t="shared" si="382"/>
        <v xml:space="preserve">          </v>
      </c>
      <c r="AM150" s="174" t="str">
        <f t="shared" si="324"/>
        <v>NG</v>
      </c>
      <c r="AN150" s="268"/>
      <c r="AO150" s="172" t="s">
        <v>71</v>
      </c>
      <c r="AP150" s="233"/>
      <c r="AQ150" s="268"/>
      <c r="AR150" s="235" t="str">
        <f t="shared" si="384"/>
        <v xml:space="preserve">          </v>
      </c>
      <c r="AS150" s="174" t="str">
        <f t="shared" si="365"/>
        <v>NG</v>
      </c>
      <c r="AT150" s="268"/>
      <c r="AU150" s="172" t="s">
        <v>71</v>
      </c>
      <c r="AV150" s="233"/>
      <c r="AW150" s="268"/>
      <c r="AX150" s="235" t="str">
        <f t="shared" si="385"/>
        <v xml:space="preserve">          </v>
      </c>
      <c r="AY150" s="174" t="str">
        <f t="shared" si="366"/>
        <v>NG</v>
      </c>
      <c r="AZ150" s="268"/>
      <c r="BA150" s="172" t="s">
        <v>71</v>
      </c>
      <c r="BB150" s="233"/>
      <c r="BC150" s="268"/>
      <c r="BD150" s="235" t="str">
        <f t="shared" si="386"/>
        <v xml:space="preserve">          </v>
      </c>
      <c r="BE150" s="174" t="str">
        <f t="shared" si="367"/>
        <v>NG</v>
      </c>
      <c r="BF150" s="268"/>
      <c r="BG150" s="172" t="s">
        <v>71</v>
      </c>
      <c r="BH150" s="233"/>
      <c r="BI150" s="268"/>
      <c r="BJ150" s="235" t="str">
        <f t="shared" si="387"/>
        <v xml:space="preserve">          </v>
      </c>
      <c r="BK150" s="174" t="str">
        <f t="shared" si="368"/>
        <v>NG</v>
      </c>
      <c r="BL150" s="268"/>
      <c r="BM150" s="172" t="s">
        <v>71</v>
      </c>
      <c r="BN150" s="233"/>
      <c r="BO150" s="268"/>
      <c r="BP150" s="235" t="str">
        <f t="shared" si="388"/>
        <v xml:space="preserve">          </v>
      </c>
      <c r="BQ150" s="174" t="str">
        <f t="shared" si="369"/>
        <v>NG</v>
      </c>
      <c r="BR150" s="268"/>
      <c r="BS150" s="172" t="s">
        <v>71</v>
      </c>
      <c r="BT150" s="233"/>
      <c r="BU150" s="268"/>
      <c r="BV150" s="235" t="str">
        <f t="shared" si="389"/>
        <v xml:space="preserve">          </v>
      </c>
      <c r="BW150" s="174" t="str">
        <f t="shared" si="370"/>
        <v>NG</v>
      </c>
      <c r="BX150" s="268"/>
      <c r="BY150" s="172" t="s">
        <v>71</v>
      </c>
      <c r="BZ150" s="233"/>
      <c r="CA150" s="268"/>
      <c r="CB150" s="235" t="str">
        <f t="shared" si="390"/>
        <v xml:space="preserve">          </v>
      </c>
      <c r="CC150" s="174" t="str">
        <f t="shared" si="371"/>
        <v>NG</v>
      </c>
      <c r="CD150" s="268"/>
      <c r="CE150" s="172" t="s">
        <v>71</v>
      </c>
      <c r="CF150" s="233"/>
      <c r="CG150" s="268"/>
      <c r="CH150" s="235" t="str">
        <f t="shared" si="391"/>
        <v xml:space="preserve">          </v>
      </c>
      <c r="CI150" s="174" t="str">
        <f t="shared" si="372"/>
        <v>NG</v>
      </c>
      <c r="CJ150" s="268"/>
      <c r="CK150" s="172" t="s">
        <v>71</v>
      </c>
      <c r="CL150" s="233"/>
      <c r="CM150" s="268"/>
      <c r="CN150" s="235" t="str">
        <f t="shared" si="392"/>
        <v xml:space="preserve">          </v>
      </c>
      <c r="CO150" s="174" t="str">
        <f t="shared" si="373"/>
        <v>NG</v>
      </c>
      <c r="CP150" s="268"/>
      <c r="CQ150" s="172" t="s">
        <v>71</v>
      </c>
      <c r="CR150" s="233"/>
      <c r="CS150" s="268"/>
      <c r="CT150" s="235" t="str">
        <f t="shared" si="393"/>
        <v xml:space="preserve">          </v>
      </c>
      <c r="CU150" s="174" t="str">
        <f t="shared" si="374"/>
        <v>NG</v>
      </c>
      <c r="CV150" s="268"/>
      <c r="CW150" s="172" t="s">
        <v>71</v>
      </c>
      <c r="CX150" s="233"/>
      <c r="CY150" s="268"/>
      <c r="CZ150" s="235" t="str">
        <f t="shared" si="394"/>
        <v xml:space="preserve">          </v>
      </c>
      <c r="DA150" s="174" t="str">
        <f t="shared" si="375"/>
        <v>NG</v>
      </c>
      <c r="DB150" s="268"/>
      <c r="DC150" s="172" t="s">
        <v>71</v>
      </c>
      <c r="DD150" s="233"/>
      <c r="DE150" s="268"/>
      <c r="DF150" s="235" t="str">
        <f t="shared" si="395"/>
        <v xml:space="preserve">          </v>
      </c>
      <c r="DG150" s="174" t="str">
        <f t="shared" si="376"/>
        <v>NG</v>
      </c>
      <c r="DH150" s="268"/>
      <c r="DI150" s="172" t="s">
        <v>71</v>
      </c>
      <c r="DJ150" s="233"/>
      <c r="DK150" s="268"/>
      <c r="DL150" s="235" t="str">
        <f t="shared" si="396"/>
        <v xml:space="preserve">          </v>
      </c>
      <c r="DM150" s="174" t="str">
        <f t="shared" si="377"/>
        <v>NG</v>
      </c>
      <c r="DN150" s="268"/>
      <c r="DO150" s="172" t="s">
        <v>71</v>
      </c>
      <c r="DP150" s="233"/>
      <c r="DQ150" s="268"/>
      <c r="DR150" s="235" t="str">
        <f t="shared" si="397"/>
        <v xml:space="preserve">          </v>
      </c>
      <c r="DS150" s="174" t="str">
        <f t="shared" si="354"/>
        <v>NG</v>
      </c>
      <c r="DT150" s="268"/>
      <c r="DU150" s="172" t="s">
        <v>71</v>
      </c>
      <c r="DV150" s="233"/>
      <c r="DW150" s="268"/>
      <c r="DX150" s="235" t="str">
        <f t="shared" si="398"/>
        <v xml:space="preserve">          </v>
      </c>
      <c r="DY150" s="174" t="str">
        <f t="shared" si="355"/>
        <v>NG</v>
      </c>
      <c r="DZ150" s="268"/>
      <c r="EA150" s="172" t="s">
        <v>71</v>
      </c>
      <c r="EB150" s="233"/>
      <c r="EC150" s="268"/>
      <c r="ED150" s="235" t="str">
        <f t="shared" si="399"/>
        <v xml:space="preserve">          </v>
      </c>
      <c r="EE150" s="174" t="str">
        <f t="shared" si="356"/>
        <v>NG</v>
      </c>
      <c r="EF150" s="268"/>
      <c r="EG150" s="172" t="s">
        <v>71</v>
      </c>
      <c r="EH150" s="233"/>
      <c r="EI150" s="268"/>
      <c r="EJ150" s="235" t="str">
        <f t="shared" si="400"/>
        <v xml:space="preserve">          </v>
      </c>
      <c r="EK150" s="174" t="str">
        <f t="shared" si="357"/>
        <v>NG</v>
      </c>
      <c r="EL150" s="268"/>
      <c r="EM150" s="172" t="s">
        <v>71</v>
      </c>
      <c r="EN150" s="233"/>
      <c r="EO150" s="268"/>
      <c r="EP150" s="235" t="str">
        <f t="shared" si="401"/>
        <v xml:space="preserve">          </v>
      </c>
      <c r="EQ150" s="174" t="str">
        <f t="shared" si="358"/>
        <v>NG</v>
      </c>
      <c r="ER150" s="268"/>
      <c r="ES150" s="172" t="s">
        <v>71</v>
      </c>
      <c r="ET150" s="233"/>
      <c r="EU150" s="268"/>
      <c r="EV150" s="235" t="str">
        <f t="shared" si="402"/>
        <v xml:space="preserve">          </v>
      </c>
      <c r="EW150" s="174" t="str">
        <f t="shared" si="359"/>
        <v>NG</v>
      </c>
      <c r="EX150" s="268"/>
      <c r="EY150" s="172" t="s">
        <v>71</v>
      </c>
      <c r="EZ150" s="233"/>
      <c r="FA150" s="268"/>
      <c r="FB150" s="235" t="str">
        <f t="shared" si="403"/>
        <v xml:space="preserve">          </v>
      </c>
      <c r="FC150" s="174" t="str">
        <f t="shared" si="360"/>
        <v>NG</v>
      </c>
      <c r="FD150" s="268"/>
      <c r="FE150" s="172" t="s">
        <v>71</v>
      </c>
      <c r="FF150" s="233"/>
      <c r="FG150" s="268"/>
      <c r="FH150" s="235" t="str">
        <f t="shared" si="404"/>
        <v xml:space="preserve">          </v>
      </c>
      <c r="FI150" s="174" t="str">
        <f t="shared" si="361"/>
        <v>NG</v>
      </c>
      <c r="FJ150" s="268"/>
      <c r="FK150" s="172" t="s">
        <v>71</v>
      </c>
      <c r="FL150" s="233"/>
      <c r="FM150" s="268"/>
      <c r="FN150" s="235" t="str">
        <f t="shared" si="405"/>
        <v xml:space="preserve">          </v>
      </c>
      <c r="FO150" s="174" t="str">
        <f t="shared" si="378"/>
        <v>NG</v>
      </c>
      <c r="FP150" s="268"/>
      <c r="FQ150" s="172" t="s">
        <v>71</v>
      </c>
      <c r="FR150" s="233"/>
      <c r="FS150" s="268"/>
      <c r="FT150" s="235" t="str">
        <f t="shared" si="406"/>
        <v xml:space="preserve">          </v>
      </c>
      <c r="FU150" s="174" t="str">
        <f t="shared" si="379"/>
        <v>NG</v>
      </c>
      <c r="FV150" s="268"/>
      <c r="FW150" s="172" t="s">
        <v>71</v>
      </c>
      <c r="FX150" s="233"/>
      <c r="FY150" s="268"/>
      <c r="FZ150" s="235" t="str">
        <f t="shared" si="407"/>
        <v xml:space="preserve">          </v>
      </c>
      <c r="GA150" s="174" t="str">
        <f t="shared" si="380"/>
        <v>NG</v>
      </c>
      <c r="GB150" s="268"/>
      <c r="GC150" s="172" t="s">
        <v>71</v>
      </c>
    </row>
    <row r="151" spans="1:185" s="237" customFormat="1" ht="25.5">
      <c r="B151" s="216">
        <f t="shared" ref="B151:B214" si="408">ROW()-7</f>
        <v>144</v>
      </c>
      <c r="C151" s="220"/>
      <c r="D151" s="220"/>
      <c r="E151" s="220"/>
      <c r="F151" s="238" t="s">
        <v>244</v>
      </c>
      <c r="G151" s="168"/>
      <c r="H151" s="239"/>
      <c r="I151" s="225"/>
      <c r="J151" s="225"/>
      <c r="K151" s="226"/>
      <c r="L151" s="226"/>
      <c r="M151" s="227" t="s">
        <v>345</v>
      </c>
      <c r="N151" s="228"/>
      <c r="O151" s="229"/>
      <c r="P151" s="45">
        <f t="shared" si="363"/>
        <v>124</v>
      </c>
      <c r="Q151" s="230">
        <v>3</v>
      </c>
      <c r="R151" s="41" t="str">
        <f t="shared" si="381"/>
        <v>X</v>
      </c>
      <c r="S151" s="185" t="s">
        <v>245</v>
      </c>
      <c r="T151" s="231"/>
      <c r="U151" s="41" t="s">
        <v>80</v>
      </c>
      <c r="V151" s="229"/>
      <c r="W151" s="232">
        <v>3</v>
      </c>
      <c r="X151" s="194" t="s">
        <v>246</v>
      </c>
      <c r="Y151" s="194">
        <v>3</v>
      </c>
      <c r="Z151" s="194">
        <v>3</v>
      </c>
      <c r="AA151" s="225" t="s">
        <v>163</v>
      </c>
      <c r="AB151" s="225" t="s">
        <v>57</v>
      </c>
      <c r="AC151" s="219"/>
      <c r="AD151" s="233"/>
      <c r="AE151" s="268"/>
      <c r="AF151" s="235" t="str">
        <f t="shared" si="383"/>
        <v xml:space="preserve">   </v>
      </c>
      <c r="AG151" s="174" t="str">
        <f t="shared" si="364"/>
        <v>NG</v>
      </c>
      <c r="AH151" s="268"/>
      <c r="AI151" s="172" t="s">
        <v>71</v>
      </c>
      <c r="AJ151" s="233"/>
      <c r="AK151" s="234"/>
      <c r="AL151" s="235" t="str">
        <f t="shared" si="382"/>
        <v xml:space="preserve">   </v>
      </c>
      <c r="AM151" s="174" t="str">
        <f t="shared" ref="AM151:AM214" si="409">IF(OR(AK$8="判定対象外",AL$8="判定対象外",AL151="-"),"-",IF(AK151=AL151,"OK","NG"))</f>
        <v>NG</v>
      </c>
      <c r="AN151" s="268"/>
      <c r="AO151" s="172" t="s">
        <v>71</v>
      </c>
      <c r="AP151" s="233"/>
      <c r="AQ151" s="268"/>
      <c r="AR151" s="235" t="str">
        <f t="shared" si="384"/>
        <v xml:space="preserve">   </v>
      </c>
      <c r="AS151" s="174" t="str">
        <f t="shared" si="365"/>
        <v>NG</v>
      </c>
      <c r="AT151" s="268"/>
      <c r="AU151" s="172" t="s">
        <v>71</v>
      </c>
      <c r="AV151" s="233"/>
      <c r="AW151" s="268"/>
      <c r="AX151" s="235" t="str">
        <f t="shared" si="385"/>
        <v xml:space="preserve">   </v>
      </c>
      <c r="AY151" s="174" t="str">
        <f t="shared" si="366"/>
        <v>NG</v>
      </c>
      <c r="AZ151" s="268"/>
      <c r="BA151" s="172" t="s">
        <v>71</v>
      </c>
      <c r="BB151" s="233"/>
      <c r="BC151" s="268"/>
      <c r="BD151" s="235" t="str">
        <f t="shared" si="386"/>
        <v xml:space="preserve">   </v>
      </c>
      <c r="BE151" s="174" t="str">
        <f t="shared" si="367"/>
        <v>NG</v>
      </c>
      <c r="BF151" s="268"/>
      <c r="BG151" s="172" t="s">
        <v>71</v>
      </c>
      <c r="BH151" s="233"/>
      <c r="BI151" s="268"/>
      <c r="BJ151" s="235" t="str">
        <f t="shared" si="387"/>
        <v xml:space="preserve">   </v>
      </c>
      <c r="BK151" s="174" t="str">
        <f t="shared" si="368"/>
        <v>NG</v>
      </c>
      <c r="BL151" s="268"/>
      <c r="BM151" s="172" t="s">
        <v>71</v>
      </c>
      <c r="BN151" s="233"/>
      <c r="BO151" s="268"/>
      <c r="BP151" s="235" t="str">
        <f t="shared" si="388"/>
        <v xml:space="preserve">   </v>
      </c>
      <c r="BQ151" s="174" t="str">
        <f t="shared" si="369"/>
        <v>NG</v>
      </c>
      <c r="BR151" s="268"/>
      <c r="BS151" s="172" t="s">
        <v>71</v>
      </c>
      <c r="BT151" s="233"/>
      <c r="BU151" s="268"/>
      <c r="BV151" s="235" t="str">
        <f t="shared" si="389"/>
        <v xml:space="preserve">   </v>
      </c>
      <c r="BW151" s="174" t="str">
        <f t="shared" si="370"/>
        <v>NG</v>
      </c>
      <c r="BX151" s="268"/>
      <c r="BY151" s="172" t="s">
        <v>71</v>
      </c>
      <c r="BZ151" s="233"/>
      <c r="CA151" s="268"/>
      <c r="CB151" s="235" t="str">
        <f t="shared" si="390"/>
        <v xml:space="preserve">   </v>
      </c>
      <c r="CC151" s="174" t="str">
        <f t="shared" si="371"/>
        <v>NG</v>
      </c>
      <c r="CD151" s="268"/>
      <c r="CE151" s="172" t="s">
        <v>71</v>
      </c>
      <c r="CF151" s="233"/>
      <c r="CG151" s="268"/>
      <c r="CH151" s="235" t="str">
        <f t="shared" si="391"/>
        <v xml:space="preserve">   </v>
      </c>
      <c r="CI151" s="174" t="str">
        <f t="shared" si="372"/>
        <v>NG</v>
      </c>
      <c r="CJ151" s="268"/>
      <c r="CK151" s="172" t="s">
        <v>71</v>
      </c>
      <c r="CL151" s="233"/>
      <c r="CM151" s="268"/>
      <c r="CN151" s="235" t="str">
        <f t="shared" si="392"/>
        <v xml:space="preserve">   </v>
      </c>
      <c r="CO151" s="174" t="str">
        <f t="shared" si="373"/>
        <v>NG</v>
      </c>
      <c r="CP151" s="268"/>
      <c r="CQ151" s="172" t="s">
        <v>71</v>
      </c>
      <c r="CR151" s="233"/>
      <c r="CS151" s="268"/>
      <c r="CT151" s="235" t="str">
        <f t="shared" si="393"/>
        <v xml:space="preserve">   </v>
      </c>
      <c r="CU151" s="174" t="str">
        <f t="shared" si="374"/>
        <v>NG</v>
      </c>
      <c r="CV151" s="268"/>
      <c r="CW151" s="172" t="s">
        <v>71</v>
      </c>
      <c r="CX151" s="233"/>
      <c r="CY151" s="268"/>
      <c r="CZ151" s="235" t="str">
        <f t="shared" si="394"/>
        <v xml:space="preserve">   </v>
      </c>
      <c r="DA151" s="174" t="str">
        <f t="shared" si="375"/>
        <v>NG</v>
      </c>
      <c r="DB151" s="268"/>
      <c r="DC151" s="172" t="s">
        <v>71</v>
      </c>
      <c r="DD151" s="233"/>
      <c r="DE151" s="268"/>
      <c r="DF151" s="235" t="str">
        <f t="shared" si="395"/>
        <v xml:space="preserve">   </v>
      </c>
      <c r="DG151" s="174" t="str">
        <f t="shared" si="376"/>
        <v>NG</v>
      </c>
      <c r="DH151" s="268"/>
      <c r="DI151" s="172" t="s">
        <v>71</v>
      </c>
      <c r="DJ151" s="233"/>
      <c r="DK151" s="268"/>
      <c r="DL151" s="235" t="str">
        <f t="shared" si="396"/>
        <v xml:space="preserve">   </v>
      </c>
      <c r="DM151" s="174" t="str">
        <f t="shared" si="377"/>
        <v>NG</v>
      </c>
      <c r="DN151" s="268"/>
      <c r="DO151" s="172" t="s">
        <v>71</v>
      </c>
      <c r="DP151" s="233"/>
      <c r="DQ151" s="268"/>
      <c r="DR151" s="235" t="str">
        <f t="shared" si="397"/>
        <v xml:space="preserve">   </v>
      </c>
      <c r="DS151" s="174" t="str">
        <f t="shared" si="354"/>
        <v>NG</v>
      </c>
      <c r="DT151" s="268"/>
      <c r="DU151" s="172" t="s">
        <v>71</v>
      </c>
      <c r="DV151" s="233"/>
      <c r="DW151" s="268"/>
      <c r="DX151" s="235" t="str">
        <f t="shared" si="398"/>
        <v xml:space="preserve">   </v>
      </c>
      <c r="DY151" s="174" t="str">
        <f t="shared" si="355"/>
        <v>NG</v>
      </c>
      <c r="DZ151" s="268"/>
      <c r="EA151" s="172" t="s">
        <v>71</v>
      </c>
      <c r="EB151" s="233"/>
      <c r="EC151" s="268"/>
      <c r="ED151" s="235" t="str">
        <f t="shared" si="399"/>
        <v xml:space="preserve">   </v>
      </c>
      <c r="EE151" s="174" t="str">
        <f t="shared" si="356"/>
        <v>NG</v>
      </c>
      <c r="EF151" s="268"/>
      <c r="EG151" s="172" t="s">
        <v>71</v>
      </c>
      <c r="EH151" s="233"/>
      <c r="EI151" s="268"/>
      <c r="EJ151" s="235" t="str">
        <f t="shared" si="400"/>
        <v xml:space="preserve">   </v>
      </c>
      <c r="EK151" s="174" t="str">
        <f t="shared" si="357"/>
        <v>NG</v>
      </c>
      <c r="EL151" s="268"/>
      <c r="EM151" s="172" t="s">
        <v>71</v>
      </c>
      <c r="EN151" s="233"/>
      <c r="EO151" s="268"/>
      <c r="EP151" s="235" t="str">
        <f t="shared" si="401"/>
        <v xml:space="preserve">   </v>
      </c>
      <c r="EQ151" s="174" t="str">
        <f t="shared" si="358"/>
        <v>NG</v>
      </c>
      <c r="ER151" s="268"/>
      <c r="ES151" s="172" t="s">
        <v>71</v>
      </c>
      <c r="ET151" s="233"/>
      <c r="EU151" s="268"/>
      <c r="EV151" s="235" t="str">
        <f t="shared" si="402"/>
        <v xml:space="preserve">   </v>
      </c>
      <c r="EW151" s="174" t="str">
        <f t="shared" si="359"/>
        <v>NG</v>
      </c>
      <c r="EX151" s="268"/>
      <c r="EY151" s="172" t="s">
        <v>71</v>
      </c>
      <c r="EZ151" s="233"/>
      <c r="FA151" s="268"/>
      <c r="FB151" s="235" t="str">
        <f t="shared" si="403"/>
        <v xml:space="preserve">   </v>
      </c>
      <c r="FC151" s="174" t="str">
        <f t="shared" si="360"/>
        <v>NG</v>
      </c>
      <c r="FD151" s="268"/>
      <c r="FE151" s="172" t="s">
        <v>71</v>
      </c>
      <c r="FF151" s="233"/>
      <c r="FG151" s="268"/>
      <c r="FH151" s="235" t="str">
        <f t="shared" si="404"/>
        <v xml:space="preserve">   </v>
      </c>
      <c r="FI151" s="174" t="str">
        <f t="shared" si="361"/>
        <v>NG</v>
      </c>
      <c r="FJ151" s="268"/>
      <c r="FK151" s="172" t="s">
        <v>71</v>
      </c>
      <c r="FL151" s="233"/>
      <c r="FM151" s="268"/>
      <c r="FN151" s="235" t="str">
        <f t="shared" si="405"/>
        <v xml:space="preserve">   </v>
      </c>
      <c r="FO151" s="174" t="str">
        <f t="shared" si="378"/>
        <v>NG</v>
      </c>
      <c r="FP151" s="268"/>
      <c r="FQ151" s="172" t="s">
        <v>71</v>
      </c>
      <c r="FR151" s="233"/>
      <c r="FS151" s="268"/>
      <c r="FT151" s="235" t="str">
        <f t="shared" si="406"/>
        <v xml:space="preserve">   </v>
      </c>
      <c r="FU151" s="174" t="str">
        <f t="shared" si="379"/>
        <v>NG</v>
      </c>
      <c r="FV151" s="268"/>
      <c r="FW151" s="172" t="s">
        <v>71</v>
      </c>
      <c r="FX151" s="233"/>
      <c r="FY151" s="268"/>
      <c r="FZ151" s="235" t="str">
        <f t="shared" si="407"/>
        <v xml:space="preserve">   </v>
      </c>
      <c r="GA151" s="174" t="str">
        <f t="shared" si="380"/>
        <v>NG</v>
      </c>
      <c r="GB151" s="268"/>
      <c r="GC151" s="172" t="s">
        <v>71</v>
      </c>
    </row>
    <row r="152" spans="1:185" s="237" customFormat="1" ht="25.5">
      <c r="B152" s="216">
        <f t="shared" si="408"/>
        <v>145</v>
      </c>
      <c r="C152" s="220"/>
      <c r="D152" s="220"/>
      <c r="E152" s="220"/>
      <c r="F152" s="238" t="s">
        <v>347</v>
      </c>
      <c r="G152" s="168"/>
      <c r="H152" s="239"/>
      <c r="I152" s="225"/>
      <c r="J152" s="225"/>
      <c r="K152" s="226"/>
      <c r="L152" s="226"/>
      <c r="M152" s="227" t="s">
        <v>345</v>
      </c>
      <c r="N152" s="228"/>
      <c r="O152" s="229"/>
      <c r="P152" s="45">
        <f t="shared" si="363"/>
        <v>125</v>
      </c>
      <c r="Q152" s="230">
        <v>2</v>
      </c>
      <c r="R152" s="41" t="str">
        <f t="shared" si="381"/>
        <v>X</v>
      </c>
      <c r="S152" s="185" t="s">
        <v>247</v>
      </c>
      <c r="T152" s="231"/>
      <c r="U152" s="41" t="s">
        <v>80</v>
      </c>
      <c r="V152" s="229"/>
      <c r="W152" s="232">
        <v>3</v>
      </c>
      <c r="X152" s="194" t="s">
        <v>248</v>
      </c>
      <c r="Y152" s="194">
        <v>2</v>
      </c>
      <c r="Z152" s="194">
        <v>2</v>
      </c>
      <c r="AA152" s="225" t="s">
        <v>163</v>
      </c>
      <c r="AB152" s="225" t="s">
        <v>57</v>
      </c>
      <c r="AC152" s="219"/>
      <c r="AD152" s="233"/>
      <c r="AE152" s="268"/>
      <c r="AF152" s="235" t="str">
        <f t="shared" si="383"/>
        <v xml:space="preserve">  </v>
      </c>
      <c r="AG152" s="174" t="str">
        <f t="shared" si="364"/>
        <v>NG</v>
      </c>
      <c r="AH152" s="268"/>
      <c r="AI152" s="172" t="s">
        <v>71</v>
      </c>
      <c r="AJ152" s="233"/>
      <c r="AK152" s="234"/>
      <c r="AL152" s="235" t="str">
        <f t="shared" si="382"/>
        <v xml:space="preserve">  </v>
      </c>
      <c r="AM152" s="174" t="str">
        <f t="shared" si="409"/>
        <v>NG</v>
      </c>
      <c r="AN152" s="268"/>
      <c r="AO152" s="172" t="s">
        <v>71</v>
      </c>
      <c r="AP152" s="233"/>
      <c r="AQ152" s="268"/>
      <c r="AR152" s="235" t="str">
        <f t="shared" si="384"/>
        <v xml:space="preserve">  </v>
      </c>
      <c r="AS152" s="174" t="str">
        <f t="shared" si="365"/>
        <v>NG</v>
      </c>
      <c r="AT152" s="268"/>
      <c r="AU152" s="172" t="s">
        <v>71</v>
      </c>
      <c r="AV152" s="233"/>
      <c r="AW152" s="268"/>
      <c r="AX152" s="235" t="str">
        <f t="shared" si="385"/>
        <v xml:space="preserve">  </v>
      </c>
      <c r="AY152" s="174" t="str">
        <f t="shared" si="366"/>
        <v>NG</v>
      </c>
      <c r="AZ152" s="268"/>
      <c r="BA152" s="172" t="s">
        <v>71</v>
      </c>
      <c r="BB152" s="233"/>
      <c r="BC152" s="268"/>
      <c r="BD152" s="235" t="str">
        <f t="shared" si="386"/>
        <v xml:space="preserve">  </v>
      </c>
      <c r="BE152" s="174" t="str">
        <f t="shared" si="367"/>
        <v>NG</v>
      </c>
      <c r="BF152" s="268"/>
      <c r="BG152" s="172" t="s">
        <v>71</v>
      </c>
      <c r="BH152" s="233"/>
      <c r="BI152" s="268"/>
      <c r="BJ152" s="235" t="str">
        <f t="shared" si="387"/>
        <v xml:space="preserve">  </v>
      </c>
      <c r="BK152" s="174" t="str">
        <f t="shared" si="368"/>
        <v>NG</v>
      </c>
      <c r="BL152" s="268"/>
      <c r="BM152" s="172" t="s">
        <v>71</v>
      </c>
      <c r="BN152" s="233"/>
      <c r="BO152" s="268"/>
      <c r="BP152" s="235" t="str">
        <f t="shared" si="388"/>
        <v xml:space="preserve">  </v>
      </c>
      <c r="BQ152" s="174" t="str">
        <f t="shared" si="369"/>
        <v>NG</v>
      </c>
      <c r="BR152" s="268"/>
      <c r="BS152" s="172" t="s">
        <v>71</v>
      </c>
      <c r="BT152" s="233"/>
      <c r="BU152" s="268"/>
      <c r="BV152" s="235" t="str">
        <f t="shared" si="389"/>
        <v xml:space="preserve">  </v>
      </c>
      <c r="BW152" s="174" t="str">
        <f t="shared" si="370"/>
        <v>NG</v>
      </c>
      <c r="BX152" s="268"/>
      <c r="BY152" s="172" t="s">
        <v>71</v>
      </c>
      <c r="BZ152" s="233"/>
      <c r="CA152" s="268"/>
      <c r="CB152" s="235" t="str">
        <f t="shared" si="390"/>
        <v xml:space="preserve">  </v>
      </c>
      <c r="CC152" s="174" t="str">
        <f t="shared" si="371"/>
        <v>NG</v>
      </c>
      <c r="CD152" s="268"/>
      <c r="CE152" s="172" t="s">
        <v>71</v>
      </c>
      <c r="CF152" s="233"/>
      <c r="CG152" s="268"/>
      <c r="CH152" s="235" t="str">
        <f t="shared" si="391"/>
        <v xml:space="preserve">  </v>
      </c>
      <c r="CI152" s="174" t="str">
        <f t="shared" si="372"/>
        <v>NG</v>
      </c>
      <c r="CJ152" s="268"/>
      <c r="CK152" s="172" t="s">
        <v>71</v>
      </c>
      <c r="CL152" s="233"/>
      <c r="CM152" s="268"/>
      <c r="CN152" s="235" t="str">
        <f t="shared" si="392"/>
        <v xml:space="preserve">  </v>
      </c>
      <c r="CO152" s="174" t="str">
        <f t="shared" si="373"/>
        <v>NG</v>
      </c>
      <c r="CP152" s="268"/>
      <c r="CQ152" s="172" t="s">
        <v>71</v>
      </c>
      <c r="CR152" s="233"/>
      <c r="CS152" s="268"/>
      <c r="CT152" s="235" t="str">
        <f t="shared" si="393"/>
        <v xml:space="preserve">  </v>
      </c>
      <c r="CU152" s="174" t="str">
        <f t="shared" si="374"/>
        <v>NG</v>
      </c>
      <c r="CV152" s="268"/>
      <c r="CW152" s="172" t="s">
        <v>71</v>
      </c>
      <c r="CX152" s="233"/>
      <c r="CY152" s="268"/>
      <c r="CZ152" s="235" t="str">
        <f t="shared" si="394"/>
        <v xml:space="preserve">  </v>
      </c>
      <c r="DA152" s="174" t="str">
        <f t="shared" si="375"/>
        <v>NG</v>
      </c>
      <c r="DB152" s="268"/>
      <c r="DC152" s="172" t="s">
        <v>71</v>
      </c>
      <c r="DD152" s="233"/>
      <c r="DE152" s="268"/>
      <c r="DF152" s="235" t="str">
        <f t="shared" si="395"/>
        <v xml:space="preserve">  </v>
      </c>
      <c r="DG152" s="174" t="str">
        <f t="shared" si="376"/>
        <v>NG</v>
      </c>
      <c r="DH152" s="268"/>
      <c r="DI152" s="172" t="s">
        <v>71</v>
      </c>
      <c r="DJ152" s="233"/>
      <c r="DK152" s="268"/>
      <c r="DL152" s="235" t="str">
        <f t="shared" si="396"/>
        <v xml:space="preserve">  </v>
      </c>
      <c r="DM152" s="174" t="str">
        <f t="shared" si="377"/>
        <v>NG</v>
      </c>
      <c r="DN152" s="268"/>
      <c r="DO152" s="172" t="s">
        <v>71</v>
      </c>
      <c r="DP152" s="233"/>
      <c r="DQ152" s="268"/>
      <c r="DR152" s="235" t="str">
        <f t="shared" si="397"/>
        <v xml:space="preserve">  </v>
      </c>
      <c r="DS152" s="174" t="str">
        <f t="shared" si="354"/>
        <v>NG</v>
      </c>
      <c r="DT152" s="268"/>
      <c r="DU152" s="172" t="s">
        <v>71</v>
      </c>
      <c r="DV152" s="233"/>
      <c r="DW152" s="268"/>
      <c r="DX152" s="235" t="str">
        <f t="shared" si="398"/>
        <v xml:space="preserve">  </v>
      </c>
      <c r="DY152" s="174" t="str">
        <f t="shared" si="355"/>
        <v>NG</v>
      </c>
      <c r="DZ152" s="268"/>
      <c r="EA152" s="172" t="s">
        <v>71</v>
      </c>
      <c r="EB152" s="233"/>
      <c r="EC152" s="268"/>
      <c r="ED152" s="235" t="str">
        <f t="shared" si="399"/>
        <v xml:space="preserve">  </v>
      </c>
      <c r="EE152" s="174" t="str">
        <f t="shared" si="356"/>
        <v>NG</v>
      </c>
      <c r="EF152" s="268"/>
      <c r="EG152" s="172" t="s">
        <v>71</v>
      </c>
      <c r="EH152" s="233"/>
      <c r="EI152" s="268"/>
      <c r="EJ152" s="235" t="str">
        <f t="shared" si="400"/>
        <v xml:space="preserve">  </v>
      </c>
      <c r="EK152" s="174" t="str">
        <f t="shared" si="357"/>
        <v>NG</v>
      </c>
      <c r="EL152" s="268"/>
      <c r="EM152" s="172" t="s">
        <v>71</v>
      </c>
      <c r="EN152" s="233"/>
      <c r="EO152" s="268"/>
      <c r="EP152" s="235" t="str">
        <f t="shared" si="401"/>
        <v xml:space="preserve">  </v>
      </c>
      <c r="EQ152" s="174" t="str">
        <f t="shared" si="358"/>
        <v>NG</v>
      </c>
      <c r="ER152" s="268"/>
      <c r="ES152" s="172" t="s">
        <v>71</v>
      </c>
      <c r="ET152" s="233"/>
      <c r="EU152" s="268"/>
      <c r="EV152" s="235" t="str">
        <f t="shared" si="402"/>
        <v xml:space="preserve">  </v>
      </c>
      <c r="EW152" s="174" t="str">
        <f t="shared" si="359"/>
        <v>NG</v>
      </c>
      <c r="EX152" s="268"/>
      <c r="EY152" s="172" t="s">
        <v>71</v>
      </c>
      <c r="EZ152" s="233"/>
      <c r="FA152" s="268"/>
      <c r="FB152" s="235" t="str">
        <f t="shared" si="403"/>
        <v xml:space="preserve">  </v>
      </c>
      <c r="FC152" s="174" t="str">
        <f t="shared" si="360"/>
        <v>NG</v>
      </c>
      <c r="FD152" s="268"/>
      <c r="FE152" s="172" t="s">
        <v>71</v>
      </c>
      <c r="FF152" s="233"/>
      <c r="FG152" s="268"/>
      <c r="FH152" s="235" t="str">
        <f t="shared" si="404"/>
        <v xml:space="preserve">  </v>
      </c>
      <c r="FI152" s="174" t="str">
        <f t="shared" si="361"/>
        <v>NG</v>
      </c>
      <c r="FJ152" s="268"/>
      <c r="FK152" s="172" t="s">
        <v>71</v>
      </c>
      <c r="FL152" s="233"/>
      <c r="FM152" s="268"/>
      <c r="FN152" s="235" t="str">
        <f t="shared" si="405"/>
        <v xml:space="preserve">  </v>
      </c>
      <c r="FO152" s="174" t="str">
        <f t="shared" si="378"/>
        <v>NG</v>
      </c>
      <c r="FP152" s="268"/>
      <c r="FQ152" s="172" t="s">
        <v>71</v>
      </c>
      <c r="FR152" s="233"/>
      <c r="FS152" s="268"/>
      <c r="FT152" s="235" t="str">
        <f t="shared" si="406"/>
        <v xml:space="preserve">  </v>
      </c>
      <c r="FU152" s="174" t="str">
        <f t="shared" si="379"/>
        <v>NG</v>
      </c>
      <c r="FV152" s="268"/>
      <c r="FW152" s="172" t="s">
        <v>71</v>
      </c>
      <c r="FX152" s="233"/>
      <c r="FY152" s="268"/>
      <c r="FZ152" s="235" t="str">
        <f t="shared" si="407"/>
        <v xml:space="preserve">  </v>
      </c>
      <c r="GA152" s="174" t="str">
        <f t="shared" si="380"/>
        <v>NG</v>
      </c>
      <c r="GB152" s="268"/>
      <c r="GC152" s="172" t="s">
        <v>71</v>
      </c>
    </row>
    <row r="153" spans="1:185" s="237" customFormat="1" ht="51.75" customHeight="1">
      <c r="B153" s="216">
        <f t="shared" si="408"/>
        <v>146</v>
      </c>
      <c r="C153" s="220"/>
      <c r="D153" s="220"/>
      <c r="E153" s="220"/>
      <c r="F153" s="240" t="s">
        <v>348</v>
      </c>
      <c r="G153" s="241"/>
      <c r="H153" s="242"/>
      <c r="I153" s="225"/>
      <c r="J153" s="225"/>
      <c r="K153" s="226"/>
      <c r="L153" s="226"/>
      <c r="M153" s="227" t="s">
        <v>349</v>
      </c>
      <c r="N153" s="228"/>
      <c r="O153" s="229"/>
      <c r="P153" s="45">
        <f t="shared" si="363"/>
        <v>126</v>
      </c>
      <c r="Q153" s="230">
        <v>5</v>
      </c>
      <c r="R153" s="41" t="str">
        <f t="shared" si="381"/>
        <v>X</v>
      </c>
      <c r="S153" s="185" t="s">
        <v>249</v>
      </c>
      <c r="T153" s="231"/>
      <c r="U153" s="41" t="s">
        <v>80</v>
      </c>
      <c r="V153" s="229"/>
      <c r="W153" s="232">
        <v>3</v>
      </c>
      <c r="X153" s="194" t="s">
        <v>250</v>
      </c>
      <c r="Y153" s="194">
        <v>5</v>
      </c>
      <c r="Z153" s="194">
        <v>5</v>
      </c>
      <c r="AA153" s="225" t="s">
        <v>163</v>
      </c>
      <c r="AB153" s="225" t="s">
        <v>57</v>
      </c>
      <c r="AC153" s="243"/>
      <c r="AD153" s="233"/>
      <c r="AE153" s="268"/>
      <c r="AF153" s="235" t="str">
        <f t="shared" si="383"/>
        <v xml:space="preserve">     </v>
      </c>
      <c r="AG153" s="174" t="str">
        <f t="shared" si="364"/>
        <v>NG</v>
      </c>
      <c r="AH153" s="297"/>
      <c r="AI153" s="276" t="str">
        <f>IF(OR(AE$8="判定対象外",AH$8="判定対象外",AH153="-"),"-",IF(AE153=AH153,"OK","NG"))</f>
        <v>OK</v>
      </c>
      <c r="AJ153" s="233"/>
      <c r="AK153" s="234"/>
      <c r="AL153" s="235" t="str">
        <f t="shared" si="382"/>
        <v xml:space="preserve">     </v>
      </c>
      <c r="AM153" s="174" t="str">
        <f t="shared" si="409"/>
        <v>NG</v>
      </c>
      <c r="AN153" s="269"/>
      <c r="AO153" s="276" t="str">
        <f>IF(OR(AK$8="判定対象外",AN$8="判定対象外",AN153="-"),"-",IF(AK153=AN153,"OK","NG"))</f>
        <v>OK</v>
      </c>
      <c r="AP153" s="233"/>
      <c r="AQ153" s="268"/>
      <c r="AR153" s="235" t="str">
        <f t="shared" si="384"/>
        <v xml:space="preserve">     </v>
      </c>
      <c r="AS153" s="174" t="str">
        <f t="shared" si="365"/>
        <v>NG</v>
      </c>
      <c r="AT153" s="297"/>
      <c r="AU153" s="276" t="str">
        <f>IF(OR(AQ$8="判定対象外",AT$8="判定対象外",AT153="-"),"-",IF(AQ153=AT153,"OK","NG"))</f>
        <v>OK</v>
      </c>
      <c r="AV153" s="233"/>
      <c r="AW153" s="268"/>
      <c r="AX153" s="235" t="str">
        <f t="shared" si="385"/>
        <v xml:space="preserve">     </v>
      </c>
      <c r="AY153" s="174" t="str">
        <f t="shared" si="366"/>
        <v>NG</v>
      </c>
      <c r="AZ153" s="297"/>
      <c r="BA153" s="276" t="str">
        <f>IF(OR(AW$8="判定対象外",AZ$8="判定対象外",AZ153="-"),"-",IF(AW153=AZ153,"OK","NG"))</f>
        <v>OK</v>
      </c>
      <c r="BB153" s="233"/>
      <c r="BC153" s="268"/>
      <c r="BD153" s="235" t="str">
        <f t="shared" si="386"/>
        <v xml:space="preserve">     </v>
      </c>
      <c r="BE153" s="174" t="str">
        <f t="shared" si="367"/>
        <v>NG</v>
      </c>
      <c r="BF153" s="297"/>
      <c r="BG153" s="276" t="str">
        <f>IF(OR(BC$8="判定対象外",BF$8="判定対象外",BF153="-"),"-",IF(BC153=BF153,"OK","NG"))</f>
        <v>OK</v>
      </c>
      <c r="BH153" s="233"/>
      <c r="BI153" s="268"/>
      <c r="BJ153" s="235" t="str">
        <f t="shared" si="387"/>
        <v xml:space="preserve">     </v>
      </c>
      <c r="BK153" s="174" t="str">
        <f t="shared" si="368"/>
        <v>NG</v>
      </c>
      <c r="BL153" s="297"/>
      <c r="BM153" s="276" t="str">
        <f>IF(OR(BI$8="判定対象外",BL$8="判定対象外",BL153="-"),"-",IF(BI153=BL153,"OK","NG"))</f>
        <v>OK</v>
      </c>
      <c r="BN153" s="233"/>
      <c r="BO153" s="268"/>
      <c r="BP153" s="235" t="str">
        <f t="shared" si="388"/>
        <v xml:space="preserve">     </v>
      </c>
      <c r="BQ153" s="174" t="str">
        <f t="shared" si="369"/>
        <v>NG</v>
      </c>
      <c r="BR153" s="297"/>
      <c r="BS153" s="276" t="str">
        <f>IF(OR(BO$8="判定対象外",BR$8="判定対象外",BR153="-"),"-",IF(BO153=BR153,"OK","NG"))</f>
        <v>OK</v>
      </c>
      <c r="BT153" s="233"/>
      <c r="BU153" s="268"/>
      <c r="BV153" s="235" t="str">
        <f t="shared" si="389"/>
        <v xml:space="preserve">     </v>
      </c>
      <c r="BW153" s="174" t="str">
        <f t="shared" si="370"/>
        <v>NG</v>
      </c>
      <c r="BX153" s="297"/>
      <c r="BY153" s="276" t="str">
        <f>IF(OR(BU$8="判定対象外",BX$8="判定対象外",BX153="-"),"-",IF(BU153=BX153,"OK","NG"))</f>
        <v>OK</v>
      </c>
      <c r="BZ153" s="233"/>
      <c r="CA153" s="268"/>
      <c r="CB153" s="235" t="str">
        <f t="shared" si="390"/>
        <v xml:space="preserve">     </v>
      </c>
      <c r="CC153" s="174" t="str">
        <f t="shared" si="371"/>
        <v>NG</v>
      </c>
      <c r="CD153" s="297"/>
      <c r="CE153" s="276" t="str">
        <f>IF(OR(CA$8="判定対象外",CD$8="判定対象外",CD153="-"),"-",IF(CA153=CD153,"OK","NG"))</f>
        <v>OK</v>
      </c>
      <c r="CF153" s="233"/>
      <c r="CG153" s="268"/>
      <c r="CH153" s="235" t="str">
        <f t="shared" si="391"/>
        <v xml:space="preserve">     </v>
      </c>
      <c r="CI153" s="174" t="str">
        <f t="shared" si="372"/>
        <v>NG</v>
      </c>
      <c r="CJ153" s="297"/>
      <c r="CK153" s="276" t="str">
        <f>IF(OR(CG$8="判定対象外",CJ$8="判定対象外",CJ153="-"),"-",IF(CG153=CJ153,"OK","NG"))</f>
        <v>OK</v>
      </c>
      <c r="CL153" s="233"/>
      <c r="CM153" s="268"/>
      <c r="CN153" s="235" t="str">
        <f t="shared" si="392"/>
        <v xml:space="preserve">     </v>
      </c>
      <c r="CO153" s="174" t="str">
        <f t="shared" si="373"/>
        <v>NG</v>
      </c>
      <c r="CP153" s="297"/>
      <c r="CQ153" s="276" t="str">
        <f>IF(OR(CM$8="判定対象外",CP$8="判定対象外",CP153="-"),"-",IF(CM153=CP153,"OK","NG"))</f>
        <v>OK</v>
      </c>
      <c r="CR153" s="233"/>
      <c r="CS153" s="268"/>
      <c r="CT153" s="235" t="str">
        <f t="shared" si="393"/>
        <v xml:space="preserve">     </v>
      </c>
      <c r="CU153" s="174" t="str">
        <f t="shared" si="374"/>
        <v>NG</v>
      </c>
      <c r="CV153" s="297"/>
      <c r="CW153" s="276" t="str">
        <f>IF(OR(CS$8="判定対象外",CV$8="判定対象外",CV153="-"),"-",IF(CS153=CV153,"OK","NG"))</f>
        <v>OK</v>
      </c>
      <c r="CX153" s="233"/>
      <c r="CY153" s="268"/>
      <c r="CZ153" s="235" t="str">
        <f t="shared" si="394"/>
        <v xml:space="preserve">     </v>
      </c>
      <c r="DA153" s="174" t="str">
        <f t="shared" si="375"/>
        <v>NG</v>
      </c>
      <c r="DB153" s="297"/>
      <c r="DC153" s="276" t="str">
        <f>IF(OR(CY$8="判定対象外",DB$8="判定対象外",DB153="-"),"-",IF(CY153=DB153,"OK","NG"))</f>
        <v>OK</v>
      </c>
      <c r="DD153" s="233"/>
      <c r="DE153" s="268"/>
      <c r="DF153" s="235" t="str">
        <f t="shared" si="395"/>
        <v xml:space="preserve">     </v>
      </c>
      <c r="DG153" s="174" t="str">
        <f t="shared" si="376"/>
        <v>NG</v>
      </c>
      <c r="DH153" s="297"/>
      <c r="DI153" s="276" t="str">
        <f>IF(OR(DE$8="判定対象外",DH$8="判定対象外",DH153="-"),"-",IF(DE153=DH153,"OK","NG"))</f>
        <v>OK</v>
      </c>
      <c r="DJ153" s="233"/>
      <c r="DK153" s="268"/>
      <c r="DL153" s="235" t="str">
        <f t="shared" si="396"/>
        <v xml:space="preserve">     </v>
      </c>
      <c r="DM153" s="174" t="str">
        <f t="shared" si="377"/>
        <v>NG</v>
      </c>
      <c r="DN153" s="297"/>
      <c r="DO153" s="276" t="str">
        <f>IF(OR(DK$8="判定対象外",DN$8="判定対象外",DN153="-"),"-",IF(DK153=DN153,"OK","NG"))</f>
        <v>OK</v>
      </c>
      <c r="DP153" s="233"/>
      <c r="DQ153" s="268"/>
      <c r="DR153" s="235" t="str">
        <f t="shared" si="397"/>
        <v xml:space="preserve">     </v>
      </c>
      <c r="DS153" s="174" t="str">
        <f t="shared" si="354"/>
        <v>NG</v>
      </c>
      <c r="DT153" s="297"/>
      <c r="DU153" s="276" t="str">
        <f>IF(OR(DQ$8="判定対象外",DT$8="判定対象外",DT153="-"),"-",IF(DQ153=DT153,"OK","NG"))</f>
        <v>OK</v>
      </c>
      <c r="DV153" s="233"/>
      <c r="DW153" s="268"/>
      <c r="DX153" s="235" t="str">
        <f t="shared" si="398"/>
        <v xml:space="preserve">     </v>
      </c>
      <c r="DY153" s="174" t="str">
        <f t="shared" si="355"/>
        <v>NG</v>
      </c>
      <c r="DZ153" s="297"/>
      <c r="EA153" s="276" t="str">
        <f>IF(OR(DW$8="判定対象外",DZ$8="判定対象外",DZ153="-"),"-",IF(DW153=DZ153,"OK","NG"))</f>
        <v>OK</v>
      </c>
      <c r="EB153" s="233"/>
      <c r="EC153" s="268"/>
      <c r="ED153" s="235" t="str">
        <f t="shared" si="399"/>
        <v xml:space="preserve">     </v>
      </c>
      <c r="EE153" s="174" t="str">
        <f t="shared" si="356"/>
        <v>NG</v>
      </c>
      <c r="EF153" s="297"/>
      <c r="EG153" s="276" t="str">
        <f>IF(OR(EC$8="判定対象外",EF$8="判定対象外",EF153="-"),"-",IF(EC153=EF153,"OK","NG"))</f>
        <v>OK</v>
      </c>
      <c r="EH153" s="233"/>
      <c r="EI153" s="268"/>
      <c r="EJ153" s="235" t="str">
        <f t="shared" si="400"/>
        <v xml:space="preserve">     </v>
      </c>
      <c r="EK153" s="174" t="str">
        <f t="shared" si="357"/>
        <v>NG</v>
      </c>
      <c r="EL153" s="297"/>
      <c r="EM153" s="276" t="str">
        <f>IF(OR(EI$8="判定対象外",EL$8="判定対象外",EL153="-"),"-",IF(EI153=EL153,"OK","NG"))</f>
        <v>OK</v>
      </c>
      <c r="EN153" s="233"/>
      <c r="EO153" s="268"/>
      <c r="EP153" s="235" t="str">
        <f t="shared" si="401"/>
        <v xml:space="preserve">     </v>
      </c>
      <c r="EQ153" s="174" t="str">
        <f t="shared" si="358"/>
        <v>NG</v>
      </c>
      <c r="ER153" s="297"/>
      <c r="ES153" s="276" t="str">
        <f>IF(OR(EO$8="判定対象外",ER$8="判定対象外",ER153="-"),"-",IF(EO153=ER153,"OK","NG"))</f>
        <v>OK</v>
      </c>
      <c r="ET153" s="233"/>
      <c r="EU153" s="268"/>
      <c r="EV153" s="235" t="str">
        <f t="shared" si="402"/>
        <v xml:space="preserve">     </v>
      </c>
      <c r="EW153" s="174" t="str">
        <f t="shared" si="359"/>
        <v>NG</v>
      </c>
      <c r="EX153" s="297"/>
      <c r="EY153" s="276" t="str">
        <f>IF(OR(EU$8="判定対象外",EX$8="判定対象外",EX153="-"),"-",IF(EU153=EX153,"OK","NG"))</f>
        <v>OK</v>
      </c>
      <c r="EZ153" s="233"/>
      <c r="FA153" s="268"/>
      <c r="FB153" s="235" t="str">
        <f t="shared" si="403"/>
        <v xml:space="preserve">     </v>
      </c>
      <c r="FC153" s="174" t="str">
        <f t="shared" si="360"/>
        <v>NG</v>
      </c>
      <c r="FD153" s="297"/>
      <c r="FE153" s="276" t="str">
        <f>IF(OR(FA$8="判定対象外",FD$8="判定対象外",FD153="-"),"-",IF(FA153=FD153,"OK","NG"))</f>
        <v>OK</v>
      </c>
      <c r="FF153" s="233"/>
      <c r="FG153" s="268"/>
      <c r="FH153" s="235" t="str">
        <f t="shared" si="404"/>
        <v xml:space="preserve">     </v>
      </c>
      <c r="FI153" s="174" t="str">
        <f t="shared" si="361"/>
        <v>NG</v>
      </c>
      <c r="FJ153" s="297"/>
      <c r="FK153" s="276" t="str">
        <f>IF(OR(FG$8="判定対象外",FJ$8="判定対象外",FJ153="-"),"-",IF(FG153=FJ153,"OK","NG"))</f>
        <v>OK</v>
      </c>
      <c r="FL153" s="233"/>
      <c r="FM153" s="268"/>
      <c r="FN153" s="235" t="str">
        <f t="shared" si="405"/>
        <v xml:space="preserve">     </v>
      </c>
      <c r="FO153" s="174" t="str">
        <f t="shared" si="378"/>
        <v>NG</v>
      </c>
      <c r="FP153" s="297"/>
      <c r="FQ153" s="276" t="str">
        <f>IF(OR(FM$8="判定対象外",FP$8="判定対象外",FP153="-"),"-",IF(FM153=FP153,"OK","NG"))</f>
        <v>OK</v>
      </c>
      <c r="FR153" s="233"/>
      <c r="FS153" s="268"/>
      <c r="FT153" s="235" t="str">
        <f t="shared" si="406"/>
        <v xml:space="preserve">     </v>
      </c>
      <c r="FU153" s="174" t="str">
        <f t="shared" si="379"/>
        <v>NG</v>
      </c>
      <c r="FV153" s="297"/>
      <c r="FW153" s="276" t="str">
        <f>IF(OR(FS$8="判定対象外",FV$8="判定対象外",FV153="-"),"-",IF(FS153=FV153,"OK","NG"))</f>
        <v>OK</v>
      </c>
      <c r="FX153" s="233"/>
      <c r="FY153" s="268"/>
      <c r="FZ153" s="235" t="str">
        <f t="shared" si="407"/>
        <v xml:space="preserve">     </v>
      </c>
      <c r="GA153" s="174" t="str">
        <f t="shared" si="380"/>
        <v>NG</v>
      </c>
      <c r="GB153" s="297"/>
      <c r="GC153" s="276" t="str">
        <f>IF(OR(FY$8="判定対象外",GB$8="判定対象外",GB153="-"),"-",IF(FY153=GB153,"OK","NG"))</f>
        <v>OK</v>
      </c>
    </row>
    <row r="154" spans="1:185" s="237" customFormat="1" ht="51.75" customHeight="1">
      <c r="B154" s="216">
        <f t="shared" si="408"/>
        <v>147</v>
      </c>
      <c r="C154" s="220"/>
      <c r="D154" s="220"/>
      <c r="E154" s="220"/>
      <c r="F154" s="240" t="s">
        <v>350</v>
      </c>
      <c r="G154" s="241"/>
      <c r="H154" s="242"/>
      <c r="I154" s="225"/>
      <c r="J154" s="225"/>
      <c r="K154" s="226"/>
      <c r="L154" s="226"/>
      <c r="M154" s="227" t="s">
        <v>351</v>
      </c>
      <c r="N154" s="228"/>
      <c r="O154" s="229"/>
      <c r="P154" s="45">
        <f t="shared" si="363"/>
        <v>127</v>
      </c>
      <c r="Q154" s="230">
        <v>64</v>
      </c>
      <c r="R154" s="41" t="str">
        <f t="shared" si="381"/>
        <v>NX</v>
      </c>
      <c r="S154" s="185" t="s">
        <v>251</v>
      </c>
      <c r="T154" s="231"/>
      <c r="U154" s="41" t="s">
        <v>80</v>
      </c>
      <c r="V154" s="229" t="s">
        <v>252</v>
      </c>
      <c r="W154" s="232">
        <v>3</v>
      </c>
      <c r="X154" s="194" t="s">
        <v>253</v>
      </c>
      <c r="Y154" s="194">
        <v>1</v>
      </c>
      <c r="Z154" s="194">
        <v>64</v>
      </c>
      <c r="AA154" s="225" t="s">
        <v>101</v>
      </c>
      <c r="AB154" s="225" t="s">
        <v>57</v>
      </c>
      <c r="AC154" s="243" t="s">
        <v>252</v>
      </c>
      <c r="AD154" s="233"/>
      <c r="AE154" s="268"/>
      <c r="AF154" s="235" t="str">
        <f t="shared" si="383"/>
        <v xml:space="preserve">                                                                </v>
      </c>
      <c r="AG154" s="174" t="str">
        <f t="shared" si="364"/>
        <v>NG</v>
      </c>
      <c r="AH154" s="297"/>
      <c r="AI154" s="276" t="str">
        <f>IF(OR(AE$8="判定対象外",AH$8="判定対象外",AH154="-"),"-",IF(AE154=AH154,"OK","NG"))</f>
        <v>OK</v>
      </c>
      <c r="AJ154" s="233"/>
      <c r="AK154" s="234"/>
      <c r="AL154" s="235" t="str">
        <f t="shared" si="382"/>
        <v xml:space="preserve">                                                                </v>
      </c>
      <c r="AM154" s="174" t="str">
        <f t="shared" si="409"/>
        <v>NG</v>
      </c>
      <c r="AN154" s="269"/>
      <c r="AO154" s="276" t="str">
        <f>IF(OR(AK$8="判定対象外",AN$8="判定対象外",AN154="-"),"-",IF(AK154=AN154,"OK","NG"))</f>
        <v>OK</v>
      </c>
      <c r="AP154" s="233"/>
      <c r="AQ154" s="268"/>
      <c r="AR154" s="235" t="str">
        <f t="shared" si="384"/>
        <v xml:space="preserve">                                                                </v>
      </c>
      <c r="AS154" s="174" t="str">
        <f t="shared" si="365"/>
        <v>NG</v>
      </c>
      <c r="AT154" s="297"/>
      <c r="AU154" s="276" t="str">
        <f>IF(OR(AQ$8="判定対象外",AT$8="判定対象外",AT154="-"),"-",IF(AQ154=AT154,"OK","NG"))</f>
        <v>OK</v>
      </c>
      <c r="AV154" s="233"/>
      <c r="AW154" s="268"/>
      <c r="AX154" s="235" t="str">
        <f t="shared" si="385"/>
        <v xml:space="preserve">                                                                </v>
      </c>
      <c r="AY154" s="174" t="str">
        <f t="shared" si="366"/>
        <v>NG</v>
      </c>
      <c r="AZ154" s="297"/>
      <c r="BA154" s="276" t="str">
        <f>IF(OR(AW$8="判定対象外",AZ$8="判定対象外",AZ154="-"),"-",IF(AW154=AZ154,"OK","NG"))</f>
        <v>OK</v>
      </c>
      <c r="BB154" s="233"/>
      <c r="BC154" s="268"/>
      <c r="BD154" s="235" t="str">
        <f t="shared" si="386"/>
        <v xml:space="preserve">                                                                </v>
      </c>
      <c r="BE154" s="174" t="str">
        <f t="shared" si="367"/>
        <v>NG</v>
      </c>
      <c r="BF154" s="297"/>
      <c r="BG154" s="276" t="str">
        <f>IF(OR(BC$8="判定対象外",BF$8="判定対象外",BF154="-"),"-",IF(BC154=BF154,"OK","NG"))</f>
        <v>OK</v>
      </c>
      <c r="BH154" s="233"/>
      <c r="BI154" s="268"/>
      <c r="BJ154" s="235" t="str">
        <f t="shared" si="387"/>
        <v xml:space="preserve">                                                                </v>
      </c>
      <c r="BK154" s="174" t="str">
        <f t="shared" si="368"/>
        <v>NG</v>
      </c>
      <c r="BL154" s="297"/>
      <c r="BM154" s="276" t="str">
        <f>IF(OR(BI$8="判定対象外",BL$8="判定対象外",BL154="-"),"-",IF(BI154=BL154,"OK","NG"))</f>
        <v>OK</v>
      </c>
      <c r="BN154" s="233"/>
      <c r="BO154" s="268"/>
      <c r="BP154" s="235" t="str">
        <f t="shared" si="388"/>
        <v xml:space="preserve">                                                                </v>
      </c>
      <c r="BQ154" s="174" t="str">
        <f t="shared" si="369"/>
        <v>NG</v>
      </c>
      <c r="BR154" s="297"/>
      <c r="BS154" s="276" t="str">
        <f>IF(OR(BO$8="判定対象外",BR$8="判定対象外",BR154="-"),"-",IF(BO154=BR154,"OK","NG"))</f>
        <v>OK</v>
      </c>
      <c r="BT154" s="233"/>
      <c r="BU154" s="268"/>
      <c r="BV154" s="235" t="str">
        <f t="shared" si="389"/>
        <v xml:space="preserve">                                                                </v>
      </c>
      <c r="BW154" s="174" t="str">
        <f t="shared" si="370"/>
        <v>NG</v>
      </c>
      <c r="BX154" s="297"/>
      <c r="BY154" s="276" t="str">
        <f>IF(OR(BU$8="判定対象外",BX$8="判定対象外",BX154="-"),"-",IF(BU154=BX154,"OK","NG"))</f>
        <v>OK</v>
      </c>
      <c r="BZ154" s="233"/>
      <c r="CA154" s="268"/>
      <c r="CB154" s="235" t="str">
        <f t="shared" si="390"/>
        <v xml:space="preserve">                                                                </v>
      </c>
      <c r="CC154" s="174" t="str">
        <f t="shared" si="371"/>
        <v>NG</v>
      </c>
      <c r="CD154" s="297"/>
      <c r="CE154" s="276" t="str">
        <f>IF(OR(CA$8="判定対象外",CD$8="判定対象外",CD154="-"),"-",IF(CA154=CD154,"OK","NG"))</f>
        <v>OK</v>
      </c>
      <c r="CF154" s="233"/>
      <c r="CG154" s="268"/>
      <c r="CH154" s="235" t="str">
        <f t="shared" si="391"/>
        <v xml:space="preserve">                                                                </v>
      </c>
      <c r="CI154" s="174" t="str">
        <f t="shared" si="372"/>
        <v>NG</v>
      </c>
      <c r="CJ154" s="297"/>
      <c r="CK154" s="276" t="str">
        <f>IF(OR(CG$8="判定対象外",CJ$8="判定対象外",CJ154="-"),"-",IF(CG154=CJ154,"OK","NG"))</f>
        <v>OK</v>
      </c>
      <c r="CL154" s="233"/>
      <c r="CM154" s="268"/>
      <c r="CN154" s="235" t="str">
        <f t="shared" si="392"/>
        <v xml:space="preserve">                                                                </v>
      </c>
      <c r="CO154" s="174" t="str">
        <f t="shared" si="373"/>
        <v>NG</v>
      </c>
      <c r="CP154" s="297"/>
      <c r="CQ154" s="276" t="str">
        <f>IF(OR(CM$8="判定対象外",CP$8="判定対象外",CP154="-"),"-",IF(CM154=CP154,"OK","NG"))</f>
        <v>OK</v>
      </c>
      <c r="CR154" s="233"/>
      <c r="CS154" s="268"/>
      <c r="CT154" s="235" t="str">
        <f t="shared" si="393"/>
        <v xml:space="preserve">                                                                </v>
      </c>
      <c r="CU154" s="174" t="str">
        <f t="shared" si="374"/>
        <v>NG</v>
      </c>
      <c r="CV154" s="297"/>
      <c r="CW154" s="276" t="str">
        <f>IF(OR(CS$8="判定対象外",CV$8="判定対象外",CV154="-"),"-",IF(CS154=CV154,"OK","NG"))</f>
        <v>OK</v>
      </c>
      <c r="CX154" s="233"/>
      <c r="CY154" s="268"/>
      <c r="CZ154" s="235" t="str">
        <f t="shared" si="394"/>
        <v xml:space="preserve">                                                                </v>
      </c>
      <c r="DA154" s="174" t="str">
        <f t="shared" si="375"/>
        <v>NG</v>
      </c>
      <c r="DB154" s="297"/>
      <c r="DC154" s="276" t="str">
        <f>IF(OR(CY$8="判定対象外",DB$8="判定対象外",DB154="-"),"-",IF(CY154=DB154,"OK","NG"))</f>
        <v>OK</v>
      </c>
      <c r="DD154" s="233"/>
      <c r="DE154" s="268"/>
      <c r="DF154" s="235" t="str">
        <f t="shared" si="395"/>
        <v xml:space="preserve">                                                                </v>
      </c>
      <c r="DG154" s="174" t="str">
        <f t="shared" si="376"/>
        <v>NG</v>
      </c>
      <c r="DH154" s="297"/>
      <c r="DI154" s="276" t="str">
        <f>IF(OR(DE$8="判定対象外",DH$8="判定対象外",DH154="-"),"-",IF(DE154=DH154,"OK","NG"))</f>
        <v>OK</v>
      </c>
      <c r="DJ154" s="233"/>
      <c r="DK154" s="268"/>
      <c r="DL154" s="235" t="str">
        <f t="shared" si="396"/>
        <v xml:space="preserve">                                                                </v>
      </c>
      <c r="DM154" s="174" t="str">
        <f t="shared" si="377"/>
        <v>NG</v>
      </c>
      <c r="DN154" s="297"/>
      <c r="DO154" s="276" t="str">
        <f>IF(OR(DK$8="判定対象外",DN$8="判定対象外",DN154="-"),"-",IF(DK154=DN154,"OK","NG"))</f>
        <v>OK</v>
      </c>
      <c r="DP154" s="233"/>
      <c r="DQ154" s="268"/>
      <c r="DR154" s="235" t="str">
        <f t="shared" si="397"/>
        <v xml:space="preserve">                                                                </v>
      </c>
      <c r="DS154" s="174" t="str">
        <f t="shared" si="354"/>
        <v>NG</v>
      </c>
      <c r="DT154" s="297"/>
      <c r="DU154" s="276" t="str">
        <f>IF(OR(DQ$8="判定対象外",DT$8="判定対象外",DT154="-"),"-",IF(DQ154=DT154,"OK","NG"))</f>
        <v>OK</v>
      </c>
      <c r="DV154" s="233"/>
      <c r="DW154" s="268"/>
      <c r="DX154" s="235" t="str">
        <f t="shared" si="398"/>
        <v xml:space="preserve">                                                                </v>
      </c>
      <c r="DY154" s="174" t="str">
        <f t="shared" si="355"/>
        <v>NG</v>
      </c>
      <c r="DZ154" s="297"/>
      <c r="EA154" s="276" t="str">
        <f>IF(OR(DW$8="判定対象外",DZ$8="判定対象外",DZ154="-"),"-",IF(DW154=DZ154,"OK","NG"))</f>
        <v>OK</v>
      </c>
      <c r="EB154" s="233"/>
      <c r="EC154" s="268"/>
      <c r="ED154" s="235" t="str">
        <f t="shared" si="399"/>
        <v xml:space="preserve">                                                                </v>
      </c>
      <c r="EE154" s="174" t="str">
        <f t="shared" si="356"/>
        <v>NG</v>
      </c>
      <c r="EF154" s="297"/>
      <c r="EG154" s="276" t="str">
        <f>IF(OR(EC$8="判定対象外",EF$8="判定対象外",EF154="-"),"-",IF(EC154=EF154,"OK","NG"))</f>
        <v>OK</v>
      </c>
      <c r="EH154" s="233"/>
      <c r="EI154" s="268"/>
      <c r="EJ154" s="235" t="str">
        <f t="shared" si="400"/>
        <v xml:space="preserve">                                                                </v>
      </c>
      <c r="EK154" s="174" t="str">
        <f t="shared" si="357"/>
        <v>NG</v>
      </c>
      <c r="EL154" s="297"/>
      <c r="EM154" s="276" t="str">
        <f>IF(OR(EI$8="判定対象外",EL$8="判定対象外",EL154="-"),"-",IF(EI154=EL154,"OK","NG"))</f>
        <v>OK</v>
      </c>
      <c r="EN154" s="233"/>
      <c r="EO154" s="268"/>
      <c r="EP154" s="235" t="str">
        <f t="shared" si="401"/>
        <v xml:space="preserve">                                                                </v>
      </c>
      <c r="EQ154" s="174" t="str">
        <f t="shared" si="358"/>
        <v>NG</v>
      </c>
      <c r="ER154" s="297"/>
      <c r="ES154" s="276" t="str">
        <f>IF(OR(EO$8="判定対象外",ER$8="判定対象外",ER154="-"),"-",IF(EO154=ER154,"OK","NG"))</f>
        <v>OK</v>
      </c>
      <c r="ET154" s="233"/>
      <c r="EU154" s="268"/>
      <c r="EV154" s="235" t="str">
        <f t="shared" si="402"/>
        <v xml:space="preserve">                                                                </v>
      </c>
      <c r="EW154" s="174" t="str">
        <f t="shared" si="359"/>
        <v>NG</v>
      </c>
      <c r="EX154" s="297"/>
      <c r="EY154" s="276" t="str">
        <f>IF(OR(EU$8="判定対象外",EX$8="判定対象外",EX154="-"),"-",IF(EU154=EX154,"OK","NG"))</f>
        <v>OK</v>
      </c>
      <c r="EZ154" s="233"/>
      <c r="FA154" s="268"/>
      <c r="FB154" s="235" t="str">
        <f t="shared" si="403"/>
        <v xml:space="preserve">                                                                </v>
      </c>
      <c r="FC154" s="174" t="str">
        <f t="shared" si="360"/>
        <v>NG</v>
      </c>
      <c r="FD154" s="297"/>
      <c r="FE154" s="276" t="str">
        <f>IF(OR(FA$8="判定対象外",FD$8="判定対象外",FD154="-"),"-",IF(FA154=FD154,"OK","NG"))</f>
        <v>OK</v>
      </c>
      <c r="FF154" s="233"/>
      <c r="FG154" s="268"/>
      <c r="FH154" s="235" t="str">
        <f t="shared" si="404"/>
        <v xml:space="preserve">                                                                </v>
      </c>
      <c r="FI154" s="174" t="str">
        <f t="shared" si="361"/>
        <v>NG</v>
      </c>
      <c r="FJ154" s="297"/>
      <c r="FK154" s="276" t="str">
        <f>IF(OR(FG$8="判定対象外",FJ$8="判定対象外",FJ154="-"),"-",IF(FG154=FJ154,"OK","NG"))</f>
        <v>OK</v>
      </c>
      <c r="FL154" s="233"/>
      <c r="FM154" s="268"/>
      <c r="FN154" s="235" t="str">
        <f t="shared" si="405"/>
        <v xml:space="preserve">                                                                </v>
      </c>
      <c r="FO154" s="174" t="str">
        <f t="shared" si="378"/>
        <v>NG</v>
      </c>
      <c r="FP154" s="297"/>
      <c r="FQ154" s="276" t="str">
        <f>IF(OR(FM$8="判定対象外",FP$8="判定対象外",FP154="-"),"-",IF(FM154=FP154,"OK","NG"))</f>
        <v>OK</v>
      </c>
      <c r="FR154" s="233"/>
      <c r="FS154" s="268"/>
      <c r="FT154" s="235" t="str">
        <f t="shared" si="406"/>
        <v xml:space="preserve">                                                                </v>
      </c>
      <c r="FU154" s="174" t="str">
        <f t="shared" si="379"/>
        <v>NG</v>
      </c>
      <c r="FV154" s="297"/>
      <c r="FW154" s="276" t="str">
        <f>IF(OR(FS$8="判定対象外",FV$8="判定対象外",FV154="-"),"-",IF(FS154=FV154,"OK","NG"))</f>
        <v>OK</v>
      </c>
      <c r="FX154" s="233"/>
      <c r="FY154" s="268"/>
      <c r="FZ154" s="235" t="str">
        <f t="shared" si="407"/>
        <v xml:space="preserve">                                                                </v>
      </c>
      <c r="GA154" s="174" t="str">
        <f t="shared" si="380"/>
        <v>NG</v>
      </c>
      <c r="GB154" s="297"/>
      <c r="GC154" s="276" t="str">
        <f>IF(OR(FY$8="判定対象外",GB$8="判定対象外",GB154="-"),"-",IF(FY154=GB154,"OK","NG"))</f>
        <v>OK</v>
      </c>
    </row>
    <row r="155" spans="1:185" s="237" customFormat="1" ht="92.25" customHeight="1">
      <c r="B155" s="216">
        <f t="shared" si="408"/>
        <v>148</v>
      </c>
      <c r="C155" s="220"/>
      <c r="D155" s="220"/>
      <c r="E155" s="220"/>
      <c r="F155" s="238" t="s">
        <v>352</v>
      </c>
      <c r="G155" s="168"/>
      <c r="H155" s="239"/>
      <c r="I155" s="225"/>
      <c r="J155" s="225"/>
      <c r="K155" s="226"/>
      <c r="L155" s="226"/>
      <c r="M155" s="279" t="s">
        <v>353</v>
      </c>
      <c r="N155" s="228"/>
      <c r="O155" s="229"/>
      <c r="P155" s="45">
        <f t="shared" si="363"/>
        <v>128</v>
      </c>
      <c r="Q155" s="230">
        <v>7</v>
      </c>
      <c r="R155" s="41" t="s">
        <v>81</v>
      </c>
      <c r="S155" s="185" t="s">
        <v>254</v>
      </c>
      <c r="T155" s="231"/>
      <c r="U155" s="41" t="s">
        <v>80</v>
      </c>
      <c r="V155" s="229"/>
      <c r="W155" s="232">
        <v>3</v>
      </c>
      <c r="X155" s="194" t="s">
        <v>255</v>
      </c>
      <c r="Y155" s="194">
        <v>7</v>
      </c>
      <c r="Z155" s="194">
        <v>7</v>
      </c>
      <c r="AA155" s="225" t="s">
        <v>81</v>
      </c>
      <c r="AB155" s="225" t="s">
        <v>57</v>
      </c>
      <c r="AC155" s="243"/>
      <c r="AD155" s="233"/>
      <c r="AE155" s="268"/>
      <c r="AF155" s="235" t="str">
        <f t="shared" si="383"/>
        <v xml:space="preserve">       </v>
      </c>
      <c r="AG155" s="174" t="str">
        <f t="shared" si="364"/>
        <v>NG</v>
      </c>
      <c r="AH155" s="268"/>
      <c r="AI155" s="276" t="str">
        <f>IF(OR(AE$8="判定対象外",AH$8="判定対象外",AH155="-"),"-",IF(AE155=AH155,"OK","NG"))</f>
        <v>OK</v>
      </c>
      <c r="AJ155" s="233"/>
      <c r="AK155" s="234"/>
      <c r="AL155" s="235" t="str">
        <f t="shared" si="382"/>
        <v xml:space="preserve">       </v>
      </c>
      <c r="AM155" s="174" t="str">
        <f t="shared" si="409"/>
        <v>NG</v>
      </c>
      <c r="AN155" s="268"/>
      <c r="AO155" s="276" t="str">
        <f>IF(OR(AK$8="判定対象外",AN$8="判定対象外",AN155="-"),"-",IF(AK155=AN155,"OK","NG"))</f>
        <v>OK</v>
      </c>
      <c r="AP155" s="233"/>
      <c r="AQ155" s="268"/>
      <c r="AR155" s="235" t="str">
        <f t="shared" si="384"/>
        <v xml:space="preserve">       </v>
      </c>
      <c r="AS155" s="174" t="str">
        <f t="shared" si="365"/>
        <v>NG</v>
      </c>
      <c r="AT155" s="268"/>
      <c r="AU155" s="276" t="str">
        <f>IF(OR(AQ$8="判定対象外",AT$8="判定対象外",AT155="-"),"-",IF(AQ155=AT155,"OK","NG"))</f>
        <v>OK</v>
      </c>
      <c r="AV155" s="233"/>
      <c r="AW155" s="268"/>
      <c r="AX155" s="235" t="str">
        <f t="shared" si="385"/>
        <v xml:space="preserve">       </v>
      </c>
      <c r="AY155" s="174" t="str">
        <f t="shared" si="366"/>
        <v>NG</v>
      </c>
      <c r="AZ155" s="268"/>
      <c r="BA155" s="276" t="str">
        <f>IF(OR(AW$8="判定対象外",AZ$8="判定対象外",AZ155="-"),"-",IF(AW155=AZ155,"OK","NG"))</f>
        <v>OK</v>
      </c>
      <c r="BB155" s="233"/>
      <c r="BC155" s="268"/>
      <c r="BD155" s="235" t="str">
        <f t="shared" si="386"/>
        <v xml:space="preserve">       </v>
      </c>
      <c r="BE155" s="174" t="str">
        <f t="shared" si="367"/>
        <v>NG</v>
      </c>
      <c r="BF155" s="268"/>
      <c r="BG155" s="276" t="str">
        <f>IF(OR(BC$8="判定対象外",BF$8="判定対象外",BF155="-"),"-",IF(BC155=BF155,"OK","NG"))</f>
        <v>OK</v>
      </c>
      <c r="BH155" s="233"/>
      <c r="BI155" s="268"/>
      <c r="BJ155" s="235" t="str">
        <f t="shared" si="387"/>
        <v xml:space="preserve">       </v>
      </c>
      <c r="BK155" s="174" t="str">
        <f t="shared" si="368"/>
        <v>NG</v>
      </c>
      <c r="BL155" s="268"/>
      <c r="BM155" s="276" t="str">
        <f>IF(OR(BI$8="判定対象外",BL$8="判定対象外",BL155="-"),"-",IF(BI155=BL155,"OK","NG"))</f>
        <v>OK</v>
      </c>
      <c r="BN155" s="233"/>
      <c r="BO155" s="268"/>
      <c r="BP155" s="235" t="str">
        <f t="shared" si="388"/>
        <v xml:space="preserve">       </v>
      </c>
      <c r="BQ155" s="174" t="str">
        <f t="shared" si="369"/>
        <v>NG</v>
      </c>
      <c r="BR155" s="268"/>
      <c r="BS155" s="276" t="str">
        <f>IF(OR(BO$8="判定対象外",BR$8="判定対象外",BR155="-"),"-",IF(BO155=BR155,"OK","NG"))</f>
        <v>OK</v>
      </c>
      <c r="BT155" s="233"/>
      <c r="BU155" s="268"/>
      <c r="BV155" s="235" t="str">
        <f t="shared" si="389"/>
        <v xml:space="preserve">       </v>
      </c>
      <c r="BW155" s="174" t="str">
        <f t="shared" si="370"/>
        <v>NG</v>
      </c>
      <c r="BX155" s="268"/>
      <c r="BY155" s="276" t="str">
        <f>IF(OR(BU$8="判定対象外",BX$8="判定対象外",BX155="-"),"-",IF(BU155=BX155,"OK","NG"))</f>
        <v>OK</v>
      </c>
      <c r="BZ155" s="233"/>
      <c r="CA155" s="268"/>
      <c r="CB155" s="235" t="str">
        <f t="shared" si="390"/>
        <v xml:space="preserve">       </v>
      </c>
      <c r="CC155" s="174" t="str">
        <f t="shared" si="371"/>
        <v>NG</v>
      </c>
      <c r="CD155" s="268"/>
      <c r="CE155" s="276" t="str">
        <f>IF(OR(CA$8="判定対象外",CD$8="判定対象外",CD155="-"),"-",IF(CA155=CD155,"OK","NG"))</f>
        <v>OK</v>
      </c>
      <c r="CF155" s="233"/>
      <c r="CG155" s="268"/>
      <c r="CH155" s="235" t="str">
        <f t="shared" si="391"/>
        <v xml:space="preserve">       </v>
      </c>
      <c r="CI155" s="174" t="str">
        <f t="shared" si="372"/>
        <v>NG</v>
      </c>
      <c r="CJ155" s="268"/>
      <c r="CK155" s="276" t="str">
        <f>IF(OR(CG$8="判定対象外",CJ$8="判定対象外",CJ155="-"),"-",IF(CG155=CJ155,"OK","NG"))</f>
        <v>OK</v>
      </c>
      <c r="CL155" s="233"/>
      <c r="CM155" s="268"/>
      <c r="CN155" s="235" t="str">
        <f t="shared" si="392"/>
        <v xml:space="preserve">       </v>
      </c>
      <c r="CO155" s="174" t="str">
        <f t="shared" si="373"/>
        <v>NG</v>
      </c>
      <c r="CP155" s="268"/>
      <c r="CQ155" s="276" t="str">
        <f>IF(OR(CM$8="判定対象外",CP$8="判定対象外",CP155="-"),"-",IF(CM155=CP155,"OK","NG"))</f>
        <v>OK</v>
      </c>
      <c r="CR155" s="233"/>
      <c r="CS155" s="268"/>
      <c r="CT155" s="235" t="str">
        <f t="shared" si="393"/>
        <v xml:space="preserve">       </v>
      </c>
      <c r="CU155" s="174" t="str">
        <f t="shared" si="374"/>
        <v>NG</v>
      </c>
      <c r="CV155" s="268"/>
      <c r="CW155" s="276" t="str">
        <f>IF(OR(CS$8="判定対象外",CV$8="判定対象外",CV155="-"),"-",IF(CS155=CV155,"OK","NG"))</f>
        <v>OK</v>
      </c>
      <c r="CX155" s="233"/>
      <c r="CY155" s="268"/>
      <c r="CZ155" s="235" t="str">
        <f t="shared" si="394"/>
        <v xml:space="preserve">       </v>
      </c>
      <c r="DA155" s="174" t="str">
        <f t="shared" si="375"/>
        <v>NG</v>
      </c>
      <c r="DB155" s="268"/>
      <c r="DC155" s="276" t="str">
        <f>IF(OR(CY$8="判定対象外",DB$8="判定対象外",DB155="-"),"-",IF(CY155=DB155,"OK","NG"))</f>
        <v>OK</v>
      </c>
      <c r="DD155" s="233"/>
      <c r="DE155" s="268"/>
      <c r="DF155" s="235" t="str">
        <f t="shared" si="395"/>
        <v xml:space="preserve">       </v>
      </c>
      <c r="DG155" s="174" t="str">
        <f t="shared" si="376"/>
        <v>NG</v>
      </c>
      <c r="DH155" s="268"/>
      <c r="DI155" s="276" t="str">
        <f>IF(OR(DE$8="判定対象外",DH$8="判定対象外",DH155="-"),"-",IF(DE155=DH155,"OK","NG"))</f>
        <v>OK</v>
      </c>
      <c r="DJ155" s="233"/>
      <c r="DK155" s="268"/>
      <c r="DL155" s="235" t="str">
        <f t="shared" si="396"/>
        <v xml:space="preserve">       </v>
      </c>
      <c r="DM155" s="174" t="str">
        <f t="shared" si="377"/>
        <v>NG</v>
      </c>
      <c r="DN155" s="268"/>
      <c r="DO155" s="276" t="str">
        <f>IF(OR(DK$8="判定対象外",DN$8="判定対象外",DN155="-"),"-",IF(DK155=DN155,"OK","NG"))</f>
        <v>OK</v>
      </c>
      <c r="DP155" s="233"/>
      <c r="DQ155" s="268"/>
      <c r="DR155" s="235" t="str">
        <f t="shared" si="397"/>
        <v xml:space="preserve">       </v>
      </c>
      <c r="DS155" s="174" t="str">
        <f t="shared" si="354"/>
        <v>NG</v>
      </c>
      <c r="DT155" s="268"/>
      <c r="DU155" s="276" t="str">
        <f>IF(OR(DQ$8="判定対象外",DT$8="判定対象外",DT155="-"),"-",IF(DQ155=DT155,"OK","NG"))</f>
        <v>OK</v>
      </c>
      <c r="DV155" s="233"/>
      <c r="DW155" s="268"/>
      <c r="DX155" s="235" t="str">
        <f t="shared" si="398"/>
        <v xml:space="preserve">       </v>
      </c>
      <c r="DY155" s="174" t="str">
        <f t="shared" si="355"/>
        <v>NG</v>
      </c>
      <c r="DZ155" s="268"/>
      <c r="EA155" s="276" t="str">
        <f>IF(OR(DW$8="判定対象外",DZ$8="判定対象外",DZ155="-"),"-",IF(DW155=DZ155,"OK","NG"))</f>
        <v>OK</v>
      </c>
      <c r="EB155" s="233"/>
      <c r="EC155" s="268"/>
      <c r="ED155" s="235" t="str">
        <f t="shared" si="399"/>
        <v xml:space="preserve">       </v>
      </c>
      <c r="EE155" s="174" t="str">
        <f t="shared" si="356"/>
        <v>NG</v>
      </c>
      <c r="EF155" s="268"/>
      <c r="EG155" s="276" t="str">
        <f>IF(OR(EC$8="判定対象外",EF$8="判定対象外",EF155="-"),"-",IF(EC155=EF155,"OK","NG"))</f>
        <v>OK</v>
      </c>
      <c r="EH155" s="233"/>
      <c r="EI155" s="268"/>
      <c r="EJ155" s="235" t="str">
        <f t="shared" si="400"/>
        <v xml:space="preserve">       </v>
      </c>
      <c r="EK155" s="174" t="str">
        <f t="shared" si="357"/>
        <v>NG</v>
      </c>
      <c r="EL155" s="268"/>
      <c r="EM155" s="276" t="str">
        <f>IF(OR(EI$8="判定対象外",EL$8="判定対象外",EL155="-"),"-",IF(EI155=EL155,"OK","NG"))</f>
        <v>OK</v>
      </c>
      <c r="EN155" s="233"/>
      <c r="EO155" s="268"/>
      <c r="EP155" s="235" t="str">
        <f t="shared" si="401"/>
        <v xml:space="preserve">       </v>
      </c>
      <c r="EQ155" s="174" t="str">
        <f t="shared" si="358"/>
        <v>NG</v>
      </c>
      <c r="ER155" s="268"/>
      <c r="ES155" s="276" t="str">
        <f>IF(OR(EO$8="判定対象外",ER$8="判定対象外",ER155="-"),"-",IF(EO155=ER155,"OK","NG"))</f>
        <v>OK</v>
      </c>
      <c r="ET155" s="233"/>
      <c r="EU155" s="268"/>
      <c r="EV155" s="235" t="str">
        <f t="shared" si="402"/>
        <v xml:space="preserve">       </v>
      </c>
      <c r="EW155" s="174" t="str">
        <f t="shared" si="359"/>
        <v>NG</v>
      </c>
      <c r="EX155" s="268"/>
      <c r="EY155" s="276" t="str">
        <f>IF(OR(EU$8="判定対象外",EX$8="判定対象外",EX155="-"),"-",IF(EU155=EX155,"OK","NG"))</f>
        <v>OK</v>
      </c>
      <c r="EZ155" s="233"/>
      <c r="FA155" s="268"/>
      <c r="FB155" s="235" t="str">
        <f t="shared" si="403"/>
        <v xml:space="preserve">       </v>
      </c>
      <c r="FC155" s="174" t="str">
        <f t="shared" si="360"/>
        <v>NG</v>
      </c>
      <c r="FD155" s="268"/>
      <c r="FE155" s="276" t="str">
        <f>IF(OR(FA$8="判定対象外",FD$8="判定対象外",FD155="-"),"-",IF(FA155=FD155,"OK","NG"))</f>
        <v>OK</v>
      </c>
      <c r="FF155" s="233"/>
      <c r="FG155" s="268"/>
      <c r="FH155" s="235" t="str">
        <f t="shared" si="404"/>
        <v xml:space="preserve">       </v>
      </c>
      <c r="FI155" s="174" t="str">
        <f t="shared" si="361"/>
        <v>NG</v>
      </c>
      <c r="FJ155" s="268"/>
      <c r="FK155" s="276" t="str">
        <f>IF(OR(FG$8="判定対象外",FJ$8="判定対象外",FJ155="-"),"-",IF(FG155=FJ155,"OK","NG"))</f>
        <v>OK</v>
      </c>
      <c r="FL155" s="233"/>
      <c r="FM155" s="268"/>
      <c r="FN155" s="235" t="str">
        <f t="shared" si="405"/>
        <v xml:space="preserve">       </v>
      </c>
      <c r="FO155" s="174" t="str">
        <f t="shared" si="378"/>
        <v>NG</v>
      </c>
      <c r="FP155" s="268"/>
      <c r="FQ155" s="276" t="str">
        <f>IF(OR(FM$8="判定対象外",FP$8="判定対象外",FP155="-"),"-",IF(FM155=FP155,"OK","NG"))</f>
        <v>OK</v>
      </c>
      <c r="FR155" s="233"/>
      <c r="FS155" s="268"/>
      <c r="FT155" s="235" t="str">
        <f t="shared" si="406"/>
        <v xml:space="preserve">       </v>
      </c>
      <c r="FU155" s="174" t="str">
        <f t="shared" si="379"/>
        <v>NG</v>
      </c>
      <c r="FV155" s="268"/>
      <c r="FW155" s="276" t="str">
        <f>IF(OR(FS$8="判定対象外",FV$8="判定対象外",FV155="-"),"-",IF(FS155=FV155,"OK","NG"))</f>
        <v>OK</v>
      </c>
      <c r="FX155" s="233"/>
      <c r="FY155" s="268"/>
      <c r="FZ155" s="235" t="str">
        <f t="shared" si="407"/>
        <v xml:space="preserve">       </v>
      </c>
      <c r="GA155" s="174" t="str">
        <f t="shared" si="380"/>
        <v>NG</v>
      </c>
      <c r="GB155" s="268"/>
      <c r="GC155" s="276" t="str">
        <f>IF(OR(FY$8="判定対象外",GB$8="判定対象外",GB155="-"),"-",IF(FY155=GB155,"OK","NG"))</f>
        <v>OK</v>
      </c>
    </row>
    <row r="156" spans="1:185" s="237" customFormat="1" ht="127.9" thickBot="1">
      <c r="A156" s="244"/>
      <c r="B156" s="286">
        <f t="shared" si="408"/>
        <v>149</v>
      </c>
      <c r="C156" s="245"/>
      <c r="D156" s="245"/>
      <c r="E156" s="245"/>
      <c r="F156" s="287" t="s">
        <v>354</v>
      </c>
      <c r="G156" s="288"/>
      <c r="H156" s="289"/>
      <c r="I156" s="290"/>
      <c r="J156" s="290"/>
      <c r="K156" s="290"/>
      <c r="L156" s="290"/>
      <c r="M156" s="291" t="s">
        <v>355</v>
      </c>
      <c r="N156" s="280"/>
      <c r="O156" s="284"/>
      <c r="P156" s="71">
        <f t="shared" si="363"/>
        <v>129</v>
      </c>
      <c r="Q156" s="74">
        <v>1</v>
      </c>
      <c r="R156" s="73">
        <v>9</v>
      </c>
      <c r="S156" s="74" t="s">
        <v>256</v>
      </c>
      <c r="T156" s="74"/>
      <c r="U156" s="73" t="s">
        <v>80</v>
      </c>
      <c r="V156" s="246"/>
      <c r="W156" s="76" t="str">
        <f>IF(C156&lt;&gt;"","0",IF(D156&lt;&gt;"","1",IF(E156&lt;&gt;"","2",IF(F156&lt;&gt;"","3",IF(G156&lt;&gt;"","4",IF(H156&lt;&gt;"","5"))))))</f>
        <v>3</v>
      </c>
      <c r="X156" s="77" t="s">
        <v>258</v>
      </c>
      <c r="Y156" s="77">
        <v>1</v>
      </c>
      <c r="Z156" s="77">
        <v>1</v>
      </c>
      <c r="AA156" s="247">
        <v>9</v>
      </c>
      <c r="AB156" s="68" t="s">
        <v>80</v>
      </c>
      <c r="AC156" s="248"/>
      <c r="AD156" s="249"/>
      <c r="AE156" s="300"/>
      <c r="AF156" s="253" t="str">
        <f t="shared" si="383"/>
        <v xml:space="preserve"> </v>
      </c>
      <c r="AG156" s="177" t="str">
        <f t="shared" si="364"/>
        <v>NG</v>
      </c>
      <c r="AH156" s="300"/>
      <c r="AI156" s="276" t="str">
        <f>IF(OR(AE$8="判定対象外",AH$8="判定対象外",AH156="-"),"-",IF(AE156=AH156,"OK","NG"))</f>
        <v>OK</v>
      </c>
      <c r="AJ156" s="249"/>
      <c r="AK156" s="250"/>
      <c r="AL156" s="253" t="str">
        <f t="shared" si="382"/>
        <v xml:space="preserve"> </v>
      </c>
      <c r="AM156" s="177" t="str">
        <f t="shared" si="409"/>
        <v>NG</v>
      </c>
      <c r="AN156" s="300"/>
      <c r="AO156" s="276" t="str">
        <f>IF(OR(AK$8="判定対象外",AN$8="判定対象外",AN156="-"),"-",IF(AK156=AN156,"OK","NG"))</f>
        <v>OK</v>
      </c>
      <c r="AP156" s="249"/>
      <c r="AQ156" s="300"/>
      <c r="AR156" s="253" t="str">
        <f t="shared" si="384"/>
        <v xml:space="preserve"> </v>
      </c>
      <c r="AS156" s="177" t="str">
        <f t="shared" si="365"/>
        <v>NG</v>
      </c>
      <c r="AT156" s="300"/>
      <c r="AU156" s="276" t="str">
        <f>IF(OR(AQ$8="判定対象外",AT$8="判定対象外",AT156="-"),"-",IF(AQ156=AT156,"OK","NG"))</f>
        <v>OK</v>
      </c>
      <c r="AV156" s="249"/>
      <c r="AW156" s="300"/>
      <c r="AX156" s="253" t="str">
        <f t="shared" si="385"/>
        <v xml:space="preserve"> </v>
      </c>
      <c r="AY156" s="177" t="str">
        <f t="shared" si="366"/>
        <v>NG</v>
      </c>
      <c r="AZ156" s="300"/>
      <c r="BA156" s="276" t="str">
        <f>IF(OR(AW$8="判定対象外",AZ$8="判定対象外",AZ156="-"),"-",IF(AW156=AZ156,"OK","NG"))</f>
        <v>OK</v>
      </c>
      <c r="BB156" s="249"/>
      <c r="BC156" s="300"/>
      <c r="BD156" s="253" t="str">
        <f t="shared" si="386"/>
        <v xml:space="preserve"> </v>
      </c>
      <c r="BE156" s="177" t="str">
        <f t="shared" si="367"/>
        <v>NG</v>
      </c>
      <c r="BF156" s="300"/>
      <c r="BG156" s="276" t="str">
        <f>IF(OR(BC$8="判定対象外",BF$8="判定対象外",BF156="-"),"-",IF(BC156=BF156,"OK","NG"))</f>
        <v>OK</v>
      </c>
      <c r="BH156" s="249"/>
      <c r="BI156" s="300"/>
      <c r="BJ156" s="253" t="str">
        <f t="shared" si="387"/>
        <v xml:space="preserve"> </v>
      </c>
      <c r="BK156" s="177" t="str">
        <f t="shared" si="368"/>
        <v>NG</v>
      </c>
      <c r="BL156" s="300"/>
      <c r="BM156" s="276" t="str">
        <f>IF(OR(BI$8="判定対象外",BL$8="判定対象外",BL156="-"),"-",IF(BI156=BL156,"OK","NG"))</f>
        <v>OK</v>
      </c>
      <c r="BN156" s="249"/>
      <c r="BO156" s="300"/>
      <c r="BP156" s="253" t="str">
        <f t="shared" si="388"/>
        <v xml:space="preserve"> </v>
      </c>
      <c r="BQ156" s="177" t="str">
        <f t="shared" si="369"/>
        <v>NG</v>
      </c>
      <c r="BR156" s="300"/>
      <c r="BS156" s="276" t="str">
        <f>IF(OR(BO$8="判定対象外",BR$8="判定対象外",BR156="-"),"-",IF(BO156=BR156,"OK","NG"))</f>
        <v>OK</v>
      </c>
      <c r="BT156" s="249"/>
      <c r="BU156" s="300"/>
      <c r="BV156" s="253" t="str">
        <f t="shared" si="389"/>
        <v xml:space="preserve"> </v>
      </c>
      <c r="BW156" s="177" t="str">
        <f t="shared" si="370"/>
        <v>NG</v>
      </c>
      <c r="BX156" s="300"/>
      <c r="BY156" s="276" t="str">
        <f>IF(OR(BU$8="判定対象外",BX$8="判定対象外",BX156="-"),"-",IF(BU156=BX156,"OK","NG"))</f>
        <v>OK</v>
      </c>
      <c r="BZ156" s="249"/>
      <c r="CA156" s="300"/>
      <c r="CB156" s="253" t="str">
        <f t="shared" si="390"/>
        <v xml:space="preserve"> </v>
      </c>
      <c r="CC156" s="177" t="str">
        <f t="shared" si="371"/>
        <v>NG</v>
      </c>
      <c r="CD156" s="300"/>
      <c r="CE156" s="276" t="str">
        <f>IF(OR(CA$8="判定対象外",CD$8="判定対象外",CD156="-"),"-",IF(CA156=CD156,"OK","NG"))</f>
        <v>OK</v>
      </c>
      <c r="CF156" s="249"/>
      <c r="CG156" s="300"/>
      <c r="CH156" s="253" t="str">
        <f t="shared" si="391"/>
        <v xml:space="preserve"> </v>
      </c>
      <c r="CI156" s="177" t="str">
        <f t="shared" si="372"/>
        <v>NG</v>
      </c>
      <c r="CJ156" s="300"/>
      <c r="CK156" s="276" t="str">
        <f>IF(OR(CG$8="判定対象外",CJ$8="判定対象外",CJ156="-"),"-",IF(CG156=CJ156,"OK","NG"))</f>
        <v>OK</v>
      </c>
      <c r="CL156" s="249"/>
      <c r="CM156" s="300"/>
      <c r="CN156" s="253" t="str">
        <f t="shared" si="392"/>
        <v xml:space="preserve"> </v>
      </c>
      <c r="CO156" s="177" t="str">
        <f t="shared" si="373"/>
        <v>NG</v>
      </c>
      <c r="CP156" s="300"/>
      <c r="CQ156" s="276" t="str">
        <f>IF(OR(CM$8="判定対象外",CP$8="判定対象外",CP156="-"),"-",IF(CM156=CP156,"OK","NG"))</f>
        <v>OK</v>
      </c>
      <c r="CR156" s="249"/>
      <c r="CS156" s="300"/>
      <c r="CT156" s="253" t="str">
        <f t="shared" si="393"/>
        <v xml:space="preserve"> </v>
      </c>
      <c r="CU156" s="177" t="str">
        <f t="shared" si="374"/>
        <v>NG</v>
      </c>
      <c r="CV156" s="300"/>
      <c r="CW156" s="276" t="str">
        <f>IF(OR(CS$8="判定対象外",CV$8="判定対象外",CV156="-"),"-",IF(CS156=CV156,"OK","NG"))</f>
        <v>OK</v>
      </c>
      <c r="CX156" s="249"/>
      <c r="CY156" s="300"/>
      <c r="CZ156" s="253" t="str">
        <f t="shared" si="394"/>
        <v xml:space="preserve"> </v>
      </c>
      <c r="DA156" s="177" t="str">
        <f t="shared" si="375"/>
        <v>NG</v>
      </c>
      <c r="DB156" s="300"/>
      <c r="DC156" s="276" t="str">
        <f>IF(OR(CY$8="判定対象外",DB$8="判定対象外",DB156="-"),"-",IF(CY156=DB156,"OK","NG"))</f>
        <v>OK</v>
      </c>
      <c r="DD156" s="249"/>
      <c r="DE156" s="300"/>
      <c r="DF156" s="253" t="str">
        <f t="shared" si="395"/>
        <v xml:space="preserve"> </v>
      </c>
      <c r="DG156" s="177" t="str">
        <f t="shared" si="376"/>
        <v>NG</v>
      </c>
      <c r="DH156" s="300"/>
      <c r="DI156" s="276" t="str">
        <f>IF(OR(DE$8="判定対象外",DH$8="判定対象外",DH156="-"),"-",IF(DE156=DH156,"OK","NG"))</f>
        <v>OK</v>
      </c>
      <c r="DJ156" s="249"/>
      <c r="DK156" s="300"/>
      <c r="DL156" s="253" t="str">
        <f t="shared" si="396"/>
        <v xml:space="preserve"> </v>
      </c>
      <c r="DM156" s="177" t="str">
        <f t="shared" si="377"/>
        <v>NG</v>
      </c>
      <c r="DN156" s="300"/>
      <c r="DO156" s="276" t="str">
        <f>IF(OR(DK$8="判定対象外",DN$8="判定対象外",DN156="-"),"-",IF(DK156=DN156,"OK","NG"))</f>
        <v>OK</v>
      </c>
      <c r="DP156" s="249"/>
      <c r="DQ156" s="300"/>
      <c r="DR156" s="253" t="str">
        <f t="shared" si="397"/>
        <v xml:space="preserve"> </v>
      </c>
      <c r="DS156" s="177" t="str">
        <f t="shared" si="354"/>
        <v>NG</v>
      </c>
      <c r="DT156" s="300"/>
      <c r="DU156" s="276" t="str">
        <f>IF(OR(DQ$8="判定対象外",DT$8="判定対象外",DT156="-"),"-",IF(DQ156=DT156,"OK","NG"))</f>
        <v>OK</v>
      </c>
      <c r="DV156" s="249"/>
      <c r="DW156" s="300"/>
      <c r="DX156" s="253" t="str">
        <f t="shared" si="398"/>
        <v xml:space="preserve"> </v>
      </c>
      <c r="DY156" s="177" t="str">
        <f t="shared" si="355"/>
        <v>NG</v>
      </c>
      <c r="DZ156" s="300"/>
      <c r="EA156" s="276" t="str">
        <f>IF(OR(DW$8="判定対象外",DZ$8="判定対象外",DZ156="-"),"-",IF(DW156=DZ156,"OK","NG"))</f>
        <v>OK</v>
      </c>
      <c r="EB156" s="249"/>
      <c r="EC156" s="300"/>
      <c r="ED156" s="253" t="str">
        <f t="shared" si="399"/>
        <v xml:space="preserve"> </v>
      </c>
      <c r="EE156" s="177" t="str">
        <f t="shared" si="356"/>
        <v>NG</v>
      </c>
      <c r="EF156" s="300"/>
      <c r="EG156" s="276" t="str">
        <f>IF(OR(EC$8="判定対象外",EF$8="判定対象外",EF156="-"),"-",IF(EC156=EF156,"OK","NG"))</f>
        <v>OK</v>
      </c>
      <c r="EH156" s="249"/>
      <c r="EI156" s="300"/>
      <c r="EJ156" s="253" t="str">
        <f t="shared" si="400"/>
        <v xml:space="preserve"> </v>
      </c>
      <c r="EK156" s="177" t="str">
        <f t="shared" si="357"/>
        <v>NG</v>
      </c>
      <c r="EL156" s="300"/>
      <c r="EM156" s="276" t="str">
        <f>IF(OR(EI$8="判定対象外",EL$8="判定対象外",EL156="-"),"-",IF(EI156=EL156,"OK","NG"))</f>
        <v>OK</v>
      </c>
      <c r="EN156" s="249"/>
      <c r="EO156" s="300"/>
      <c r="EP156" s="253" t="str">
        <f t="shared" si="401"/>
        <v xml:space="preserve"> </v>
      </c>
      <c r="EQ156" s="177" t="str">
        <f t="shared" si="358"/>
        <v>NG</v>
      </c>
      <c r="ER156" s="300"/>
      <c r="ES156" s="276" t="str">
        <f>IF(OR(EO$8="判定対象外",ER$8="判定対象外",ER156="-"),"-",IF(EO156=ER156,"OK","NG"))</f>
        <v>OK</v>
      </c>
      <c r="ET156" s="249"/>
      <c r="EU156" s="300"/>
      <c r="EV156" s="253" t="str">
        <f t="shared" si="402"/>
        <v xml:space="preserve"> </v>
      </c>
      <c r="EW156" s="177" t="str">
        <f t="shared" si="359"/>
        <v>NG</v>
      </c>
      <c r="EX156" s="300"/>
      <c r="EY156" s="276" t="str">
        <f>IF(OR(EU$8="判定対象外",EX$8="判定対象外",EX156="-"),"-",IF(EU156=EX156,"OK","NG"))</f>
        <v>OK</v>
      </c>
      <c r="EZ156" s="249"/>
      <c r="FA156" s="300"/>
      <c r="FB156" s="253" t="str">
        <f t="shared" si="403"/>
        <v xml:space="preserve"> </v>
      </c>
      <c r="FC156" s="177" t="str">
        <f t="shared" si="360"/>
        <v>NG</v>
      </c>
      <c r="FD156" s="300"/>
      <c r="FE156" s="276" t="str">
        <f>IF(OR(FA$8="判定対象外",FD$8="判定対象外",FD156="-"),"-",IF(FA156=FD156,"OK","NG"))</f>
        <v>OK</v>
      </c>
      <c r="FF156" s="249"/>
      <c r="FG156" s="300"/>
      <c r="FH156" s="253" t="str">
        <f t="shared" si="404"/>
        <v xml:space="preserve"> </v>
      </c>
      <c r="FI156" s="177" t="str">
        <f t="shared" si="361"/>
        <v>NG</v>
      </c>
      <c r="FJ156" s="300"/>
      <c r="FK156" s="276" t="str">
        <f>IF(OR(FG$8="判定対象外",FJ$8="判定対象外",FJ156="-"),"-",IF(FG156=FJ156,"OK","NG"))</f>
        <v>OK</v>
      </c>
      <c r="FL156" s="249"/>
      <c r="FM156" s="300"/>
      <c r="FN156" s="253" t="str">
        <f t="shared" si="405"/>
        <v xml:space="preserve"> </v>
      </c>
      <c r="FO156" s="177" t="str">
        <f t="shared" si="378"/>
        <v>NG</v>
      </c>
      <c r="FP156" s="300"/>
      <c r="FQ156" s="276" t="str">
        <f>IF(OR(FM$8="判定対象外",FP$8="判定対象外",FP156="-"),"-",IF(FM156=FP156,"OK","NG"))</f>
        <v>OK</v>
      </c>
      <c r="FR156" s="249"/>
      <c r="FS156" s="300"/>
      <c r="FT156" s="253" t="str">
        <f t="shared" si="406"/>
        <v xml:space="preserve"> </v>
      </c>
      <c r="FU156" s="177" t="str">
        <f t="shared" si="379"/>
        <v>NG</v>
      </c>
      <c r="FV156" s="300"/>
      <c r="FW156" s="276" t="str">
        <f>IF(OR(FS$8="判定対象外",FV$8="判定対象外",FV156="-"),"-",IF(FS156=FV156,"OK","NG"))</f>
        <v>OK</v>
      </c>
      <c r="FX156" s="249"/>
      <c r="FY156" s="300"/>
      <c r="FZ156" s="253" t="str">
        <f t="shared" si="407"/>
        <v xml:space="preserve"> </v>
      </c>
      <c r="GA156" s="177" t="str">
        <f t="shared" si="380"/>
        <v>NG</v>
      </c>
      <c r="GB156" s="300"/>
      <c r="GC156" s="276" t="str">
        <f>IF(OR(FY$8="判定対象外",GB$8="判定対象外",GB156="-"),"-",IF(FY156=GB156,"OK","NG"))</f>
        <v>OK</v>
      </c>
    </row>
    <row r="157" spans="1:185" s="52" customFormat="1" ht="18.75" customHeight="1" thickTop="1">
      <c r="B157" s="48">
        <f t="shared" si="408"/>
        <v>150</v>
      </c>
      <c r="C157" s="37"/>
      <c r="D157" s="37"/>
      <c r="E157" s="26" t="s">
        <v>315</v>
      </c>
      <c r="F157" s="254"/>
      <c r="G157" s="254"/>
      <c r="H157" s="28"/>
      <c r="I157" s="42" t="s">
        <v>1</v>
      </c>
      <c r="J157" s="42" t="s">
        <v>316</v>
      </c>
      <c r="K157" s="42"/>
      <c r="L157" s="42"/>
      <c r="M157" s="47" t="s">
        <v>317</v>
      </c>
      <c r="N157" s="281"/>
      <c r="O157" s="282"/>
      <c r="P157" s="20"/>
      <c r="Q157" s="21"/>
      <c r="R157" s="16"/>
      <c r="S157" s="283"/>
      <c r="T157" s="281"/>
      <c r="U157" s="16"/>
      <c r="V157" s="207"/>
      <c r="W157" s="22" t="str">
        <f>IF(C157&lt;&gt;"","0",IF(D157&lt;&gt;"","1",IF(E157&lt;&gt;"","2",IF(F157&lt;&gt;"","3",IF(G157&lt;&gt;"","4",IF(H157&lt;&gt;"","5"))))))</f>
        <v>2</v>
      </c>
      <c r="X157" s="47" t="s">
        <v>187</v>
      </c>
      <c r="Y157" s="47"/>
      <c r="Z157" s="47"/>
      <c r="AA157" s="42"/>
      <c r="AB157" s="42" t="s">
        <v>80</v>
      </c>
      <c r="AC157" s="251"/>
      <c r="AD157" s="160"/>
      <c r="AE157" s="141"/>
      <c r="AF157" s="203" t="str">
        <f t="shared" si="383"/>
        <v/>
      </c>
      <c r="AG157" s="174" t="str">
        <f t="shared" si="364"/>
        <v>OK</v>
      </c>
      <c r="AH157" s="141"/>
      <c r="AI157" s="276" t="s">
        <v>71</v>
      </c>
      <c r="AJ157" s="160"/>
      <c r="AK157" s="141"/>
      <c r="AL157" s="203" t="str">
        <f t="shared" si="382"/>
        <v/>
      </c>
      <c r="AM157" s="174" t="str">
        <f t="shared" si="409"/>
        <v>OK</v>
      </c>
      <c r="AN157" s="141"/>
      <c r="AO157" s="276" t="s">
        <v>71</v>
      </c>
      <c r="AP157" s="160"/>
      <c r="AQ157" s="141"/>
      <c r="AR157" s="203" t="str">
        <f t="shared" si="384"/>
        <v/>
      </c>
      <c r="AS157" s="174" t="str">
        <f t="shared" si="365"/>
        <v>OK</v>
      </c>
      <c r="AT157" s="141"/>
      <c r="AU157" s="276" t="s">
        <v>71</v>
      </c>
      <c r="AV157" s="160"/>
      <c r="AW157" s="141"/>
      <c r="AX157" s="203" t="str">
        <f t="shared" si="385"/>
        <v/>
      </c>
      <c r="AY157" s="174" t="str">
        <f t="shared" si="366"/>
        <v>OK</v>
      </c>
      <c r="AZ157" s="141"/>
      <c r="BA157" s="276" t="s">
        <v>71</v>
      </c>
      <c r="BB157" s="160"/>
      <c r="BC157" s="141"/>
      <c r="BD157" s="203" t="str">
        <f t="shared" si="386"/>
        <v/>
      </c>
      <c r="BE157" s="174" t="str">
        <f t="shared" si="367"/>
        <v>OK</v>
      </c>
      <c r="BF157" s="141"/>
      <c r="BG157" s="276" t="s">
        <v>71</v>
      </c>
      <c r="BH157" s="160"/>
      <c r="BI157" s="141"/>
      <c r="BJ157" s="203" t="str">
        <f t="shared" si="387"/>
        <v/>
      </c>
      <c r="BK157" s="174" t="str">
        <f t="shared" si="368"/>
        <v>OK</v>
      </c>
      <c r="BL157" s="141"/>
      <c r="BM157" s="276" t="s">
        <v>71</v>
      </c>
      <c r="BN157" s="160"/>
      <c r="BO157" s="141"/>
      <c r="BP157" s="203" t="str">
        <f t="shared" si="388"/>
        <v/>
      </c>
      <c r="BQ157" s="174" t="str">
        <f t="shared" si="369"/>
        <v>OK</v>
      </c>
      <c r="BR157" s="141"/>
      <c r="BS157" s="276" t="s">
        <v>71</v>
      </c>
      <c r="BT157" s="160"/>
      <c r="BU157" s="141"/>
      <c r="BV157" s="203" t="str">
        <f t="shared" si="389"/>
        <v/>
      </c>
      <c r="BW157" s="174" t="str">
        <f t="shared" si="370"/>
        <v>OK</v>
      </c>
      <c r="BX157" s="141"/>
      <c r="BY157" s="276" t="s">
        <v>71</v>
      </c>
      <c r="BZ157" s="160"/>
      <c r="CA157" s="141"/>
      <c r="CB157" s="203" t="str">
        <f t="shared" si="390"/>
        <v/>
      </c>
      <c r="CC157" s="174" t="str">
        <f t="shared" si="371"/>
        <v>OK</v>
      </c>
      <c r="CD157" s="141"/>
      <c r="CE157" s="276" t="s">
        <v>71</v>
      </c>
      <c r="CF157" s="160"/>
      <c r="CG157" s="141"/>
      <c r="CH157" s="203" t="str">
        <f t="shared" si="391"/>
        <v/>
      </c>
      <c r="CI157" s="174" t="str">
        <f t="shared" si="372"/>
        <v>OK</v>
      </c>
      <c r="CJ157" s="141"/>
      <c r="CK157" s="276" t="s">
        <v>71</v>
      </c>
      <c r="CL157" s="160"/>
      <c r="CM157" s="141"/>
      <c r="CN157" s="203" t="str">
        <f t="shared" si="392"/>
        <v/>
      </c>
      <c r="CO157" s="174" t="str">
        <f t="shared" si="373"/>
        <v>OK</v>
      </c>
      <c r="CP157" s="141"/>
      <c r="CQ157" s="276" t="s">
        <v>71</v>
      </c>
      <c r="CR157" s="160"/>
      <c r="CS157" s="141"/>
      <c r="CT157" s="203" t="str">
        <f t="shared" si="393"/>
        <v/>
      </c>
      <c r="CU157" s="174" t="str">
        <f t="shared" si="374"/>
        <v>OK</v>
      </c>
      <c r="CV157" s="141"/>
      <c r="CW157" s="276" t="s">
        <v>71</v>
      </c>
      <c r="CX157" s="160"/>
      <c r="CY157" s="141"/>
      <c r="CZ157" s="203" t="str">
        <f t="shared" si="394"/>
        <v/>
      </c>
      <c r="DA157" s="174" t="str">
        <f t="shared" si="375"/>
        <v>OK</v>
      </c>
      <c r="DB157" s="141"/>
      <c r="DC157" s="276" t="s">
        <v>71</v>
      </c>
      <c r="DD157" s="160"/>
      <c r="DE157" s="141"/>
      <c r="DF157" s="203" t="str">
        <f t="shared" si="395"/>
        <v/>
      </c>
      <c r="DG157" s="174" t="str">
        <f t="shared" si="376"/>
        <v>OK</v>
      </c>
      <c r="DH157" s="141"/>
      <c r="DI157" s="276" t="s">
        <v>71</v>
      </c>
      <c r="DJ157" s="160"/>
      <c r="DK157" s="141"/>
      <c r="DL157" s="203" t="str">
        <f t="shared" si="396"/>
        <v/>
      </c>
      <c r="DM157" s="174" t="str">
        <f t="shared" si="377"/>
        <v>OK</v>
      </c>
      <c r="DN157" s="141"/>
      <c r="DO157" s="276" t="s">
        <v>71</v>
      </c>
      <c r="DP157" s="160"/>
      <c r="DQ157" s="141"/>
      <c r="DR157" s="203" t="str">
        <f t="shared" si="397"/>
        <v/>
      </c>
      <c r="DS157" s="174" t="str">
        <f t="shared" si="354"/>
        <v>OK</v>
      </c>
      <c r="DT157" s="141"/>
      <c r="DU157" s="276" t="s">
        <v>71</v>
      </c>
      <c r="DV157" s="160"/>
      <c r="DW157" s="141"/>
      <c r="DX157" s="203" t="str">
        <f t="shared" si="398"/>
        <v/>
      </c>
      <c r="DY157" s="174" t="str">
        <f t="shared" si="355"/>
        <v>OK</v>
      </c>
      <c r="DZ157" s="141"/>
      <c r="EA157" s="276" t="s">
        <v>71</v>
      </c>
      <c r="EB157" s="160"/>
      <c r="EC157" s="141"/>
      <c r="ED157" s="203" t="str">
        <f t="shared" si="399"/>
        <v/>
      </c>
      <c r="EE157" s="174" t="str">
        <f t="shared" si="356"/>
        <v>OK</v>
      </c>
      <c r="EF157" s="141"/>
      <c r="EG157" s="276" t="s">
        <v>71</v>
      </c>
      <c r="EH157" s="160"/>
      <c r="EI157" s="141"/>
      <c r="EJ157" s="203" t="str">
        <f t="shared" si="400"/>
        <v/>
      </c>
      <c r="EK157" s="174" t="str">
        <f t="shared" si="357"/>
        <v>OK</v>
      </c>
      <c r="EL157" s="141"/>
      <c r="EM157" s="276" t="s">
        <v>71</v>
      </c>
      <c r="EN157" s="160"/>
      <c r="EO157" s="141"/>
      <c r="EP157" s="203" t="str">
        <f t="shared" si="401"/>
        <v/>
      </c>
      <c r="EQ157" s="174" t="str">
        <f t="shared" si="358"/>
        <v>OK</v>
      </c>
      <c r="ER157" s="141"/>
      <c r="ES157" s="276" t="s">
        <v>71</v>
      </c>
      <c r="ET157" s="160"/>
      <c r="EU157" s="141"/>
      <c r="EV157" s="203" t="str">
        <f t="shared" si="402"/>
        <v/>
      </c>
      <c r="EW157" s="174" t="str">
        <f t="shared" si="359"/>
        <v>OK</v>
      </c>
      <c r="EX157" s="141"/>
      <c r="EY157" s="276" t="s">
        <v>71</v>
      </c>
      <c r="EZ157" s="160"/>
      <c r="FA157" s="141"/>
      <c r="FB157" s="203" t="str">
        <f t="shared" si="403"/>
        <v/>
      </c>
      <c r="FC157" s="174" t="str">
        <f t="shared" si="360"/>
        <v>OK</v>
      </c>
      <c r="FD157" s="141"/>
      <c r="FE157" s="276" t="s">
        <v>71</v>
      </c>
      <c r="FF157" s="160"/>
      <c r="FG157" s="141"/>
      <c r="FH157" s="203" t="str">
        <f t="shared" si="404"/>
        <v/>
      </c>
      <c r="FI157" s="174" t="str">
        <f t="shared" si="361"/>
        <v>OK</v>
      </c>
      <c r="FJ157" s="141"/>
      <c r="FK157" s="276" t="s">
        <v>71</v>
      </c>
      <c r="FL157" s="160"/>
      <c r="FM157" s="141"/>
      <c r="FN157" s="203" t="str">
        <f t="shared" si="405"/>
        <v/>
      </c>
      <c r="FO157" s="174" t="str">
        <f t="shared" si="378"/>
        <v>OK</v>
      </c>
      <c r="FP157" s="141"/>
      <c r="FQ157" s="276" t="s">
        <v>71</v>
      </c>
      <c r="FR157" s="160"/>
      <c r="FS157" s="141"/>
      <c r="FT157" s="203" t="str">
        <f t="shared" si="406"/>
        <v/>
      </c>
      <c r="FU157" s="174" t="str">
        <f t="shared" si="379"/>
        <v>OK</v>
      </c>
      <c r="FV157" s="141"/>
      <c r="FW157" s="276" t="s">
        <v>71</v>
      </c>
      <c r="FX157" s="160"/>
      <c r="FY157" s="141"/>
      <c r="FZ157" s="203" t="str">
        <f t="shared" si="407"/>
        <v/>
      </c>
      <c r="GA157" s="174" t="str">
        <f t="shared" si="380"/>
        <v>OK</v>
      </c>
      <c r="GB157" s="141"/>
      <c r="GC157" s="276" t="s">
        <v>71</v>
      </c>
    </row>
    <row r="158" spans="1:185" s="52" customFormat="1" ht="63.75">
      <c r="B158" s="48">
        <f t="shared" si="408"/>
        <v>151</v>
      </c>
      <c r="C158" s="187"/>
      <c r="D158" s="37"/>
      <c r="E158" s="37"/>
      <c r="F158" s="188" t="s">
        <v>318</v>
      </c>
      <c r="G158" s="39"/>
      <c r="H158" s="40"/>
      <c r="I158" s="57"/>
      <c r="J158" s="57"/>
      <c r="K158" s="57"/>
      <c r="L158" s="42"/>
      <c r="M158" s="58" t="s">
        <v>319</v>
      </c>
      <c r="N158" s="47"/>
      <c r="O158" s="143"/>
      <c r="P158" s="45">
        <f>P156+1</f>
        <v>130</v>
      </c>
      <c r="Q158" s="200">
        <v>2</v>
      </c>
      <c r="R158" s="41" t="str">
        <f t="shared" ref="R158:R164" si="410">IF(AA158="M","NX",AA158)</f>
        <v>X</v>
      </c>
      <c r="S158" s="185" t="s">
        <v>99</v>
      </c>
      <c r="T158" s="43"/>
      <c r="U158" s="41" t="s">
        <v>80</v>
      </c>
      <c r="V158" s="212" t="s">
        <v>188</v>
      </c>
      <c r="W158" s="22" t="str">
        <f>IF(C158&lt;&gt;"","0",IF(D158&lt;&gt;"","1",IF(E158&lt;&gt;"","2",IF(F158&lt;&gt;"","3",IF(G158&lt;&gt;"","4",IF(H158&lt;&gt;"","5"))))))</f>
        <v>3</v>
      </c>
      <c r="X158" s="62" t="s">
        <v>264</v>
      </c>
      <c r="Y158" s="201">
        <v>2</v>
      </c>
      <c r="Z158" s="201">
        <v>2</v>
      </c>
      <c r="AA158" s="202" t="s">
        <v>163</v>
      </c>
      <c r="AB158" s="202" t="s">
        <v>57</v>
      </c>
      <c r="AC158" s="166"/>
      <c r="AD158" s="160"/>
      <c r="AE158" s="162"/>
      <c r="AF158" s="167" t="str">
        <f t="shared" si="383"/>
        <v xml:space="preserve">  </v>
      </c>
      <c r="AG158" s="174" t="str">
        <f t="shared" si="364"/>
        <v>NG</v>
      </c>
      <c r="AH158" s="162"/>
      <c r="AI158" s="276" t="str">
        <f>IF(OR(AE$8="判定対象外",AH$8="判定対象外",AH158="-"),"-",IF(AE158=AH158,"OK","NG"))</f>
        <v>OK</v>
      </c>
      <c r="AJ158" s="160"/>
      <c r="AK158" s="162"/>
      <c r="AL158" s="167" t="str">
        <f t="shared" si="382"/>
        <v xml:space="preserve">  </v>
      </c>
      <c r="AM158" s="174" t="str">
        <f t="shared" si="409"/>
        <v>NG</v>
      </c>
      <c r="AN158" s="162"/>
      <c r="AO158" s="276" t="str">
        <f>IF(OR(AK$8="判定対象外",AN$8="判定対象外",AN158="-"),"-",IF(AK158=AN158,"OK","NG"))</f>
        <v>OK</v>
      </c>
      <c r="AP158" s="160"/>
      <c r="AQ158" s="162"/>
      <c r="AR158" s="167" t="str">
        <f t="shared" si="384"/>
        <v xml:space="preserve">  </v>
      </c>
      <c r="AS158" s="174" t="str">
        <f t="shared" si="365"/>
        <v>NG</v>
      </c>
      <c r="AT158" s="162"/>
      <c r="AU158" s="276" t="str">
        <f>IF(OR(AQ$8="判定対象外",AT$8="判定対象外",AT158="-"),"-",IF(AQ158=AT158,"OK","NG"))</f>
        <v>OK</v>
      </c>
      <c r="AV158" s="160"/>
      <c r="AW158" s="162"/>
      <c r="AX158" s="167" t="str">
        <f t="shared" si="385"/>
        <v xml:space="preserve">  </v>
      </c>
      <c r="AY158" s="174" t="str">
        <f t="shared" si="366"/>
        <v>NG</v>
      </c>
      <c r="AZ158" s="162"/>
      <c r="BA158" s="276" t="str">
        <f>IF(OR(AW$8="判定対象外",AZ$8="判定対象外",AZ158="-"),"-",IF(AW158=AZ158,"OK","NG"))</f>
        <v>OK</v>
      </c>
      <c r="BB158" s="160"/>
      <c r="BC158" s="162"/>
      <c r="BD158" s="167" t="str">
        <f t="shared" si="386"/>
        <v xml:space="preserve">  </v>
      </c>
      <c r="BE158" s="174" t="str">
        <f t="shared" si="367"/>
        <v>NG</v>
      </c>
      <c r="BF158" s="162"/>
      <c r="BG158" s="276" t="str">
        <f>IF(OR(BC$8="判定対象外",BF$8="判定対象外",BF158="-"),"-",IF(BC158=BF158,"OK","NG"))</f>
        <v>OK</v>
      </c>
      <c r="BH158" s="160"/>
      <c r="BI158" s="162"/>
      <c r="BJ158" s="167" t="str">
        <f t="shared" si="387"/>
        <v xml:space="preserve">  </v>
      </c>
      <c r="BK158" s="174" t="str">
        <f t="shared" si="368"/>
        <v>NG</v>
      </c>
      <c r="BL158" s="162"/>
      <c r="BM158" s="276" t="str">
        <f>IF(OR(BI$8="判定対象外",BL$8="判定対象外",BL158="-"),"-",IF(BI158=BL158,"OK","NG"))</f>
        <v>OK</v>
      </c>
      <c r="BN158" s="160"/>
      <c r="BO158" s="162"/>
      <c r="BP158" s="167" t="str">
        <f t="shared" si="388"/>
        <v xml:space="preserve">  </v>
      </c>
      <c r="BQ158" s="174" t="str">
        <f t="shared" si="369"/>
        <v>NG</v>
      </c>
      <c r="BR158" s="162"/>
      <c r="BS158" s="276" t="str">
        <f>IF(OR(BO$8="判定対象外",BR$8="判定対象外",BR158="-"),"-",IF(BO158=BR158,"OK","NG"))</f>
        <v>OK</v>
      </c>
      <c r="BT158" s="160"/>
      <c r="BU158" s="162"/>
      <c r="BV158" s="167" t="str">
        <f t="shared" si="389"/>
        <v xml:space="preserve">  </v>
      </c>
      <c r="BW158" s="174" t="str">
        <f t="shared" si="370"/>
        <v>NG</v>
      </c>
      <c r="BX158" s="162"/>
      <c r="BY158" s="276" t="str">
        <f>IF(OR(BU$8="判定対象外",BX$8="判定対象外",BX158="-"),"-",IF(BU158=BX158,"OK","NG"))</f>
        <v>OK</v>
      </c>
      <c r="BZ158" s="160"/>
      <c r="CA158" s="162"/>
      <c r="CB158" s="167" t="str">
        <f t="shared" si="390"/>
        <v xml:space="preserve">  </v>
      </c>
      <c r="CC158" s="174" t="str">
        <f t="shared" si="371"/>
        <v>NG</v>
      </c>
      <c r="CD158" s="162"/>
      <c r="CE158" s="276" t="str">
        <f>IF(OR(CA$8="判定対象外",CD$8="判定対象外",CD158="-"),"-",IF(CA158=CD158,"OK","NG"))</f>
        <v>OK</v>
      </c>
      <c r="CF158" s="160"/>
      <c r="CG158" s="162"/>
      <c r="CH158" s="167" t="str">
        <f t="shared" si="391"/>
        <v xml:space="preserve">  </v>
      </c>
      <c r="CI158" s="174" t="str">
        <f t="shared" si="372"/>
        <v>NG</v>
      </c>
      <c r="CJ158" s="162"/>
      <c r="CK158" s="276" t="str">
        <f>IF(OR(CG$8="判定対象外",CJ$8="判定対象外",CJ158="-"),"-",IF(CG158=CJ158,"OK","NG"))</f>
        <v>OK</v>
      </c>
      <c r="CL158" s="160"/>
      <c r="CM158" s="162"/>
      <c r="CN158" s="167" t="str">
        <f t="shared" si="392"/>
        <v xml:space="preserve">  </v>
      </c>
      <c r="CO158" s="174" t="str">
        <f t="shared" si="373"/>
        <v>NG</v>
      </c>
      <c r="CP158" s="162"/>
      <c r="CQ158" s="276" t="str">
        <f>IF(OR(CM$8="判定対象外",CP$8="判定対象外",CP158="-"),"-",IF(CM158=CP158,"OK","NG"))</f>
        <v>OK</v>
      </c>
      <c r="CR158" s="160"/>
      <c r="CS158" s="162"/>
      <c r="CT158" s="167" t="str">
        <f t="shared" si="393"/>
        <v xml:space="preserve">  </v>
      </c>
      <c r="CU158" s="174" t="str">
        <f t="shared" si="374"/>
        <v>NG</v>
      </c>
      <c r="CV158" s="162"/>
      <c r="CW158" s="276" t="str">
        <f>IF(OR(CS$8="判定対象外",CV$8="判定対象外",CV158="-"),"-",IF(CS158=CV158,"OK","NG"))</f>
        <v>OK</v>
      </c>
      <c r="CX158" s="160"/>
      <c r="CY158" s="162"/>
      <c r="CZ158" s="167" t="str">
        <f t="shared" si="394"/>
        <v xml:space="preserve">  </v>
      </c>
      <c r="DA158" s="174" t="str">
        <f t="shared" si="375"/>
        <v>NG</v>
      </c>
      <c r="DB158" s="162"/>
      <c r="DC158" s="276" t="str">
        <f>IF(OR(CY$8="判定対象外",DB$8="判定対象外",DB158="-"),"-",IF(CY158=DB158,"OK","NG"))</f>
        <v>OK</v>
      </c>
      <c r="DD158" s="160"/>
      <c r="DE158" s="162"/>
      <c r="DF158" s="167" t="str">
        <f t="shared" si="395"/>
        <v xml:space="preserve">  </v>
      </c>
      <c r="DG158" s="174" t="str">
        <f t="shared" si="376"/>
        <v>NG</v>
      </c>
      <c r="DH158" s="162"/>
      <c r="DI158" s="276" t="str">
        <f>IF(OR(DE$8="判定対象外",DH$8="判定対象外",DH158="-"),"-",IF(DE158=DH158,"OK","NG"))</f>
        <v>OK</v>
      </c>
      <c r="DJ158" s="160"/>
      <c r="DK158" s="162"/>
      <c r="DL158" s="167" t="str">
        <f t="shared" si="396"/>
        <v xml:space="preserve">  </v>
      </c>
      <c r="DM158" s="174" t="str">
        <f t="shared" si="377"/>
        <v>NG</v>
      </c>
      <c r="DN158" s="162"/>
      <c r="DO158" s="276" t="str">
        <f>IF(OR(DK$8="判定対象外",DN$8="判定対象外",DN158="-"),"-",IF(DK158=DN158,"OK","NG"))</f>
        <v>OK</v>
      </c>
      <c r="DP158" s="160"/>
      <c r="DQ158" s="162"/>
      <c r="DR158" s="167" t="str">
        <f t="shared" si="397"/>
        <v xml:space="preserve">  </v>
      </c>
      <c r="DS158" s="174" t="str">
        <f t="shared" si="354"/>
        <v>NG</v>
      </c>
      <c r="DT158" s="162"/>
      <c r="DU158" s="276" t="str">
        <f>IF(OR(DQ$8="判定対象外",DT$8="判定対象外",DT158="-"),"-",IF(DQ158=DT158,"OK","NG"))</f>
        <v>OK</v>
      </c>
      <c r="DV158" s="160"/>
      <c r="DW158" s="162"/>
      <c r="DX158" s="167" t="str">
        <f t="shared" si="398"/>
        <v xml:space="preserve">  </v>
      </c>
      <c r="DY158" s="174" t="str">
        <f t="shared" si="355"/>
        <v>NG</v>
      </c>
      <c r="DZ158" s="162"/>
      <c r="EA158" s="276" t="str">
        <f>IF(OR(DW$8="判定対象外",DZ$8="判定対象外",DZ158="-"),"-",IF(DW158=DZ158,"OK","NG"))</f>
        <v>OK</v>
      </c>
      <c r="EB158" s="160"/>
      <c r="EC158" s="162"/>
      <c r="ED158" s="167" t="str">
        <f t="shared" si="399"/>
        <v xml:space="preserve">  </v>
      </c>
      <c r="EE158" s="174" t="str">
        <f t="shared" si="356"/>
        <v>NG</v>
      </c>
      <c r="EF158" s="162"/>
      <c r="EG158" s="276" t="str">
        <f>IF(OR(EC$8="判定対象外",EF$8="判定対象外",EF158="-"),"-",IF(EC158=EF158,"OK","NG"))</f>
        <v>OK</v>
      </c>
      <c r="EH158" s="160"/>
      <c r="EI158" s="162"/>
      <c r="EJ158" s="167" t="str">
        <f t="shared" si="400"/>
        <v xml:space="preserve">  </v>
      </c>
      <c r="EK158" s="174" t="str">
        <f t="shared" si="357"/>
        <v>NG</v>
      </c>
      <c r="EL158" s="162"/>
      <c r="EM158" s="276" t="str">
        <f>IF(OR(EI$8="判定対象外",EL$8="判定対象外",EL158="-"),"-",IF(EI158=EL158,"OK","NG"))</f>
        <v>OK</v>
      </c>
      <c r="EN158" s="160"/>
      <c r="EO158" s="162"/>
      <c r="EP158" s="167" t="str">
        <f t="shared" si="401"/>
        <v xml:space="preserve">  </v>
      </c>
      <c r="EQ158" s="174" t="str">
        <f t="shared" si="358"/>
        <v>NG</v>
      </c>
      <c r="ER158" s="162"/>
      <c r="ES158" s="276" t="str">
        <f>IF(OR(EO$8="判定対象外",ER$8="判定対象外",ER158="-"),"-",IF(EO158=ER158,"OK","NG"))</f>
        <v>OK</v>
      </c>
      <c r="ET158" s="160"/>
      <c r="EU158" s="162"/>
      <c r="EV158" s="167" t="str">
        <f t="shared" si="402"/>
        <v xml:space="preserve">  </v>
      </c>
      <c r="EW158" s="174" t="str">
        <f t="shared" si="359"/>
        <v>NG</v>
      </c>
      <c r="EX158" s="162"/>
      <c r="EY158" s="276" t="str">
        <f>IF(OR(EU$8="判定対象外",EX$8="判定対象外",EX158="-"),"-",IF(EU158=EX158,"OK","NG"))</f>
        <v>OK</v>
      </c>
      <c r="EZ158" s="160"/>
      <c r="FA158" s="162"/>
      <c r="FB158" s="167" t="str">
        <f t="shared" si="403"/>
        <v xml:space="preserve">  </v>
      </c>
      <c r="FC158" s="174" t="str">
        <f t="shared" si="360"/>
        <v>NG</v>
      </c>
      <c r="FD158" s="162"/>
      <c r="FE158" s="276" t="str">
        <f>IF(OR(FA$8="判定対象外",FD$8="判定対象外",FD158="-"),"-",IF(FA158=FD158,"OK","NG"))</f>
        <v>OK</v>
      </c>
      <c r="FF158" s="160"/>
      <c r="FG158" s="162"/>
      <c r="FH158" s="167" t="str">
        <f t="shared" si="404"/>
        <v xml:space="preserve">  </v>
      </c>
      <c r="FI158" s="174" t="str">
        <f t="shared" si="361"/>
        <v>NG</v>
      </c>
      <c r="FJ158" s="162"/>
      <c r="FK158" s="276" t="str">
        <f>IF(OR(FG$8="判定対象外",FJ$8="判定対象外",FJ158="-"),"-",IF(FG158=FJ158,"OK","NG"))</f>
        <v>OK</v>
      </c>
      <c r="FL158" s="160"/>
      <c r="FM158" s="162"/>
      <c r="FN158" s="167" t="str">
        <f t="shared" si="405"/>
        <v xml:space="preserve">  </v>
      </c>
      <c r="FO158" s="174" t="str">
        <f t="shared" si="378"/>
        <v>NG</v>
      </c>
      <c r="FP158" s="162"/>
      <c r="FQ158" s="276" t="str">
        <f>IF(OR(FM$8="判定対象外",FP$8="判定対象外",FP158="-"),"-",IF(FM158=FP158,"OK","NG"))</f>
        <v>OK</v>
      </c>
      <c r="FR158" s="160"/>
      <c r="FS158" s="162"/>
      <c r="FT158" s="167" t="str">
        <f t="shared" si="406"/>
        <v xml:space="preserve">  </v>
      </c>
      <c r="FU158" s="174" t="str">
        <f t="shared" si="379"/>
        <v>NG</v>
      </c>
      <c r="FV158" s="162"/>
      <c r="FW158" s="276" t="str">
        <f>IF(OR(FS$8="判定対象外",FV$8="判定対象外",FV158="-"),"-",IF(FS158=FV158,"OK","NG"))</f>
        <v>OK</v>
      </c>
      <c r="FX158" s="160"/>
      <c r="FY158" s="162"/>
      <c r="FZ158" s="167" t="str">
        <f t="shared" si="407"/>
        <v xml:space="preserve">  </v>
      </c>
      <c r="GA158" s="174" t="str">
        <f t="shared" si="380"/>
        <v>NG</v>
      </c>
      <c r="GB158" s="162"/>
      <c r="GC158" s="276" t="str">
        <f>IF(OR(FY$8="判定対象外",GB$8="判定対象外",GB158="-"),"-",IF(FY158=GB158,"OK","NG"))</f>
        <v>OK</v>
      </c>
    </row>
    <row r="159" spans="1:185" s="52" customFormat="1" ht="344.25">
      <c r="B159" s="48">
        <f t="shared" si="408"/>
        <v>152</v>
      </c>
      <c r="C159" s="37"/>
      <c r="D159" s="37"/>
      <c r="E159" s="37"/>
      <c r="F159" s="188" t="s">
        <v>320</v>
      </c>
      <c r="G159" s="39"/>
      <c r="H159" s="40"/>
      <c r="I159" s="42"/>
      <c r="J159" s="42" t="s">
        <v>316</v>
      </c>
      <c r="K159" s="42"/>
      <c r="L159" s="42"/>
      <c r="M159" s="189" t="s">
        <v>321</v>
      </c>
      <c r="N159" s="63"/>
      <c r="O159" s="143"/>
      <c r="P159" s="45">
        <f>P158+1</f>
        <v>131</v>
      </c>
      <c r="Q159" s="46">
        <v>2</v>
      </c>
      <c r="R159" s="41" t="str">
        <f t="shared" si="410"/>
        <v>X</v>
      </c>
      <c r="S159" s="185" t="s">
        <v>100</v>
      </c>
      <c r="T159" s="43"/>
      <c r="U159" s="41" t="s">
        <v>80</v>
      </c>
      <c r="V159" s="44"/>
      <c r="W159" s="22">
        <v>3</v>
      </c>
      <c r="X159" s="47" t="s">
        <v>267</v>
      </c>
      <c r="Y159" s="47">
        <v>2</v>
      </c>
      <c r="Z159" s="47">
        <v>2</v>
      </c>
      <c r="AA159" s="42" t="s">
        <v>163</v>
      </c>
      <c r="AB159" s="42" t="s">
        <v>57</v>
      </c>
      <c r="AC159" s="166"/>
      <c r="AD159" s="160"/>
      <c r="AE159" s="162"/>
      <c r="AF159" s="167" t="str">
        <f t="shared" si="383"/>
        <v xml:space="preserve">  </v>
      </c>
      <c r="AG159" s="174" t="str">
        <f t="shared" si="364"/>
        <v>NG</v>
      </c>
      <c r="AH159" s="162"/>
      <c r="AI159" s="276" t="str">
        <f>IF(OR(AE$8="判定対象外",AH$8="判定対象外",AH159="-"),"-",IF(AE159=AH159,"OK","NG"))</f>
        <v>OK</v>
      </c>
      <c r="AJ159" s="160"/>
      <c r="AK159" s="162"/>
      <c r="AL159" s="167" t="str">
        <f t="shared" si="382"/>
        <v xml:space="preserve">  </v>
      </c>
      <c r="AM159" s="174" t="str">
        <f t="shared" si="409"/>
        <v>NG</v>
      </c>
      <c r="AN159" s="162"/>
      <c r="AO159" s="276" t="str">
        <f>IF(OR(AK$8="判定対象外",AN$8="判定対象外",AN159="-"),"-",IF(AK159=AN159,"OK","NG"))</f>
        <v>OK</v>
      </c>
      <c r="AP159" s="160"/>
      <c r="AQ159" s="162"/>
      <c r="AR159" s="167" t="str">
        <f t="shared" si="384"/>
        <v xml:space="preserve">  </v>
      </c>
      <c r="AS159" s="174" t="str">
        <f t="shared" si="365"/>
        <v>NG</v>
      </c>
      <c r="AT159" s="162"/>
      <c r="AU159" s="276" t="str">
        <f>IF(OR(AQ$8="判定対象外",AT$8="判定対象外",AT159="-"),"-",IF(AQ159=AT159,"OK","NG"))</f>
        <v>OK</v>
      </c>
      <c r="AV159" s="160"/>
      <c r="AW159" s="162"/>
      <c r="AX159" s="167" t="str">
        <f t="shared" si="385"/>
        <v xml:space="preserve">  </v>
      </c>
      <c r="AY159" s="174" t="str">
        <f t="shared" si="366"/>
        <v>NG</v>
      </c>
      <c r="AZ159" s="162"/>
      <c r="BA159" s="276" t="str">
        <f>IF(OR(AW$8="判定対象外",AZ$8="判定対象外",AZ159="-"),"-",IF(AW159=AZ159,"OK","NG"))</f>
        <v>OK</v>
      </c>
      <c r="BB159" s="160"/>
      <c r="BC159" s="162"/>
      <c r="BD159" s="167" t="str">
        <f t="shared" si="386"/>
        <v xml:space="preserve">  </v>
      </c>
      <c r="BE159" s="174" t="str">
        <f t="shared" si="367"/>
        <v>NG</v>
      </c>
      <c r="BF159" s="162"/>
      <c r="BG159" s="276" t="str">
        <f>IF(OR(BC$8="判定対象外",BF$8="判定対象外",BF159="-"),"-",IF(BC159=BF159,"OK","NG"))</f>
        <v>OK</v>
      </c>
      <c r="BH159" s="160"/>
      <c r="BI159" s="162"/>
      <c r="BJ159" s="167" t="str">
        <f t="shared" si="387"/>
        <v xml:space="preserve">  </v>
      </c>
      <c r="BK159" s="174" t="str">
        <f t="shared" si="368"/>
        <v>NG</v>
      </c>
      <c r="BL159" s="162"/>
      <c r="BM159" s="276" t="str">
        <f>IF(OR(BI$8="判定対象外",BL$8="判定対象外",BL159="-"),"-",IF(BI159=BL159,"OK","NG"))</f>
        <v>OK</v>
      </c>
      <c r="BN159" s="160"/>
      <c r="BO159" s="162"/>
      <c r="BP159" s="167" t="str">
        <f t="shared" si="388"/>
        <v xml:space="preserve">  </v>
      </c>
      <c r="BQ159" s="174" t="str">
        <f t="shared" si="369"/>
        <v>NG</v>
      </c>
      <c r="BR159" s="162"/>
      <c r="BS159" s="276" t="str">
        <f>IF(OR(BO$8="判定対象外",BR$8="判定対象外",BR159="-"),"-",IF(BO159=BR159,"OK","NG"))</f>
        <v>OK</v>
      </c>
      <c r="BT159" s="160"/>
      <c r="BU159" s="162"/>
      <c r="BV159" s="167" t="str">
        <f t="shared" si="389"/>
        <v xml:space="preserve">  </v>
      </c>
      <c r="BW159" s="174" t="str">
        <f t="shared" si="370"/>
        <v>NG</v>
      </c>
      <c r="BX159" s="162"/>
      <c r="BY159" s="276" t="str">
        <f>IF(OR(BU$8="判定対象外",BX$8="判定対象外",BX159="-"),"-",IF(BU159=BX159,"OK","NG"))</f>
        <v>OK</v>
      </c>
      <c r="BZ159" s="160"/>
      <c r="CA159" s="162"/>
      <c r="CB159" s="167" t="str">
        <f t="shared" si="390"/>
        <v xml:space="preserve">  </v>
      </c>
      <c r="CC159" s="174" t="str">
        <f t="shared" si="371"/>
        <v>NG</v>
      </c>
      <c r="CD159" s="162"/>
      <c r="CE159" s="276" t="str">
        <f>IF(OR(CA$8="判定対象外",CD$8="判定対象外",CD159="-"),"-",IF(CA159=CD159,"OK","NG"))</f>
        <v>OK</v>
      </c>
      <c r="CF159" s="160"/>
      <c r="CG159" s="162"/>
      <c r="CH159" s="167" t="str">
        <f t="shared" si="391"/>
        <v xml:space="preserve">  </v>
      </c>
      <c r="CI159" s="174" t="str">
        <f t="shared" si="372"/>
        <v>NG</v>
      </c>
      <c r="CJ159" s="162"/>
      <c r="CK159" s="276" t="str">
        <f>IF(OR(CG$8="判定対象外",CJ$8="判定対象外",CJ159="-"),"-",IF(CG159=CJ159,"OK","NG"))</f>
        <v>OK</v>
      </c>
      <c r="CL159" s="160"/>
      <c r="CM159" s="162"/>
      <c r="CN159" s="167" t="str">
        <f t="shared" si="392"/>
        <v xml:space="preserve">  </v>
      </c>
      <c r="CO159" s="174" t="str">
        <f t="shared" si="373"/>
        <v>NG</v>
      </c>
      <c r="CP159" s="162"/>
      <c r="CQ159" s="276" t="str">
        <f>IF(OR(CM$8="判定対象外",CP$8="判定対象外",CP159="-"),"-",IF(CM159=CP159,"OK","NG"))</f>
        <v>OK</v>
      </c>
      <c r="CR159" s="160"/>
      <c r="CS159" s="162"/>
      <c r="CT159" s="167" t="str">
        <f t="shared" si="393"/>
        <v xml:space="preserve">  </v>
      </c>
      <c r="CU159" s="174" t="str">
        <f t="shared" si="374"/>
        <v>NG</v>
      </c>
      <c r="CV159" s="162"/>
      <c r="CW159" s="276" t="str">
        <f>IF(OR(CS$8="判定対象外",CV$8="判定対象外",CV159="-"),"-",IF(CS159=CV159,"OK","NG"))</f>
        <v>OK</v>
      </c>
      <c r="CX159" s="160"/>
      <c r="CY159" s="162"/>
      <c r="CZ159" s="167" t="str">
        <f t="shared" si="394"/>
        <v xml:space="preserve">  </v>
      </c>
      <c r="DA159" s="174" t="str">
        <f t="shared" si="375"/>
        <v>NG</v>
      </c>
      <c r="DB159" s="162"/>
      <c r="DC159" s="276" t="str">
        <f>IF(OR(CY$8="判定対象外",DB$8="判定対象外",DB159="-"),"-",IF(CY159=DB159,"OK","NG"))</f>
        <v>OK</v>
      </c>
      <c r="DD159" s="160"/>
      <c r="DE159" s="162"/>
      <c r="DF159" s="167" t="str">
        <f t="shared" si="395"/>
        <v xml:space="preserve">  </v>
      </c>
      <c r="DG159" s="174" t="str">
        <f t="shared" si="376"/>
        <v>NG</v>
      </c>
      <c r="DH159" s="162"/>
      <c r="DI159" s="276" t="str">
        <f>IF(OR(DE$8="判定対象外",DH$8="判定対象外",DH159="-"),"-",IF(DE159=DH159,"OK","NG"))</f>
        <v>OK</v>
      </c>
      <c r="DJ159" s="160"/>
      <c r="DK159" s="162"/>
      <c r="DL159" s="167" t="str">
        <f t="shared" si="396"/>
        <v xml:space="preserve">  </v>
      </c>
      <c r="DM159" s="174" t="str">
        <f t="shared" si="377"/>
        <v>NG</v>
      </c>
      <c r="DN159" s="162"/>
      <c r="DO159" s="276" t="str">
        <f>IF(OR(DK$8="判定対象外",DN$8="判定対象外",DN159="-"),"-",IF(DK159=DN159,"OK","NG"))</f>
        <v>OK</v>
      </c>
      <c r="DP159" s="160"/>
      <c r="DQ159" s="162"/>
      <c r="DR159" s="167" t="str">
        <f t="shared" si="397"/>
        <v xml:space="preserve">  </v>
      </c>
      <c r="DS159" s="174" t="str">
        <f t="shared" si="354"/>
        <v>NG</v>
      </c>
      <c r="DT159" s="162"/>
      <c r="DU159" s="276" t="str">
        <f>IF(OR(DQ$8="判定対象外",DT$8="判定対象外",DT159="-"),"-",IF(DQ159=DT159,"OK","NG"))</f>
        <v>OK</v>
      </c>
      <c r="DV159" s="160"/>
      <c r="DW159" s="162"/>
      <c r="DX159" s="167" t="str">
        <f t="shared" si="398"/>
        <v xml:space="preserve">  </v>
      </c>
      <c r="DY159" s="174" t="str">
        <f t="shared" si="355"/>
        <v>NG</v>
      </c>
      <c r="DZ159" s="162"/>
      <c r="EA159" s="276" t="str">
        <f>IF(OR(DW$8="判定対象外",DZ$8="判定対象外",DZ159="-"),"-",IF(DW159=DZ159,"OK","NG"))</f>
        <v>OK</v>
      </c>
      <c r="EB159" s="160"/>
      <c r="EC159" s="162"/>
      <c r="ED159" s="167" t="str">
        <f t="shared" si="399"/>
        <v xml:space="preserve">  </v>
      </c>
      <c r="EE159" s="174" t="str">
        <f t="shared" si="356"/>
        <v>NG</v>
      </c>
      <c r="EF159" s="162"/>
      <c r="EG159" s="276" t="str">
        <f>IF(OR(EC$8="判定対象外",EF$8="判定対象外",EF159="-"),"-",IF(EC159=EF159,"OK","NG"))</f>
        <v>OK</v>
      </c>
      <c r="EH159" s="160"/>
      <c r="EI159" s="162"/>
      <c r="EJ159" s="167" t="str">
        <f t="shared" si="400"/>
        <v xml:space="preserve">  </v>
      </c>
      <c r="EK159" s="174" t="str">
        <f t="shared" si="357"/>
        <v>NG</v>
      </c>
      <c r="EL159" s="162"/>
      <c r="EM159" s="276" t="str">
        <f>IF(OR(EI$8="判定対象外",EL$8="判定対象外",EL159="-"),"-",IF(EI159=EL159,"OK","NG"))</f>
        <v>OK</v>
      </c>
      <c r="EN159" s="160"/>
      <c r="EO159" s="162"/>
      <c r="EP159" s="167" t="str">
        <f t="shared" si="401"/>
        <v xml:space="preserve">  </v>
      </c>
      <c r="EQ159" s="174" t="str">
        <f t="shared" si="358"/>
        <v>NG</v>
      </c>
      <c r="ER159" s="162"/>
      <c r="ES159" s="276" t="str">
        <f>IF(OR(EO$8="判定対象外",ER$8="判定対象外",ER159="-"),"-",IF(EO159=ER159,"OK","NG"))</f>
        <v>OK</v>
      </c>
      <c r="ET159" s="160"/>
      <c r="EU159" s="162"/>
      <c r="EV159" s="167" t="str">
        <f t="shared" si="402"/>
        <v xml:space="preserve">  </v>
      </c>
      <c r="EW159" s="174" t="str">
        <f t="shared" si="359"/>
        <v>NG</v>
      </c>
      <c r="EX159" s="162"/>
      <c r="EY159" s="276" t="str">
        <f>IF(OR(EU$8="判定対象外",EX$8="判定対象外",EX159="-"),"-",IF(EU159=EX159,"OK","NG"))</f>
        <v>OK</v>
      </c>
      <c r="EZ159" s="160"/>
      <c r="FA159" s="162"/>
      <c r="FB159" s="167" t="str">
        <f t="shared" si="403"/>
        <v xml:space="preserve">  </v>
      </c>
      <c r="FC159" s="174" t="str">
        <f t="shared" si="360"/>
        <v>NG</v>
      </c>
      <c r="FD159" s="162"/>
      <c r="FE159" s="276" t="str">
        <f>IF(OR(FA$8="判定対象外",FD$8="判定対象外",FD159="-"),"-",IF(FA159=FD159,"OK","NG"))</f>
        <v>OK</v>
      </c>
      <c r="FF159" s="160"/>
      <c r="FG159" s="162"/>
      <c r="FH159" s="167" t="str">
        <f t="shared" si="404"/>
        <v xml:space="preserve">  </v>
      </c>
      <c r="FI159" s="174" t="str">
        <f t="shared" si="361"/>
        <v>NG</v>
      </c>
      <c r="FJ159" s="162"/>
      <c r="FK159" s="276" t="str">
        <f>IF(OR(FG$8="判定対象外",FJ$8="判定対象外",FJ159="-"),"-",IF(FG159=FJ159,"OK","NG"))</f>
        <v>OK</v>
      </c>
      <c r="FL159" s="160"/>
      <c r="FM159" s="162"/>
      <c r="FN159" s="167" t="str">
        <f t="shared" si="405"/>
        <v xml:space="preserve">  </v>
      </c>
      <c r="FO159" s="174" t="str">
        <f t="shared" si="378"/>
        <v>NG</v>
      </c>
      <c r="FP159" s="162"/>
      <c r="FQ159" s="276" t="str">
        <f>IF(OR(FM$8="判定対象外",FP$8="判定対象外",FP159="-"),"-",IF(FM159=FP159,"OK","NG"))</f>
        <v>OK</v>
      </c>
      <c r="FR159" s="160"/>
      <c r="FS159" s="162"/>
      <c r="FT159" s="167" t="str">
        <f t="shared" si="406"/>
        <v xml:space="preserve">  </v>
      </c>
      <c r="FU159" s="174" t="str">
        <f t="shared" si="379"/>
        <v>NG</v>
      </c>
      <c r="FV159" s="162"/>
      <c r="FW159" s="276" t="str">
        <f>IF(OR(FS$8="判定対象外",FV$8="判定対象外",FV159="-"),"-",IF(FS159=FV159,"OK","NG"))</f>
        <v>OK</v>
      </c>
      <c r="FX159" s="160"/>
      <c r="FY159" s="162"/>
      <c r="FZ159" s="167" t="str">
        <f t="shared" si="407"/>
        <v xml:space="preserve">  </v>
      </c>
      <c r="GA159" s="174" t="str">
        <f t="shared" si="380"/>
        <v>NG</v>
      </c>
      <c r="GB159" s="162"/>
      <c r="GC159" s="276" t="str">
        <f>IF(OR(FY$8="判定対象外",GB$8="判定対象外",GB159="-"),"-",IF(FY159=GB159,"OK","NG"))</f>
        <v>OK</v>
      </c>
    </row>
    <row r="160" spans="1:185" s="52" customFormat="1">
      <c r="B160" s="48">
        <f t="shared" si="408"/>
        <v>153</v>
      </c>
      <c r="C160" s="37"/>
      <c r="D160" s="37"/>
      <c r="E160" s="37"/>
      <c r="F160" s="49" t="s">
        <v>322</v>
      </c>
      <c r="G160" s="39"/>
      <c r="H160" s="40"/>
      <c r="I160" s="42"/>
      <c r="J160" s="42"/>
      <c r="K160" s="42"/>
      <c r="L160" s="42"/>
      <c r="M160" s="213" t="s">
        <v>323</v>
      </c>
      <c r="N160" s="63"/>
      <c r="O160" s="143"/>
      <c r="P160" s="45">
        <f t="shared" ref="P160:P186" si="411">P159+1</f>
        <v>132</v>
      </c>
      <c r="Q160" s="46">
        <v>2</v>
      </c>
      <c r="R160" s="41" t="str">
        <f t="shared" si="410"/>
        <v>X</v>
      </c>
      <c r="S160" s="185" t="s">
        <v>190</v>
      </c>
      <c r="T160" s="43"/>
      <c r="U160" s="41" t="s">
        <v>80</v>
      </c>
      <c r="V160" s="44"/>
      <c r="W160" s="22">
        <v>3</v>
      </c>
      <c r="X160" s="47" t="s">
        <v>191</v>
      </c>
      <c r="Y160" s="47">
        <v>2</v>
      </c>
      <c r="Z160" s="47">
        <v>2</v>
      </c>
      <c r="AA160" s="42" t="s">
        <v>163</v>
      </c>
      <c r="AB160" s="42" t="s">
        <v>57</v>
      </c>
      <c r="AC160" s="166"/>
      <c r="AD160" s="160"/>
      <c r="AE160" s="141"/>
      <c r="AF160" s="203" t="str">
        <f t="shared" si="383"/>
        <v xml:space="preserve">  </v>
      </c>
      <c r="AG160" s="174" t="str">
        <f t="shared" si="364"/>
        <v>NG</v>
      </c>
      <c r="AH160" s="141"/>
      <c r="AI160" s="172" t="s">
        <v>71</v>
      </c>
      <c r="AJ160" s="160"/>
      <c r="AK160" s="141"/>
      <c r="AL160" s="203" t="str">
        <f t="shared" si="382"/>
        <v xml:space="preserve">  </v>
      </c>
      <c r="AM160" s="174" t="str">
        <f t="shared" si="409"/>
        <v>NG</v>
      </c>
      <c r="AN160" s="141"/>
      <c r="AO160" s="172" t="s">
        <v>71</v>
      </c>
      <c r="AP160" s="160"/>
      <c r="AQ160" s="141"/>
      <c r="AR160" s="203" t="str">
        <f t="shared" si="384"/>
        <v xml:space="preserve">  </v>
      </c>
      <c r="AS160" s="174" t="str">
        <f t="shared" si="365"/>
        <v>NG</v>
      </c>
      <c r="AT160" s="141"/>
      <c r="AU160" s="172" t="s">
        <v>71</v>
      </c>
      <c r="AV160" s="160"/>
      <c r="AW160" s="141"/>
      <c r="AX160" s="203" t="str">
        <f t="shared" si="385"/>
        <v xml:space="preserve">  </v>
      </c>
      <c r="AY160" s="174" t="str">
        <f t="shared" si="366"/>
        <v>NG</v>
      </c>
      <c r="AZ160" s="141"/>
      <c r="BA160" s="172" t="s">
        <v>71</v>
      </c>
      <c r="BB160" s="160"/>
      <c r="BC160" s="141"/>
      <c r="BD160" s="203" t="str">
        <f t="shared" si="386"/>
        <v xml:space="preserve">  </v>
      </c>
      <c r="BE160" s="174" t="str">
        <f t="shared" si="367"/>
        <v>NG</v>
      </c>
      <c r="BF160" s="141"/>
      <c r="BG160" s="172" t="s">
        <v>71</v>
      </c>
      <c r="BH160" s="160"/>
      <c r="BI160" s="141"/>
      <c r="BJ160" s="203" t="str">
        <f t="shared" si="387"/>
        <v xml:space="preserve">  </v>
      </c>
      <c r="BK160" s="174" t="str">
        <f t="shared" si="368"/>
        <v>NG</v>
      </c>
      <c r="BL160" s="141"/>
      <c r="BM160" s="172" t="s">
        <v>71</v>
      </c>
      <c r="BN160" s="160"/>
      <c r="BO160" s="141"/>
      <c r="BP160" s="203" t="str">
        <f t="shared" si="388"/>
        <v xml:space="preserve">  </v>
      </c>
      <c r="BQ160" s="174" t="str">
        <f t="shared" si="369"/>
        <v>NG</v>
      </c>
      <c r="BR160" s="141"/>
      <c r="BS160" s="172" t="s">
        <v>71</v>
      </c>
      <c r="BT160" s="160"/>
      <c r="BU160" s="141"/>
      <c r="BV160" s="203" t="str">
        <f t="shared" si="389"/>
        <v xml:space="preserve">  </v>
      </c>
      <c r="BW160" s="174" t="str">
        <f t="shared" si="370"/>
        <v>NG</v>
      </c>
      <c r="BX160" s="141"/>
      <c r="BY160" s="172" t="s">
        <v>71</v>
      </c>
      <c r="BZ160" s="160"/>
      <c r="CA160" s="141"/>
      <c r="CB160" s="203" t="str">
        <f t="shared" si="390"/>
        <v xml:space="preserve">  </v>
      </c>
      <c r="CC160" s="174" t="str">
        <f t="shared" si="371"/>
        <v>NG</v>
      </c>
      <c r="CD160" s="141"/>
      <c r="CE160" s="172" t="s">
        <v>71</v>
      </c>
      <c r="CF160" s="160"/>
      <c r="CG160" s="141"/>
      <c r="CH160" s="203" t="str">
        <f t="shared" si="391"/>
        <v xml:space="preserve">  </v>
      </c>
      <c r="CI160" s="174" t="str">
        <f t="shared" si="372"/>
        <v>NG</v>
      </c>
      <c r="CJ160" s="141"/>
      <c r="CK160" s="172" t="s">
        <v>71</v>
      </c>
      <c r="CL160" s="160"/>
      <c r="CM160" s="141"/>
      <c r="CN160" s="203" t="str">
        <f t="shared" si="392"/>
        <v xml:space="preserve">  </v>
      </c>
      <c r="CO160" s="174" t="str">
        <f t="shared" si="373"/>
        <v>NG</v>
      </c>
      <c r="CP160" s="141"/>
      <c r="CQ160" s="172" t="s">
        <v>71</v>
      </c>
      <c r="CR160" s="160"/>
      <c r="CS160" s="141"/>
      <c r="CT160" s="203" t="str">
        <f t="shared" si="393"/>
        <v xml:space="preserve">  </v>
      </c>
      <c r="CU160" s="174" t="str">
        <f t="shared" si="374"/>
        <v>NG</v>
      </c>
      <c r="CV160" s="141"/>
      <c r="CW160" s="172" t="s">
        <v>71</v>
      </c>
      <c r="CX160" s="160"/>
      <c r="CY160" s="141"/>
      <c r="CZ160" s="203" t="str">
        <f t="shared" si="394"/>
        <v xml:space="preserve">  </v>
      </c>
      <c r="DA160" s="174" t="str">
        <f t="shared" si="375"/>
        <v>NG</v>
      </c>
      <c r="DB160" s="141"/>
      <c r="DC160" s="172" t="s">
        <v>71</v>
      </c>
      <c r="DD160" s="160"/>
      <c r="DE160" s="141"/>
      <c r="DF160" s="203" t="str">
        <f t="shared" si="395"/>
        <v xml:space="preserve">  </v>
      </c>
      <c r="DG160" s="174" t="str">
        <f t="shared" si="376"/>
        <v>NG</v>
      </c>
      <c r="DH160" s="141"/>
      <c r="DI160" s="172" t="s">
        <v>71</v>
      </c>
      <c r="DJ160" s="160"/>
      <c r="DK160" s="141"/>
      <c r="DL160" s="203" t="str">
        <f t="shared" si="396"/>
        <v xml:space="preserve">  </v>
      </c>
      <c r="DM160" s="174" t="str">
        <f t="shared" si="377"/>
        <v>NG</v>
      </c>
      <c r="DN160" s="141"/>
      <c r="DO160" s="172" t="s">
        <v>71</v>
      </c>
      <c r="DP160" s="160"/>
      <c r="DQ160" s="141"/>
      <c r="DR160" s="203" t="str">
        <f t="shared" si="397"/>
        <v xml:space="preserve">  </v>
      </c>
      <c r="DS160" s="174" t="str">
        <f t="shared" si="354"/>
        <v>NG</v>
      </c>
      <c r="DT160" s="141"/>
      <c r="DU160" s="172" t="s">
        <v>71</v>
      </c>
      <c r="DV160" s="160"/>
      <c r="DW160" s="141"/>
      <c r="DX160" s="203" t="str">
        <f t="shared" si="398"/>
        <v xml:space="preserve">  </v>
      </c>
      <c r="DY160" s="174" t="str">
        <f t="shared" si="355"/>
        <v>NG</v>
      </c>
      <c r="DZ160" s="141"/>
      <c r="EA160" s="172" t="s">
        <v>71</v>
      </c>
      <c r="EB160" s="160"/>
      <c r="EC160" s="141"/>
      <c r="ED160" s="203" t="str">
        <f t="shared" si="399"/>
        <v xml:space="preserve">  </v>
      </c>
      <c r="EE160" s="174" t="str">
        <f t="shared" si="356"/>
        <v>NG</v>
      </c>
      <c r="EF160" s="141"/>
      <c r="EG160" s="172" t="s">
        <v>71</v>
      </c>
      <c r="EH160" s="160"/>
      <c r="EI160" s="141"/>
      <c r="EJ160" s="203" t="str">
        <f t="shared" si="400"/>
        <v xml:space="preserve">  </v>
      </c>
      <c r="EK160" s="174" t="str">
        <f t="shared" si="357"/>
        <v>NG</v>
      </c>
      <c r="EL160" s="141"/>
      <c r="EM160" s="172" t="s">
        <v>71</v>
      </c>
      <c r="EN160" s="160"/>
      <c r="EO160" s="141"/>
      <c r="EP160" s="203" t="str">
        <f t="shared" si="401"/>
        <v xml:space="preserve">  </v>
      </c>
      <c r="EQ160" s="174" t="str">
        <f t="shared" si="358"/>
        <v>NG</v>
      </c>
      <c r="ER160" s="141"/>
      <c r="ES160" s="172" t="s">
        <v>71</v>
      </c>
      <c r="ET160" s="160"/>
      <c r="EU160" s="141"/>
      <c r="EV160" s="203" t="str">
        <f t="shared" si="402"/>
        <v xml:space="preserve">  </v>
      </c>
      <c r="EW160" s="174" t="str">
        <f t="shared" si="359"/>
        <v>NG</v>
      </c>
      <c r="EX160" s="141"/>
      <c r="EY160" s="172" t="s">
        <v>71</v>
      </c>
      <c r="EZ160" s="160"/>
      <c r="FA160" s="141"/>
      <c r="FB160" s="203" t="str">
        <f t="shared" si="403"/>
        <v xml:space="preserve">  </v>
      </c>
      <c r="FC160" s="174" t="str">
        <f t="shared" si="360"/>
        <v>NG</v>
      </c>
      <c r="FD160" s="141"/>
      <c r="FE160" s="172" t="s">
        <v>71</v>
      </c>
      <c r="FF160" s="160"/>
      <c r="FG160" s="141"/>
      <c r="FH160" s="203" t="str">
        <f t="shared" si="404"/>
        <v xml:space="preserve">  </v>
      </c>
      <c r="FI160" s="174" t="str">
        <f t="shared" si="361"/>
        <v>NG</v>
      </c>
      <c r="FJ160" s="141"/>
      <c r="FK160" s="172" t="s">
        <v>71</v>
      </c>
      <c r="FL160" s="160"/>
      <c r="FM160" s="141"/>
      <c r="FN160" s="203" t="str">
        <f t="shared" si="405"/>
        <v xml:space="preserve">  </v>
      </c>
      <c r="FO160" s="174" t="str">
        <f t="shared" si="378"/>
        <v>NG</v>
      </c>
      <c r="FP160" s="141"/>
      <c r="FQ160" s="172" t="s">
        <v>71</v>
      </c>
      <c r="FR160" s="160"/>
      <c r="FS160" s="141"/>
      <c r="FT160" s="203" t="str">
        <f t="shared" si="406"/>
        <v xml:space="preserve">  </v>
      </c>
      <c r="FU160" s="174" t="str">
        <f t="shared" si="379"/>
        <v>NG</v>
      </c>
      <c r="FV160" s="141"/>
      <c r="FW160" s="172" t="s">
        <v>71</v>
      </c>
      <c r="FX160" s="160"/>
      <c r="FY160" s="141"/>
      <c r="FZ160" s="203" t="str">
        <f t="shared" si="407"/>
        <v xml:space="preserve">  </v>
      </c>
      <c r="GA160" s="174" t="str">
        <f t="shared" si="380"/>
        <v>NG</v>
      </c>
      <c r="GB160" s="141"/>
      <c r="GC160" s="172" t="s">
        <v>71</v>
      </c>
    </row>
    <row r="161" spans="2:185" s="52" customFormat="1">
      <c r="B161" s="48">
        <f t="shared" si="408"/>
        <v>154</v>
      </c>
      <c r="C161" s="37"/>
      <c r="D161" s="37"/>
      <c r="E161" s="37"/>
      <c r="F161" s="49" t="s">
        <v>192</v>
      </c>
      <c r="G161" s="39"/>
      <c r="H161" s="40"/>
      <c r="I161" s="42"/>
      <c r="J161" s="42" t="s">
        <v>316</v>
      </c>
      <c r="K161" s="42"/>
      <c r="L161" s="42"/>
      <c r="M161" s="47" t="s">
        <v>324</v>
      </c>
      <c r="N161" s="47"/>
      <c r="O161" s="143"/>
      <c r="P161" s="45">
        <f t="shared" si="411"/>
        <v>133</v>
      </c>
      <c r="Q161" s="46">
        <v>255</v>
      </c>
      <c r="R161" s="41" t="str">
        <f t="shared" si="410"/>
        <v>NX</v>
      </c>
      <c r="S161" s="185" t="s">
        <v>193</v>
      </c>
      <c r="T161" s="43"/>
      <c r="U161" s="41" t="s">
        <v>80</v>
      </c>
      <c r="V161" s="44"/>
      <c r="W161" s="22">
        <v>3</v>
      </c>
      <c r="X161" s="47" t="s">
        <v>194</v>
      </c>
      <c r="Y161" s="47">
        <v>1</v>
      </c>
      <c r="Z161" s="47">
        <v>255</v>
      </c>
      <c r="AA161" s="42" t="s">
        <v>195</v>
      </c>
      <c r="AB161" s="42" t="s">
        <v>57</v>
      </c>
      <c r="AC161" s="166"/>
      <c r="AD161" s="160"/>
      <c r="AE161" s="162"/>
      <c r="AF161" s="204" t="str">
        <f t="shared" si="383"/>
        <v xml:space="preserve">                                                                                                                                                                                                                                                               </v>
      </c>
      <c r="AG161" s="174" t="str">
        <f t="shared" si="364"/>
        <v>NG</v>
      </c>
      <c r="AH161" s="162"/>
      <c r="AI161" s="276" t="str">
        <f>IF(OR(AE$8="判定対象外",AH$8="判定対象外",AH161="-"),"-",IF(AE161=AH161,"OK","NG"))</f>
        <v>OK</v>
      </c>
      <c r="AJ161" s="160"/>
      <c r="AK161" s="162"/>
      <c r="AL161" s="204" t="str">
        <f t="shared" si="382"/>
        <v xml:space="preserve">                                                                                                                                                                                                                                                               </v>
      </c>
      <c r="AM161" s="174" t="str">
        <f t="shared" si="409"/>
        <v>NG</v>
      </c>
      <c r="AN161" s="162"/>
      <c r="AO161" s="276" t="str">
        <f>IF(OR(AK$8="判定対象外",AN$8="判定対象外",AN161="-"),"-",IF(AK161=AN161,"OK","NG"))</f>
        <v>OK</v>
      </c>
      <c r="AP161" s="160"/>
      <c r="AQ161" s="162"/>
      <c r="AR161" s="204" t="str">
        <f t="shared" si="384"/>
        <v xml:space="preserve">                                                                                                                                                                                                                                                               </v>
      </c>
      <c r="AS161" s="174" t="str">
        <f t="shared" si="365"/>
        <v>NG</v>
      </c>
      <c r="AT161" s="162"/>
      <c r="AU161" s="276" t="str">
        <f>IF(OR(AQ$8="判定対象外",AT$8="判定対象外",AT161="-"),"-",IF(AQ161=AT161,"OK","NG"))</f>
        <v>OK</v>
      </c>
      <c r="AV161" s="160"/>
      <c r="AW161" s="162"/>
      <c r="AX161" s="204" t="str">
        <f t="shared" si="385"/>
        <v xml:space="preserve">                                                                                                                                                                                                                                                               </v>
      </c>
      <c r="AY161" s="174" t="str">
        <f t="shared" si="366"/>
        <v>NG</v>
      </c>
      <c r="AZ161" s="162"/>
      <c r="BA161" s="276" t="str">
        <f>IF(OR(AW$8="判定対象外",AZ$8="判定対象外",AZ161="-"),"-",IF(AW161=AZ161,"OK","NG"))</f>
        <v>OK</v>
      </c>
      <c r="BB161" s="160"/>
      <c r="BC161" s="162"/>
      <c r="BD161" s="204" t="str">
        <f t="shared" si="386"/>
        <v xml:space="preserve">                                                                                                                                                                                                                                                               </v>
      </c>
      <c r="BE161" s="174" t="str">
        <f t="shared" si="367"/>
        <v>NG</v>
      </c>
      <c r="BF161" s="162"/>
      <c r="BG161" s="276" t="str">
        <f>IF(OR(BC$8="判定対象外",BF$8="判定対象外",BF161="-"),"-",IF(BC161=BF161,"OK","NG"))</f>
        <v>OK</v>
      </c>
      <c r="BH161" s="160"/>
      <c r="BI161" s="162"/>
      <c r="BJ161" s="204" t="str">
        <f t="shared" si="387"/>
        <v xml:space="preserve">                                                                                                                                                                                                                                                               </v>
      </c>
      <c r="BK161" s="174" t="str">
        <f t="shared" si="368"/>
        <v>NG</v>
      </c>
      <c r="BL161" s="162"/>
      <c r="BM161" s="276" t="str">
        <f>IF(OR(BI$8="判定対象外",BL$8="判定対象外",BL161="-"),"-",IF(BI161=BL161,"OK","NG"))</f>
        <v>OK</v>
      </c>
      <c r="BN161" s="160"/>
      <c r="BO161" s="162"/>
      <c r="BP161" s="204" t="str">
        <f t="shared" si="388"/>
        <v xml:space="preserve">                                                                                                                                                                                                                                                               </v>
      </c>
      <c r="BQ161" s="174" t="str">
        <f t="shared" si="369"/>
        <v>NG</v>
      </c>
      <c r="BR161" s="162"/>
      <c r="BS161" s="276" t="str">
        <f>IF(OR(BO$8="判定対象外",BR$8="判定対象外",BR161="-"),"-",IF(BO161=BR161,"OK","NG"))</f>
        <v>OK</v>
      </c>
      <c r="BT161" s="160"/>
      <c r="BU161" s="162"/>
      <c r="BV161" s="204" t="str">
        <f t="shared" si="389"/>
        <v xml:space="preserve">                                                                                                                                                                                                                                                               </v>
      </c>
      <c r="BW161" s="174" t="str">
        <f t="shared" si="370"/>
        <v>NG</v>
      </c>
      <c r="BX161" s="162"/>
      <c r="BY161" s="276" t="str">
        <f>IF(OR(BU$8="判定対象外",BX$8="判定対象外",BX161="-"),"-",IF(BU161=BX161,"OK","NG"))</f>
        <v>OK</v>
      </c>
      <c r="BZ161" s="160"/>
      <c r="CA161" s="162"/>
      <c r="CB161" s="204" t="str">
        <f t="shared" si="390"/>
        <v xml:space="preserve">                                                                                                                                                                                                                                                               </v>
      </c>
      <c r="CC161" s="174" t="str">
        <f t="shared" si="371"/>
        <v>NG</v>
      </c>
      <c r="CD161" s="162"/>
      <c r="CE161" s="276" t="str">
        <f>IF(OR(CA$8="判定対象外",CD$8="判定対象外",CD161="-"),"-",IF(CA161=CD161,"OK","NG"))</f>
        <v>OK</v>
      </c>
      <c r="CF161" s="160"/>
      <c r="CG161" s="162"/>
      <c r="CH161" s="204" t="str">
        <f t="shared" si="391"/>
        <v xml:space="preserve">                                                                                                                                                                                                                                                               </v>
      </c>
      <c r="CI161" s="174" t="str">
        <f t="shared" si="372"/>
        <v>NG</v>
      </c>
      <c r="CJ161" s="162"/>
      <c r="CK161" s="276" t="str">
        <f>IF(OR(CG$8="判定対象外",CJ$8="判定対象外",CJ161="-"),"-",IF(CG161=CJ161,"OK","NG"))</f>
        <v>OK</v>
      </c>
      <c r="CL161" s="160"/>
      <c r="CM161" s="162"/>
      <c r="CN161" s="204" t="str">
        <f t="shared" si="392"/>
        <v xml:space="preserve">                                                                                                                                                                                                                                                               </v>
      </c>
      <c r="CO161" s="174" t="str">
        <f t="shared" si="373"/>
        <v>NG</v>
      </c>
      <c r="CP161" s="162"/>
      <c r="CQ161" s="276" t="str">
        <f>IF(OR(CM$8="判定対象外",CP$8="判定対象外",CP161="-"),"-",IF(CM161=CP161,"OK","NG"))</f>
        <v>OK</v>
      </c>
      <c r="CR161" s="160"/>
      <c r="CS161" s="162"/>
      <c r="CT161" s="204" t="str">
        <f t="shared" si="393"/>
        <v xml:space="preserve">                                                                                                                                                                                                                                                               </v>
      </c>
      <c r="CU161" s="174" t="str">
        <f t="shared" si="374"/>
        <v>NG</v>
      </c>
      <c r="CV161" s="162"/>
      <c r="CW161" s="276" t="str">
        <f>IF(OR(CS$8="判定対象外",CV$8="判定対象外",CV161="-"),"-",IF(CS161=CV161,"OK","NG"))</f>
        <v>OK</v>
      </c>
      <c r="CX161" s="160"/>
      <c r="CY161" s="162"/>
      <c r="CZ161" s="204" t="str">
        <f t="shared" si="394"/>
        <v xml:space="preserve">                                                                                                                                                                                                                                                               </v>
      </c>
      <c r="DA161" s="174" t="str">
        <f t="shared" si="375"/>
        <v>NG</v>
      </c>
      <c r="DB161" s="162"/>
      <c r="DC161" s="276" t="str">
        <f>IF(OR(CY$8="判定対象外",DB$8="判定対象外",DB161="-"),"-",IF(CY161=DB161,"OK","NG"))</f>
        <v>OK</v>
      </c>
      <c r="DD161" s="160"/>
      <c r="DE161" s="162"/>
      <c r="DF161" s="204" t="str">
        <f t="shared" si="395"/>
        <v xml:space="preserve">                                                                                                                                                                                                                                                               </v>
      </c>
      <c r="DG161" s="174" t="str">
        <f t="shared" si="376"/>
        <v>NG</v>
      </c>
      <c r="DH161" s="162"/>
      <c r="DI161" s="276" t="str">
        <f>IF(OR(DE$8="判定対象外",DH$8="判定対象外",DH161="-"),"-",IF(DE161=DH161,"OK","NG"))</f>
        <v>OK</v>
      </c>
      <c r="DJ161" s="160"/>
      <c r="DK161" s="162"/>
      <c r="DL161" s="204" t="str">
        <f t="shared" si="396"/>
        <v xml:space="preserve">                                                                                                                                                                                                                                                               </v>
      </c>
      <c r="DM161" s="174" t="str">
        <f t="shared" si="377"/>
        <v>NG</v>
      </c>
      <c r="DN161" s="162"/>
      <c r="DO161" s="276" t="str">
        <f>IF(OR(DK$8="判定対象外",DN$8="判定対象外",DN161="-"),"-",IF(DK161=DN161,"OK","NG"))</f>
        <v>OK</v>
      </c>
      <c r="DP161" s="160"/>
      <c r="DQ161" s="162"/>
      <c r="DR161" s="204" t="str">
        <f t="shared" si="397"/>
        <v xml:space="preserve">                                                                                                                                                                                                                                                               </v>
      </c>
      <c r="DS161" s="174" t="str">
        <f t="shared" si="354"/>
        <v>NG</v>
      </c>
      <c r="DT161" s="162"/>
      <c r="DU161" s="276" t="str">
        <f>IF(OR(DQ$8="判定対象外",DT$8="判定対象外",DT161="-"),"-",IF(DQ161=DT161,"OK","NG"))</f>
        <v>OK</v>
      </c>
      <c r="DV161" s="160"/>
      <c r="DW161" s="162"/>
      <c r="DX161" s="204" t="str">
        <f t="shared" si="398"/>
        <v xml:space="preserve">                                                                                                                                                                                                                                                               </v>
      </c>
      <c r="DY161" s="174" t="str">
        <f t="shared" si="355"/>
        <v>NG</v>
      </c>
      <c r="DZ161" s="162"/>
      <c r="EA161" s="276" t="str">
        <f>IF(OR(DW$8="判定対象外",DZ$8="判定対象外",DZ161="-"),"-",IF(DW161=DZ161,"OK","NG"))</f>
        <v>OK</v>
      </c>
      <c r="EB161" s="160"/>
      <c r="EC161" s="162"/>
      <c r="ED161" s="204" t="str">
        <f t="shared" si="399"/>
        <v xml:space="preserve">                                                                                                                                                                                                                                                               </v>
      </c>
      <c r="EE161" s="174" t="str">
        <f t="shared" si="356"/>
        <v>NG</v>
      </c>
      <c r="EF161" s="162"/>
      <c r="EG161" s="276" t="str">
        <f>IF(OR(EC$8="判定対象外",EF$8="判定対象外",EF161="-"),"-",IF(EC161=EF161,"OK","NG"))</f>
        <v>OK</v>
      </c>
      <c r="EH161" s="160"/>
      <c r="EI161" s="162"/>
      <c r="EJ161" s="204" t="str">
        <f t="shared" si="400"/>
        <v xml:space="preserve">                                                                                                                                                                                                                                                               </v>
      </c>
      <c r="EK161" s="174" t="str">
        <f t="shared" si="357"/>
        <v>NG</v>
      </c>
      <c r="EL161" s="162"/>
      <c r="EM161" s="276" t="str">
        <f>IF(OR(EI$8="判定対象外",EL$8="判定対象外",EL161="-"),"-",IF(EI161=EL161,"OK","NG"))</f>
        <v>OK</v>
      </c>
      <c r="EN161" s="160"/>
      <c r="EO161" s="162"/>
      <c r="EP161" s="204" t="str">
        <f t="shared" si="401"/>
        <v xml:space="preserve">                                                                                                                                                                                                                                                               </v>
      </c>
      <c r="EQ161" s="174" t="str">
        <f t="shared" si="358"/>
        <v>NG</v>
      </c>
      <c r="ER161" s="162"/>
      <c r="ES161" s="276" t="str">
        <f>IF(OR(EO$8="判定対象外",ER$8="判定対象外",ER161="-"),"-",IF(EO161=ER161,"OK","NG"))</f>
        <v>OK</v>
      </c>
      <c r="ET161" s="160"/>
      <c r="EU161" s="162"/>
      <c r="EV161" s="204" t="str">
        <f t="shared" si="402"/>
        <v xml:space="preserve">                                                                                                                                                                                                                                                               </v>
      </c>
      <c r="EW161" s="174" t="str">
        <f t="shared" si="359"/>
        <v>NG</v>
      </c>
      <c r="EX161" s="162"/>
      <c r="EY161" s="276" t="str">
        <f>IF(OR(EU$8="判定対象外",EX$8="判定対象外",EX161="-"),"-",IF(EU161=EX161,"OK","NG"))</f>
        <v>OK</v>
      </c>
      <c r="EZ161" s="160"/>
      <c r="FA161" s="162"/>
      <c r="FB161" s="204" t="str">
        <f t="shared" si="403"/>
        <v xml:space="preserve">                                                                                                                                                                                                                                                               </v>
      </c>
      <c r="FC161" s="174" t="str">
        <f t="shared" si="360"/>
        <v>NG</v>
      </c>
      <c r="FD161" s="162"/>
      <c r="FE161" s="276" t="str">
        <f>IF(OR(FA$8="判定対象外",FD$8="判定対象外",FD161="-"),"-",IF(FA161=FD161,"OK","NG"))</f>
        <v>OK</v>
      </c>
      <c r="FF161" s="160"/>
      <c r="FG161" s="162"/>
      <c r="FH161" s="204" t="str">
        <f t="shared" si="404"/>
        <v xml:space="preserve">                                                                                                                                                                                                                                                               </v>
      </c>
      <c r="FI161" s="174" t="str">
        <f t="shared" si="361"/>
        <v>NG</v>
      </c>
      <c r="FJ161" s="162"/>
      <c r="FK161" s="276" t="str">
        <f>IF(OR(FG$8="判定対象外",FJ$8="判定対象外",FJ161="-"),"-",IF(FG161=FJ161,"OK","NG"))</f>
        <v>OK</v>
      </c>
      <c r="FL161" s="160"/>
      <c r="FM161" s="162"/>
      <c r="FN161" s="204" t="str">
        <f t="shared" si="405"/>
        <v xml:space="preserve">                                                                                                                                                                                                                                                               </v>
      </c>
      <c r="FO161" s="174" t="str">
        <f t="shared" si="378"/>
        <v>NG</v>
      </c>
      <c r="FP161" s="162"/>
      <c r="FQ161" s="276" t="str">
        <f>IF(OR(FM$8="判定対象外",FP$8="判定対象外",FP161="-"),"-",IF(FM161=FP161,"OK","NG"))</f>
        <v>OK</v>
      </c>
      <c r="FR161" s="160"/>
      <c r="FS161" s="162"/>
      <c r="FT161" s="204" t="str">
        <f t="shared" si="406"/>
        <v xml:space="preserve">                                                                                                                                                                                                                                                               </v>
      </c>
      <c r="FU161" s="174" t="str">
        <f t="shared" si="379"/>
        <v>NG</v>
      </c>
      <c r="FV161" s="162"/>
      <c r="FW161" s="276" t="str">
        <f>IF(OR(FS$8="判定対象外",FV$8="判定対象外",FV161="-"),"-",IF(FS161=FV161,"OK","NG"))</f>
        <v>OK</v>
      </c>
      <c r="FX161" s="160"/>
      <c r="FY161" s="162"/>
      <c r="FZ161" s="204" t="str">
        <f t="shared" si="407"/>
        <v xml:space="preserve">                                                                                                                                                                                                                                                               </v>
      </c>
      <c r="GA161" s="174" t="str">
        <f t="shared" si="380"/>
        <v>NG</v>
      </c>
      <c r="GB161" s="162"/>
      <c r="GC161" s="276" t="str">
        <f>IF(OR(FY$8="判定対象外",GB$8="判定対象外",GB161="-"),"-",IF(FY161=GB161,"OK","NG"))</f>
        <v>OK</v>
      </c>
    </row>
    <row r="162" spans="2:185" s="52" customFormat="1">
      <c r="B162" s="53">
        <f t="shared" si="408"/>
        <v>155</v>
      </c>
      <c r="C162" s="37"/>
      <c r="D162" s="37"/>
      <c r="E162" s="37"/>
      <c r="F162" s="54" t="s">
        <v>325</v>
      </c>
      <c r="G162" s="54"/>
      <c r="H162" s="55"/>
      <c r="I162" s="57"/>
      <c r="J162" s="57"/>
      <c r="K162" s="57"/>
      <c r="L162" s="57"/>
      <c r="M162" s="58" t="s">
        <v>326</v>
      </c>
      <c r="N162" s="62"/>
      <c r="O162" s="150"/>
      <c r="P162" s="45">
        <f t="shared" si="411"/>
        <v>134</v>
      </c>
      <c r="Q162" s="60">
        <v>256</v>
      </c>
      <c r="R162" s="41" t="str">
        <f t="shared" si="410"/>
        <v>NX</v>
      </c>
      <c r="S162" s="185" t="s">
        <v>196</v>
      </c>
      <c r="T162" s="43"/>
      <c r="U162" s="41" t="s">
        <v>80</v>
      </c>
      <c r="V162" s="44"/>
      <c r="W162" s="61">
        <v>3</v>
      </c>
      <c r="X162" s="62" t="s">
        <v>197</v>
      </c>
      <c r="Y162" s="62">
        <v>1</v>
      </c>
      <c r="Z162" s="62">
        <v>256</v>
      </c>
      <c r="AA162" s="57" t="s">
        <v>101</v>
      </c>
      <c r="AB162" s="57" t="s">
        <v>80</v>
      </c>
      <c r="AC162" s="214"/>
      <c r="AD162" s="160"/>
      <c r="AE162" s="141"/>
      <c r="AF162" s="203" t="str">
        <f t="shared" si="383"/>
        <v xml:space="preserve">                                                                                                                                                                                                                                                                </v>
      </c>
      <c r="AG162" s="174" t="str">
        <f t="shared" si="364"/>
        <v>NG</v>
      </c>
      <c r="AH162" s="141"/>
      <c r="AI162" s="172" t="s">
        <v>71</v>
      </c>
      <c r="AJ162" s="160"/>
      <c r="AK162" s="141"/>
      <c r="AL162" s="203" t="str">
        <f t="shared" si="382"/>
        <v xml:space="preserve">                                                                                                                                                                                                                                                                </v>
      </c>
      <c r="AM162" s="174" t="str">
        <f t="shared" si="409"/>
        <v>NG</v>
      </c>
      <c r="AN162" s="141"/>
      <c r="AO162" s="172" t="s">
        <v>71</v>
      </c>
      <c r="AP162" s="160"/>
      <c r="AQ162" s="141"/>
      <c r="AR162" s="203" t="str">
        <f t="shared" si="384"/>
        <v xml:space="preserve">                                                                                                                                                                                                                                                                </v>
      </c>
      <c r="AS162" s="174" t="str">
        <f t="shared" si="365"/>
        <v>NG</v>
      </c>
      <c r="AT162" s="141"/>
      <c r="AU162" s="172" t="s">
        <v>71</v>
      </c>
      <c r="AV162" s="160"/>
      <c r="AW162" s="141"/>
      <c r="AX162" s="203" t="str">
        <f t="shared" si="385"/>
        <v xml:space="preserve">                                                                                                                                                                                                                                                                </v>
      </c>
      <c r="AY162" s="174" t="str">
        <f t="shared" si="366"/>
        <v>NG</v>
      </c>
      <c r="AZ162" s="141"/>
      <c r="BA162" s="172" t="s">
        <v>71</v>
      </c>
      <c r="BB162" s="160"/>
      <c r="BC162" s="141"/>
      <c r="BD162" s="203" t="str">
        <f t="shared" si="386"/>
        <v xml:space="preserve">                                                                                                                                                                                                                                                                </v>
      </c>
      <c r="BE162" s="174" t="str">
        <f t="shared" si="367"/>
        <v>NG</v>
      </c>
      <c r="BF162" s="141"/>
      <c r="BG162" s="172" t="s">
        <v>71</v>
      </c>
      <c r="BH162" s="160"/>
      <c r="BI162" s="141"/>
      <c r="BJ162" s="203" t="str">
        <f t="shared" si="387"/>
        <v xml:space="preserve">                                                                                                                                                                                                                                                                </v>
      </c>
      <c r="BK162" s="174" t="str">
        <f t="shared" si="368"/>
        <v>NG</v>
      </c>
      <c r="BL162" s="141"/>
      <c r="BM162" s="172" t="s">
        <v>71</v>
      </c>
      <c r="BN162" s="160"/>
      <c r="BO162" s="141"/>
      <c r="BP162" s="203" t="str">
        <f t="shared" si="388"/>
        <v xml:space="preserve">                                                                                                                                                                                                                                                                </v>
      </c>
      <c r="BQ162" s="174" t="str">
        <f t="shared" si="369"/>
        <v>NG</v>
      </c>
      <c r="BR162" s="141"/>
      <c r="BS162" s="172" t="s">
        <v>71</v>
      </c>
      <c r="BT162" s="160"/>
      <c r="BU162" s="141"/>
      <c r="BV162" s="203" t="str">
        <f t="shared" si="389"/>
        <v xml:space="preserve">                                                                                                                                                                                                                                                                </v>
      </c>
      <c r="BW162" s="174" t="str">
        <f t="shared" si="370"/>
        <v>NG</v>
      </c>
      <c r="BX162" s="141"/>
      <c r="BY162" s="172" t="s">
        <v>71</v>
      </c>
      <c r="BZ162" s="160"/>
      <c r="CA162" s="141"/>
      <c r="CB162" s="203" t="str">
        <f t="shared" si="390"/>
        <v xml:space="preserve">                                                                                                                                                                                                                                                                </v>
      </c>
      <c r="CC162" s="174" t="str">
        <f t="shared" si="371"/>
        <v>NG</v>
      </c>
      <c r="CD162" s="141"/>
      <c r="CE162" s="172" t="s">
        <v>71</v>
      </c>
      <c r="CF162" s="160"/>
      <c r="CG162" s="141"/>
      <c r="CH162" s="203" t="str">
        <f t="shared" si="391"/>
        <v xml:space="preserve">                                                                                                                                                                                                                                                                </v>
      </c>
      <c r="CI162" s="174" t="str">
        <f t="shared" si="372"/>
        <v>NG</v>
      </c>
      <c r="CJ162" s="141"/>
      <c r="CK162" s="172" t="s">
        <v>71</v>
      </c>
      <c r="CL162" s="160"/>
      <c r="CM162" s="141"/>
      <c r="CN162" s="203" t="str">
        <f t="shared" si="392"/>
        <v xml:space="preserve">                                                                                                                                                                                                                                                                </v>
      </c>
      <c r="CO162" s="174" t="str">
        <f t="shared" si="373"/>
        <v>NG</v>
      </c>
      <c r="CP162" s="141"/>
      <c r="CQ162" s="172" t="s">
        <v>71</v>
      </c>
      <c r="CR162" s="160"/>
      <c r="CS162" s="141"/>
      <c r="CT162" s="203" t="str">
        <f t="shared" si="393"/>
        <v xml:space="preserve">                                                                                                                                                                                                                                                                </v>
      </c>
      <c r="CU162" s="174" t="str">
        <f t="shared" si="374"/>
        <v>NG</v>
      </c>
      <c r="CV162" s="141"/>
      <c r="CW162" s="172" t="s">
        <v>71</v>
      </c>
      <c r="CX162" s="160"/>
      <c r="CY162" s="141"/>
      <c r="CZ162" s="203" t="str">
        <f t="shared" si="394"/>
        <v xml:space="preserve">                                                                                                                                                                                                                                                                </v>
      </c>
      <c r="DA162" s="174" t="str">
        <f t="shared" si="375"/>
        <v>NG</v>
      </c>
      <c r="DB162" s="141"/>
      <c r="DC162" s="172" t="s">
        <v>71</v>
      </c>
      <c r="DD162" s="160"/>
      <c r="DE162" s="141"/>
      <c r="DF162" s="203" t="str">
        <f t="shared" si="395"/>
        <v xml:space="preserve">                                                                                                                                                                                                                                                                </v>
      </c>
      <c r="DG162" s="174" t="str">
        <f t="shared" si="376"/>
        <v>NG</v>
      </c>
      <c r="DH162" s="141"/>
      <c r="DI162" s="172" t="s">
        <v>71</v>
      </c>
      <c r="DJ162" s="160"/>
      <c r="DK162" s="141"/>
      <c r="DL162" s="203" t="str">
        <f t="shared" si="396"/>
        <v xml:space="preserve">                                                                                                                                                                                                                                                                </v>
      </c>
      <c r="DM162" s="174" t="str">
        <f t="shared" si="377"/>
        <v>NG</v>
      </c>
      <c r="DN162" s="141"/>
      <c r="DO162" s="172" t="s">
        <v>71</v>
      </c>
      <c r="DP162" s="160"/>
      <c r="DQ162" s="141"/>
      <c r="DR162" s="203" t="str">
        <f t="shared" si="397"/>
        <v xml:space="preserve">                                                                                                                                                                                                                                                                </v>
      </c>
      <c r="DS162" s="174" t="str">
        <f t="shared" si="354"/>
        <v>NG</v>
      </c>
      <c r="DT162" s="141"/>
      <c r="DU162" s="172" t="s">
        <v>71</v>
      </c>
      <c r="DV162" s="160"/>
      <c r="DW162" s="141"/>
      <c r="DX162" s="203" t="str">
        <f t="shared" si="398"/>
        <v xml:space="preserve">                                                                                                                                                                                                                                                                </v>
      </c>
      <c r="DY162" s="174" t="str">
        <f t="shared" si="355"/>
        <v>NG</v>
      </c>
      <c r="DZ162" s="141"/>
      <c r="EA162" s="172" t="s">
        <v>71</v>
      </c>
      <c r="EB162" s="160"/>
      <c r="EC162" s="141"/>
      <c r="ED162" s="203" t="str">
        <f t="shared" si="399"/>
        <v xml:space="preserve">                                                                                                                                                                                                                                                                </v>
      </c>
      <c r="EE162" s="174" t="str">
        <f t="shared" si="356"/>
        <v>NG</v>
      </c>
      <c r="EF162" s="141"/>
      <c r="EG162" s="172" t="s">
        <v>71</v>
      </c>
      <c r="EH162" s="160"/>
      <c r="EI162" s="141"/>
      <c r="EJ162" s="203" t="str">
        <f t="shared" si="400"/>
        <v xml:space="preserve">                                                                                                                                                                                                                                                                </v>
      </c>
      <c r="EK162" s="174" t="str">
        <f t="shared" si="357"/>
        <v>NG</v>
      </c>
      <c r="EL162" s="141"/>
      <c r="EM162" s="172" t="s">
        <v>71</v>
      </c>
      <c r="EN162" s="160"/>
      <c r="EO162" s="141"/>
      <c r="EP162" s="203" t="str">
        <f t="shared" si="401"/>
        <v xml:space="preserve">                                                                                                                                                                                                                                                                </v>
      </c>
      <c r="EQ162" s="174" t="str">
        <f t="shared" si="358"/>
        <v>NG</v>
      </c>
      <c r="ER162" s="141"/>
      <c r="ES162" s="172" t="s">
        <v>71</v>
      </c>
      <c r="ET162" s="160"/>
      <c r="EU162" s="141"/>
      <c r="EV162" s="203" t="str">
        <f t="shared" si="402"/>
        <v xml:space="preserve">                                                                                                                                                                                                                                                                </v>
      </c>
      <c r="EW162" s="174" t="str">
        <f t="shared" si="359"/>
        <v>NG</v>
      </c>
      <c r="EX162" s="141"/>
      <c r="EY162" s="172" t="s">
        <v>71</v>
      </c>
      <c r="EZ162" s="160"/>
      <c r="FA162" s="141"/>
      <c r="FB162" s="203" t="str">
        <f t="shared" si="403"/>
        <v xml:space="preserve">                                                                                                                                                                                                                                                                </v>
      </c>
      <c r="FC162" s="174" t="str">
        <f t="shared" si="360"/>
        <v>NG</v>
      </c>
      <c r="FD162" s="141"/>
      <c r="FE162" s="172" t="s">
        <v>71</v>
      </c>
      <c r="FF162" s="160"/>
      <c r="FG162" s="141"/>
      <c r="FH162" s="203" t="str">
        <f t="shared" si="404"/>
        <v xml:space="preserve">                                                                                                                                                                                                                                                                </v>
      </c>
      <c r="FI162" s="174" t="str">
        <f t="shared" si="361"/>
        <v>NG</v>
      </c>
      <c r="FJ162" s="141"/>
      <c r="FK162" s="172" t="s">
        <v>71</v>
      </c>
      <c r="FL162" s="160"/>
      <c r="FM162" s="141"/>
      <c r="FN162" s="203" t="str">
        <f t="shared" si="405"/>
        <v xml:space="preserve">                                                                                                                                                                                                                                                                </v>
      </c>
      <c r="FO162" s="174" t="str">
        <f t="shared" si="378"/>
        <v>NG</v>
      </c>
      <c r="FP162" s="141"/>
      <c r="FQ162" s="172" t="s">
        <v>71</v>
      </c>
      <c r="FR162" s="160"/>
      <c r="FS162" s="141"/>
      <c r="FT162" s="203" t="str">
        <f t="shared" si="406"/>
        <v xml:space="preserve">                                                                                                                                                                                                                                                                </v>
      </c>
      <c r="FU162" s="174" t="str">
        <f t="shared" si="379"/>
        <v>NG</v>
      </c>
      <c r="FV162" s="141"/>
      <c r="FW162" s="172" t="s">
        <v>71</v>
      </c>
      <c r="FX162" s="160"/>
      <c r="FY162" s="141"/>
      <c r="FZ162" s="203" t="str">
        <f t="shared" si="407"/>
        <v xml:space="preserve">                                                                                                                                                                                                                                                                </v>
      </c>
      <c r="GA162" s="174" t="str">
        <f t="shared" si="380"/>
        <v>NG</v>
      </c>
      <c r="GB162" s="141"/>
      <c r="GC162" s="172" t="s">
        <v>71</v>
      </c>
    </row>
    <row r="163" spans="2:185" s="52" customFormat="1" ht="63.75">
      <c r="B163" s="48">
        <f t="shared" si="408"/>
        <v>156</v>
      </c>
      <c r="C163" s="37"/>
      <c r="D163" s="37"/>
      <c r="E163" s="37"/>
      <c r="F163" s="49" t="s">
        <v>198</v>
      </c>
      <c r="G163" s="39"/>
      <c r="H163" s="40"/>
      <c r="I163" s="42"/>
      <c r="J163" s="42"/>
      <c r="K163" s="42"/>
      <c r="L163" s="42"/>
      <c r="M163" s="63" t="s">
        <v>327</v>
      </c>
      <c r="N163" s="47"/>
      <c r="O163" s="143"/>
      <c r="P163" s="45">
        <f t="shared" si="411"/>
        <v>135</v>
      </c>
      <c r="Q163" s="46">
        <v>256</v>
      </c>
      <c r="R163" s="41" t="str">
        <f t="shared" si="410"/>
        <v>NX</v>
      </c>
      <c r="S163" s="185" t="s">
        <v>199</v>
      </c>
      <c r="T163" s="43"/>
      <c r="U163" s="41" t="s">
        <v>80</v>
      </c>
      <c r="V163" s="44"/>
      <c r="W163" s="22">
        <v>3</v>
      </c>
      <c r="X163" s="47" t="s">
        <v>200</v>
      </c>
      <c r="Y163" s="47">
        <v>1</v>
      </c>
      <c r="Z163" s="47">
        <v>256</v>
      </c>
      <c r="AA163" s="42" t="s">
        <v>195</v>
      </c>
      <c r="AB163" s="42" t="s">
        <v>80</v>
      </c>
      <c r="AC163" s="166"/>
      <c r="AD163" s="160"/>
      <c r="AE163" s="162"/>
      <c r="AF163" s="167" t="str">
        <f t="shared" si="383"/>
        <v xml:space="preserve">                                                                                                                                                                                                                                                                </v>
      </c>
      <c r="AG163" s="174" t="str">
        <f t="shared" si="364"/>
        <v>NG</v>
      </c>
      <c r="AH163" s="162"/>
      <c r="AI163" s="172" t="s">
        <v>71</v>
      </c>
      <c r="AJ163" s="160"/>
      <c r="AK163" s="162"/>
      <c r="AL163" s="167" t="str">
        <f t="shared" si="382"/>
        <v xml:space="preserve">                                                                                                                                                                                                                                                                </v>
      </c>
      <c r="AM163" s="174" t="str">
        <f t="shared" si="409"/>
        <v>NG</v>
      </c>
      <c r="AN163" s="162"/>
      <c r="AO163" s="172" t="s">
        <v>71</v>
      </c>
      <c r="AP163" s="160"/>
      <c r="AQ163" s="162"/>
      <c r="AR163" s="167" t="str">
        <f t="shared" si="384"/>
        <v xml:space="preserve">                                                                                                                                                                                                                                                                </v>
      </c>
      <c r="AS163" s="174" t="str">
        <f t="shared" si="365"/>
        <v>NG</v>
      </c>
      <c r="AT163" s="162"/>
      <c r="AU163" s="172" t="s">
        <v>71</v>
      </c>
      <c r="AV163" s="160"/>
      <c r="AW163" s="162"/>
      <c r="AX163" s="167" t="str">
        <f t="shared" si="385"/>
        <v xml:space="preserve">                                                                                                                                                                                                                                                                </v>
      </c>
      <c r="AY163" s="174" t="str">
        <f t="shared" si="366"/>
        <v>NG</v>
      </c>
      <c r="AZ163" s="162"/>
      <c r="BA163" s="172" t="s">
        <v>71</v>
      </c>
      <c r="BB163" s="160"/>
      <c r="BC163" s="162"/>
      <c r="BD163" s="167" t="str">
        <f t="shared" si="386"/>
        <v xml:space="preserve">                                                                                                                                                                                                                                                                </v>
      </c>
      <c r="BE163" s="174" t="str">
        <f t="shared" si="367"/>
        <v>NG</v>
      </c>
      <c r="BF163" s="162"/>
      <c r="BG163" s="172" t="s">
        <v>71</v>
      </c>
      <c r="BH163" s="160"/>
      <c r="BI163" s="162"/>
      <c r="BJ163" s="167" t="str">
        <f t="shared" si="387"/>
        <v xml:space="preserve">                                                                                                                                                                                                                                                                </v>
      </c>
      <c r="BK163" s="174" t="str">
        <f t="shared" si="368"/>
        <v>NG</v>
      </c>
      <c r="BL163" s="162"/>
      <c r="BM163" s="172" t="s">
        <v>71</v>
      </c>
      <c r="BN163" s="160"/>
      <c r="BO163" s="162"/>
      <c r="BP163" s="167" t="str">
        <f t="shared" si="388"/>
        <v xml:space="preserve">                                                                                                                                                                                                                                                                </v>
      </c>
      <c r="BQ163" s="174" t="str">
        <f t="shared" si="369"/>
        <v>NG</v>
      </c>
      <c r="BR163" s="162"/>
      <c r="BS163" s="172" t="s">
        <v>71</v>
      </c>
      <c r="BT163" s="160"/>
      <c r="BU163" s="162"/>
      <c r="BV163" s="167" t="str">
        <f t="shared" si="389"/>
        <v xml:space="preserve">                                                                                                                                                                                                                                                                </v>
      </c>
      <c r="BW163" s="174" t="str">
        <f t="shared" si="370"/>
        <v>NG</v>
      </c>
      <c r="BX163" s="162"/>
      <c r="BY163" s="172" t="s">
        <v>71</v>
      </c>
      <c r="BZ163" s="160"/>
      <c r="CA163" s="162"/>
      <c r="CB163" s="167" t="str">
        <f t="shared" si="390"/>
        <v xml:space="preserve">                                                                                                                                                                                                                                                                </v>
      </c>
      <c r="CC163" s="174" t="str">
        <f t="shared" si="371"/>
        <v>NG</v>
      </c>
      <c r="CD163" s="162"/>
      <c r="CE163" s="172" t="s">
        <v>71</v>
      </c>
      <c r="CF163" s="160"/>
      <c r="CG163" s="162"/>
      <c r="CH163" s="167" t="str">
        <f t="shared" si="391"/>
        <v xml:space="preserve">                                                                                                                                                                                                                                                                </v>
      </c>
      <c r="CI163" s="174" t="str">
        <f t="shared" si="372"/>
        <v>NG</v>
      </c>
      <c r="CJ163" s="162"/>
      <c r="CK163" s="172" t="s">
        <v>71</v>
      </c>
      <c r="CL163" s="160"/>
      <c r="CM163" s="162"/>
      <c r="CN163" s="167" t="str">
        <f t="shared" si="392"/>
        <v xml:space="preserve">                                                                                                                                                                                                                                                                </v>
      </c>
      <c r="CO163" s="174" t="str">
        <f t="shared" si="373"/>
        <v>NG</v>
      </c>
      <c r="CP163" s="162"/>
      <c r="CQ163" s="172" t="s">
        <v>71</v>
      </c>
      <c r="CR163" s="160"/>
      <c r="CS163" s="162"/>
      <c r="CT163" s="167" t="str">
        <f t="shared" si="393"/>
        <v xml:space="preserve">                                                                                                                                                                                                                                                                </v>
      </c>
      <c r="CU163" s="174" t="str">
        <f t="shared" si="374"/>
        <v>NG</v>
      </c>
      <c r="CV163" s="162"/>
      <c r="CW163" s="172" t="s">
        <v>71</v>
      </c>
      <c r="CX163" s="160"/>
      <c r="CY163" s="162"/>
      <c r="CZ163" s="167" t="str">
        <f t="shared" si="394"/>
        <v xml:space="preserve">                                                                                                                                                                                                                                                                </v>
      </c>
      <c r="DA163" s="174" t="str">
        <f t="shared" si="375"/>
        <v>NG</v>
      </c>
      <c r="DB163" s="162"/>
      <c r="DC163" s="172" t="s">
        <v>71</v>
      </c>
      <c r="DD163" s="160"/>
      <c r="DE163" s="162"/>
      <c r="DF163" s="167" t="str">
        <f t="shared" si="395"/>
        <v xml:space="preserve">                                                                                                                                                                                                                                                                </v>
      </c>
      <c r="DG163" s="174" t="str">
        <f t="shared" si="376"/>
        <v>NG</v>
      </c>
      <c r="DH163" s="162"/>
      <c r="DI163" s="172" t="s">
        <v>71</v>
      </c>
      <c r="DJ163" s="160"/>
      <c r="DK163" s="162"/>
      <c r="DL163" s="167" t="str">
        <f t="shared" si="396"/>
        <v xml:space="preserve">                                                                                                                                                                                                                                                                </v>
      </c>
      <c r="DM163" s="174" t="str">
        <f t="shared" si="377"/>
        <v>NG</v>
      </c>
      <c r="DN163" s="162"/>
      <c r="DO163" s="172" t="s">
        <v>71</v>
      </c>
      <c r="DP163" s="160"/>
      <c r="DQ163" s="162"/>
      <c r="DR163" s="167" t="str">
        <f t="shared" si="397"/>
        <v xml:space="preserve">                                                                                                                                                                                                                                                                </v>
      </c>
      <c r="DS163" s="174" t="str">
        <f t="shared" si="354"/>
        <v>NG</v>
      </c>
      <c r="DT163" s="162"/>
      <c r="DU163" s="172" t="s">
        <v>71</v>
      </c>
      <c r="DV163" s="160"/>
      <c r="DW163" s="162"/>
      <c r="DX163" s="167" t="str">
        <f t="shared" si="398"/>
        <v xml:space="preserve">                                                                                                                                                                                                                                                                </v>
      </c>
      <c r="DY163" s="174" t="str">
        <f t="shared" si="355"/>
        <v>NG</v>
      </c>
      <c r="DZ163" s="162"/>
      <c r="EA163" s="172" t="s">
        <v>71</v>
      </c>
      <c r="EB163" s="160"/>
      <c r="EC163" s="162"/>
      <c r="ED163" s="167" t="str">
        <f t="shared" si="399"/>
        <v xml:space="preserve">                                                                                                                                                                                                                                                                </v>
      </c>
      <c r="EE163" s="174" t="str">
        <f t="shared" si="356"/>
        <v>NG</v>
      </c>
      <c r="EF163" s="162"/>
      <c r="EG163" s="172" t="s">
        <v>71</v>
      </c>
      <c r="EH163" s="160"/>
      <c r="EI163" s="162"/>
      <c r="EJ163" s="167" t="str">
        <f t="shared" si="400"/>
        <v xml:space="preserve">                                                                                                                                                                                                                                                                </v>
      </c>
      <c r="EK163" s="174" t="str">
        <f t="shared" si="357"/>
        <v>NG</v>
      </c>
      <c r="EL163" s="162"/>
      <c r="EM163" s="172" t="s">
        <v>71</v>
      </c>
      <c r="EN163" s="160"/>
      <c r="EO163" s="162"/>
      <c r="EP163" s="167" t="str">
        <f t="shared" si="401"/>
        <v xml:space="preserve">                                                                                                                                                                                                                                                                </v>
      </c>
      <c r="EQ163" s="174" t="str">
        <f t="shared" si="358"/>
        <v>NG</v>
      </c>
      <c r="ER163" s="162"/>
      <c r="ES163" s="172" t="s">
        <v>71</v>
      </c>
      <c r="ET163" s="160"/>
      <c r="EU163" s="162"/>
      <c r="EV163" s="167" t="str">
        <f t="shared" si="402"/>
        <v xml:space="preserve">                                                                                                                                                                                                                                                                </v>
      </c>
      <c r="EW163" s="174" t="str">
        <f t="shared" si="359"/>
        <v>NG</v>
      </c>
      <c r="EX163" s="162"/>
      <c r="EY163" s="172" t="s">
        <v>71</v>
      </c>
      <c r="EZ163" s="160"/>
      <c r="FA163" s="162"/>
      <c r="FB163" s="167" t="str">
        <f t="shared" si="403"/>
        <v xml:space="preserve">                                                                                                                                                                                                                                                                </v>
      </c>
      <c r="FC163" s="174" t="str">
        <f t="shared" si="360"/>
        <v>NG</v>
      </c>
      <c r="FD163" s="162"/>
      <c r="FE163" s="172" t="s">
        <v>71</v>
      </c>
      <c r="FF163" s="160"/>
      <c r="FG163" s="162"/>
      <c r="FH163" s="167" t="str">
        <f t="shared" si="404"/>
        <v xml:space="preserve">                                                                                                                                                                                                                                                                </v>
      </c>
      <c r="FI163" s="174" t="str">
        <f t="shared" si="361"/>
        <v>NG</v>
      </c>
      <c r="FJ163" s="162"/>
      <c r="FK163" s="172" t="s">
        <v>71</v>
      </c>
      <c r="FL163" s="160"/>
      <c r="FM163" s="162"/>
      <c r="FN163" s="167" t="str">
        <f t="shared" si="405"/>
        <v xml:space="preserve">                                                                                                                                                                                                                                                                </v>
      </c>
      <c r="FO163" s="174" t="str">
        <f t="shared" si="378"/>
        <v>NG</v>
      </c>
      <c r="FP163" s="162"/>
      <c r="FQ163" s="172" t="s">
        <v>71</v>
      </c>
      <c r="FR163" s="160"/>
      <c r="FS163" s="162"/>
      <c r="FT163" s="167" t="str">
        <f t="shared" si="406"/>
        <v xml:space="preserve">                                                                                                                                                                                                                                                                </v>
      </c>
      <c r="FU163" s="174" t="str">
        <f t="shared" si="379"/>
        <v>NG</v>
      </c>
      <c r="FV163" s="162"/>
      <c r="FW163" s="172" t="s">
        <v>71</v>
      </c>
      <c r="FX163" s="160"/>
      <c r="FY163" s="162"/>
      <c r="FZ163" s="167" t="str">
        <f t="shared" si="407"/>
        <v xml:space="preserve">                                                                                                                                                                                                                                                                </v>
      </c>
      <c r="GA163" s="174" t="str">
        <f t="shared" si="380"/>
        <v>NG</v>
      </c>
      <c r="GB163" s="162"/>
      <c r="GC163" s="172" t="s">
        <v>71</v>
      </c>
    </row>
    <row r="164" spans="2:185" s="52" customFormat="1" ht="63.75">
      <c r="B164" s="48">
        <f t="shared" si="408"/>
        <v>157</v>
      </c>
      <c r="C164" s="37"/>
      <c r="D164" s="37"/>
      <c r="E164" s="37"/>
      <c r="F164" s="49" t="s">
        <v>201</v>
      </c>
      <c r="G164" s="39"/>
      <c r="H164" s="40"/>
      <c r="I164" s="42"/>
      <c r="J164" s="42"/>
      <c r="K164" s="42"/>
      <c r="L164" s="42"/>
      <c r="M164" s="63" t="s">
        <v>328</v>
      </c>
      <c r="N164" s="47"/>
      <c r="O164" s="143"/>
      <c r="P164" s="45">
        <f t="shared" si="411"/>
        <v>136</v>
      </c>
      <c r="Q164" s="46">
        <v>256</v>
      </c>
      <c r="R164" s="41" t="str">
        <f t="shared" si="410"/>
        <v>NX</v>
      </c>
      <c r="S164" s="185" t="s">
        <v>202</v>
      </c>
      <c r="T164" s="43"/>
      <c r="U164" s="41" t="s">
        <v>80</v>
      </c>
      <c r="V164" s="44"/>
      <c r="W164" s="22">
        <v>3</v>
      </c>
      <c r="X164" s="47" t="s">
        <v>203</v>
      </c>
      <c r="Y164" s="47">
        <v>1</v>
      </c>
      <c r="Z164" s="47">
        <v>256</v>
      </c>
      <c r="AA164" s="42" t="s">
        <v>195</v>
      </c>
      <c r="AB164" s="42" t="s">
        <v>80</v>
      </c>
      <c r="AC164" s="166"/>
      <c r="AD164" s="160"/>
      <c r="AE164" s="162"/>
      <c r="AF164" s="167" t="str">
        <f t="shared" si="383"/>
        <v xml:space="preserve">                                                                                                                                                                                                                                                                </v>
      </c>
      <c r="AG164" s="174" t="str">
        <f t="shared" si="364"/>
        <v>NG</v>
      </c>
      <c r="AH164" s="162"/>
      <c r="AI164" s="172" t="s">
        <v>71</v>
      </c>
      <c r="AJ164" s="160"/>
      <c r="AK164" s="162"/>
      <c r="AL164" s="167" t="str">
        <f t="shared" si="382"/>
        <v xml:space="preserve">                                                                                                                                                                                                                                                                </v>
      </c>
      <c r="AM164" s="174" t="str">
        <f t="shared" si="409"/>
        <v>NG</v>
      </c>
      <c r="AN164" s="162"/>
      <c r="AO164" s="172" t="s">
        <v>71</v>
      </c>
      <c r="AP164" s="160"/>
      <c r="AQ164" s="162"/>
      <c r="AR164" s="167" t="str">
        <f t="shared" si="384"/>
        <v xml:space="preserve">                                                                                                                                                                                                                                                                </v>
      </c>
      <c r="AS164" s="174" t="str">
        <f t="shared" si="365"/>
        <v>NG</v>
      </c>
      <c r="AT164" s="162"/>
      <c r="AU164" s="172" t="s">
        <v>71</v>
      </c>
      <c r="AV164" s="160"/>
      <c r="AW164" s="162"/>
      <c r="AX164" s="167" t="str">
        <f t="shared" si="385"/>
        <v xml:space="preserve">                                                                                                                                                                                                                                                                </v>
      </c>
      <c r="AY164" s="174" t="str">
        <f t="shared" si="366"/>
        <v>NG</v>
      </c>
      <c r="AZ164" s="162"/>
      <c r="BA164" s="172" t="s">
        <v>71</v>
      </c>
      <c r="BB164" s="160"/>
      <c r="BC164" s="162"/>
      <c r="BD164" s="167" t="str">
        <f t="shared" si="386"/>
        <v xml:space="preserve">                                                                                                                                                                                                                                                                </v>
      </c>
      <c r="BE164" s="174" t="str">
        <f t="shared" si="367"/>
        <v>NG</v>
      </c>
      <c r="BF164" s="162"/>
      <c r="BG164" s="172" t="s">
        <v>71</v>
      </c>
      <c r="BH164" s="160"/>
      <c r="BI164" s="162"/>
      <c r="BJ164" s="167" t="str">
        <f t="shared" si="387"/>
        <v xml:space="preserve">                                                                                                                                                                                                                                                                </v>
      </c>
      <c r="BK164" s="174" t="str">
        <f t="shared" si="368"/>
        <v>NG</v>
      </c>
      <c r="BL164" s="162"/>
      <c r="BM164" s="172" t="s">
        <v>71</v>
      </c>
      <c r="BN164" s="160"/>
      <c r="BO164" s="162"/>
      <c r="BP164" s="167" t="str">
        <f t="shared" si="388"/>
        <v xml:space="preserve">                                                                                                                                                                                                                                                                </v>
      </c>
      <c r="BQ164" s="174" t="str">
        <f t="shared" si="369"/>
        <v>NG</v>
      </c>
      <c r="BR164" s="162"/>
      <c r="BS164" s="172" t="s">
        <v>71</v>
      </c>
      <c r="BT164" s="160"/>
      <c r="BU164" s="162"/>
      <c r="BV164" s="167" t="str">
        <f t="shared" si="389"/>
        <v xml:space="preserve">                                                                                                                                                                                                                                                                </v>
      </c>
      <c r="BW164" s="174" t="str">
        <f t="shared" si="370"/>
        <v>NG</v>
      </c>
      <c r="BX164" s="162"/>
      <c r="BY164" s="172" t="s">
        <v>71</v>
      </c>
      <c r="BZ164" s="160"/>
      <c r="CA164" s="162"/>
      <c r="CB164" s="167" t="str">
        <f t="shared" si="390"/>
        <v xml:space="preserve">                                                                                                                                                                                                                                                                </v>
      </c>
      <c r="CC164" s="174" t="str">
        <f t="shared" si="371"/>
        <v>NG</v>
      </c>
      <c r="CD164" s="162"/>
      <c r="CE164" s="172" t="s">
        <v>71</v>
      </c>
      <c r="CF164" s="160"/>
      <c r="CG164" s="162"/>
      <c r="CH164" s="167" t="str">
        <f t="shared" si="391"/>
        <v xml:space="preserve">                                                                                                                                                                                                                                                                </v>
      </c>
      <c r="CI164" s="174" t="str">
        <f t="shared" si="372"/>
        <v>NG</v>
      </c>
      <c r="CJ164" s="162"/>
      <c r="CK164" s="172" t="s">
        <v>71</v>
      </c>
      <c r="CL164" s="160"/>
      <c r="CM164" s="162"/>
      <c r="CN164" s="167" t="str">
        <f t="shared" si="392"/>
        <v xml:space="preserve">                                                                                                                                                                                                                                                                </v>
      </c>
      <c r="CO164" s="174" t="str">
        <f t="shared" si="373"/>
        <v>NG</v>
      </c>
      <c r="CP164" s="162"/>
      <c r="CQ164" s="172" t="s">
        <v>71</v>
      </c>
      <c r="CR164" s="160"/>
      <c r="CS164" s="162"/>
      <c r="CT164" s="167" t="str">
        <f t="shared" si="393"/>
        <v xml:space="preserve">                                                                                                                                                                                                                                                                </v>
      </c>
      <c r="CU164" s="174" t="str">
        <f t="shared" si="374"/>
        <v>NG</v>
      </c>
      <c r="CV164" s="162"/>
      <c r="CW164" s="172" t="s">
        <v>71</v>
      </c>
      <c r="CX164" s="160"/>
      <c r="CY164" s="162"/>
      <c r="CZ164" s="167" t="str">
        <f t="shared" si="394"/>
        <v xml:space="preserve">                                                                                                                                                                                                                                                                </v>
      </c>
      <c r="DA164" s="174" t="str">
        <f t="shared" si="375"/>
        <v>NG</v>
      </c>
      <c r="DB164" s="162"/>
      <c r="DC164" s="172" t="s">
        <v>71</v>
      </c>
      <c r="DD164" s="160"/>
      <c r="DE164" s="162"/>
      <c r="DF164" s="167" t="str">
        <f t="shared" si="395"/>
        <v xml:space="preserve">                                                                                                                                                                                                                                                                </v>
      </c>
      <c r="DG164" s="174" t="str">
        <f t="shared" si="376"/>
        <v>NG</v>
      </c>
      <c r="DH164" s="162"/>
      <c r="DI164" s="172" t="s">
        <v>71</v>
      </c>
      <c r="DJ164" s="160"/>
      <c r="DK164" s="162"/>
      <c r="DL164" s="167" t="str">
        <f t="shared" si="396"/>
        <v xml:space="preserve">                                                                                                                                                                                                                                                                </v>
      </c>
      <c r="DM164" s="174" t="str">
        <f t="shared" si="377"/>
        <v>NG</v>
      </c>
      <c r="DN164" s="162"/>
      <c r="DO164" s="172" t="s">
        <v>71</v>
      </c>
      <c r="DP164" s="160"/>
      <c r="DQ164" s="162"/>
      <c r="DR164" s="167" t="str">
        <f t="shared" si="397"/>
        <v xml:space="preserve">                                                                                                                                                                                                                                                                </v>
      </c>
      <c r="DS164" s="174" t="str">
        <f t="shared" si="354"/>
        <v>NG</v>
      </c>
      <c r="DT164" s="162"/>
      <c r="DU164" s="172" t="s">
        <v>71</v>
      </c>
      <c r="DV164" s="160"/>
      <c r="DW164" s="162"/>
      <c r="DX164" s="167" t="str">
        <f t="shared" si="398"/>
        <v xml:space="preserve">                                                                                                                                                                                                                                                                </v>
      </c>
      <c r="DY164" s="174" t="str">
        <f t="shared" si="355"/>
        <v>NG</v>
      </c>
      <c r="DZ164" s="162"/>
      <c r="EA164" s="172" t="s">
        <v>71</v>
      </c>
      <c r="EB164" s="160"/>
      <c r="EC164" s="162"/>
      <c r="ED164" s="167" t="str">
        <f t="shared" si="399"/>
        <v xml:space="preserve">                                                                                                                                                                                                                                                                </v>
      </c>
      <c r="EE164" s="174" t="str">
        <f t="shared" si="356"/>
        <v>NG</v>
      </c>
      <c r="EF164" s="162"/>
      <c r="EG164" s="172" t="s">
        <v>71</v>
      </c>
      <c r="EH164" s="160"/>
      <c r="EI164" s="162"/>
      <c r="EJ164" s="167" t="str">
        <f t="shared" si="400"/>
        <v xml:space="preserve">                                                                                                                                                                                                                                                                </v>
      </c>
      <c r="EK164" s="174" t="str">
        <f t="shared" si="357"/>
        <v>NG</v>
      </c>
      <c r="EL164" s="162"/>
      <c r="EM164" s="172" t="s">
        <v>71</v>
      </c>
      <c r="EN164" s="160"/>
      <c r="EO164" s="162"/>
      <c r="EP164" s="167" t="str">
        <f t="shared" si="401"/>
        <v xml:space="preserve">                                                                                                                                                                                                                                                                </v>
      </c>
      <c r="EQ164" s="174" t="str">
        <f t="shared" si="358"/>
        <v>NG</v>
      </c>
      <c r="ER164" s="162"/>
      <c r="ES164" s="172" t="s">
        <v>71</v>
      </c>
      <c r="ET164" s="160"/>
      <c r="EU164" s="162"/>
      <c r="EV164" s="167" t="str">
        <f t="shared" si="402"/>
        <v xml:space="preserve">                                                                                                                                                                                                                                                                </v>
      </c>
      <c r="EW164" s="174" t="str">
        <f t="shared" si="359"/>
        <v>NG</v>
      </c>
      <c r="EX164" s="162"/>
      <c r="EY164" s="172" t="s">
        <v>71</v>
      </c>
      <c r="EZ164" s="160"/>
      <c r="FA164" s="162"/>
      <c r="FB164" s="167" t="str">
        <f t="shared" si="403"/>
        <v xml:space="preserve">                                                                                                                                                                                                                                                                </v>
      </c>
      <c r="FC164" s="174" t="str">
        <f t="shared" si="360"/>
        <v>NG</v>
      </c>
      <c r="FD164" s="162"/>
      <c r="FE164" s="172" t="s">
        <v>71</v>
      </c>
      <c r="FF164" s="160"/>
      <c r="FG164" s="162"/>
      <c r="FH164" s="167" t="str">
        <f t="shared" si="404"/>
        <v xml:space="preserve">                                                                                                                                                                                                                                                                </v>
      </c>
      <c r="FI164" s="174" t="str">
        <f t="shared" si="361"/>
        <v>NG</v>
      </c>
      <c r="FJ164" s="162"/>
      <c r="FK164" s="172" t="s">
        <v>71</v>
      </c>
      <c r="FL164" s="160"/>
      <c r="FM164" s="162"/>
      <c r="FN164" s="167" t="str">
        <f t="shared" si="405"/>
        <v xml:space="preserve">                                                                                                                                                                                                                                                                </v>
      </c>
      <c r="FO164" s="174" t="str">
        <f t="shared" si="378"/>
        <v>NG</v>
      </c>
      <c r="FP164" s="162"/>
      <c r="FQ164" s="172" t="s">
        <v>71</v>
      </c>
      <c r="FR164" s="160"/>
      <c r="FS164" s="162"/>
      <c r="FT164" s="167" t="str">
        <f t="shared" si="406"/>
        <v xml:space="preserve">                                                                                                                                                                                                                                                                </v>
      </c>
      <c r="FU164" s="174" t="str">
        <f t="shared" si="379"/>
        <v>NG</v>
      </c>
      <c r="FV164" s="162"/>
      <c r="FW164" s="172" t="s">
        <v>71</v>
      </c>
      <c r="FX164" s="160"/>
      <c r="FY164" s="162"/>
      <c r="FZ164" s="167" t="str">
        <f t="shared" si="407"/>
        <v xml:space="preserve">                                                                                                                                                                                                                                                                </v>
      </c>
      <c r="GA164" s="174" t="str">
        <f t="shared" si="380"/>
        <v>NG</v>
      </c>
      <c r="GB164" s="162"/>
      <c r="GC164" s="172" t="s">
        <v>71</v>
      </c>
    </row>
    <row r="165" spans="2:185" s="52" customFormat="1" ht="69" customHeight="1">
      <c r="B165" s="53">
        <f t="shared" si="408"/>
        <v>158</v>
      </c>
      <c r="C165" s="37"/>
      <c r="D165" s="37"/>
      <c r="E165" s="37"/>
      <c r="F165" s="188" t="s">
        <v>329</v>
      </c>
      <c r="G165" s="39"/>
      <c r="H165" s="40"/>
      <c r="I165" s="42"/>
      <c r="J165" s="42" t="s">
        <v>316</v>
      </c>
      <c r="K165" s="42"/>
      <c r="L165" s="42"/>
      <c r="M165" s="63" t="s">
        <v>330</v>
      </c>
      <c r="N165" s="47"/>
      <c r="O165" s="143"/>
      <c r="P165" s="45">
        <f t="shared" si="411"/>
        <v>137</v>
      </c>
      <c r="Q165" s="46">
        <v>1</v>
      </c>
      <c r="R165" s="41" t="s">
        <v>81</v>
      </c>
      <c r="S165" s="185" t="s">
        <v>204</v>
      </c>
      <c r="T165" s="43"/>
      <c r="U165" s="41" t="s">
        <v>80</v>
      </c>
      <c r="V165" s="44"/>
      <c r="W165" s="22">
        <v>3</v>
      </c>
      <c r="X165" s="47" t="s">
        <v>205</v>
      </c>
      <c r="Y165" s="47">
        <v>1</v>
      </c>
      <c r="Z165" s="47">
        <v>1</v>
      </c>
      <c r="AA165" s="42">
        <v>9</v>
      </c>
      <c r="AB165" s="42" t="s">
        <v>57</v>
      </c>
      <c r="AC165" s="166"/>
      <c r="AD165" s="160"/>
      <c r="AE165" s="162"/>
      <c r="AF165" s="203" t="str">
        <f t="shared" si="383"/>
        <v xml:space="preserve"> </v>
      </c>
      <c r="AG165" s="174" t="str">
        <f t="shared" si="364"/>
        <v>NG</v>
      </c>
      <c r="AH165" s="162"/>
      <c r="AI165" s="276" t="str">
        <f>IF(OR(AE$8="判定対象外",AH$8="判定対象外",AH165="-"),"-",IF(AE165=AH165,"OK","NG"))</f>
        <v>OK</v>
      </c>
      <c r="AJ165" s="160"/>
      <c r="AK165" s="162"/>
      <c r="AL165" s="203" t="str">
        <f t="shared" si="382"/>
        <v xml:space="preserve"> </v>
      </c>
      <c r="AM165" s="174" t="str">
        <f t="shared" si="409"/>
        <v>NG</v>
      </c>
      <c r="AN165" s="162"/>
      <c r="AO165" s="276" t="str">
        <f>IF(OR(AK$8="判定対象外",AN$8="判定対象外",AN165="-"),"-",IF(AK165=AN165,"OK","NG"))</f>
        <v>OK</v>
      </c>
      <c r="AP165" s="160"/>
      <c r="AQ165" s="162"/>
      <c r="AR165" s="203" t="str">
        <f t="shared" si="384"/>
        <v xml:space="preserve"> </v>
      </c>
      <c r="AS165" s="174" t="str">
        <f t="shared" si="365"/>
        <v>NG</v>
      </c>
      <c r="AT165" s="162"/>
      <c r="AU165" s="276" t="str">
        <f>IF(OR(AQ$8="判定対象外",AT$8="判定対象外",AT165="-"),"-",IF(AQ165=AT165,"OK","NG"))</f>
        <v>OK</v>
      </c>
      <c r="AV165" s="160"/>
      <c r="AW165" s="162"/>
      <c r="AX165" s="203" t="str">
        <f t="shared" si="385"/>
        <v xml:space="preserve"> </v>
      </c>
      <c r="AY165" s="174" t="str">
        <f t="shared" si="366"/>
        <v>NG</v>
      </c>
      <c r="AZ165" s="162"/>
      <c r="BA165" s="276" t="str">
        <f>IF(OR(AW$8="判定対象外",AZ$8="判定対象外",AZ165="-"),"-",IF(AW165=AZ165,"OK","NG"))</f>
        <v>OK</v>
      </c>
      <c r="BB165" s="160"/>
      <c r="BC165" s="162"/>
      <c r="BD165" s="203" t="str">
        <f t="shared" si="386"/>
        <v xml:space="preserve"> </v>
      </c>
      <c r="BE165" s="174" t="str">
        <f t="shared" si="367"/>
        <v>NG</v>
      </c>
      <c r="BF165" s="162"/>
      <c r="BG165" s="276" t="str">
        <f>IF(OR(BC$8="判定対象外",BF$8="判定対象外",BF165="-"),"-",IF(BC165=BF165,"OK","NG"))</f>
        <v>OK</v>
      </c>
      <c r="BH165" s="160"/>
      <c r="BI165" s="162"/>
      <c r="BJ165" s="203" t="str">
        <f t="shared" si="387"/>
        <v xml:space="preserve"> </v>
      </c>
      <c r="BK165" s="174" t="str">
        <f t="shared" si="368"/>
        <v>NG</v>
      </c>
      <c r="BL165" s="162"/>
      <c r="BM165" s="276" t="str">
        <f>IF(OR(BI$8="判定対象外",BL$8="判定対象外",BL165="-"),"-",IF(BI165=BL165,"OK","NG"))</f>
        <v>OK</v>
      </c>
      <c r="BN165" s="160"/>
      <c r="BO165" s="162"/>
      <c r="BP165" s="203" t="str">
        <f t="shared" si="388"/>
        <v xml:space="preserve"> </v>
      </c>
      <c r="BQ165" s="174" t="str">
        <f t="shared" si="369"/>
        <v>NG</v>
      </c>
      <c r="BR165" s="162"/>
      <c r="BS165" s="276" t="str">
        <f>IF(OR(BO$8="判定対象外",BR$8="判定対象外",BR165="-"),"-",IF(BO165=BR165,"OK","NG"))</f>
        <v>OK</v>
      </c>
      <c r="BT165" s="160"/>
      <c r="BU165" s="162"/>
      <c r="BV165" s="203" t="str">
        <f t="shared" si="389"/>
        <v xml:space="preserve"> </v>
      </c>
      <c r="BW165" s="174" t="str">
        <f t="shared" si="370"/>
        <v>NG</v>
      </c>
      <c r="BX165" s="162"/>
      <c r="BY165" s="276" t="str">
        <f>IF(OR(BU$8="判定対象外",BX$8="判定対象外",BX165="-"),"-",IF(BU165=BX165,"OK","NG"))</f>
        <v>OK</v>
      </c>
      <c r="BZ165" s="160"/>
      <c r="CA165" s="162"/>
      <c r="CB165" s="203" t="str">
        <f t="shared" si="390"/>
        <v xml:space="preserve"> </v>
      </c>
      <c r="CC165" s="174" t="str">
        <f t="shared" si="371"/>
        <v>NG</v>
      </c>
      <c r="CD165" s="162"/>
      <c r="CE165" s="276" t="str">
        <f>IF(OR(CA$8="判定対象外",CD$8="判定対象外",CD165="-"),"-",IF(CA165=CD165,"OK","NG"))</f>
        <v>OK</v>
      </c>
      <c r="CF165" s="160"/>
      <c r="CG165" s="162"/>
      <c r="CH165" s="203" t="str">
        <f t="shared" si="391"/>
        <v xml:space="preserve"> </v>
      </c>
      <c r="CI165" s="174" t="str">
        <f t="shared" si="372"/>
        <v>NG</v>
      </c>
      <c r="CJ165" s="162"/>
      <c r="CK165" s="276" t="str">
        <f>IF(OR(CG$8="判定対象外",CJ$8="判定対象外",CJ165="-"),"-",IF(CG165=CJ165,"OK","NG"))</f>
        <v>OK</v>
      </c>
      <c r="CL165" s="160"/>
      <c r="CM165" s="162"/>
      <c r="CN165" s="203" t="str">
        <f t="shared" si="392"/>
        <v xml:space="preserve"> </v>
      </c>
      <c r="CO165" s="174" t="str">
        <f t="shared" si="373"/>
        <v>NG</v>
      </c>
      <c r="CP165" s="162"/>
      <c r="CQ165" s="276" t="str">
        <f>IF(OR(CM$8="判定対象外",CP$8="判定対象外",CP165="-"),"-",IF(CM165=CP165,"OK","NG"))</f>
        <v>OK</v>
      </c>
      <c r="CR165" s="160"/>
      <c r="CS165" s="162"/>
      <c r="CT165" s="203" t="str">
        <f t="shared" si="393"/>
        <v xml:space="preserve"> </v>
      </c>
      <c r="CU165" s="174" t="str">
        <f t="shared" si="374"/>
        <v>NG</v>
      </c>
      <c r="CV165" s="162"/>
      <c r="CW165" s="276" t="str">
        <f>IF(OR(CS$8="判定対象外",CV$8="判定対象外",CV165="-"),"-",IF(CS165=CV165,"OK","NG"))</f>
        <v>OK</v>
      </c>
      <c r="CX165" s="160"/>
      <c r="CY165" s="162"/>
      <c r="CZ165" s="203" t="str">
        <f t="shared" si="394"/>
        <v xml:space="preserve"> </v>
      </c>
      <c r="DA165" s="174" t="str">
        <f t="shared" si="375"/>
        <v>NG</v>
      </c>
      <c r="DB165" s="162"/>
      <c r="DC165" s="276" t="str">
        <f>IF(OR(CY$8="判定対象外",DB$8="判定対象外",DB165="-"),"-",IF(CY165=DB165,"OK","NG"))</f>
        <v>OK</v>
      </c>
      <c r="DD165" s="160"/>
      <c r="DE165" s="162"/>
      <c r="DF165" s="203" t="str">
        <f t="shared" si="395"/>
        <v xml:space="preserve"> </v>
      </c>
      <c r="DG165" s="174" t="str">
        <f t="shared" si="376"/>
        <v>NG</v>
      </c>
      <c r="DH165" s="162"/>
      <c r="DI165" s="276" t="str">
        <f>IF(OR(DE$8="判定対象外",DH$8="判定対象外",DH165="-"),"-",IF(DE165=DH165,"OK","NG"))</f>
        <v>OK</v>
      </c>
      <c r="DJ165" s="160"/>
      <c r="DK165" s="162"/>
      <c r="DL165" s="203" t="str">
        <f t="shared" si="396"/>
        <v xml:space="preserve"> </v>
      </c>
      <c r="DM165" s="174" t="str">
        <f t="shared" si="377"/>
        <v>NG</v>
      </c>
      <c r="DN165" s="162"/>
      <c r="DO165" s="276" t="str">
        <f>IF(OR(DK$8="判定対象外",DN$8="判定対象外",DN165="-"),"-",IF(DK165=DN165,"OK","NG"))</f>
        <v>OK</v>
      </c>
      <c r="DP165" s="160"/>
      <c r="DQ165" s="162"/>
      <c r="DR165" s="203" t="str">
        <f t="shared" si="397"/>
        <v xml:space="preserve"> </v>
      </c>
      <c r="DS165" s="174" t="str">
        <f t="shared" si="354"/>
        <v>NG</v>
      </c>
      <c r="DT165" s="162"/>
      <c r="DU165" s="276" t="str">
        <f>IF(OR(DQ$8="判定対象外",DT$8="判定対象外",DT165="-"),"-",IF(DQ165=DT165,"OK","NG"))</f>
        <v>OK</v>
      </c>
      <c r="DV165" s="160"/>
      <c r="DW165" s="162"/>
      <c r="DX165" s="203" t="str">
        <f t="shared" si="398"/>
        <v xml:space="preserve"> </v>
      </c>
      <c r="DY165" s="174" t="str">
        <f t="shared" si="355"/>
        <v>NG</v>
      </c>
      <c r="DZ165" s="162"/>
      <c r="EA165" s="276" t="str">
        <f>IF(OR(DW$8="判定対象外",DZ$8="判定対象外",DZ165="-"),"-",IF(DW165=DZ165,"OK","NG"))</f>
        <v>OK</v>
      </c>
      <c r="EB165" s="160"/>
      <c r="EC165" s="162"/>
      <c r="ED165" s="203" t="str">
        <f t="shared" si="399"/>
        <v xml:space="preserve"> </v>
      </c>
      <c r="EE165" s="174" t="str">
        <f t="shared" si="356"/>
        <v>NG</v>
      </c>
      <c r="EF165" s="162"/>
      <c r="EG165" s="276" t="str">
        <f>IF(OR(EC$8="判定対象外",EF$8="判定対象外",EF165="-"),"-",IF(EC165=EF165,"OK","NG"))</f>
        <v>OK</v>
      </c>
      <c r="EH165" s="160"/>
      <c r="EI165" s="162"/>
      <c r="EJ165" s="203" t="str">
        <f t="shared" si="400"/>
        <v xml:space="preserve"> </v>
      </c>
      <c r="EK165" s="174" t="str">
        <f t="shared" si="357"/>
        <v>NG</v>
      </c>
      <c r="EL165" s="162"/>
      <c r="EM165" s="276" t="str">
        <f>IF(OR(EI$8="判定対象外",EL$8="判定対象外",EL165="-"),"-",IF(EI165=EL165,"OK","NG"))</f>
        <v>OK</v>
      </c>
      <c r="EN165" s="160"/>
      <c r="EO165" s="162"/>
      <c r="EP165" s="203" t="str">
        <f t="shared" si="401"/>
        <v xml:space="preserve"> </v>
      </c>
      <c r="EQ165" s="174" t="str">
        <f t="shared" si="358"/>
        <v>NG</v>
      </c>
      <c r="ER165" s="162"/>
      <c r="ES165" s="276" t="str">
        <f>IF(OR(EO$8="判定対象外",ER$8="判定対象外",ER165="-"),"-",IF(EO165=ER165,"OK","NG"))</f>
        <v>OK</v>
      </c>
      <c r="ET165" s="160"/>
      <c r="EU165" s="162"/>
      <c r="EV165" s="203" t="str">
        <f t="shared" si="402"/>
        <v xml:space="preserve"> </v>
      </c>
      <c r="EW165" s="174" t="str">
        <f t="shared" si="359"/>
        <v>NG</v>
      </c>
      <c r="EX165" s="162"/>
      <c r="EY165" s="276" t="str">
        <f>IF(OR(EU$8="判定対象外",EX$8="判定対象外",EX165="-"),"-",IF(EU165=EX165,"OK","NG"))</f>
        <v>OK</v>
      </c>
      <c r="EZ165" s="160"/>
      <c r="FA165" s="162"/>
      <c r="FB165" s="203" t="str">
        <f t="shared" si="403"/>
        <v xml:space="preserve"> </v>
      </c>
      <c r="FC165" s="174" t="str">
        <f t="shared" si="360"/>
        <v>NG</v>
      </c>
      <c r="FD165" s="162"/>
      <c r="FE165" s="276" t="str">
        <f>IF(OR(FA$8="判定対象外",FD$8="判定対象外",FD165="-"),"-",IF(FA165=FD165,"OK","NG"))</f>
        <v>OK</v>
      </c>
      <c r="FF165" s="160"/>
      <c r="FG165" s="162"/>
      <c r="FH165" s="203" t="str">
        <f t="shared" si="404"/>
        <v xml:space="preserve"> </v>
      </c>
      <c r="FI165" s="174" t="str">
        <f t="shared" si="361"/>
        <v>NG</v>
      </c>
      <c r="FJ165" s="162"/>
      <c r="FK165" s="276" t="str">
        <f>IF(OR(FG$8="判定対象外",FJ$8="判定対象外",FJ165="-"),"-",IF(FG165=FJ165,"OK","NG"))</f>
        <v>OK</v>
      </c>
      <c r="FL165" s="160"/>
      <c r="FM165" s="162"/>
      <c r="FN165" s="203" t="str">
        <f t="shared" si="405"/>
        <v xml:space="preserve"> </v>
      </c>
      <c r="FO165" s="174" t="str">
        <f t="shared" si="378"/>
        <v>NG</v>
      </c>
      <c r="FP165" s="162"/>
      <c r="FQ165" s="276" t="str">
        <f>IF(OR(FM$8="判定対象外",FP$8="判定対象外",FP165="-"),"-",IF(FM165=FP165,"OK","NG"))</f>
        <v>OK</v>
      </c>
      <c r="FR165" s="160"/>
      <c r="FS165" s="162"/>
      <c r="FT165" s="203" t="str">
        <f t="shared" si="406"/>
        <v xml:space="preserve"> </v>
      </c>
      <c r="FU165" s="174" t="str">
        <f t="shared" si="379"/>
        <v>NG</v>
      </c>
      <c r="FV165" s="162"/>
      <c r="FW165" s="276" t="str">
        <f>IF(OR(FS$8="判定対象外",FV$8="判定対象外",FV165="-"),"-",IF(FS165=FV165,"OK","NG"))</f>
        <v>OK</v>
      </c>
      <c r="FX165" s="160"/>
      <c r="FY165" s="162"/>
      <c r="FZ165" s="203" t="str">
        <f t="shared" si="407"/>
        <v xml:space="preserve"> </v>
      </c>
      <c r="GA165" s="174" t="str">
        <f t="shared" si="380"/>
        <v>NG</v>
      </c>
      <c r="GB165" s="162"/>
      <c r="GC165" s="276" t="str">
        <f>IF(OR(FY$8="判定対象外",GB$8="判定対象外",GB165="-"),"-",IF(FY165=GB165,"OK","NG"))</f>
        <v>OK</v>
      </c>
    </row>
    <row r="166" spans="2:185" s="52" customFormat="1" ht="114.75">
      <c r="B166" s="48">
        <f t="shared" si="408"/>
        <v>159</v>
      </c>
      <c r="C166" s="37"/>
      <c r="D166" s="37"/>
      <c r="E166" s="37"/>
      <c r="F166" s="49" t="s">
        <v>206</v>
      </c>
      <c r="G166" s="39"/>
      <c r="H166" s="40"/>
      <c r="I166" s="42"/>
      <c r="J166" s="42"/>
      <c r="K166" s="42"/>
      <c r="L166" s="42"/>
      <c r="M166" s="163" t="s">
        <v>331</v>
      </c>
      <c r="N166" s="47"/>
      <c r="O166" s="143"/>
      <c r="P166" s="45">
        <f t="shared" si="411"/>
        <v>138</v>
      </c>
      <c r="Q166" s="46">
        <v>1</v>
      </c>
      <c r="R166" s="41" t="s">
        <v>81</v>
      </c>
      <c r="S166" s="185" t="s">
        <v>207</v>
      </c>
      <c r="T166" s="43"/>
      <c r="U166" s="41" t="s">
        <v>80</v>
      </c>
      <c r="V166" s="44"/>
      <c r="W166" s="22">
        <v>3</v>
      </c>
      <c r="X166" s="47" t="s">
        <v>98</v>
      </c>
      <c r="Y166" s="47">
        <v>1</v>
      </c>
      <c r="Z166" s="47">
        <v>1</v>
      </c>
      <c r="AA166" s="42">
        <v>9</v>
      </c>
      <c r="AB166" s="42" t="s">
        <v>57</v>
      </c>
      <c r="AC166" s="215"/>
      <c r="AD166" s="160"/>
      <c r="AE166" s="162"/>
      <c r="AF166" s="203" t="str">
        <f t="shared" si="383"/>
        <v xml:space="preserve"> </v>
      </c>
      <c r="AG166" s="174" t="str">
        <f t="shared" si="364"/>
        <v>NG</v>
      </c>
      <c r="AH166" s="162"/>
      <c r="AI166" s="172" t="s">
        <v>71</v>
      </c>
      <c r="AJ166" s="160"/>
      <c r="AK166" s="162"/>
      <c r="AL166" s="203" t="str">
        <f t="shared" si="382"/>
        <v xml:space="preserve"> </v>
      </c>
      <c r="AM166" s="174" t="str">
        <f t="shared" si="409"/>
        <v>NG</v>
      </c>
      <c r="AN166" s="162"/>
      <c r="AO166" s="172" t="s">
        <v>71</v>
      </c>
      <c r="AP166" s="160"/>
      <c r="AQ166" s="162"/>
      <c r="AR166" s="203" t="str">
        <f t="shared" si="384"/>
        <v xml:space="preserve"> </v>
      </c>
      <c r="AS166" s="174" t="str">
        <f t="shared" si="365"/>
        <v>NG</v>
      </c>
      <c r="AT166" s="162"/>
      <c r="AU166" s="172" t="s">
        <v>71</v>
      </c>
      <c r="AV166" s="160"/>
      <c r="AW166" s="162"/>
      <c r="AX166" s="203" t="str">
        <f t="shared" si="385"/>
        <v xml:space="preserve"> </v>
      </c>
      <c r="AY166" s="174" t="str">
        <f t="shared" si="366"/>
        <v>NG</v>
      </c>
      <c r="AZ166" s="162"/>
      <c r="BA166" s="172" t="s">
        <v>71</v>
      </c>
      <c r="BB166" s="160"/>
      <c r="BC166" s="162"/>
      <c r="BD166" s="203" t="str">
        <f t="shared" si="386"/>
        <v xml:space="preserve"> </v>
      </c>
      <c r="BE166" s="174" t="str">
        <f t="shared" si="367"/>
        <v>NG</v>
      </c>
      <c r="BF166" s="162"/>
      <c r="BG166" s="172" t="s">
        <v>71</v>
      </c>
      <c r="BH166" s="160"/>
      <c r="BI166" s="162"/>
      <c r="BJ166" s="203" t="str">
        <f t="shared" si="387"/>
        <v xml:space="preserve"> </v>
      </c>
      <c r="BK166" s="174" t="str">
        <f t="shared" si="368"/>
        <v>NG</v>
      </c>
      <c r="BL166" s="162"/>
      <c r="BM166" s="172" t="s">
        <v>71</v>
      </c>
      <c r="BN166" s="160"/>
      <c r="BO166" s="162"/>
      <c r="BP166" s="203" t="str">
        <f t="shared" si="388"/>
        <v xml:space="preserve"> </v>
      </c>
      <c r="BQ166" s="174" t="str">
        <f t="shared" si="369"/>
        <v>NG</v>
      </c>
      <c r="BR166" s="162"/>
      <c r="BS166" s="172" t="s">
        <v>71</v>
      </c>
      <c r="BT166" s="160"/>
      <c r="BU166" s="162"/>
      <c r="BV166" s="203" t="str">
        <f t="shared" si="389"/>
        <v xml:space="preserve"> </v>
      </c>
      <c r="BW166" s="174" t="str">
        <f t="shared" si="370"/>
        <v>NG</v>
      </c>
      <c r="BX166" s="162"/>
      <c r="BY166" s="172" t="s">
        <v>71</v>
      </c>
      <c r="BZ166" s="160"/>
      <c r="CA166" s="162"/>
      <c r="CB166" s="203" t="str">
        <f t="shared" si="390"/>
        <v xml:space="preserve"> </v>
      </c>
      <c r="CC166" s="174" t="str">
        <f t="shared" si="371"/>
        <v>NG</v>
      </c>
      <c r="CD166" s="162"/>
      <c r="CE166" s="172" t="s">
        <v>71</v>
      </c>
      <c r="CF166" s="160"/>
      <c r="CG166" s="162"/>
      <c r="CH166" s="203" t="str">
        <f t="shared" si="391"/>
        <v xml:space="preserve"> </v>
      </c>
      <c r="CI166" s="174" t="str">
        <f t="shared" si="372"/>
        <v>NG</v>
      </c>
      <c r="CJ166" s="162"/>
      <c r="CK166" s="172" t="s">
        <v>71</v>
      </c>
      <c r="CL166" s="160"/>
      <c r="CM166" s="162"/>
      <c r="CN166" s="203" t="str">
        <f t="shared" si="392"/>
        <v xml:space="preserve"> </v>
      </c>
      <c r="CO166" s="174" t="str">
        <f t="shared" si="373"/>
        <v>NG</v>
      </c>
      <c r="CP166" s="162"/>
      <c r="CQ166" s="172" t="s">
        <v>71</v>
      </c>
      <c r="CR166" s="160"/>
      <c r="CS166" s="162"/>
      <c r="CT166" s="203" t="str">
        <f t="shared" si="393"/>
        <v xml:space="preserve"> </v>
      </c>
      <c r="CU166" s="174" t="str">
        <f t="shared" si="374"/>
        <v>NG</v>
      </c>
      <c r="CV166" s="162"/>
      <c r="CW166" s="172" t="s">
        <v>71</v>
      </c>
      <c r="CX166" s="160"/>
      <c r="CY166" s="162"/>
      <c r="CZ166" s="203" t="str">
        <f t="shared" si="394"/>
        <v xml:space="preserve"> </v>
      </c>
      <c r="DA166" s="174" t="str">
        <f t="shared" si="375"/>
        <v>NG</v>
      </c>
      <c r="DB166" s="162"/>
      <c r="DC166" s="172" t="s">
        <v>71</v>
      </c>
      <c r="DD166" s="160"/>
      <c r="DE166" s="162"/>
      <c r="DF166" s="203" t="str">
        <f t="shared" si="395"/>
        <v xml:space="preserve"> </v>
      </c>
      <c r="DG166" s="174" t="str">
        <f t="shared" si="376"/>
        <v>NG</v>
      </c>
      <c r="DH166" s="162"/>
      <c r="DI166" s="172" t="s">
        <v>71</v>
      </c>
      <c r="DJ166" s="160"/>
      <c r="DK166" s="162"/>
      <c r="DL166" s="203" t="str">
        <f t="shared" si="396"/>
        <v xml:space="preserve"> </v>
      </c>
      <c r="DM166" s="174" t="str">
        <f t="shared" si="377"/>
        <v>NG</v>
      </c>
      <c r="DN166" s="162"/>
      <c r="DO166" s="172" t="s">
        <v>71</v>
      </c>
      <c r="DP166" s="160"/>
      <c r="DQ166" s="162"/>
      <c r="DR166" s="203" t="str">
        <f t="shared" si="397"/>
        <v xml:space="preserve"> </v>
      </c>
      <c r="DS166" s="174" t="str">
        <f t="shared" si="354"/>
        <v>NG</v>
      </c>
      <c r="DT166" s="162"/>
      <c r="DU166" s="172" t="s">
        <v>71</v>
      </c>
      <c r="DV166" s="160"/>
      <c r="DW166" s="162"/>
      <c r="DX166" s="203" t="str">
        <f t="shared" si="398"/>
        <v xml:space="preserve"> </v>
      </c>
      <c r="DY166" s="174" t="str">
        <f t="shared" si="355"/>
        <v>NG</v>
      </c>
      <c r="DZ166" s="162"/>
      <c r="EA166" s="172" t="s">
        <v>71</v>
      </c>
      <c r="EB166" s="160"/>
      <c r="EC166" s="162"/>
      <c r="ED166" s="203" t="str">
        <f t="shared" si="399"/>
        <v xml:space="preserve"> </v>
      </c>
      <c r="EE166" s="174" t="str">
        <f t="shared" si="356"/>
        <v>NG</v>
      </c>
      <c r="EF166" s="162"/>
      <c r="EG166" s="172" t="s">
        <v>71</v>
      </c>
      <c r="EH166" s="160"/>
      <c r="EI166" s="162"/>
      <c r="EJ166" s="203" t="str">
        <f t="shared" si="400"/>
        <v xml:space="preserve"> </v>
      </c>
      <c r="EK166" s="174" t="str">
        <f t="shared" si="357"/>
        <v>NG</v>
      </c>
      <c r="EL166" s="162"/>
      <c r="EM166" s="172" t="s">
        <v>71</v>
      </c>
      <c r="EN166" s="160"/>
      <c r="EO166" s="162"/>
      <c r="EP166" s="203" t="str">
        <f t="shared" si="401"/>
        <v xml:space="preserve"> </v>
      </c>
      <c r="EQ166" s="174" t="str">
        <f t="shared" si="358"/>
        <v>NG</v>
      </c>
      <c r="ER166" s="162"/>
      <c r="ES166" s="172" t="s">
        <v>71</v>
      </c>
      <c r="ET166" s="160"/>
      <c r="EU166" s="162"/>
      <c r="EV166" s="203" t="str">
        <f t="shared" si="402"/>
        <v xml:space="preserve"> </v>
      </c>
      <c r="EW166" s="174" t="str">
        <f t="shared" si="359"/>
        <v>NG</v>
      </c>
      <c r="EX166" s="162"/>
      <c r="EY166" s="172" t="s">
        <v>71</v>
      </c>
      <c r="EZ166" s="160"/>
      <c r="FA166" s="162"/>
      <c r="FB166" s="203" t="str">
        <f t="shared" si="403"/>
        <v xml:space="preserve"> </v>
      </c>
      <c r="FC166" s="174" t="str">
        <f t="shared" si="360"/>
        <v>NG</v>
      </c>
      <c r="FD166" s="162"/>
      <c r="FE166" s="172" t="s">
        <v>71</v>
      </c>
      <c r="FF166" s="160"/>
      <c r="FG166" s="162"/>
      <c r="FH166" s="203" t="str">
        <f t="shared" si="404"/>
        <v xml:space="preserve"> </v>
      </c>
      <c r="FI166" s="174" t="str">
        <f t="shared" si="361"/>
        <v>NG</v>
      </c>
      <c r="FJ166" s="162"/>
      <c r="FK166" s="172" t="s">
        <v>71</v>
      </c>
      <c r="FL166" s="160"/>
      <c r="FM166" s="162"/>
      <c r="FN166" s="203" t="str">
        <f t="shared" si="405"/>
        <v xml:space="preserve"> </v>
      </c>
      <c r="FO166" s="174" t="str">
        <f t="shared" si="378"/>
        <v>NG</v>
      </c>
      <c r="FP166" s="162"/>
      <c r="FQ166" s="172" t="s">
        <v>71</v>
      </c>
      <c r="FR166" s="160"/>
      <c r="FS166" s="162"/>
      <c r="FT166" s="203" t="str">
        <f t="shared" si="406"/>
        <v xml:space="preserve"> </v>
      </c>
      <c r="FU166" s="174" t="str">
        <f t="shared" si="379"/>
        <v>NG</v>
      </c>
      <c r="FV166" s="162"/>
      <c r="FW166" s="172" t="s">
        <v>71</v>
      </c>
      <c r="FX166" s="160"/>
      <c r="FY166" s="162"/>
      <c r="FZ166" s="203" t="str">
        <f t="shared" si="407"/>
        <v xml:space="preserve"> </v>
      </c>
      <c r="GA166" s="174" t="str">
        <f t="shared" si="380"/>
        <v>NG</v>
      </c>
      <c r="GB166" s="162"/>
      <c r="GC166" s="172" t="s">
        <v>71</v>
      </c>
    </row>
    <row r="167" spans="2:185" s="52" customFormat="1" ht="122.25" customHeight="1">
      <c r="B167" s="216">
        <f t="shared" si="408"/>
        <v>160</v>
      </c>
      <c r="C167" s="37"/>
      <c r="D167" s="37"/>
      <c r="E167" s="37"/>
      <c r="F167" s="188" t="s">
        <v>332</v>
      </c>
      <c r="G167" s="39"/>
      <c r="H167" s="40"/>
      <c r="I167" s="42"/>
      <c r="J167" s="42"/>
      <c r="K167" s="42"/>
      <c r="L167" s="42"/>
      <c r="M167" s="63" t="s">
        <v>333</v>
      </c>
      <c r="N167" s="47"/>
      <c r="O167" s="143"/>
      <c r="P167" s="45">
        <f t="shared" si="411"/>
        <v>139</v>
      </c>
      <c r="Q167" s="46">
        <v>1</v>
      </c>
      <c r="R167" s="41" t="str">
        <f t="shared" ref="R167:R184" si="412">IF(AA167="M","NX",AA167)</f>
        <v>X</v>
      </c>
      <c r="S167" s="185" t="s">
        <v>208</v>
      </c>
      <c r="T167" s="43"/>
      <c r="U167" s="41" t="s">
        <v>80</v>
      </c>
      <c r="V167" s="44"/>
      <c r="W167" s="22">
        <v>3</v>
      </c>
      <c r="X167" s="47" t="s">
        <v>209</v>
      </c>
      <c r="Y167" s="47">
        <v>1</v>
      </c>
      <c r="Z167" s="47">
        <v>1</v>
      </c>
      <c r="AA167" s="42" t="s">
        <v>81</v>
      </c>
      <c r="AB167" s="42" t="s">
        <v>80</v>
      </c>
      <c r="AC167" s="166"/>
      <c r="AD167" s="160"/>
      <c r="AE167" s="162"/>
      <c r="AF167" s="203" t="str">
        <f t="shared" si="383"/>
        <v xml:space="preserve"> </v>
      </c>
      <c r="AG167" s="174" t="str">
        <f t="shared" si="364"/>
        <v>NG</v>
      </c>
      <c r="AH167" s="162"/>
      <c r="AI167" s="276" t="str">
        <f>IF(OR(AE$8="判定対象外",AH$8="判定対象外",AH167="-"),"-",IF(AE167=AH167,"OK","NG"))</f>
        <v>OK</v>
      </c>
      <c r="AJ167" s="160"/>
      <c r="AK167" s="162"/>
      <c r="AL167" s="203" t="str">
        <f t="shared" si="382"/>
        <v xml:space="preserve"> </v>
      </c>
      <c r="AM167" s="174" t="str">
        <f t="shared" si="409"/>
        <v>NG</v>
      </c>
      <c r="AN167" s="162"/>
      <c r="AO167" s="276" t="str">
        <f>IF(OR(AK$8="判定対象外",AN$8="判定対象外",AN167="-"),"-",IF(AK167=AN167,"OK","NG"))</f>
        <v>OK</v>
      </c>
      <c r="AP167" s="160"/>
      <c r="AQ167" s="162"/>
      <c r="AR167" s="203" t="str">
        <f t="shared" si="384"/>
        <v xml:space="preserve"> </v>
      </c>
      <c r="AS167" s="174" t="str">
        <f t="shared" si="365"/>
        <v>NG</v>
      </c>
      <c r="AT167" s="162"/>
      <c r="AU167" s="276" t="str">
        <f>IF(OR(AQ$8="判定対象外",AT$8="判定対象外",AT167="-"),"-",IF(AQ167=AT167,"OK","NG"))</f>
        <v>OK</v>
      </c>
      <c r="AV167" s="160"/>
      <c r="AW167" s="162"/>
      <c r="AX167" s="203" t="str">
        <f t="shared" si="385"/>
        <v xml:space="preserve"> </v>
      </c>
      <c r="AY167" s="174" t="str">
        <f t="shared" si="366"/>
        <v>NG</v>
      </c>
      <c r="AZ167" s="162"/>
      <c r="BA167" s="276" t="str">
        <f>IF(OR(AW$8="判定対象外",AZ$8="判定対象外",AZ167="-"),"-",IF(AW167=AZ167,"OK","NG"))</f>
        <v>OK</v>
      </c>
      <c r="BB167" s="160"/>
      <c r="BC167" s="162"/>
      <c r="BD167" s="203" t="str">
        <f t="shared" si="386"/>
        <v xml:space="preserve"> </v>
      </c>
      <c r="BE167" s="174" t="str">
        <f t="shared" si="367"/>
        <v>NG</v>
      </c>
      <c r="BF167" s="162"/>
      <c r="BG167" s="276" t="str">
        <f>IF(OR(BC$8="判定対象外",BF$8="判定対象外",BF167="-"),"-",IF(BC167=BF167,"OK","NG"))</f>
        <v>OK</v>
      </c>
      <c r="BH167" s="160"/>
      <c r="BI167" s="162"/>
      <c r="BJ167" s="203" t="str">
        <f t="shared" si="387"/>
        <v xml:space="preserve"> </v>
      </c>
      <c r="BK167" s="174" t="str">
        <f t="shared" si="368"/>
        <v>NG</v>
      </c>
      <c r="BL167" s="162"/>
      <c r="BM167" s="276" t="str">
        <f>IF(OR(BI$8="判定対象外",BL$8="判定対象外",BL167="-"),"-",IF(BI167=BL167,"OK","NG"))</f>
        <v>OK</v>
      </c>
      <c r="BN167" s="160"/>
      <c r="BO167" s="162"/>
      <c r="BP167" s="203" t="str">
        <f t="shared" si="388"/>
        <v xml:space="preserve"> </v>
      </c>
      <c r="BQ167" s="174" t="str">
        <f t="shared" si="369"/>
        <v>NG</v>
      </c>
      <c r="BR167" s="162"/>
      <c r="BS167" s="276" t="str">
        <f>IF(OR(BO$8="判定対象外",BR$8="判定対象外",BR167="-"),"-",IF(BO167=BR167,"OK","NG"))</f>
        <v>OK</v>
      </c>
      <c r="BT167" s="160"/>
      <c r="BU167" s="162"/>
      <c r="BV167" s="203" t="str">
        <f t="shared" si="389"/>
        <v xml:space="preserve"> </v>
      </c>
      <c r="BW167" s="174" t="str">
        <f t="shared" si="370"/>
        <v>NG</v>
      </c>
      <c r="BX167" s="162"/>
      <c r="BY167" s="276" t="str">
        <f>IF(OR(BU$8="判定対象外",BX$8="判定対象外",BX167="-"),"-",IF(BU167=BX167,"OK","NG"))</f>
        <v>OK</v>
      </c>
      <c r="BZ167" s="160"/>
      <c r="CA167" s="162"/>
      <c r="CB167" s="203" t="str">
        <f t="shared" si="390"/>
        <v xml:space="preserve"> </v>
      </c>
      <c r="CC167" s="174" t="str">
        <f t="shared" si="371"/>
        <v>NG</v>
      </c>
      <c r="CD167" s="162"/>
      <c r="CE167" s="276" t="str">
        <f>IF(OR(CA$8="判定対象外",CD$8="判定対象外",CD167="-"),"-",IF(CA167=CD167,"OK","NG"))</f>
        <v>OK</v>
      </c>
      <c r="CF167" s="160"/>
      <c r="CG167" s="162"/>
      <c r="CH167" s="203" t="str">
        <f t="shared" si="391"/>
        <v xml:space="preserve"> </v>
      </c>
      <c r="CI167" s="174" t="str">
        <f t="shared" si="372"/>
        <v>NG</v>
      </c>
      <c r="CJ167" s="162"/>
      <c r="CK167" s="276" t="str">
        <f>IF(OR(CG$8="判定対象外",CJ$8="判定対象外",CJ167="-"),"-",IF(CG167=CJ167,"OK","NG"))</f>
        <v>OK</v>
      </c>
      <c r="CL167" s="160"/>
      <c r="CM167" s="162"/>
      <c r="CN167" s="203" t="str">
        <f t="shared" si="392"/>
        <v xml:space="preserve"> </v>
      </c>
      <c r="CO167" s="174" t="str">
        <f t="shared" si="373"/>
        <v>NG</v>
      </c>
      <c r="CP167" s="162"/>
      <c r="CQ167" s="276" t="str">
        <f>IF(OR(CM$8="判定対象外",CP$8="判定対象外",CP167="-"),"-",IF(CM167=CP167,"OK","NG"))</f>
        <v>OK</v>
      </c>
      <c r="CR167" s="160"/>
      <c r="CS167" s="162"/>
      <c r="CT167" s="203" t="str">
        <f t="shared" si="393"/>
        <v xml:space="preserve"> </v>
      </c>
      <c r="CU167" s="174" t="str">
        <f t="shared" si="374"/>
        <v>NG</v>
      </c>
      <c r="CV167" s="162"/>
      <c r="CW167" s="276" t="str">
        <f>IF(OR(CS$8="判定対象外",CV$8="判定対象外",CV167="-"),"-",IF(CS167=CV167,"OK","NG"))</f>
        <v>OK</v>
      </c>
      <c r="CX167" s="160"/>
      <c r="CY167" s="162"/>
      <c r="CZ167" s="203" t="str">
        <f t="shared" si="394"/>
        <v xml:space="preserve"> </v>
      </c>
      <c r="DA167" s="174" t="str">
        <f t="shared" si="375"/>
        <v>NG</v>
      </c>
      <c r="DB167" s="162"/>
      <c r="DC167" s="276" t="str">
        <f>IF(OR(CY$8="判定対象外",DB$8="判定対象外",DB167="-"),"-",IF(CY167=DB167,"OK","NG"))</f>
        <v>OK</v>
      </c>
      <c r="DD167" s="160"/>
      <c r="DE167" s="162"/>
      <c r="DF167" s="203" t="str">
        <f t="shared" si="395"/>
        <v xml:space="preserve"> </v>
      </c>
      <c r="DG167" s="174" t="str">
        <f t="shared" si="376"/>
        <v>NG</v>
      </c>
      <c r="DH167" s="162"/>
      <c r="DI167" s="276" t="str">
        <f>IF(OR(DE$8="判定対象外",DH$8="判定対象外",DH167="-"),"-",IF(DE167=DH167,"OK","NG"))</f>
        <v>OK</v>
      </c>
      <c r="DJ167" s="160"/>
      <c r="DK167" s="162"/>
      <c r="DL167" s="203" t="str">
        <f t="shared" si="396"/>
        <v xml:space="preserve"> </v>
      </c>
      <c r="DM167" s="174" t="str">
        <f t="shared" si="377"/>
        <v>NG</v>
      </c>
      <c r="DN167" s="162"/>
      <c r="DO167" s="276" t="str">
        <f>IF(OR(DK$8="判定対象外",DN$8="判定対象外",DN167="-"),"-",IF(DK167=DN167,"OK","NG"))</f>
        <v>OK</v>
      </c>
      <c r="DP167" s="160"/>
      <c r="DQ167" s="162"/>
      <c r="DR167" s="203" t="str">
        <f t="shared" si="397"/>
        <v xml:space="preserve"> </v>
      </c>
      <c r="DS167" s="174" t="str">
        <f t="shared" si="354"/>
        <v>NG</v>
      </c>
      <c r="DT167" s="162"/>
      <c r="DU167" s="276" t="str">
        <f>IF(OR(DQ$8="判定対象外",DT$8="判定対象外",DT167="-"),"-",IF(DQ167=DT167,"OK","NG"))</f>
        <v>OK</v>
      </c>
      <c r="DV167" s="160"/>
      <c r="DW167" s="162"/>
      <c r="DX167" s="203" t="str">
        <f t="shared" si="398"/>
        <v xml:space="preserve"> </v>
      </c>
      <c r="DY167" s="174" t="str">
        <f t="shared" si="355"/>
        <v>NG</v>
      </c>
      <c r="DZ167" s="162"/>
      <c r="EA167" s="276" t="str">
        <f>IF(OR(DW$8="判定対象外",DZ$8="判定対象外",DZ167="-"),"-",IF(DW167=DZ167,"OK","NG"))</f>
        <v>OK</v>
      </c>
      <c r="EB167" s="160"/>
      <c r="EC167" s="162"/>
      <c r="ED167" s="203" t="str">
        <f t="shared" si="399"/>
        <v xml:space="preserve"> </v>
      </c>
      <c r="EE167" s="174" t="str">
        <f t="shared" si="356"/>
        <v>NG</v>
      </c>
      <c r="EF167" s="162"/>
      <c r="EG167" s="276" t="str">
        <f>IF(OR(EC$8="判定対象外",EF$8="判定対象外",EF167="-"),"-",IF(EC167=EF167,"OK","NG"))</f>
        <v>OK</v>
      </c>
      <c r="EH167" s="160"/>
      <c r="EI167" s="162"/>
      <c r="EJ167" s="203" t="str">
        <f t="shared" si="400"/>
        <v xml:space="preserve"> </v>
      </c>
      <c r="EK167" s="174" t="str">
        <f t="shared" si="357"/>
        <v>NG</v>
      </c>
      <c r="EL167" s="162"/>
      <c r="EM167" s="276" t="str">
        <f>IF(OR(EI$8="判定対象外",EL$8="判定対象外",EL167="-"),"-",IF(EI167=EL167,"OK","NG"))</f>
        <v>OK</v>
      </c>
      <c r="EN167" s="160"/>
      <c r="EO167" s="162"/>
      <c r="EP167" s="203" t="str">
        <f t="shared" si="401"/>
        <v xml:space="preserve"> </v>
      </c>
      <c r="EQ167" s="174" t="str">
        <f t="shared" si="358"/>
        <v>NG</v>
      </c>
      <c r="ER167" s="162"/>
      <c r="ES167" s="276" t="str">
        <f>IF(OR(EO$8="判定対象外",ER$8="判定対象外",ER167="-"),"-",IF(EO167=ER167,"OK","NG"))</f>
        <v>OK</v>
      </c>
      <c r="ET167" s="160"/>
      <c r="EU167" s="162"/>
      <c r="EV167" s="203" t="str">
        <f t="shared" si="402"/>
        <v xml:space="preserve"> </v>
      </c>
      <c r="EW167" s="174" t="str">
        <f t="shared" si="359"/>
        <v>NG</v>
      </c>
      <c r="EX167" s="162"/>
      <c r="EY167" s="276" t="str">
        <f>IF(OR(EU$8="判定対象外",EX$8="判定対象外",EX167="-"),"-",IF(EU167=EX167,"OK","NG"))</f>
        <v>OK</v>
      </c>
      <c r="EZ167" s="160"/>
      <c r="FA167" s="162"/>
      <c r="FB167" s="203" t="str">
        <f t="shared" si="403"/>
        <v xml:space="preserve"> </v>
      </c>
      <c r="FC167" s="174" t="str">
        <f t="shared" si="360"/>
        <v>NG</v>
      </c>
      <c r="FD167" s="162"/>
      <c r="FE167" s="276" t="str">
        <f>IF(OR(FA$8="判定対象外",FD$8="判定対象外",FD167="-"),"-",IF(FA167=FD167,"OK","NG"))</f>
        <v>OK</v>
      </c>
      <c r="FF167" s="160"/>
      <c r="FG167" s="162"/>
      <c r="FH167" s="203" t="str">
        <f t="shared" si="404"/>
        <v xml:space="preserve"> </v>
      </c>
      <c r="FI167" s="174" t="str">
        <f t="shared" si="361"/>
        <v>NG</v>
      </c>
      <c r="FJ167" s="162"/>
      <c r="FK167" s="276" t="str">
        <f>IF(OR(FG$8="判定対象外",FJ$8="判定対象外",FJ167="-"),"-",IF(FG167=FJ167,"OK","NG"))</f>
        <v>OK</v>
      </c>
      <c r="FL167" s="160"/>
      <c r="FM167" s="162"/>
      <c r="FN167" s="203" t="str">
        <f t="shared" si="405"/>
        <v xml:space="preserve"> </v>
      </c>
      <c r="FO167" s="174" t="str">
        <f t="shared" si="378"/>
        <v>NG</v>
      </c>
      <c r="FP167" s="162"/>
      <c r="FQ167" s="276" t="str">
        <f>IF(OR(FM$8="判定対象外",FP$8="判定対象外",FP167="-"),"-",IF(FM167=FP167,"OK","NG"))</f>
        <v>OK</v>
      </c>
      <c r="FR167" s="160"/>
      <c r="FS167" s="162"/>
      <c r="FT167" s="203" t="str">
        <f t="shared" si="406"/>
        <v xml:space="preserve"> </v>
      </c>
      <c r="FU167" s="174" t="str">
        <f t="shared" si="379"/>
        <v>NG</v>
      </c>
      <c r="FV167" s="162"/>
      <c r="FW167" s="276" t="str">
        <f>IF(OR(FS$8="判定対象外",FV$8="判定対象外",FV167="-"),"-",IF(FS167=FV167,"OK","NG"))</f>
        <v>OK</v>
      </c>
      <c r="FX167" s="160"/>
      <c r="FY167" s="162"/>
      <c r="FZ167" s="203" t="str">
        <f t="shared" si="407"/>
        <v xml:space="preserve"> </v>
      </c>
      <c r="GA167" s="174" t="str">
        <f t="shared" si="380"/>
        <v>NG</v>
      </c>
      <c r="GB167" s="162"/>
      <c r="GC167" s="276" t="str">
        <f>IF(OR(FY$8="判定対象外",GB$8="判定対象外",GB167="-"),"-",IF(FY167=GB167,"OK","NG"))</f>
        <v>OK</v>
      </c>
    </row>
    <row r="168" spans="2:185" s="52" customFormat="1">
      <c r="B168" s="216">
        <f t="shared" si="408"/>
        <v>161</v>
      </c>
      <c r="C168" s="37"/>
      <c r="D168" s="37"/>
      <c r="E168" s="37"/>
      <c r="F168" s="49" t="s">
        <v>210</v>
      </c>
      <c r="G168" s="39"/>
      <c r="H168" s="40"/>
      <c r="I168" s="42"/>
      <c r="J168" s="42"/>
      <c r="K168" s="42"/>
      <c r="L168" s="42"/>
      <c r="M168" s="163" t="s">
        <v>334</v>
      </c>
      <c r="N168" s="47"/>
      <c r="O168" s="143"/>
      <c r="P168" s="45">
        <f t="shared" si="411"/>
        <v>140</v>
      </c>
      <c r="Q168" s="46">
        <v>400</v>
      </c>
      <c r="R168" s="41" t="str">
        <f t="shared" si="412"/>
        <v>NX</v>
      </c>
      <c r="S168" s="185" t="s">
        <v>211</v>
      </c>
      <c r="T168" s="43"/>
      <c r="U168" s="41" t="s">
        <v>80</v>
      </c>
      <c r="V168" s="44"/>
      <c r="W168" s="22">
        <v>3</v>
      </c>
      <c r="X168" s="47" t="s">
        <v>212</v>
      </c>
      <c r="Y168" s="47">
        <v>1</v>
      </c>
      <c r="Z168" s="47">
        <v>400</v>
      </c>
      <c r="AA168" s="42" t="s">
        <v>195</v>
      </c>
      <c r="AB168" s="42" t="s">
        <v>80</v>
      </c>
      <c r="AC168" s="166"/>
      <c r="AD168" s="160"/>
      <c r="AE168" s="162"/>
      <c r="AF168" s="175" t="str">
        <f t="shared" si="383"/>
        <v xml:space="preserve">                                                                                                                                                                                                                                                                                                                                                                                                                </v>
      </c>
      <c r="AG168" s="174" t="str">
        <f t="shared" si="364"/>
        <v>NG</v>
      </c>
      <c r="AH168" s="162"/>
      <c r="AI168" s="276" t="str">
        <f>IF(OR(AE$8="判定対象外",AH$8="判定対象外",AH168="-"),"-",IF(AE168=AH168,"OK","NG"))</f>
        <v>OK</v>
      </c>
      <c r="AJ168" s="160"/>
      <c r="AK168" s="162"/>
      <c r="AL168" s="175" t="str">
        <f t="shared" si="382"/>
        <v xml:space="preserve">                                                                                                                                                                                                                                                                                                                                                                                                                </v>
      </c>
      <c r="AM168" s="174" t="str">
        <f t="shared" si="409"/>
        <v>NG</v>
      </c>
      <c r="AN168" s="162"/>
      <c r="AO168" s="276" t="str">
        <f>IF(OR(AK$8="判定対象外",AN$8="判定対象外",AN168="-"),"-",IF(AK168=AN168,"OK","NG"))</f>
        <v>OK</v>
      </c>
      <c r="AP168" s="160"/>
      <c r="AQ168" s="162"/>
      <c r="AR168" s="175" t="str">
        <f t="shared" si="384"/>
        <v xml:space="preserve">                                                                                                                                                                                                                                                                                                                                                                                                                </v>
      </c>
      <c r="AS168" s="174" t="str">
        <f t="shared" si="365"/>
        <v>NG</v>
      </c>
      <c r="AT168" s="162"/>
      <c r="AU168" s="276" t="str">
        <f>IF(OR(AQ$8="判定対象外",AT$8="判定対象外",AT168="-"),"-",IF(AQ168=AT168,"OK","NG"))</f>
        <v>OK</v>
      </c>
      <c r="AV168" s="160"/>
      <c r="AW168" s="162"/>
      <c r="AX168" s="175" t="str">
        <f t="shared" si="385"/>
        <v xml:space="preserve">                                                                                                                                                                                                                                                                                                                                                                                                                </v>
      </c>
      <c r="AY168" s="174" t="str">
        <f t="shared" si="366"/>
        <v>NG</v>
      </c>
      <c r="AZ168" s="162"/>
      <c r="BA168" s="276" t="str">
        <f>IF(OR(AW$8="判定対象外",AZ$8="判定対象外",AZ168="-"),"-",IF(AW168=AZ168,"OK","NG"))</f>
        <v>OK</v>
      </c>
      <c r="BB168" s="160"/>
      <c r="BC168" s="162"/>
      <c r="BD168" s="175" t="str">
        <f t="shared" si="386"/>
        <v xml:space="preserve">                                                                                                                                                                                                                                                                                                                                                                                                                </v>
      </c>
      <c r="BE168" s="174" t="str">
        <f t="shared" si="367"/>
        <v>NG</v>
      </c>
      <c r="BF168" s="162"/>
      <c r="BG168" s="276" t="str">
        <f>IF(OR(BC$8="判定対象外",BF$8="判定対象外",BF168="-"),"-",IF(BC168=BF168,"OK","NG"))</f>
        <v>OK</v>
      </c>
      <c r="BH168" s="160"/>
      <c r="BI168" s="162"/>
      <c r="BJ168" s="175" t="str">
        <f t="shared" si="387"/>
        <v xml:space="preserve">                                                                                                                                                                                                                                                                                                                                                                                                                </v>
      </c>
      <c r="BK168" s="174" t="str">
        <f t="shared" si="368"/>
        <v>NG</v>
      </c>
      <c r="BL168" s="162"/>
      <c r="BM168" s="276" t="str">
        <f>IF(OR(BI$8="判定対象外",BL$8="判定対象外",BL168="-"),"-",IF(BI168=BL168,"OK","NG"))</f>
        <v>OK</v>
      </c>
      <c r="BN168" s="160"/>
      <c r="BO168" s="162"/>
      <c r="BP168" s="175" t="str">
        <f t="shared" si="388"/>
        <v xml:space="preserve">                                                                                                                                                                                                                                                                                                                                                                                                                </v>
      </c>
      <c r="BQ168" s="174" t="str">
        <f t="shared" si="369"/>
        <v>NG</v>
      </c>
      <c r="BR168" s="162"/>
      <c r="BS168" s="276" t="str">
        <f>IF(OR(BO$8="判定対象外",BR$8="判定対象外",BR168="-"),"-",IF(BO168=BR168,"OK","NG"))</f>
        <v>OK</v>
      </c>
      <c r="BT168" s="160"/>
      <c r="BU168" s="162"/>
      <c r="BV168" s="175" t="str">
        <f t="shared" si="389"/>
        <v xml:space="preserve">                                                                                                                                                                                                                                                                                                                                                                                                                </v>
      </c>
      <c r="BW168" s="174" t="str">
        <f t="shared" si="370"/>
        <v>NG</v>
      </c>
      <c r="BX168" s="162"/>
      <c r="BY168" s="276" t="str">
        <f>IF(OR(BU$8="判定対象外",BX$8="判定対象外",BX168="-"),"-",IF(BU168=BX168,"OK","NG"))</f>
        <v>OK</v>
      </c>
      <c r="BZ168" s="160"/>
      <c r="CA168" s="162"/>
      <c r="CB168" s="175" t="str">
        <f t="shared" si="390"/>
        <v xml:space="preserve">                                                                                                                                                                                                                                                                                                                                                                                                                </v>
      </c>
      <c r="CC168" s="174" t="str">
        <f t="shared" si="371"/>
        <v>NG</v>
      </c>
      <c r="CD168" s="162"/>
      <c r="CE168" s="276" t="str">
        <f>IF(OR(CA$8="判定対象外",CD$8="判定対象外",CD168="-"),"-",IF(CA168=CD168,"OK","NG"))</f>
        <v>OK</v>
      </c>
      <c r="CF168" s="160"/>
      <c r="CG168" s="162"/>
      <c r="CH168" s="175" t="str">
        <f t="shared" si="391"/>
        <v xml:space="preserve">                                                                                                                                                                                                                                                                                                                                                                                                                </v>
      </c>
      <c r="CI168" s="174" t="str">
        <f t="shared" si="372"/>
        <v>NG</v>
      </c>
      <c r="CJ168" s="162"/>
      <c r="CK168" s="276" t="str">
        <f>IF(OR(CG$8="判定対象外",CJ$8="判定対象外",CJ168="-"),"-",IF(CG168=CJ168,"OK","NG"))</f>
        <v>OK</v>
      </c>
      <c r="CL168" s="160"/>
      <c r="CM168" s="162"/>
      <c r="CN168" s="175" t="str">
        <f t="shared" si="392"/>
        <v xml:space="preserve">                                                                                                                                                                                                                                                                                                                                                                                                                </v>
      </c>
      <c r="CO168" s="174" t="str">
        <f t="shared" si="373"/>
        <v>NG</v>
      </c>
      <c r="CP168" s="162"/>
      <c r="CQ168" s="276" t="str">
        <f>IF(OR(CM$8="判定対象外",CP$8="判定対象外",CP168="-"),"-",IF(CM168=CP168,"OK","NG"))</f>
        <v>OK</v>
      </c>
      <c r="CR168" s="160"/>
      <c r="CS168" s="162"/>
      <c r="CT168" s="175" t="str">
        <f t="shared" si="393"/>
        <v xml:space="preserve">                                                                                                                                                                                                                                                                                                                                                                                                                </v>
      </c>
      <c r="CU168" s="174" t="str">
        <f t="shared" si="374"/>
        <v>NG</v>
      </c>
      <c r="CV168" s="162"/>
      <c r="CW168" s="276" t="str">
        <f>IF(OR(CS$8="判定対象外",CV$8="判定対象外",CV168="-"),"-",IF(CS168=CV168,"OK","NG"))</f>
        <v>OK</v>
      </c>
      <c r="CX168" s="160"/>
      <c r="CY168" s="162"/>
      <c r="CZ168" s="175" t="str">
        <f t="shared" si="394"/>
        <v xml:space="preserve">                                                                                                                                                                                                                                                                                                                                                                                                                </v>
      </c>
      <c r="DA168" s="174" t="str">
        <f t="shared" si="375"/>
        <v>NG</v>
      </c>
      <c r="DB168" s="162"/>
      <c r="DC168" s="276" t="str">
        <f>IF(OR(CY$8="判定対象外",DB$8="判定対象外",DB168="-"),"-",IF(CY168=DB168,"OK","NG"))</f>
        <v>OK</v>
      </c>
      <c r="DD168" s="160"/>
      <c r="DE168" s="162"/>
      <c r="DF168" s="175" t="str">
        <f t="shared" si="395"/>
        <v xml:space="preserve">                                                                                                                                                                                                                                                                                                                                                                                                                </v>
      </c>
      <c r="DG168" s="174" t="str">
        <f t="shared" si="376"/>
        <v>NG</v>
      </c>
      <c r="DH168" s="162"/>
      <c r="DI168" s="276" t="str">
        <f>IF(OR(DE$8="判定対象外",DH$8="判定対象外",DH168="-"),"-",IF(DE168=DH168,"OK","NG"))</f>
        <v>OK</v>
      </c>
      <c r="DJ168" s="160"/>
      <c r="DK168" s="162"/>
      <c r="DL168" s="175" t="str">
        <f t="shared" si="396"/>
        <v xml:space="preserve">                                                                                                                                                                                                                                                                                                                                                                                                                </v>
      </c>
      <c r="DM168" s="174" t="str">
        <f t="shared" si="377"/>
        <v>NG</v>
      </c>
      <c r="DN168" s="162"/>
      <c r="DO168" s="276" t="str">
        <f>IF(OR(DK$8="判定対象外",DN$8="判定対象外",DN168="-"),"-",IF(DK168=DN168,"OK","NG"))</f>
        <v>OK</v>
      </c>
      <c r="DP168" s="160"/>
      <c r="DQ168" s="162"/>
      <c r="DR168" s="175" t="str">
        <f t="shared" si="397"/>
        <v xml:space="preserve">                                                                                                                                                                                                                                                                                                                                                                                                                </v>
      </c>
      <c r="DS168" s="174" t="str">
        <f t="shared" si="354"/>
        <v>NG</v>
      </c>
      <c r="DT168" s="162"/>
      <c r="DU168" s="276" t="str">
        <f>IF(OR(DQ$8="判定対象外",DT$8="判定対象外",DT168="-"),"-",IF(DQ168=DT168,"OK","NG"))</f>
        <v>OK</v>
      </c>
      <c r="DV168" s="160"/>
      <c r="DW168" s="162"/>
      <c r="DX168" s="175" t="str">
        <f t="shared" si="398"/>
        <v xml:space="preserve">                                                                                                                                                                                                                                                                                                                                                                                                                </v>
      </c>
      <c r="DY168" s="174" t="str">
        <f t="shared" si="355"/>
        <v>NG</v>
      </c>
      <c r="DZ168" s="162"/>
      <c r="EA168" s="276" t="str">
        <f>IF(OR(DW$8="判定対象外",DZ$8="判定対象外",DZ168="-"),"-",IF(DW168=DZ168,"OK","NG"))</f>
        <v>OK</v>
      </c>
      <c r="EB168" s="160"/>
      <c r="EC168" s="162"/>
      <c r="ED168" s="175" t="str">
        <f t="shared" si="399"/>
        <v xml:space="preserve">                                                                                                                                                                                                                                                                                                                                                                                                                </v>
      </c>
      <c r="EE168" s="174" t="str">
        <f t="shared" si="356"/>
        <v>NG</v>
      </c>
      <c r="EF168" s="162"/>
      <c r="EG168" s="276" t="str">
        <f>IF(OR(EC$8="判定対象外",EF$8="判定対象外",EF168="-"),"-",IF(EC168=EF168,"OK","NG"))</f>
        <v>OK</v>
      </c>
      <c r="EH168" s="160"/>
      <c r="EI168" s="162"/>
      <c r="EJ168" s="175" t="str">
        <f t="shared" si="400"/>
        <v xml:space="preserve">                                                                                                                                                                                                                                                                                                                                                                                                                </v>
      </c>
      <c r="EK168" s="174" t="str">
        <f t="shared" si="357"/>
        <v>NG</v>
      </c>
      <c r="EL168" s="162"/>
      <c r="EM168" s="276" t="str">
        <f>IF(OR(EI$8="判定対象外",EL$8="判定対象外",EL168="-"),"-",IF(EI168=EL168,"OK","NG"))</f>
        <v>OK</v>
      </c>
      <c r="EN168" s="160"/>
      <c r="EO168" s="162"/>
      <c r="EP168" s="175" t="str">
        <f t="shared" si="401"/>
        <v xml:space="preserve">                                                                                                                                                                                                                                                                                                                                                                                                                </v>
      </c>
      <c r="EQ168" s="174" t="str">
        <f t="shared" si="358"/>
        <v>NG</v>
      </c>
      <c r="ER168" s="162"/>
      <c r="ES168" s="276" t="str">
        <f>IF(OR(EO$8="判定対象外",ER$8="判定対象外",ER168="-"),"-",IF(EO168=ER168,"OK","NG"))</f>
        <v>OK</v>
      </c>
      <c r="ET168" s="160"/>
      <c r="EU168" s="162"/>
      <c r="EV168" s="175" t="str">
        <f t="shared" si="402"/>
        <v xml:space="preserve">                                                                                                                                                                                                                                                                                                                                                                                                                </v>
      </c>
      <c r="EW168" s="174" t="str">
        <f t="shared" si="359"/>
        <v>NG</v>
      </c>
      <c r="EX168" s="162"/>
      <c r="EY168" s="276" t="str">
        <f>IF(OR(EU$8="判定対象外",EX$8="判定対象外",EX168="-"),"-",IF(EU168=EX168,"OK","NG"))</f>
        <v>OK</v>
      </c>
      <c r="EZ168" s="160"/>
      <c r="FA168" s="162"/>
      <c r="FB168" s="175" t="str">
        <f t="shared" si="403"/>
        <v xml:space="preserve">                                                                                                                                                                                                                                                                                                                                                                                                                </v>
      </c>
      <c r="FC168" s="174" t="str">
        <f t="shared" si="360"/>
        <v>NG</v>
      </c>
      <c r="FD168" s="162"/>
      <c r="FE168" s="276" t="str">
        <f>IF(OR(FA$8="判定対象外",FD$8="判定対象外",FD168="-"),"-",IF(FA168=FD168,"OK","NG"))</f>
        <v>OK</v>
      </c>
      <c r="FF168" s="160"/>
      <c r="FG168" s="162"/>
      <c r="FH168" s="175" t="str">
        <f t="shared" si="404"/>
        <v xml:space="preserve">                                                                                                                                                                                                                                                                                                                                                                                                                </v>
      </c>
      <c r="FI168" s="174" t="str">
        <f t="shared" si="361"/>
        <v>NG</v>
      </c>
      <c r="FJ168" s="162"/>
      <c r="FK168" s="276" t="str">
        <f>IF(OR(FG$8="判定対象外",FJ$8="判定対象外",FJ168="-"),"-",IF(FG168=FJ168,"OK","NG"))</f>
        <v>OK</v>
      </c>
      <c r="FL168" s="160"/>
      <c r="FM168" s="162"/>
      <c r="FN168" s="175" t="str">
        <f t="shared" si="405"/>
        <v xml:space="preserve">                                                                                                                                                                                                                                                                                                                                                                                                                </v>
      </c>
      <c r="FO168" s="174" t="str">
        <f t="shared" si="378"/>
        <v>NG</v>
      </c>
      <c r="FP168" s="162"/>
      <c r="FQ168" s="276" t="str">
        <f>IF(OR(FM$8="判定対象外",FP$8="判定対象外",FP168="-"),"-",IF(FM168=FP168,"OK","NG"))</f>
        <v>OK</v>
      </c>
      <c r="FR168" s="160"/>
      <c r="FS168" s="162"/>
      <c r="FT168" s="175" t="str">
        <f t="shared" si="406"/>
        <v xml:space="preserve">                                                                                                                                                                                                                                                                                                                                                                                                                </v>
      </c>
      <c r="FU168" s="174" t="str">
        <f t="shared" si="379"/>
        <v>NG</v>
      </c>
      <c r="FV168" s="162"/>
      <c r="FW168" s="276" t="str">
        <f>IF(OR(FS$8="判定対象外",FV$8="判定対象外",FV168="-"),"-",IF(FS168=FV168,"OK","NG"))</f>
        <v>OK</v>
      </c>
      <c r="FX168" s="160"/>
      <c r="FY168" s="162"/>
      <c r="FZ168" s="175" t="str">
        <f t="shared" si="407"/>
        <v xml:space="preserve">                                                                                                                                                                                                                                                                                                                                                                                                                </v>
      </c>
      <c r="GA168" s="174" t="str">
        <f t="shared" si="380"/>
        <v>NG</v>
      </c>
      <c r="GB168" s="162"/>
      <c r="GC168" s="276" t="str">
        <f>IF(OR(FY$8="判定対象外",GB$8="判定対象外",GB168="-"),"-",IF(FY168=GB168,"OK","NG"))</f>
        <v>OK</v>
      </c>
    </row>
    <row r="169" spans="2:185" s="52" customFormat="1" ht="63.75">
      <c r="B169" s="216">
        <f t="shared" si="408"/>
        <v>162</v>
      </c>
      <c r="C169" s="37"/>
      <c r="D169" s="37"/>
      <c r="E169" s="37"/>
      <c r="F169" s="49" t="s">
        <v>213</v>
      </c>
      <c r="G169" s="39"/>
      <c r="H169" s="40"/>
      <c r="I169" s="42"/>
      <c r="J169" s="42"/>
      <c r="K169" s="42"/>
      <c r="L169" s="42"/>
      <c r="M169" s="163" t="s">
        <v>335</v>
      </c>
      <c r="N169" s="47"/>
      <c r="O169" s="143"/>
      <c r="P169" s="45">
        <f t="shared" si="411"/>
        <v>141</v>
      </c>
      <c r="Q169" s="46">
        <v>400</v>
      </c>
      <c r="R169" s="41" t="str">
        <f t="shared" si="412"/>
        <v>NX</v>
      </c>
      <c r="S169" s="185" t="s">
        <v>214</v>
      </c>
      <c r="T169" s="43"/>
      <c r="U169" s="41" t="s">
        <v>80</v>
      </c>
      <c r="V169" s="44"/>
      <c r="W169" s="22">
        <v>3</v>
      </c>
      <c r="X169" s="47" t="s">
        <v>215</v>
      </c>
      <c r="Y169" s="47">
        <v>1</v>
      </c>
      <c r="Z169" s="47">
        <v>400</v>
      </c>
      <c r="AA169" s="42" t="s">
        <v>195</v>
      </c>
      <c r="AB169" s="42" t="s">
        <v>80</v>
      </c>
      <c r="AC169" s="166"/>
      <c r="AD169" s="160"/>
      <c r="AE169" s="162"/>
      <c r="AF169" s="146" t="str">
        <f t="shared" si="383"/>
        <v xml:space="preserve">                                                                                                                                                                                                                                                                                                                                                                                                                </v>
      </c>
      <c r="AG169" s="174" t="str">
        <f t="shared" si="364"/>
        <v>NG</v>
      </c>
      <c r="AH169" s="162"/>
      <c r="AI169" s="172" t="s">
        <v>71</v>
      </c>
      <c r="AJ169" s="160"/>
      <c r="AK169" s="162"/>
      <c r="AL169" s="146" t="str">
        <f t="shared" si="382"/>
        <v xml:space="preserve">                                                                                                                                                                                                                                                                                                                                                                                                                </v>
      </c>
      <c r="AM169" s="174" t="str">
        <f t="shared" si="409"/>
        <v>NG</v>
      </c>
      <c r="AN169" s="162"/>
      <c r="AO169" s="172" t="s">
        <v>71</v>
      </c>
      <c r="AP169" s="160"/>
      <c r="AQ169" s="162"/>
      <c r="AR169" s="146" t="str">
        <f t="shared" si="384"/>
        <v xml:space="preserve">                                                                                                                                                                                                                                                                                                                                                                                                                </v>
      </c>
      <c r="AS169" s="174" t="str">
        <f t="shared" si="365"/>
        <v>NG</v>
      </c>
      <c r="AT169" s="162"/>
      <c r="AU169" s="172" t="s">
        <v>71</v>
      </c>
      <c r="AV169" s="160"/>
      <c r="AW169" s="162"/>
      <c r="AX169" s="146" t="str">
        <f t="shared" si="385"/>
        <v xml:space="preserve">                                                                                                                                                                                                                                                                                                                                                                                                                </v>
      </c>
      <c r="AY169" s="174" t="str">
        <f t="shared" si="366"/>
        <v>NG</v>
      </c>
      <c r="AZ169" s="162"/>
      <c r="BA169" s="172" t="s">
        <v>71</v>
      </c>
      <c r="BB169" s="160"/>
      <c r="BC169" s="162"/>
      <c r="BD169" s="146" t="str">
        <f t="shared" si="386"/>
        <v xml:space="preserve">                                                                                                                                                                                                                                                                                                                                                                                                                </v>
      </c>
      <c r="BE169" s="174" t="str">
        <f t="shared" si="367"/>
        <v>NG</v>
      </c>
      <c r="BF169" s="162"/>
      <c r="BG169" s="172" t="s">
        <v>71</v>
      </c>
      <c r="BH169" s="160"/>
      <c r="BI169" s="162"/>
      <c r="BJ169" s="146" t="str">
        <f t="shared" si="387"/>
        <v xml:space="preserve">                                                                                                                                                                                                                                                                                                                                                                                                                </v>
      </c>
      <c r="BK169" s="174" t="str">
        <f t="shared" si="368"/>
        <v>NG</v>
      </c>
      <c r="BL169" s="162"/>
      <c r="BM169" s="172" t="s">
        <v>71</v>
      </c>
      <c r="BN169" s="160"/>
      <c r="BO169" s="162"/>
      <c r="BP169" s="146" t="str">
        <f t="shared" si="388"/>
        <v xml:space="preserve">                                                                                                                                                                                                                                                                                                                                                                                                                </v>
      </c>
      <c r="BQ169" s="174" t="str">
        <f t="shared" si="369"/>
        <v>NG</v>
      </c>
      <c r="BR169" s="162"/>
      <c r="BS169" s="172" t="s">
        <v>71</v>
      </c>
      <c r="BT169" s="160"/>
      <c r="BU169" s="162"/>
      <c r="BV169" s="146" t="str">
        <f t="shared" si="389"/>
        <v xml:space="preserve">                                                                                                                                                                                                                                                                                                                                                                                                                </v>
      </c>
      <c r="BW169" s="174" t="str">
        <f t="shared" si="370"/>
        <v>NG</v>
      </c>
      <c r="BX169" s="162"/>
      <c r="BY169" s="172" t="s">
        <v>71</v>
      </c>
      <c r="BZ169" s="160"/>
      <c r="CA169" s="162"/>
      <c r="CB169" s="146" t="str">
        <f t="shared" si="390"/>
        <v xml:space="preserve">                                                                                                                                                                                                                                                                                                                                                                                                                </v>
      </c>
      <c r="CC169" s="174" t="str">
        <f t="shared" si="371"/>
        <v>NG</v>
      </c>
      <c r="CD169" s="162"/>
      <c r="CE169" s="172" t="s">
        <v>71</v>
      </c>
      <c r="CF169" s="160"/>
      <c r="CG169" s="162"/>
      <c r="CH169" s="146" t="str">
        <f t="shared" si="391"/>
        <v xml:space="preserve">                                                                                                                                                                                                                                                                                                                                                                                                                </v>
      </c>
      <c r="CI169" s="174" t="str">
        <f t="shared" si="372"/>
        <v>NG</v>
      </c>
      <c r="CJ169" s="162"/>
      <c r="CK169" s="172" t="s">
        <v>71</v>
      </c>
      <c r="CL169" s="160"/>
      <c r="CM169" s="162"/>
      <c r="CN169" s="146" t="str">
        <f t="shared" si="392"/>
        <v xml:space="preserve">                                                                                                                                                                                                                                                                                                                                                                                                                </v>
      </c>
      <c r="CO169" s="174" t="str">
        <f t="shared" si="373"/>
        <v>NG</v>
      </c>
      <c r="CP169" s="162"/>
      <c r="CQ169" s="172" t="s">
        <v>71</v>
      </c>
      <c r="CR169" s="160"/>
      <c r="CS169" s="162"/>
      <c r="CT169" s="146" t="str">
        <f t="shared" si="393"/>
        <v xml:space="preserve">                                                                                                                                                                                                                                                                                                                                                                                                                </v>
      </c>
      <c r="CU169" s="174" t="str">
        <f t="shared" si="374"/>
        <v>NG</v>
      </c>
      <c r="CV169" s="162"/>
      <c r="CW169" s="172" t="s">
        <v>71</v>
      </c>
      <c r="CX169" s="160"/>
      <c r="CY169" s="162"/>
      <c r="CZ169" s="146" t="str">
        <f t="shared" si="394"/>
        <v xml:space="preserve">                                                                                                                                                                                                                                                                                                                                                                                                                </v>
      </c>
      <c r="DA169" s="174" t="str">
        <f t="shared" si="375"/>
        <v>NG</v>
      </c>
      <c r="DB169" s="162"/>
      <c r="DC169" s="172" t="s">
        <v>71</v>
      </c>
      <c r="DD169" s="160"/>
      <c r="DE169" s="162"/>
      <c r="DF169" s="146" t="str">
        <f t="shared" si="395"/>
        <v xml:space="preserve">                                                                                                                                                                                                                                                                                                                                                                                                                </v>
      </c>
      <c r="DG169" s="174" t="str">
        <f t="shared" si="376"/>
        <v>NG</v>
      </c>
      <c r="DH169" s="162"/>
      <c r="DI169" s="172" t="s">
        <v>71</v>
      </c>
      <c r="DJ169" s="160"/>
      <c r="DK169" s="162"/>
      <c r="DL169" s="146" t="str">
        <f t="shared" si="396"/>
        <v xml:space="preserve">                                                                                                                                                                                                                                                                                                                                                                                                                </v>
      </c>
      <c r="DM169" s="174" t="str">
        <f t="shared" si="377"/>
        <v>NG</v>
      </c>
      <c r="DN169" s="162"/>
      <c r="DO169" s="172" t="s">
        <v>71</v>
      </c>
      <c r="DP169" s="160"/>
      <c r="DQ169" s="162"/>
      <c r="DR169" s="146" t="str">
        <f t="shared" si="397"/>
        <v xml:space="preserve">                                                                                                                                                                                                                                                                                                                                                                                                                </v>
      </c>
      <c r="DS169" s="174" t="str">
        <f t="shared" si="354"/>
        <v>NG</v>
      </c>
      <c r="DT169" s="162"/>
      <c r="DU169" s="172" t="s">
        <v>71</v>
      </c>
      <c r="DV169" s="160"/>
      <c r="DW169" s="162"/>
      <c r="DX169" s="146" t="str">
        <f t="shared" si="398"/>
        <v xml:space="preserve">                                                                                                                                                                                                                                                                                                                                                                                                                </v>
      </c>
      <c r="DY169" s="174" t="str">
        <f t="shared" si="355"/>
        <v>NG</v>
      </c>
      <c r="DZ169" s="162"/>
      <c r="EA169" s="172" t="s">
        <v>71</v>
      </c>
      <c r="EB169" s="160"/>
      <c r="EC169" s="162"/>
      <c r="ED169" s="146" t="str">
        <f t="shared" si="399"/>
        <v xml:space="preserve">                                                                                                                                                                                                                                                                                                                                                                                                                </v>
      </c>
      <c r="EE169" s="174" t="str">
        <f t="shared" si="356"/>
        <v>NG</v>
      </c>
      <c r="EF169" s="162"/>
      <c r="EG169" s="172" t="s">
        <v>71</v>
      </c>
      <c r="EH169" s="160"/>
      <c r="EI169" s="162"/>
      <c r="EJ169" s="146" t="str">
        <f t="shared" si="400"/>
        <v xml:space="preserve">                                                                                                                                                                                                                                                                                                                                                                                                                </v>
      </c>
      <c r="EK169" s="174" t="str">
        <f t="shared" si="357"/>
        <v>NG</v>
      </c>
      <c r="EL169" s="162"/>
      <c r="EM169" s="172" t="s">
        <v>71</v>
      </c>
      <c r="EN169" s="160"/>
      <c r="EO169" s="162"/>
      <c r="EP169" s="146" t="str">
        <f t="shared" si="401"/>
        <v xml:space="preserve">                                                                                                                                                                                                                                                                                                                                                                                                                </v>
      </c>
      <c r="EQ169" s="174" t="str">
        <f t="shared" si="358"/>
        <v>NG</v>
      </c>
      <c r="ER169" s="162"/>
      <c r="ES169" s="172" t="s">
        <v>71</v>
      </c>
      <c r="ET169" s="160"/>
      <c r="EU169" s="162"/>
      <c r="EV169" s="146" t="str">
        <f t="shared" si="402"/>
        <v xml:space="preserve">                                                                                                                                                                                                                                                                                                                                                                                                                </v>
      </c>
      <c r="EW169" s="174" t="str">
        <f t="shared" si="359"/>
        <v>NG</v>
      </c>
      <c r="EX169" s="162"/>
      <c r="EY169" s="172" t="s">
        <v>71</v>
      </c>
      <c r="EZ169" s="160"/>
      <c r="FA169" s="162"/>
      <c r="FB169" s="146" t="str">
        <f t="shared" si="403"/>
        <v xml:space="preserve">                                                                                                                                                                                                                                                                                                                                                                                                                </v>
      </c>
      <c r="FC169" s="174" t="str">
        <f t="shared" si="360"/>
        <v>NG</v>
      </c>
      <c r="FD169" s="162"/>
      <c r="FE169" s="172" t="s">
        <v>71</v>
      </c>
      <c r="FF169" s="160"/>
      <c r="FG169" s="162"/>
      <c r="FH169" s="146" t="str">
        <f t="shared" si="404"/>
        <v xml:space="preserve">                                                                                                                                                                                                                                                                                                                                                                                                                </v>
      </c>
      <c r="FI169" s="174" t="str">
        <f t="shared" si="361"/>
        <v>NG</v>
      </c>
      <c r="FJ169" s="162"/>
      <c r="FK169" s="172" t="s">
        <v>71</v>
      </c>
      <c r="FL169" s="160"/>
      <c r="FM169" s="162"/>
      <c r="FN169" s="146" t="str">
        <f t="shared" si="405"/>
        <v xml:space="preserve">                                                                                                                                                                                                                                                                                                                                                                                                                </v>
      </c>
      <c r="FO169" s="174" t="str">
        <f t="shared" si="378"/>
        <v>NG</v>
      </c>
      <c r="FP169" s="162"/>
      <c r="FQ169" s="172" t="s">
        <v>71</v>
      </c>
      <c r="FR169" s="160"/>
      <c r="FS169" s="162"/>
      <c r="FT169" s="146" t="str">
        <f t="shared" si="406"/>
        <v xml:space="preserve">                                                                                                                                                                                                                                                                                                                                                                                                                </v>
      </c>
      <c r="FU169" s="174" t="str">
        <f t="shared" si="379"/>
        <v>NG</v>
      </c>
      <c r="FV169" s="162"/>
      <c r="FW169" s="172" t="s">
        <v>71</v>
      </c>
      <c r="FX169" s="160"/>
      <c r="FY169" s="162"/>
      <c r="FZ169" s="146" t="str">
        <f t="shared" si="407"/>
        <v xml:space="preserve">                                                                                                                                                                                                                                                                                                                                                                                                                </v>
      </c>
      <c r="GA169" s="174" t="str">
        <f t="shared" si="380"/>
        <v>NG</v>
      </c>
      <c r="GB169" s="162"/>
      <c r="GC169" s="172" t="s">
        <v>71</v>
      </c>
    </row>
    <row r="170" spans="2:185" s="52" customFormat="1">
      <c r="B170" s="216">
        <f t="shared" si="408"/>
        <v>163</v>
      </c>
      <c r="C170" s="37"/>
      <c r="D170" s="37"/>
      <c r="E170" s="37"/>
      <c r="F170" s="49" t="s">
        <v>216</v>
      </c>
      <c r="G170" s="39"/>
      <c r="H170" s="40"/>
      <c r="I170" s="42"/>
      <c r="J170" s="42"/>
      <c r="K170" s="42"/>
      <c r="L170" s="42"/>
      <c r="M170" s="63" t="s">
        <v>336</v>
      </c>
      <c r="N170" s="47"/>
      <c r="O170" s="143"/>
      <c r="P170" s="45">
        <f t="shared" si="411"/>
        <v>142</v>
      </c>
      <c r="Q170" s="46">
        <v>400</v>
      </c>
      <c r="R170" s="41" t="str">
        <f t="shared" si="412"/>
        <v>NX</v>
      </c>
      <c r="S170" s="185" t="s">
        <v>217</v>
      </c>
      <c r="T170" s="43"/>
      <c r="U170" s="41" t="s">
        <v>80</v>
      </c>
      <c r="V170" s="44"/>
      <c r="W170" s="22">
        <v>3</v>
      </c>
      <c r="X170" s="47" t="s">
        <v>218</v>
      </c>
      <c r="Y170" s="47">
        <v>1</v>
      </c>
      <c r="Z170" s="47">
        <v>400</v>
      </c>
      <c r="AA170" s="42" t="s">
        <v>195</v>
      </c>
      <c r="AB170" s="42" t="s">
        <v>80</v>
      </c>
      <c r="AC170" s="166"/>
      <c r="AD170" s="160"/>
      <c r="AE170" s="141"/>
      <c r="AF170" s="146" t="str">
        <f t="shared" si="383"/>
        <v xml:space="preserve">                                                                                                                                                                                                                                                                                                                                                                                                                </v>
      </c>
      <c r="AG170" s="174" t="str">
        <f t="shared" si="364"/>
        <v>NG</v>
      </c>
      <c r="AH170" s="141"/>
      <c r="AI170" s="172" t="s">
        <v>71</v>
      </c>
      <c r="AJ170" s="160"/>
      <c r="AK170" s="141"/>
      <c r="AL170" s="146" t="str">
        <f t="shared" si="382"/>
        <v xml:space="preserve">                                                                                                                                                                                                                                                                                                                                                                                                                </v>
      </c>
      <c r="AM170" s="174" t="str">
        <f t="shared" si="409"/>
        <v>NG</v>
      </c>
      <c r="AN170" s="141"/>
      <c r="AO170" s="172" t="s">
        <v>71</v>
      </c>
      <c r="AP170" s="160"/>
      <c r="AQ170" s="141"/>
      <c r="AR170" s="146" t="str">
        <f t="shared" si="384"/>
        <v xml:space="preserve">                                                                                                                                                                                                                                                                                                                                                                                                                </v>
      </c>
      <c r="AS170" s="174" t="str">
        <f t="shared" si="365"/>
        <v>NG</v>
      </c>
      <c r="AT170" s="141"/>
      <c r="AU170" s="172" t="s">
        <v>71</v>
      </c>
      <c r="AV170" s="160"/>
      <c r="AW170" s="141"/>
      <c r="AX170" s="146" t="str">
        <f t="shared" si="385"/>
        <v xml:space="preserve">                                                                                                                                                                                                                                                                                                                                                                                                                </v>
      </c>
      <c r="AY170" s="174" t="str">
        <f t="shared" si="366"/>
        <v>NG</v>
      </c>
      <c r="AZ170" s="141"/>
      <c r="BA170" s="172" t="s">
        <v>71</v>
      </c>
      <c r="BB170" s="160"/>
      <c r="BC170" s="141"/>
      <c r="BD170" s="146" t="str">
        <f t="shared" si="386"/>
        <v xml:space="preserve">                                                                                                                                                                                                                                                                                                                                                                                                                </v>
      </c>
      <c r="BE170" s="174" t="str">
        <f t="shared" si="367"/>
        <v>NG</v>
      </c>
      <c r="BF170" s="141"/>
      <c r="BG170" s="172" t="s">
        <v>71</v>
      </c>
      <c r="BH170" s="160"/>
      <c r="BI170" s="141"/>
      <c r="BJ170" s="146" t="str">
        <f t="shared" si="387"/>
        <v xml:space="preserve">                                                                                                                                                                                                                                                                                                                                                                                                                </v>
      </c>
      <c r="BK170" s="174" t="str">
        <f t="shared" si="368"/>
        <v>NG</v>
      </c>
      <c r="BL170" s="141"/>
      <c r="BM170" s="172" t="s">
        <v>71</v>
      </c>
      <c r="BN170" s="160"/>
      <c r="BO170" s="141"/>
      <c r="BP170" s="146" t="str">
        <f t="shared" si="388"/>
        <v xml:space="preserve">                                                                                                                                                                                                                                                                                                                                                                                                                </v>
      </c>
      <c r="BQ170" s="174" t="str">
        <f t="shared" si="369"/>
        <v>NG</v>
      </c>
      <c r="BR170" s="141"/>
      <c r="BS170" s="172" t="s">
        <v>71</v>
      </c>
      <c r="BT170" s="160"/>
      <c r="BU170" s="141"/>
      <c r="BV170" s="146" t="str">
        <f t="shared" si="389"/>
        <v xml:space="preserve">                                                                                                                                                                                                                                                                                                                                                                                                                </v>
      </c>
      <c r="BW170" s="174" t="str">
        <f t="shared" si="370"/>
        <v>NG</v>
      </c>
      <c r="BX170" s="141"/>
      <c r="BY170" s="172" t="s">
        <v>71</v>
      </c>
      <c r="BZ170" s="160"/>
      <c r="CA170" s="141"/>
      <c r="CB170" s="146" t="str">
        <f t="shared" si="390"/>
        <v xml:space="preserve">                                                                                                                                                                                                                                                                                                                                                                                                                </v>
      </c>
      <c r="CC170" s="174" t="str">
        <f t="shared" si="371"/>
        <v>NG</v>
      </c>
      <c r="CD170" s="141"/>
      <c r="CE170" s="172" t="s">
        <v>71</v>
      </c>
      <c r="CF170" s="160"/>
      <c r="CG170" s="141"/>
      <c r="CH170" s="146" t="str">
        <f t="shared" si="391"/>
        <v xml:space="preserve">                                                                                                                                                                                                                                                                                                                                                                                                                </v>
      </c>
      <c r="CI170" s="174" t="str">
        <f t="shared" si="372"/>
        <v>NG</v>
      </c>
      <c r="CJ170" s="141"/>
      <c r="CK170" s="172" t="s">
        <v>71</v>
      </c>
      <c r="CL170" s="160"/>
      <c r="CM170" s="141"/>
      <c r="CN170" s="146" t="str">
        <f t="shared" si="392"/>
        <v xml:space="preserve">                                                                                                                                                                                                                                                                                                                                                                                                                </v>
      </c>
      <c r="CO170" s="174" t="str">
        <f t="shared" si="373"/>
        <v>NG</v>
      </c>
      <c r="CP170" s="141"/>
      <c r="CQ170" s="172" t="s">
        <v>71</v>
      </c>
      <c r="CR170" s="160"/>
      <c r="CS170" s="141"/>
      <c r="CT170" s="146" t="str">
        <f t="shared" si="393"/>
        <v xml:space="preserve">                                                                                                                                                                                                                                                                                                                                                                                                                </v>
      </c>
      <c r="CU170" s="174" t="str">
        <f t="shared" si="374"/>
        <v>NG</v>
      </c>
      <c r="CV170" s="141"/>
      <c r="CW170" s="172" t="s">
        <v>71</v>
      </c>
      <c r="CX170" s="160"/>
      <c r="CY170" s="141"/>
      <c r="CZ170" s="146" t="str">
        <f t="shared" si="394"/>
        <v xml:space="preserve">                                                                                                                                                                                                                                                                                                                                                                                                                </v>
      </c>
      <c r="DA170" s="174" t="str">
        <f t="shared" si="375"/>
        <v>NG</v>
      </c>
      <c r="DB170" s="141"/>
      <c r="DC170" s="172" t="s">
        <v>71</v>
      </c>
      <c r="DD170" s="160"/>
      <c r="DE170" s="141"/>
      <c r="DF170" s="146" t="str">
        <f t="shared" si="395"/>
        <v xml:space="preserve">                                                                                                                                                                                                                                                                                                                                                                                                                </v>
      </c>
      <c r="DG170" s="174" t="str">
        <f t="shared" si="376"/>
        <v>NG</v>
      </c>
      <c r="DH170" s="141"/>
      <c r="DI170" s="172" t="s">
        <v>71</v>
      </c>
      <c r="DJ170" s="160"/>
      <c r="DK170" s="141"/>
      <c r="DL170" s="146" t="str">
        <f t="shared" si="396"/>
        <v xml:space="preserve">                                                                                                                                                                                                                                                                                                                                                                                                                </v>
      </c>
      <c r="DM170" s="174" t="str">
        <f t="shared" si="377"/>
        <v>NG</v>
      </c>
      <c r="DN170" s="141"/>
      <c r="DO170" s="172" t="s">
        <v>71</v>
      </c>
      <c r="DP170" s="160"/>
      <c r="DQ170" s="141"/>
      <c r="DR170" s="146" t="str">
        <f t="shared" si="397"/>
        <v xml:space="preserve">                                                                                                                                                                                                                                                                                                                                                                                                                </v>
      </c>
      <c r="DS170" s="174" t="str">
        <f t="shared" si="354"/>
        <v>NG</v>
      </c>
      <c r="DT170" s="141"/>
      <c r="DU170" s="172" t="s">
        <v>71</v>
      </c>
      <c r="DV170" s="160"/>
      <c r="DW170" s="141"/>
      <c r="DX170" s="146" t="str">
        <f t="shared" si="398"/>
        <v xml:space="preserve">                                                                                                                                                                                                                                                                                                                                                                                                                </v>
      </c>
      <c r="DY170" s="174" t="str">
        <f t="shared" si="355"/>
        <v>NG</v>
      </c>
      <c r="DZ170" s="141"/>
      <c r="EA170" s="172" t="s">
        <v>71</v>
      </c>
      <c r="EB170" s="160"/>
      <c r="EC170" s="141"/>
      <c r="ED170" s="146" t="str">
        <f t="shared" si="399"/>
        <v xml:space="preserve">                                                                                                                                                                                                                                                                                                                                                                                                                </v>
      </c>
      <c r="EE170" s="174" t="str">
        <f t="shared" si="356"/>
        <v>NG</v>
      </c>
      <c r="EF170" s="141"/>
      <c r="EG170" s="172" t="s">
        <v>71</v>
      </c>
      <c r="EH170" s="160"/>
      <c r="EI170" s="141"/>
      <c r="EJ170" s="146" t="str">
        <f t="shared" si="400"/>
        <v xml:space="preserve">                                                                                                                                                                                                                                                                                                                                                                                                                </v>
      </c>
      <c r="EK170" s="174" t="str">
        <f t="shared" si="357"/>
        <v>NG</v>
      </c>
      <c r="EL170" s="141"/>
      <c r="EM170" s="172" t="s">
        <v>71</v>
      </c>
      <c r="EN170" s="160"/>
      <c r="EO170" s="141"/>
      <c r="EP170" s="146" t="str">
        <f t="shared" si="401"/>
        <v xml:space="preserve">                                                                                                                                                                                                                                                                                                                                                                                                                </v>
      </c>
      <c r="EQ170" s="174" t="str">
        <f t="shared" si="358"/>
        <v>NG</v>
      </c>
      <c r="ER170" s="141"/>
      <c r="ES170" s="172" t="s">
        <v>71</v>
      </c>
      <c r="ET170" s="160"/>
      <c r="EU170" s="141"/>
      <c r="EV170" s="146" t="str">
        <f t="shared" si="402"/>
        <v xml:space="preserve">                                                                                                                                                                                                                                                                                                                                                                                                                </v>
      </c>
      <c r="EW170" s="174" t="str">
        <f t="shared" si="359"/>
        <v>NG</v>
      </c>
      <c r="EX170" s="141"/>
      <c r="EY170" s="172" t="s">
        <v>71</v>
      </c>
      <c r="EZ170" s="160"/>
      <c r="FA170" s="141"/>
      <c r="FB170" s="146" t="str">
        <f t="shared" si="403"/>
        <v xml:space="preserve">                                                                                                                                                                                                                                                                                                                                                                                                                </v>
      </c>
      <c r="FC170" s="174" t="str">
        <f t="shared" si="360"/>
        <v>NG</v>
      </c>
      <c r="FD170" s="141"/>
      <c r="FE170" s="172" t="s">
        <v>71</v>
      </c>
      <c r="FF170" s="160"/>
      <c r="FG170" s="141"/>
      <c r="FH170" s="146" t="str">
        <f t="shared" si="404"/>
        <v xml:space="preserve">                                                                                                                                                                                                                                                                                                                                                                                                                </v>
      </c>
      <c r="FI170" s="174" t="str">
        <f t="shared" si="361"/>
        <v>NG</v>
      </c>
      <c r="FJ170" s="141"/>
      <c r="FK170" s="172" t="s">
        <v>71</v>
      </c>
      <c r="FL170" s="160"/>
      <c r="FM170" s="141"/>
      <c r="FN170" s="146" t="str">
        <f t="shared" si="405"/>
        <v xml:space="preserve">                                                                                                                                                                                                                                                                                                                                                                                                                </v>
      </c>
      <c r="FO170" s="174" t="str">
        <f t="shared" si="378"/>
        <v>NG</v>
      </c>
      <c r="FP170" s="141"/>
      <c r="FQ170" s="172" t="s">
        <v>71</v>
      </c>
      <c r="FR170" s="160"/>
      <c r="FS170" s="141"/>
      <c r="FT170" s="146" t="str">
        <f t="shared" si="406"/>
        <v xml:space="preserve">                                                                                                                                                                                                                                                                                                                                                                                                                </v>
      </c>
      <c r="FU170" s="174" t="str">
        <f t="shared" si="379"/>
        <v>NG</v>
      </c>
      <c r="FV170" s="141"/>
      <c r="FW170" s="172" t="s">
        <v>71</v>
      </c>
      <c r="FX170" s="160"/>
      <c r="FY170" s="141"/>
      <c r="FZ170" s="146" t="str">
        <f t="shared" si="407"/>
        <v xml:space="preserve">                                                                                                                                                                                                                                                                                                                                                                                                                </v>
      </c>
      <c r="GA170" s="174" t="str">
        <f t="shared" si="380"/>
        <v>NG</v>
      </c>
      <c r="GB170" s="141"/>
      <c r="GC170" s="172" t="s">
        <v>71</v>
      </c>
    </row>
    <row r="171" spans="2:185" s="52" customFormat="1" ht="76.5">
      <c r="B171" s="216">
        <f t="shared" si="408"/>
        <v>164</v>
      </c>
      <c r="C171" s="37"/>
      <c r="D171" s="37"/>
      <c r="E171" s="37"/>
      <c r="F171" s="49" t="s">
        <v>219</v>
      </c>
      <c r="G171" s="39"/>
      <c r="H171" s="40"/>
      <c r="I171" s="42"/>
      <c r="J171" s="42"/>
      <c r="K171" s="42"/>
      <c r="L171" s="42"/>
      <c r="M171" s="63" t="s">
        <v>337</v>
      </c>
      <c r="N171" s="47"/>
      <c r="O171" s="143"/>
      <c r="P171" s="45">
        <f t="shared" si="411"/>
        <v>143</v>
      </c>
      <c r="Q171" s="46">
        <v>400</v>
      </c>
      <c r="R171" s="41" t="str">
        <f t="shared" si="412"/>
        <v>NX</v>
      </c>
      <c r="S171" s="185" t="s">
        <v>220</v>
      </c>
      <c r="T171" s="43"/>
      <c r="U171" s="41" t="s">
        <v>80</v>
      </c>
      <c r="V171" s="44"/>
      <c r="W171" s="22">
        <v>3</v>
      </c>
      <c r="X171" s="47" t="s">
        <v>221</v>
      </c>
      <c r="Y171" s="47">
        <v>1</v>
      </c>
      <c r="Z171" s="47">
        <v>400</v>
      </c>
      <c r="AA171" s="42" t="s">
        <v>195</v>
      </c>
      <c r="AB171" s="42" t="s">
        <v>80</v>
      </c>
      <c r="AC171" s="166"/>
      <c r="AD171" s="160"/>
      <c r="AE171" s="141"/>
      <c r="AF171" s="146" t="str">
        <f t="shared" si="383"/>
        <v xml:space="preserve">                                                                                                                                                                                                                                                                                                                                                                                                                </v>
      </c>
      <c r="AG171" s="174" t="str">
        <f t="shared" si="364"/>
        <v>NG</v>
      </c>
      <c r="AH171" s="141"/>
      <c r="AI171" s="172" t="s">
        <v>71</v>
      </c>
      <c r="AJ171" s="160"/>
      <c r="AK171" s="141"/>
      <c r="AL171" s="146" t="str">
        <f t="shared" si="382"/>
        <v xml:space="preserve">                                                                                                                                                                                                                                                                                                                                                                                                                </v>
      </c>
      <c r="AM171" s="174" t="str">
        <f t="shared" si="409"/>
        <v>NG</v>
      </c>
      <c r="AN171" s="141"/>
      <c r="AO171" s="172" t="s">
        <v>71</v>
      </c>
      <c r="AP171" s="160"/>
      <c r="AQ171" s="141"/>
      <c r="AR171" s="146" t="str">
        <f t="shared" si="384"/>
        <v xml:space="preserve">                                                                                                                                                                                                                                                                                                                                                                                                                </v>
      </c>
      <c r="AS171" s="174" t="str">
        <f t="shared" si="365"/>
        <v>NG</v>
      </c>
      <c r="AT171" s="141"/>
      <c r="AU171" s="172" t="s">
        <v>71</v>
      </c>
      <c r="AV171" s="160"/>
      <c r="AW171" s="141"/>
      <c r="AX171" s="146" t="str">
        <f t="shared" si="385"/>
        <v xml:space="preserve">                                                                                                                                                                                                                                                                                                                                                                                                                </v>
      </c>
      <c r="AY171" s="174" t="str">
        <f t="shared" si="366"/>
        <v>NG</v>
      </c>
      <c r="AZ171" s="141"/>
      <c r="BA171" s="172" t="s">
        <v>71</v>
      </c>
      <c r="BB171" s="160"/>
      <c r="BC171" s="141"/>
      <c r="BD171" s="146" t="str">
        <f t="shared" si="386"/>
        <v xml:space="preserve">                                                                                                                                                                                                                                                                                                                                                                                                                </v>
      </c>
      <c r="BE171" s="174" t="str">
        <f t="shared" si="367"/>
        <v>NG</v>
      </c>
      <c r="BF171" s="141"/>
      <c r="BG171" s="172" t="s">
        <v>71</v>
      </c>
      <c r="BH171" s="160"/>
      <c r="BI171" s="141"/>
      <c r="BJ171" s="146" t="str">
        <f t="shared" si="387"/>
        <v xml:space="preserve">                                                                                                                                                                                                                                                                                                                                                                                                                </v>
      </c>
      <c r="BK171" s="174" t="str">
        <f t="shared" si="368"/>
        <v>NG</v>
      </c>
      <c r="BL171" s="141"/>
      <c r="BM171" s="172" t="s">
        <v>71</v>
      </c>
      <c r="BN171" s="160"/>
      <c r="BO171" s="141"/>
      <c r="BP171" s="146" t="str">
        <f t="shared" si="388"/>
        <v xml:space="preserve">                                                                                                                                                                                                                                                                                                                                                                                                                </v>
      </c>
      <c r="BQ171" s="174" t="str">
        <f t="shared" si="369"/>
        <v>NG</v>
      </c>
      <c r="BR171" s="141"/>
      <c r="BS171" s="172" t="s">
        <v>71</v>
      </c>
      <c r="BT171" s="160"/>
      <c r="BU171" s="141"/>
      <c r="BV171" s="146" t="str">
        <f t="shared" si="389"/>
        <v xml:space="preserve">                                                                                                                                                                                                                                                                                                                                                                                                                </v>
      </c>
      <c r="BW171" s="174" t="str">
        <f t="shared" si="370"/>
        <v>NG</v>
      </c>
      <c r="BX171" s="141"/>
      <c r="BY171" s="172" t="s">
        <v>71</v>
      </c>
      <c r="BZ171" s="160"/>
      <c r="CA171" s="141"/>
      <c r="CB171" s="146" t="str">
        <f t="shared" si="390"/>
        <v xml:space="preserve">                                                                                                                                                                                                                                                                                                                                                                                                                </v>
      </c>
      <c r="CC171" s="174" t="str">
        <f t="shared" si="371"/>
        <v>NG</v>
      </c>
      <c r="CD171" s="141"/>
      <c r="CE171" s="172" t="s">
        <v>71</v>
      </c>
      <c r="CF171" s="160"/>
      <c r="CG171" s="141"/>
      <c r="CH171" s="146" t="str">
        <f t="shared" si="391"/>
        <v xml:space="preserve">                                                                                                                                                                                                                                                                                                                                                                                                                </v>
      </c>
      <c r="CI171" s="174" t="str">
        <f t="shared" si="372"/>
        <v>NG</v>
      </c>
      <c r="CJ171" s="141"/>
      <c r="CK171" s="172" t="s">
        <v>71</v>
      </c>
      <c r="CL171" s="160"/>
      <c r="CM171" s="141"/>
      <c r="CN171" s="146" t="str">
        <f t="shared" si="392"/>
        <v xml:space="preserve">                                                                                                                                                                                                                                                                                                                                                                                                                </v>
      </c>
      <c r="CO171" s="174" t="str">
        <f t="shared" si="373"/>
        <v>NG</v>
      </c>
      <c r="CP171" s="141"/>
      <c r="CQ171" s="172" t="s">
        <v>71</v>
      </c>
      <c r="CR171" s="160"/>
      <c r="CS171" s="141"/>
      <c r="CT171" s="146" t="str">
        <f t="shared" si="393"/>
        <v xml:space="preserve">                                                                                                                                                                                                                                                                                                                                                                                                                </v>
      </c>
      <c r="CU171" s="174" t="str">
        <f t="shared" si="374"/>
        <v>NG</v>
      </c>
      <c r="CV171" s="141"/>
      <c r="CW171" s="172" t="s">
        <v>71</v>
      </c>
      <c r="CX171" s="160"/>
      <c r="CY171" s="141"/>
      <c r="CZ171" s="146" t="str">
        <f t="shared" si="394"/>
        <v xml:space="preserve">                                                                                                                                                                                                                                                                                                                                                                                                                </v>
      </c>
      <c r="DA171" s="174" t="str">
        <f t="shared" si="375"/>
        <v>NG</v>
      </c>
      <c r="DB171" s="141"/>
      <c r="DC171" s="172" t="s">
        <v>71</v>
      </c>
      <c r="DD171" s="160"/>
      <c r="DE171" s="141"/>
      <c r="DF171" s="146" t="str">
        <f t="shared" si="395"/>
        <v xml:space="preserve">                                                                                                                                                                                                                                                                                                                                                                                                                </v>
      </c>
      <c r="DG171" s="174" t="str">
        <f t="shared" si="376"/>
        <v>NG</v>
      </c>
      <c r="DH171" s="141"/>
      <c r="DI171" s="172" t="s">
        <v>71</v>
      </c>
      <c r="DJ171" s="160"/>
      <c r="DK171" s="141"/>
      <c r="DL171" s="146" t="str">
        <f t="shared" si="396"/>
        <v xml:space="preserve">                                                                                                                                                                                                                                                                                                                                                                                                                </v>
      </c>
      <c r="DM171" s="174" t="str">
        <f t="shared" si="377"/>
        <v>NG</v>
      </c>
      <c r="DN171" s="141"/>
      <c r="DO171" s="172" t="s">
        <v>71</v>
      </c>
      <c r="DP171" s="160"/>
      <c r="DQ171" s="141"/>
      <c r="DR171" s="146" t="str">
        <f t="shared" si="397"/>
        <v xml:space="preserve">                                                                                                                                                                                                                                                                                                                                                                                                                </v>
      </c>
      <c r="DS171" s="174" t="str">
        <f t="shared" si="354"/>
        <v>NG</v>
      </c>
      <c r="DT171" s="141"/>
      <c r="DU171" s="172" t="s">
        <v>71</v>
      </c>
      <c r="DV171" s="160"/>
      <c r="DW171" s="141"/>
      <c r="DX171" s="146" t="str">
        <f t="shared" si="398"/>
        <v xml:space="preserve">                                                                                                                                                                                                                                                                                                                                                                                                                </v>
      </c>
      <c r="DY171" s="174" t="str">
        <f t="shared" si="355"/>
        <v>NG</v>
      </c>
      <c r="DZ171" s="141"/>
      <c r="EA171" s="172" t="s">
        <v>71</v>
      </c>
      <c r="EB171" s="160"/>
      <c r="EC171" s="141"/>
      <c r="ED171" s="146" t="str">
        <f t="shared" si="399"/>
        <v xml:space="preserve">                                                                                                                                                                                                                                                                                                                                                                                                                </v>
      </c>
      <c r="EE171" s="174" t="str">
        <f t="shared" si="356"/>
        <v>NG</v>
      </c>
      <c r="EF171" s="141"/>
      <c r="EG171" s="172" t="s">
        <v>71</v>
      </c>
      <c r="EH171" s="160"/>
      <c r="EI171" s="141"/>
      <c r="EJ171" s="146" t="str">
        <f t="shared" si="400"/>
        <v xml:space="preserve">                                                                                                                                                                                                                                                                                                                                                                                                                </v>
      </c>
      <c r="EK171" s="174" t="str">
        <f t="shared" si="357"/>
        <v>NG</v>
      </c>
      <c r="EL171" s="141"/>
      <c r="EM171" s="172" t="s">
        <v>71</v>
      </c>
      <c r="EN171" s="160"/>
      <c r="EO171" s="141"/>
      <c r="EP171" s="146" t="str">
        <f t="shared" si="401"/>
        <v xml:space="preserve">                                                                                                                                                                                                                                                                                                                                                                                                                </v>
      </c>
      <c r="EQ171" s="174" t="str">
        <f t="shared" si="358"/>
        <v>NG</v>
      </c>
      <c r="ER171" s="141"/>
      <c r="ES171" s="172" t="s">
        <v>71</v>
      </c>
      <c r="ET171" s="160"/>
      <c r="EU171" s="141"/>
      <c r="EV171" s="146" t="str">
        <f t="shared" si="402"/>
        <v xml:space="preserve">                                                                                                                                                                                                                                                                                                                                                                                                                </v>
      </c>
      <c r="EW171" s="174" t="str">
        <f t="shared" si="359"/>
        <v>NG</v>
      </c>
      <c r="EX171" s="141"/>
      <c r="EY171" s="172" t="s">
        <v>71</v>
      </c>
      <c r="EZ171" s="160"/>
      <c r="FA171" s="141"/>
      <c r="FB171" s="146" t="str">
        <f t="shared" si="403"/>
        <v xml:space="preserve">                                                                                                                                                                                                                                                                                                                                                                                                                </v>
      </c>
      <c r="FC171" s="174" t="str">
        <f t="shared" si="360"/>
        <v>NG</v>
      </c>
      <c r="FD171" s="141"/>
      <c r="FE171" s="172" t="s">
        <v>71</v>
      </c>
      <c r="FF171" s="160"/>
      <c r="FG171" s="141"/>
      <c r="FH171" s="146" t="str">
        <f t="shared" si="404"/>
        <v xml:space="preserve">                                                                                                                                                                                                                                                                                                                                                                                                                </v>
      </c>
      <c r="FI171" s="174" t="str">
        <f t="shared" si="361"/>
        <v>NG</v>
      </c>
      <c r="FJ171" s="141"/>
      <c r="FK171" s="172" t="s">
        <v>71</v>
      </c>
      <c r="FL171" s="160"/>
      <c r="FM171" s="141"/>
      <c r="FN171" s="146" t="str">
        <f t="shared" si="405"/>
        <v xml:space="preserve">                                                                                                                                                                                                                                                                                                                                                                                                                </v>
      </c>
      <c r="FO171" s="174" t="str">
        <f t="shared" si="378"/>
        <v>NG</v>
      </c>
      <c r="FP171" s="141"/>
      <c r="FQ171" s="172" t="s">
        <v>71</v>
      </c>
      <c r="FR171" s="160"/>
      <c r="FS171" s="141"/>
      <c r="FT171" s="146" t="str">
        <f t="shared" si="406"/>
        <v xml:space="preserve">                                                                                                                                                                                                                                                                                                                                                                                                                </v>
      </c>
      <c r="FU171" s="174" t="str">
        <f t="shared" si="379"/>
        <v>NG</v>
      </c>
      <c r="FV171" s="141"/>
      <c r="FW171" s="172" t="s">
        <v>71</v>
      </c>
      <c r="FX171" s="160"/>
      <c r="FY171" s="141"/>
      <c r="FZ171" s="146" t="str">
        <f t="shared" si="407"/>
        <v xml:space="preserve">                                                                                                                                                                                                                                                                                                                                                                                                                </v>
      </c>
      <c r="GA171" s="174" t="str">
        <f t="shared" si="380"/>
        <v>NG</v>
      </c>
      <c r="GB171" s="141"/>
      <c r="GC171" s="172" t="s">
        <v>71</v>
      </c>
    </row>
    <row r="172" spans="2:185" s="52" customFormat="1">
      <c r="B172" s="216">
        <f t="shared" si="408"/>
        <v>165</v>
      </c>
      <c r="C172" s="37"/>
      <c r="D172" s="37"/>
      <c r="E172" s="37"/>
      <c r="F172" s="49" t="s">
        <v>222</v>
      </c>
      <c r="G172" s="39"/>
      <c r="H172" s="40"/>
      <c r="I172" s="42"/>
      <c r="J172" s="42"/>
      <c r="K172" s="42"/>
      <c r="L172" s="42"/>
      <c r="M172" s="63" t="s">
        <v>336</v>
      </c>
      <c r="N172" s="47"/>
      <c r="O172" s="143"/>
      <c r="P172" s="45">
        <f t="shared" si="411"/>
        <v>144</v>
      </c>
      <c r="Q172" s="46">
        <v>400</v>
      </c>
      <c r="R172" s="41" t="str">
        <f t="shared" si="412"/>
        <v>NX</v>
      </c>
      <c r="S172" s="185" t="s">
        <v>223</v>
      </c>
      <c r="T172" s="43"/>
      <c r="U172" s="41" t="s">
        <v>80</v>
      </c>
      <c r="V172" s="44"/>
      <c r="W172" s="22">
        <v>3</v>
      </c>
      <c r="X172" s="47" t="s">
        <v>224</v>
      </c>
      <c r="Y172" s="47">
        <v>1</v>
      </c>
      <c r="Z172" s="47">
        <v>400</v>
      </c>
      <c r="AA172" s="42" t="s">
        <v>195</v>
      </c>
      <c r="AB172" s="42" t="s">
        <v>80</v>
      </c>
      <c r="AC172" s="166"/>
      <c r="AD172" s="160"/>
      <c r="AE172" s="141"/>
      <c r="AF172" s="146" t="str">
        <f t="shared" si="383"/>
        <v xml:space="preserve">                                                                                                                                                                                                                                                                                                                                                                                                                </v>
      </c>
      <c r="AG172" s="174" t="str">
        <f t="shared" si="364"/>
        <v>NG</v>
      </c>
      <c r="AH172" s="141"/>
      <c r="AI172" s="172" t="s">
        <v>71</v>
      </c>
      <c r="AJ172" s="160"/>
      <c r="AK172" s="141"/>
      <c r="AL172" s="146" t="str">
        <f t="shared" si="382"/>
        <v xml:space="preserve">                                                                                                                                                                                                                                                                                                                                                                                                                </v>
      </c>
      <c r="AM172" s="174" t="str">
        <f t="shared" si="409"/>
        <v>NG</v>
      </c>
      <c r="AN172" s="141"/>
      <c r="AO172" s="172" t="s">
        <v>71</v>
      </c>
      <c r="AP172" s="160"/>
      <c r="AQ172" s="141"/>
      <c r="AR172" s="146" t="str">
        <f t="shared" si="384"/>
        <v xml:space="preserve">                                                                                                                                                                                                                                                                                                                                                                                                                </v>
      </c>
      <c r="AS172" s="174" t="str">
        <f t="shared" si="365"/>
        <v>NG</v>
      </c>
      <c r="AT172" s="141"/>
      <c r="AU172" s="172" t="s">
        <v>71</v>
      </c>
      <c r="AV172" s="160"/>
      <c r="AW172" s="141"/>
      <c r="AX172" s="146" t="str">
        <f t="shared" si="385"/>
        <v xml:space="preserve">                                                                                                                                                                                                                                                                                                                                                                                                                </v>
      </c>
      <c r="AY172" s="174" t="str">
        <f t="shared" si="366"/>
        <v>NG</v>
      </c>
      <c r="AZ172" s="141"/>
      <c r="BA172" s="172" t="s">
        <v>71</v>
      </c>
      <c r="BB172" s="160"/>
      <c r="BC172" s="141"/>
      <c r="BD172" s="146" t="str">
        <f t="shared" si="386"/>
        <v xml:space="preserve">                                                                                                                                                                                                                                                                                                                                                                                                                </v>
      </c>
      <c r="BE172" s="174" t="str">
        <f t="shared" si="367"/>
        <v>NG</v>
      </c>
      <c r="BF172" s="141"/>
      <c r="BG172" s="172" t="s">
        <v>71</v>
      </c>
      <c r="BH172" s="160"/>
      <c r="BI172" s="141"/>
      <c r="BJ172" s="146" t="str">
        <f t="shared" si="387"/>
        <v xml:space="preserve">                                                                                                                                                                                                                                                                                                                                                                                                                </v>
      </c>
      <c r="BK172" s="174" t="str">
        <f t="shared" si="368"/>
        <v>NG</v>
      </c>
      <c r="BL172" s="141"/>
      <c r="BM172" s="172" t="s">
        <v>71</v>
      </c>
      <c r="BN172" s="160"/>
      <c r="BO172" s="141"/>
      <c r="BP172" s="146" t="str">
        <f t="shared" si="388"/>
        <v xml:space="preserve">                                                                                                                                                                                                                                                                                                                                                                                                                </v>
      </c>
      <c r="BQ172" s="174" t="str">
        <f t="shared" si="369"/>
        <v>NG</v>
      </c>
      <c r="BR172" s="141"/>
      <c r="BS172" s="172" t="s">
        <v>71</v>
      </c>
      <c r="BT172" s="160"/>
      <c r="BU172" s="141"/>
      <c r="BV172" s="146" t="str">
        <f t="shared" si="389"/>
        <v xml:space="preserve">                                                                                                                                                                                                                                                                                                                                                                                                                </v>
      </c>
      <c r="BW172" s="174" t="str">
        <f t="shared" si="370"/>
        <v>NG</v>
      </c>
      <c r="BX172" s="141"/>
      <c r="BY172" s="172" t="s">
        <v>71</v>
      </c>
      <c r="BZ172" s="160"/>
      <c r="CA172" s="141"/>
      <c r="CB172" s="146" t="str">
        <f t="shared" si="390"/>
        <v xml:space="preserve">                                                                                                                                                                                                                                                                                                                                                                                                                </v>
      </c>
      <c r="CC172" s="174" t="str">
        <f t="shared" si="371"/>
        <v>NG</v>
      </c>
      <c r="CD172" s="141"/>
      <c r="CE172" s="172" t="s">
        <v>71</v>
      </c>
      <c r="CF172" s="160"/>
      <c r="CG172" s="141"/>
      <c r="CH172" s="146" t="str">
        <f t="shared" si="391"/>
        <v xml:space="preserve">                                                                                                                                                                                                                                                                                                                                                                                                                </v>
      </c>
      <c r="CI172" s="174" t="str">
        <f t="shared" si="372"/>
        <v>NG</v>
      </c>
      <c r="CJ172" s="141"/>
      <c r="CK172" s="172" t="s">
        <v>71</v>
      </c>
      <c r="CL172" s="160"/>
      <c r="CM172" s="141"/>
      <c r="CN172" s="146" t="str">
        <f t="shared" si="392"/>
        <v xml:space="preserve">                                                                                                                                                                                                                                                                                                                                                                                                                </v>
      </c>
      <c r="CO172" s="174" t="str">
        <f t="shared" si="373"/>
        <v>NG</v>
      </c>
      <c r="CP172" s="141"/>
      <c r="CQ172" s="172" t="s">
        <v>71</v>
      </c>
      <c r="CR172" s="160"/>
      <c r="CS172" s="141"/>
      <c r="CT172" s="146" t="str">
        <f t="shared" si="393"/>
        <v xml:space="preserve">                                                                                                                                                                                                                                                                                                                                                                                                                </v>
      </c>
      <c r="CU172" s="174" t="str">
        <f t="shared" si="374"/>
        <v>NG</v>
      </c>
      <c r="CV172" s="141"/>
      <c r="CW172" s="172" t="s">
        <v>71</v>
      </c>
      <c r="CX172" s="160"/>
      <c r="CY172" s="141"/>
      <c r="CZ172" s="146" t="str">
        <f t="shared" si="394"/>
        <v xml:space="preserve">                                                                                                                                                                                                                                                                                                                                                                                                                </v>
      </c>
      <c r="DA172" s="174" t="str">
        <f t="shared" si="375"/>
        <v>NG</v>
      </c>
      <c r="DB172" s="141"/>
      <c r="DC172" s="172" t="s">
        <v>71</v>
      </c>
      <c r="DD172" s="160"/>
      <c r="DE172" s="141"/>
      <c r="DF172" s="146" t="str">
        <f t="shared" si="395"/>
        <v xml:space="preserve">                                                                                                                                                                                                                                                                                                                                                                                                                </v>
      </c>
      <c r="DG172" s="174" t="str">
        <f t="shared" si="376"/>
        <v>NG</v>
      </c>
      <c r="DH172" s="141"/>
      <c r="DI172" s="172" t="s">
        <v>71</v>
      </c>
      <c r="DJ172" s="160"/>
      <c r="DK172" s="141"/>
      <c r="DL172" s="146" t="str">
        <f t="shared" si="396"/>
        <v xml:space="preserve">                                                                                                                                                                                                                                                                                                                                                                                                                </v>
      </c>
      <c r="DM172" s="174" t="str">
        <f t="shared" si="377"/>
        <v>NG</v>
      </c>
      <c r="DN172" s="141"/>
      <c r="DO172" s="172" t="s">
        <v>71</v>
      </c>
      <c r="DP172" s="160"/>
      <c r="DQ172" s="141"/>
      <c r="DR172" s="146" t="str">
        <f t="shared" si="397"/>
        <v xml:space="preserve">                                                                                                                                                                                                                                                                                                                                                                                                                </v>
      </c>
      <c r="DS172" s="174" t="str">
        <f t="shared" si="354"/>
        <v>NG</v>
      </c>
      <c r="DT172" s="141"/>
      <c r="DU172" s="172" t="s">
        <v>71</v>
      </c>
      <c r="DV172" s="160"/>
      <c r="DW172" s="141"/>
      <c r="DX172" s="146" t="str">
        <f t="shared" si="398"/>
        <v xml:space="preserve">                                                                                                                                                                                                                                                                                                                                                                                                                </v>
      </c>
      <c r="DY172" s="174" t="str">
        <f t="shared" si="355"/>
        <v>NG</v>
      </c>
      <c r="DZ172" s="141"/>
      <c r="EA172" s="172" t="s">
        <v>71</v>
      </c>
      <c r="EB172" s="160"/>
      <c r="EC172" s="141"/>
      <c r="ED172" s="146" t="str">
        <f t="shared" si="399"/>
        <v xml:space="preserve">                                                                                                                                                                                                                                                                                                                                                                                                                </v>
      </c>
      <c r="EE172" s="174" t="str">
        <f t="shared" si="356"/>
        <v>NG</v>
      </c>
      <c r="EF172" s="141"/>
      <c r="EG172" s="172" t="s">
        <v>71</v>
      </c>
      <c r="EH172" s="160"/>
      <c r="EI172" s="141"/>
      <c r="EJ172" s="146" t="str">
        <f t="shared" si="400"/>
        <v xml:space="preserve">                                                                                                                                                                                                                                                                                                                                                                                                                </v>
      </c>
      <c r="EK172" s="174" t="str">
        <f t="shared" si="357"/>
        <v>NG</v>
      </c>
      <c r="EL172" s="141"/>
      <c r="EM172" s="172" t="s">
        <v>71</v>
      </c>
      <c r="EN172" s="160"/>
      <c r="EO172" s="141"/>
      <c r="EP172" s="146" t="str">
        <f t="shared" si="401"/>
        <v xml:space="preserve">                                                                                                                                                                                                                                                                                                                                                                                                                </v>
      </c>
      <c r="EQ172" s="174" t="str">
        <f t="shared" si="358"/>
        <v>NG</v>
      </c>
      <c r="ER172" s="141"/>
      <c r="ES172" s="172" t="s">
        <v>71</v>
      </c>
      <c r="ET172" s="160"/>
      <c r="EU172" s="141"/>
      <c r="EV172" s="146" t="str">
        <f t="shared" si="402"/>
        <v xml:space="preserve">                                                                                                                                                                                                                                                                                                                                                                                                                </v>
      </c>
      <c r="EW172" s="174" t="str">
        <f t="shared" si="359"/>
        <v>NG</v>
      </c>
      <c r="EX172" s="141"/>
      <c r="EY172" s="172" t="s">
        <v>71</v>
      </c>
      <c r="EZ172" s="160"/>
      <c r="FA172" s="141"/>
      <c r="FB172" s="146" t="str">
        <f t="shared" si="403"/>
        <v xml:space="preserve">                                                                                                                                                                                                                                                                                                                                                                                                                </v>
      </c>
      <c r="FC172" s="174" t="str">
        <f t="shared" si="360"/>
        <v>NG</v>
      </c>
      <c r="FD172" s="141"/>
      <c r="FE172" s="172" t="s">
        <v>71</v>
      </c>
      <c r="FF172" s="160"/>
      <c r="FG172" s="141"/>
      <c r="FH172" s="146" t="str">
        <f t="shared" si="404"/>
        <v xml:space="preserve">                                                                                                                                                                                                                                                                                                                                                                                                                </v>
      </c>
      <c r="FI172" s="174" t="str">
        <f t="shared" si="361"/>
        <v>NG</v>
      </c>
      <c r="FJ172" s="141"/>
      <c r="FK172" s="172" t="s">
        <v>71</v>
      </c>
      <c r="FL172" s="160"/>
      <c r="FM172" s="141"/>
      <c r="FN172" s="146" t="str">
        <f t="shared" si="405"/>
        <v xml:space="preserve">                                                                                                                                                                                                                                                                                                                                                                                                                </v>
      </c>
      <c r="FO172" s="174" t="str">
        <f t="shared" si="378"/>
        <v>NG</v>
      </c>
      <c r="FP172" s="141"/>
      <c r="FQ172" s="172" t="s">
        <v>71</v>
      </c>
      <c r="FR172" s="160"/>
      <c r="FS172" s="141"/>
      <c r="FT172" s="146" t="str">
        <f t="shared" si="406"/>
        <v xml:space="preserve">                                                                                                                                                                                                                                                                                                                                                                                                                </v>
      </c>
      <c r="FU172" s="174" t="str">
        <f t="shared" si="379"/>
        <v>NG</v>
      </c>
      <c r="FV172" s="141"/>
      <c r="FW172" s="172" t="s">
        <v>71</v>
      </c>
      <c r="FX172" s="160"/>
      <c r="FY172" s="141"/>
      <c r="FZ172" s="146" t="str">
        <f t="shared" si="407"/>
        <v xml:space="preserve">                                                                                                                                                                                                                                                                                                                                                                                                                </v>
      </c>
      <c r="GA172" s="174" t="str">
        <f t="shared" si="380"/>
        <v>NG</v>
      </c>
      <c r="GB172" s="141"/>
      <c r="GC172" s="172" t="s">
        <v>71</v>
      </c>
    </row>
    <row r="173" spans="2:185" s="52" customFormat="1">
      <c r="B173" s="216">
        <f t="shared" si="408"/>
        <v>166</v>
      </c>
      <c r="C173" s="37"/>
      <c r="D173" s="37"/>
      <c r="E173" s="37"/>
      <c r="F173" s="49" t="s">
        <v>225</v>
      </c>
      <c r="G173" s="39"/>
      <c r="H173" s="40"/>
      <c r="I173" s="42"/>
      <c r="J173" s="42"/>
      <c r="K173" s="42"/>
      <c r="L173" s="42"/>
      <c r="M173" s="63" t="s">
        <v>336</v>
      </c>
      <c r="N173" s="47"/>
      <c r="O173" s="143"/>
      <c r="P173" s="45">
        <f t="shared" si="411"/>
        <v>145</v>
      </c>
      <c r="Q173" s="46">
        <v>400</v>
      </c>
      <c r="R173" s="41" t="str">
        <f t="shared" si="412"/>
        <v>NX</v>
      </c>
      <c r="S173" s="185" t="s">
        <v>226</v>
      </c>
      <c r="T173" s="43"/>
      <c r="U173" s="41" t="s">
        <v>80</v>
      </c>
      <c r="V173" s="44"/>
      <c r="W173" s="22">
        <v>3</v>
      </c>
      <c r="X173" s="47" t="s">
        <v>227</v>
      </c>
      <c r="Y173" s="47">
        <v>1</v>
      </c>
      <c r="Z173" s="47">
        <v>400</v>
      </c>
      <c r="AA173" s="42" t="s">
        <v>195</v>
      </c>
      <c r="AB173" s="42" t="s">
        <v>80</v>
      </c>
      <c r="AC173" s="166"/>
      <c r="AD173" s="160"/>
      <c r="AE173" s="141"/>
      <c r="AF173" s="146" t="str">
        <f t="shared" si="383"/>
        <v xml:space="preserve">                                                                                                                                                                                                                                                                                                                                                                                                                </v>
      </c>
      <c r="AG173" s="174" t="str">
        <f t="shared" si="364"/>
        <v>NG</v>
      </c>
      <c r="AH173" s="141"/>
      <c r="AI173" s="172" t="s">
        <v>71</v>
      </c>
      <c r="AJ173" s="160"/>
      <c r="AK173" s="141"/>
      <c r="AL173" s="146" t="str">
        <f t="shared" si="382"/>
        <v xml:space="preserve">                                                                                                                                                                                                                                                                                                                                                                                                                </v>
      </c>
      <c r="AM173" s="174" t="str">
        <f t="shared" si="409"/>
        <v>NG</v>
      </c>
      <c r="AN173" s="141"/>
      <c r="AO173" s="172" t="s">
        <v>71</v>
      </c>
      <c r="AP173" s="160"/>
      <c r="AQ173" s="141"/>
      <c r="AR173" s="146" t="str">
        <f t="shared" si="384"/>
        <v xml:space="preserve">                                                                                                                                                                                                                                                                                                                                                                                                                </v>
      </c>
      <c r="AS173" s="174" t="str">
        <f t="shared" si="365"/>
        <v>NG</v>
      </c>
      <c r="AT173" s="141"/>
      <c r="AU173" s="172" t="s">
        <v>71</v>
      </c>
      <c r="AV173" s="160"/>
      <c r="AW173" s="141"/>
      <c r="AX173" s="146" t="str">
        <f t="shared" si="385"/>
        <v xml:space="preserve">                                                                                                                                                                                                                                                                                                                                                                                                                </v>
      </c>
      <c r="AY173" s="174" t="str">
        <f t="shared" si="366"/>
        <v>NG</v>
      </c>
      <c r="AZ173" s="141"/>
      <c r="BA173" s="172" t="s">
        <v>71</v>
      </c>
      <c r="BB173" s="160"/>
      <c r="BC173" s="141"/>
      <c r="BD173" s="146" t="str">
        <f t="shared" si="386"/>
        <v xml:space="preserve">                                                                                                                                                                                                                                                                                                                                                                                                                </v>
      </c>
      <c r="BE173" s="174" t="str">
        <f t="shared" si="367"/>
        <v>NG</v>
      </c>
      <c r="BF173" s="141"/>
      <c r="BG173" s="172" t="s">
        <v>71</v>
      </c>
      <c r="BH173" s="160"/>
      <c r="BI173" s="141"/>
      <c r="BJ173" s="146" t="str">
        <f t="shared" si="387"/>
        <v xml:space="preserve">                                                                                                                                                                                                                                                                                                                                                                                                                </v>
      </c>
      <c r="BK173" s="174" t="str">
        <f t="shared" si="368"/>
        <v>NG</v>
      </c>
      <c r="BL173" s="141"/>
      <c r="BM173" s="172" t="s">
        <v>71</v>
      </c>
      <c r="BN173" s="160"/>
      <c r="BO173" s="141"/>
      <c r="BP173" s="146" t="str">
        <f t="shared" si="388"/>
        <v xml:space="preserve">                                                                                                                                                                                                                                                                                                                                                                                                                </v>
      </c>
      <c r="BQ173" s="174" t="str">
        <f t="shared" si="369"/>
        <v>NG</v>
      </c>
      <c r="BR173" s="141"/>
      <c r="BS173" s="172" t="s">
        <v>71</v>
      </c>
      <c r="BT173" s="160"/>
      <c r="BU173" s="141"/>
      <c r="BV173" s="146" t="str">
        <f t="shared" si="389"/>
        <v xml:space="preserve">                                                                                                                                                                                                                                                                                                                                                                                                                </v>
      </c>
      <c r="BW173" s="174" t="str">
        <f t="shared" si="370"/>
        <v>NG</v>
      </c>
      <c r="BX173" s="141"/>
      <c r="BY173" s="172" t="s">
        <v>71</v>
      </c>
      <c r="BZ173" s="160"/>
      <c r="CA173" s="141"/>
      <c r="CB173" s="146" t="str">
        <f t="shared" si="390"/>
        <v xml:space="preserve">                                                                                                                                                                                                                                                                                                                                                                                                                </v>
      </c>
      <c r="CC173" s="174" t="str">
        <f t="shared" si="371"/>
        <v>NG</v>
      </c>
      <c r="CD173" s="141"/>
      <c r="CE173" s="172" t="s">
        <v>71</v>
      </c>
      <c r="CF173" s="160"/>
      <c r="CG173" s="141"/>
      <c r="CH173" s="146" t="str">
        <f t="shared" si="391"/>
        <v xml:space="preserve">                                                                                                                                                                                                                                                                                                                                                                                                                </v>
      </c>
      <c r="CI173" s="174" t="str">
        <f t="shared" si="372"/>
        <v>NG</v>
      </c>
      <c r="CJ173" s="141"/>
      <c r="CK173" s="172" t="s">
        <v>71</v>
      </c>
      <c r="CL173" s="160"/>
      <c r="CM173" s="141"/>
      <c r="CN173" s="146" t="str">
        <f t="shared" si="392"/>
        <v xml:space="preserve">                                                                                                                                                                                                                                                                                                                                                                                                                </v>
      </c>
      <c r="CO173" s="174" t="str">
        <f t="shared" si="373"/>
        <v>NG</v>
      </c>
      <c r="CP173" s="141"/>
      <c r="CQ173" s="172" t="s">
        <v>71</v>
      </c>
      <c r="CR173" s="160"/>
      <c r="CS173" s="141"/>
      <c r="CT173" s="146" t="str">
        <f t="shared" si="393"/>
        <v xml:space="preserve">                                                                                                                                                                                                                                                                                                                                                                                                                </v>
      </c>
      <c r="CU173" s="174" t="str">
        <f t="shared" si="374"/>
        <v>NG</v>
      </c>
      <c r="CV173" s="141"/>
      <c r="CW173" s="172" t="s">
        <v>71</v>
      </c>
      <c r="CX173" s="160"/>
      <c r="CY173" s="141"/>
      <c r="CZ173" s="146" t="str">
        <f t="shared" si="394"/>
        <v xml:space="preserve">                                                                                                                                                                                                                                                                                                                                                                                                                </v>
      </c>
      <c r="DA173" s="174" t="str">
        <f t="shared" si="375"/>
        <v>NG</v>
      </c>
      <c r="DB173" s="141"/>
      <c r="DC173" s="172" t="s">
        <v>71</v>
      </c>
      <c r="DD173" s="160"/>
      <c r="DE173" s="141"/>
      <c r="DF173" s="146" t="str">
        <f t="shared" si="395"/>
        <v xml:space="preserve">                                                                                                                                                                                                                                                                                                                                                                                                                </v>
      </c>
      <c r="DG173" s="174" t="str">
        <f t="shared" si="376"/>
        <v>NG</v>
      </c>
      <c r="DH173" s="141"/>
      <c r="DI173" s="172" t="s">
        <v>71</v>
      </c>
      <c r="DJ173" s="160"/>
      <c r="DK173" s="141"/>
      <c r="DL173" s="146" t="str">
        <f t="shared" si="396"/>
        <v xml:space="preserve">                                                                                                                                                                                                                                                                                                                                                                                                                </v>
      </c>
      <c r="DM173" s="174" t="str">
        <f t="shared" si="377"/>
        <v>NG</v>
      </c>
      <c r="DN173" s="141"/>
      <c r="DO173" s="172" t="s">
        <v>71</v>
      </c>
      <c r="DP173" s="160"/>
      <c r="DQ173" s="141"/>
      <c r="DR173" s="146" t="str">
        <f t="shared" si="397"/>
        <v xml:space="preserve">                                                                                                                                                                                                                                                                                                                                                                                                                </v>
      </c>
      <c r="DS173" s="174" t="str">
        <f t="shared" si="354"/>
        <v>NG</v>
      </c>
      <c r="DT173" s="141"/>
      <c r="DU173" s="172" t="s">
        <v>71</v>
      </c>
      <c r="DV173" s="160"/>
      <c r="DW173" s="141"/>
      <c r="DX173" s="146" t="str">
        <f t="shared" si="398"/>
        <v xml:space="preserve">                                                                                                                                                                                                                                                                                                                                                                                                                </v>
      </c>
      <c r="DY173" s="174" t="str">
        <f t="shared" si="355"/>
        <v>NG</v>
      </c>
      <c r="DZ173" s="141"/>
      <c r="EA173" s="172" t="s">
        <v>71</v>
      </c>
      <c r="EB173" s="160"/>
      <c r="EC173" s="141"/>
      <c r="ED173" s="146" t="str">
        <f t="shared" si="399"/>
        <v xml:space="preserve">                                                                                                                                                                                                                                                                                                                                                                                                                </v>
      </c>
      <c r="EE173" s="174" t="str">
        <f t="shared" si="356"/>
        <v>NG</v>
      </c>
      <c r="EF173" s="141"/>
      <c r="EG173" s="172" t="s">
        <v>71</v>
      </c>
      <c r="EH173" s="160"/>
      <c r="EI173" s="141"/>
      <c r="EJ173" s="146" t="str">
        <f t="shared" si="400"/>
        <v xml:space="preserve">                                                                                                                                                                                                                                                                                                                                                                                                                </v>
      </c>
      <c r="EK173" s="174" t="str">
        <f t="shared" si="357"/>
        <v>NG</v>
      </c>
      <c r="EL173" s="141"/>
      <c r="EM173" s="172" t="s">
        <v>71</v>
      </c>
      <c r="EN173" s="160"/>
      <c r="EO173" s="141"/>
      <c r="EP173" s="146" t="str">
        <f t="shared" si="401"/>
        <v xml:space="preserve">                                                                                                                                                                                                                                                                                                                                                                                                                </v>
      </c>
      <c r="EQ173" s="174" t="str">
        <f t="shared" si="358"/>
        <v>NG</v>
      </c>
      <c r="ER173" s="141"/>
      <c r="ES173" s="172" t="s">
        <v>71</v>
      </c>
      <c r="ET173" s="160"/>
      <c r="EU173" s="141"/>
      <c r="EV173" s="146" t="str">
        <f t="shared" si="402"/>
        <v xml:space="preserve">                                                                                                                                                                                                                                                                                                                                                                                                                </v>
      </c>
      <c r="EW173" s="174" t="str">
        <f t="shared" si="359"/>
        <v>NG</v>
      </c>
      <c r="EX173" s="141"/>
      <c r="EY173" s="172" t="s">
        <v>71</v>
      </c>
      <c r="EZ173" s="160"/>
      <c r="FA173" s="141"/>
      <c r="FB173" s="146" t="str">
        <f t="shared" si="403"/>
        <v xml:space="preserve">                                                                                                                                                                                                                                                                                                                                                                                                                </v>
      </c>
      <c r="FC173" s="174" t="str">
        <f t="shared" si="360"/>
        <v>NG</v>
      </c>
      <c r="FD173" s="141"/>
      <c r="FE173" s="172" t="s">
        <v>71</v>
      </c>
      <c r="FF173" s="160"/>
      <c r="FG173" s="141"/>
      <c r="FH173" s="146" t="str">
        <f t="shared" si="404"/>
        <v xml:space="preserve">                                                                                                                                                                                                                                                                                                                                                                                                                </v>
      </c>
      <c r="FI173" s="174" t="str">
        <f t="shared" si="361"/>
        <v>NG</v>
      </c>
      <c r="FJ173" s="141"/>
      <c r="FK173" s="172" t="s">
        <v>71</v>
      </c>
      <c r="FL173" s="160"/>
      <c r="FM173" s="141"/>
      <c r="FN173" s="146" t="str">
        <f t="shared" si="405"/>
        <v xml:space="preserve">                                                                                                                                                                                                                                                                                                                                                                                                                </v>
      </c>
      <c r="FO173" s="174" t="str">
        <f t="shared" si="378"/>
        <v>NG</v>
      </c>
      <c r="FP173" s="141"/>
      <c r="FQ173" s="172" t="s">
        <v>71</v>
      </c>
      <c r="FR173" s="160"/>
      <c r="FS173" s="141"/>
      <c r="FT173" s="146" t="str">
        <f t="shared" si="406"/>
        <v xml:space="preserve">                                                                                                                                                                                                                                                                                                                                                                                                                </v>
      </c>
      <c r="FU173" s="174" t="str">
        <f t="shared" si="379"/>
        <v>NG</v>
      </c>
      <c r="FV173" s="141"/>
      <c r="FW173" s="172" t="s">
        <v>71</v>
      </c>
      <c r="FX173" s="160"/>
      <c r="FY173" s="141"/>
      <c r="FZ173" s="146" t="str">
        <f t="shared" si="407"/>
        <v xml:space="preserve">                                                                                                                                                                                                                                                                                                                                                                                                                </v>
      </c>
      <c r="GA173" s="174" t="str">
        <f t="shared" si="380"/>
        <v>NG</v>
      </c>
      <c r="GB173" s="141"/>
      <c r="GC173" s="172" t="s">
        <v>71</v>
      </c>
    </row>
    <row r="174" spans="2:185" s="52" customFormat="1" ht="89.25">
      <c r="B174" s="216">
        <f t="shared" si="408"/>
        <v>167</v>
      </c>
      <c r="C174" s="37"/>
      <c r="D174" s="37"/>
      <c r="E174" s="37"/>
      <c r="F174" s="49" t="s">
        <v>228</v>
      </c>
      <c r="G174" s="39"/>
      <c r="H174" s="40"/>
      <c r="I174" s="42"/>
      <c r="J174" s="42"/>
      <c r="K174" s="42"/>
      <c r="L174" s="42"/>
      <c r="M174" s="63" t="s">
        <v>338</v>
      </c>
      <c r="N174" s="47"/>
      <c r="O174" s="143"/>
      <c r="P174" s="45">
        <f t="shared" si="411"/>
        <v>146</v>
      </c>
      <c r="Q174" s="46">
        <v>1</v>
      </c>
      <c r="R174" s="41" t="str">
        <f t="shared" si="412"/>
        <v>X</v>
      </c>
      <c r="S174" s="185" t="s">
        <v>229</v>
      </c>
      <c r="T174" s="43"/>
      <c r="U174" s="41" t="s">
        <v>80</v>
      </c>
      <c r="V174" s="44"/>
      <c r="W174" s="22">
        <v>3</v>
      </c>
      <c r="X174" s="47" t="s">
        <v>230</v>
      </c>
      <c r="Y174" s="47">
        <v>1</v>
      </c>
      <c r="Z174" s="47">
        <v>1</v>
      </c>
      <c r="AA174" s="42" t="s">
        <v>163</v>
      </c>
      <c r="AB174" s="42" t="s">
        <v>57</v>
      </c>
      <c r="AC174" s="217"/>
      <c r="AD174" s="160"/>
      <c r="AE174" s="162"/>
      <c r="AF174" s="203" t="str">
        <f t="shared" si="383"/>
        <v xml:space="preserve"> </v>
      </c>
      <c r="AG174" s="174" t="str">
        <f t="shared" si="364"/>
        <v>NG</v>
      </c>
      <c r="AH174" s="162"/>
      <c r="AI174" s="172" t="s">
        <v>71</v>
      </c>
      <c r="AJ174" s="160"/>
      <c r="AK174" s="162"/>
      <c r="AL174" s="203" t="str">
        <f t="shared" si="382"/>
        <v xml:space="preserve"> </v>
      </c>
      <c r="AM174" s="174" t="str">
        <f t="shared" si="409"/>
        <v>NG</v>
      </c>
      <c r="AN174" s="162"/>
      <c r="AO174" s="172" t="s">
        <v>71</v>
      </c>
      <c r="AP174" s="160"/>
      <c r="AQ174" s="162"/>
      <c r="AR174" s="203" t="str">
        <f t="shared" si="384"/>
        <v xml:space="preserve"> </v>
      </c>
      <c r="AS174" s="174" t="str">
        <f t="shared" si="365"/>
        <v>NG</v>
      </c>
      <c r="AT174" s="162"/>
      <c r="AU174" s="172" t="s">
        <v>71</v>
      </c>
      <c r="AV174" s="160"/>
      <c r="AW174" s="162"/>
      <c r="AX174" s="203" t="str">
        <f t="shared" si="385"/>
        <v xml:space="preserve"> </v>
      </c>
      <c r="AY174" s="174" t="str">
        <f t="shared" si="366"/>
        <v>NG</v>
      </c>
      <c r="AZ174" s="162"/>
      <c r="BA174" s="172" t="s">
        <v>71</v>
      </c>
      <c r="BB174" s="160"/>
      <c r="BC174" s="162"/>
      <c r="BD174" s="203" t="str">
        <f t="shared" si="386"/>
        <v xml:space="preserve"> </v>
      </c>
      <c r="BE174" s="174" t="str">
        <f t="shared" si="367"/>
        <v>NG</v>
      </c>
      <c r="BF174" s="162"/>
      <c r="BG174" s="172" t="s">
        <v>71</v>
      </c>
      <c r="BH174" s="160"/>
      <c r="BI174" s="162"/>
      <c r="BJ174" s="203" t="str">
        <f t="shared" si="387"/>
        <v xml:space="preserve"> </v>
      </c>
      <c r="BK174" s="174" t="str">
        <f t="shared" si="368"/>
        <v>NG</v>
      </c>
      <c r="BL174" s="162"/>
      <c r="BM174" s="172" t="s">
        <v>71</v>
      </c>
      <c r="BN174" s="160"/>
      <c r="BO174" s="162"/>
      <c r="BP174" s="203" t="str">
        <f t="shared" si="388"/>
        <v xml:space="preserve"> </v>
      </c>
      <c r="BQ174" s="174" t="str">
        <f t="shared" si="369"/>
        <v>NG</v>
      </c>
      <c r="BR174" s="162"/>
      <c r="BS174" s="172" t="s">
        <v>71</v>
      </c>
      <c r="BT174" s="160"/>
      <c r="BU174" s="162"/>
      <c r="BV174" s="203" t="str">
        <f t="shared" si="389"/>
        <v xml:space="preserve"> </v>
      </c>
      <c r="BW174" s="174" t="str">
        <f t="shared" si="370"/>
        <v>NG</v>
      </c>
      <c r="BX174" s="162"/>
      <c r="BY174" s="172" t="s">
        <v>71</v>
      </c>
      <c r="BZ174" s="160"/>
      <c r="CA174" s="162"/>
      <c r="CB174" s="203" t="str">
        <f t="shared" si="390"/>
        <v xml:space="preserve"> </v>
      </c>
      <c r="CC174" s="174" t="str">
        <f t="shared" si="371"/>
        <v>NG</v>
      </c>
      <c r="CD174" s="162"/>
      <c r="CE174" s="172" t="s">
        <v>71</v>
      </c>
      <c r="CF174" s="160"/>
      <c r="CG174" s="162"/>
      <c r="CH174" s="203" t="str">
        <f t="shared" si="391"/>
        <v xml:space="preserve"> </v>
      </c>
      <c r="CI174" s="174" t="str">
        <f t="shared" si="372"/>
        <v>NG</v>
      </c>
      <c r="CJ174" s="162"/>
      <c r="CK174" s="172" t="s">
        <v>71</v>
      </c>
      <c r="CL174" s="160"/>
      <c r="CM174" s="162"/>
      <c r="CN174" s="203" t="str">
        <f t="shared" si="392"/>
        <v xml:space="preserve"> </v>
      </c>
      <c r="CO174" s="174" t="str">
        <f t="shared" si="373"/>
        <v>NG</v>
      </c>
      <c r="CP174" s="162"/>
      <c r="CQ174" s="172" t="s">
        <v>71</v>
      </c>
      <c r="CR174" s="160"/>
      <c r="CS174" s="162"/>
      <c r="CT174" s="203" t="str">
        <f t="shared" si="393"/>
        <v xml:space="preserve"> </v>
      </c>
      <c r="CU174" s="174" t="str">
        <f t="shared" si="374"/>
        <v>NG</v>
      </c>
      <c r="CV174" s="162"/>
      <c r="CW174" s="172" t="s">
        <v>71</v>
      </c>
      <c r="CX174" s="160"/>
      <c r="CY174" s="162"/>
      <c r="CZ174" s="203" t="str">
        <f t="shared" si="394"/>
        <v xml:space="preserve"> </v>
      </c>
      <c r="DA174" s="174" t="str">
        <f t="shared" si="375"/>
        <v>NG</v>
      </c>
      <c r="DB174" s="162"/>
      <c r="DC174" s="172" t="s">
        <v>71</v>
      </c>
      <c r="DD174" s="160"/>
      <c r="DE174" s="162"/>
      <c r="DF174" s="203" t="str">
        <f t="shared" si="395"/>
        <v xml:space="preserve"> </v>
      </c>
      <c r="DG174" s="174" t="str">
        <f t="shared" si="376"/>
        <v>NG</v>
      </c>
      <c r="DH174" s="162"/>
      <c r="DI174" s="172" t="s">
        <v>71</v>
      </c>
      <c r="DJ174" s="160"/>
      <c r="DK174" s="162"/>
      <c r="DL174" s="203" t="str">
        <f t="shared" si="396"/>
        <v xml:space="preserve"> </v>
      </c>
      <c r="DM174" s="174" t="str">
        <f t="shared" si="377"/>
        <v>NG</v>
      </c>
      <c r="DN174" s="162"/>
      <c r="DO174" s="172" t="s">
        <v>71</v>
      </c>
      <c r="DP174" s="160"/>
      <c r="DQ174" s="162"/>
      <c r="DR174" s="203" t="str">
        <f t="shared" si="397"/>
        <v xml:space="preserve"> </v>
      </c>
      <c r="DS174" s="174" t="str">
        <f t="shared" si="354"/>
        <v>NG</v>
      </c>
      <c r="DT174" s="162"/>
      <c r="DU174" s="172" t="s">
        <v>71</v>
      </c>
      <c r="DV174" s="160"/>
      <c r="DW174" s="162"/>
      <c r="DX174" s="203" t="str">
        <f t="shared" si="398"/>
        <v xml:space="preserve"> </v>
      </c>
      <c r="DY174" s="174" t="str">
        <f t="shared" si="355"/>
        <v>NG</v>
      </c>
      <c r="DZ174" s="162"/>
      <c r="EA174" s="172" t="s">
        <v>71</v>
      </c>
      <c r="EB174" s="160"/>
      <c r="EC174" s="162"/>
      <c r="ED174" s="203" t="str">
        <f t="shared" si="399"/>
        <v xml:space="preserve"> </v>
      </c>
      <c r="EE174" s="174" t="str">
        <f t="shared" si="356"/>
        <v>NG</v>
      </c>
      <c r="EF174" s="162"/>
      <c r="EG174" s="172" t="s">
        <v>71</v>
      </c>
      <c r="EH174" s="160"/>
      <c r="EI174" s="162"/>
      <c r="EJ174" s="203" t="str">
        <f t="shared" si="400"/>
        <v xml:space="preserve"> </v>
      </c>
      <c r="EK174" s="174" t="str">
        <f t="shared" si="357"/>
        <v>NG</v>
      </c>
      <c r="EL174" s="162"/>
      <c r="EM174" s="172" t="s">
        <v>71</v>
      </c>
      <c r="EN174" s="160"/>
      <c r="EO174" s="162"/>
      <c r="EP174" s="203" t="str">
        <f t="shared" si="401"/>
        <v xml:space="preserve"> </v>
      </c>
      <c r="EQ174" s="174" t="str">
        <f t="shared" si="358"/>
        <v>NG</v>
      </c>
      <c r="ER174" s="162"/>
      <c r="ES174" s="172" t="s">
        <v>71</v>
      </c>
      <c r="ET174" s="160"/>
      <c r="EU174" s="162"/>
      <c r="EV174" s="203" t="str">
        <f t="shared" si="402"/>
        <v xml:space="preserve"> </v>
      </c>
      <c r="EW174" s="174" t="str">
        <f t="shared" si="359"/>
        <v>NG</v>
      </c>
      <c r="EX174" s="162"/>
      <c r="EY174" s="172" t="s">
        <v>71</v>
      </c>
      <c r="EZ174" s="160"/>
      <c r="FA174" s="162"/>
      <c r="FB174" s="203" t="str">
        <f t="shared" si="403"/>
        <v xml:space="preserve"> </v>
      </c>
      <c r="FC174" s="174" t="str">
        <f t="shared" si="360"/>
        <v>NG</v>
      </c>
      <c r="FD174" s="162"/>
      <c r="FE174" s="172" t="s">
        <v>71</v>
      </c>
      <c r="FF174" s="160"/>
      <c r="FG174" s="162"/>
      <c r="FH174" s="203" t="str">
        <f t="shared" si="404"/>
        <v xml:space="preserve"> </v>
      </c>
      <c r="FI174" s="174" t="str">
        <f t="shared" si="361"/>
        <v>NG</v>
      </c>
      <c r="FJ174" s="162"/>
      <c r="FK174" s="172" t="s">
        <v>71</v>
      </c>
      <c r="FL174" s="160"/>
      <c r="FM174" s="162"/>
      <c r="FN174" s="203" t="str">
        <f t="shared" si="405"/>
        <v xml:space="preserve"> </v>
      </c>
      <c r="FO174" s="174" t="str">
        <f t="shared" si="378"/>
        <v>NG</v>
      </c>
      <c r="FP174" s="162"/>
      <c r="FQ174" s="172" t="s">
        <v>71</v>
      </c>
      <c r="FR174" s="160"/>
      <c r="FS174" s="162"/>
      <c r="FT174" s="203" t="str">
        <f t="shared" si="406"/>
        <v xml:space="preserve"> </v>
      </c>
      <c r="FU174" s="174" t="str">
        <f t="shared" si="379"/>
        <v>NG</v>
      </c>
      <c r="FV174" s="162"/>
      <c r="FW174" s="172" t="s">
        <v>71</v>
      </c>
      <c r="FX174" s="160"/>
      <c r="FY174" s="162"/>
      <c r="FZ174" s="203" t="str">
        <f t="shared" si="407"/>
        <v xml:space="preserve"> </v>
      </c>
      <c r="GA174" s="174" t="str">
        <f t="shared" si="380"/>
        <v>NG</v>
      </c>
      <c r="GB174" s="162"/>
      <c r="GC174" s="172" t="s">
        <v>71</v>
      </c>
    </row>
    <row r="175" spans="2:185" s="52" customFormat="1">
      <c r="B175" s="216">
        <f t="shared" si="408"/>
        <v>168</v>
      </c>
      <c r="C175" s="37"/>
      <c r="D175" s="37"/>
      <c r="E175" s="37"/>
      <c r="F175" s="49" t="s">
        <v>231</v>
      </c>
      <c r="G175" s="39"/>
      <c r="H175" s="40"/>
      <c r="I175" s="42"/>
      <c r="J175" s="42"/>
      <c r="K175" s="42"/>
      <c r="L175" s="42"/>
      <c r="M175" s="63"/>
      <c r="N175" s="47"/>
      <c r="O175" s="143"/>
      <c r="P175" s="45">
        <f t="shared" si="411"/>
        <v>147</v>
      </c>
      <c r="Q175" s="46">
        <v>128</v>
      </c>
      <c r="R175" s="41" t="str">
        <f t="shared" si="412"/>
        <v>X</v>
      </c>
      <c r="S175" s="185" t="s">
        <v>232</v>
      </c>
      <c r="T175" s="43"/>
      <c r="U175" s="41" t="s">
        <v>80</v>
      </c>
      <c r="V175" s="44"/>
      <c r="W175" s="22">
        <v>3</v>
      </c>
      <c r="X175" s="47" t="s">
        <v>233</v>
      </c>
      <c r="Y175" s="47">
        <v>1</v>
      </c>
      <c r="Z175" s="47">
        <v>128</v>
      </c>
      <c r="AA175" s="42" t="s">
        <v>163</v>
      </c>
      <c r="AB175" s="42" t="s">
        <v>57</v>
      </c>
      <c r="AC175" s="166"/>
      <c r="AD175" s="160"/>
      <c r="AE175" s="141"/>
      <c r="AF175" s="203" t="str">
        <f t="shared" si="383"/>
        <v xml:space="preserve">                                                                                                                                </v>
      </c>
      <c r="AG175" s="174" t="str">
        <f t="shared" si="364"/>
        <v>NG</v>
      </c>
      <c r="AH175" s="141"/>
      <c r="AI175" s="276" t="str">
        <f>IF(OR(AE$8="判定対象外",AH$8="判定対象外",AH175="-"),"-",IF(AE175=AH175,"OK","NG"))</f>
        <v>OK</v>
      </c>
      <c r="AJ175" s="160"/>
      <c r="AK175" s="141"/>
      <c r="AL175" s="203" t="str">
        <f t="shared" si="382"/>
        <v xml:space="preserve">                                                                                                                                </v>
      </c>
      <c r="AM175" s="174" t="str">
        <f t="shared" si="409"/>
        <v>NG</v>
      </c>
      <c r="AN175" s="141"/>
      <c r="AO175" s="276" t="str">
        <f>IF(OR(AK$8="判定対象外",AN$8="判定対象外",AN175="-"),"-",IF(AK175=AN175,"OK","NG"))</f>
        <v>OK</v>
      </c>
      <c r="AP175" s="160"/>
      <c r="AQ175" s="141"/>
      <c r="AR175" s="203" t="str">
        <f t="shared" si="384"/>
        <v xml:space="preserve">                                                                                                                                </v>
      </c>
      <c r="AS175" s="174" t="str">
        <f t="shared" si="365"/>
        <v>NG</v>
      </c>
      <c r="AT175" s="141"/>
      <c r="AU175" s="276" t="str">
        <f>IF(OR(AQ$8="判定対象外",AT$8="判定対象外",AT175="-"),"-",IF(AQ175=AT175,"OK","NG"))</f>
        <v>OK</v>
      </c>
      <c r="AV175" s="160"/>
      <c r="AW175" s="141"/>
      <c r="AX175" s="203" t="str">
        <f t="shared" si="385"/>
        <v xml:space="preserve">                                                                                                                                </v>
      </c>
      <c r="AY175" s="174" t="str">
        <f t="shared" si="366"/>
        <v>NG</v>
      </c>
      <c r="AZ175" s="141"/>
      <c r="BA175" s="276" t="str">
        <f>IF(OR(AW$8="判定対象外",AZ$8="判定対象外",AZ175="-"),"-",IF(AW175=AZ175,"OK","NG"))</f>
        <v>OK</v>
      </c>
      <c r="BB175" s="160"/>
      <c r="BC175" s="141"/>
      <c r="BD175" s="203" t="str">
        <f t="shared" si="386"/>
        <v xml:space="preserve">                                                                                                                                </v>
      </c>
      <c r="BE175" s="174" t="str">
        <f t="shared" si="367"/>
        <v>NG</v>
      </c>
      <c r="BF175" s="141"/>
      <c r="BG175" s="276" t="str">
        <f>IF(OR(BC$8="判定対象外",BF$8="判定対象外",BF175="-"),"-",IF(BC175=BF175,"OK","NG"))</f>
        <v>OK</v>
      </c>
      <c r="BH175" s="160"/>
      <c r="BI175" s="141"/>
      <c r="BJ175" s="203" t="str">
        <f t="shared" si="387"/>
        <v xml:space="preserve">                                                                                                                                </v>
      </c>
      <c r="BK175" s="174" t="str">
        <f t="shared" si="368"/>
        <v>NG</v>
      </c>
      <c r="BL175" s="141"/>
      <c r="BM175" s="276" t="str">
        <f>IF(OR(BI$8="判定対象外",BL$8="判定対象外",BL175="-"),"-",IF(BI175=BL175,"OK","NG"))</f>
        <v>OK</v>
      </c>
      <c r="BN175" s="160"/>
      <c r="BO175" s="141"/>
      <c r="BP175" s="203" t="str">
        <f t="shared" si="388"/>
        <v xml:space="preserve">                                                                                                                                </v>
      </c>
      <c r="BQ175" s="174" t="str">
        <f t="shared" si="369"/>
        <v>NG</v>
      </c>
      <c r="BR175" s="141"/>
      <c r="BS175" s="276" t="str">
        <f>IF(OR(BO$8="判定対象外",BR$8="判定対象外",BR175="-"),"-",IF(BO175=BR175,"OK","NG"))</f>
        <v>OK</v>
      </c>
      <c r="BT175" s="160"/>
      <c r="BU175" s="141"/>
      <c r="BV175" s="203" t="str">
        <f t="shared" si="389"/>
        <v xml:space="preserve">                                                                                                                                </v>
      </c>
      <c r="BW175" s="174" t="str">
        <f t="shared" si="370"/>
        <v>NG</v>
      </c>
      <c r="BX175" s="141"/>
      <c r="BY175" s="276" t="str">
        <f>IF(OR(BU$8="判定対象外",BX$8="判定対象外",BX175="-"),"-",IF(BU175=BX175,"OK","NG"))</f>
        <v>OK</v>
      </c>
      <c r="BZ175" s="160"/>
      <c r="CA175" s="141"/>
      <c r="CB175" s="203" t="str">
        <f t="shared" si="390"/>
        <v xml:space="preserve">                                                                                                                                </v>
      </c>
      <c r="CC175" s="174" t="str">
        <f t="shared" si="371"/>
        <v>NG</v>
      </c>
      <c r="CD175" s="141"/>
      <c r="CE175" s="276" t="str">
        <f>IF(OR(CA$8="判定対象外",CD$8="判定対象外",CD175="-"),"-",IF(CA175=CD175,"OK","NG"))</f>
        <v>OK</v>
      </c>
      <c r="CF175" s="160"/>
      <c r="CG175" s="141"/>
      <c r="CH175" s="203" t="str">
        <f t="shared" si="391"/>
        <v xml:space="preserve">                                                                                                                                </v>
      </c>
      <c r="CI175" s="174" t="str">
        <f t="shared" si="372"/>
        <v>NG</v>
      </c>
      <c r="CJ175" s="141"/>
      <c r="CK175" s="276" t="str">
        <f>IF(OR(CG$8="判定対象外",CJ$8="判定対象外",CJ175="-"),"-",IF(CG175=CJ175,"OK","NG"))</f>
        <v>OK</v>
      </c>
      <c r="CL175" s="160"/>
      <c r="CM175" s="141"/>
      <c r="CN175" s="203" t="str">
        <f t="shared" si="392"/>
        <v xml:space="preserve">                                                                                                                                </v>
      </c>
      <c r="CO175" s="174" t="str">
        <f t="shared" si="373"/>
        <v>NG</v>
      </c>
      <c r="CP175" s="141"/>
      <c r="CQ175" s="276" t="str">
        <f>IF(OR(CM$8="判定対象外",CP$8="判定対象外",CP175="-"),"-",IF(CM175=CP175,"OK","NG"))</f>
        <v>OK</v>
      </c>
      <c r="CR175" s="160"/>
      <c r="CS175" s="141"/>
      <c r="CT175" s="203" t="str">
        <f t="shared" si="393"/>
        <v xml:space="preserve">                                                                                                                                </v>
      </c>
      <c r="CU175" s="174" t="str">
        <f t="shared" si="374"/>
        <v>NG</v>
      </c>
      <c r="CV175" s="141"/>
      <c r="CW175" s="276" t="str">
        <f>IF(OR(CS$8="判定対象外",CV$8="判定対象外",CV175="-"),"-",IF(CS175=CV175,"OK","NG"))</f>
        <v>OK</v>
      </c>
      <c r="CX175" s="160"/>
      <c r="CY175" s="141"/>
      <c r="CZ175" s="203" t="str">
        <f t="shared" si="394"/>
        <v xml:space="preserve">                                                                                                                                </v>
      </c>
      <c r="DA175" s="174" t="str">
        <f t="shared" si="375"/>
        <v>NG</v>
      </c>
      <c r="DB175" s="141"/>
      <c r="DC175" s="276" t="str">
        <f>IF(OR(CY$8="判定対象外",DB$8="判定対象外",DB175="-"),"-",IF(CY175=DB175,"OK","NG"))</f>
        <v>OK</v>
      </c>
      <c r="DD175" s="160"/>
      <c r="DE175" s="141"/>
      <c r="DF175" s="203" t="str">
        <f t="shared" si="395"/>
        <v xml:space="preserve">                                                                                                                                </v>
      </c>
      <c r="DG175" s="174" t="str">
        <f t="shared" si="376"/>
        <v>NG</v>
      </c>
      <c r="DH175" s="141"/>
      <c r="DI175" s="276" t="str">
        <f>IF(OR(DE$8="判定対象外",DH$8="判定対象外",DH175="-"),"-",IF(DE175=DH175,"OK","NG"))</f>
        <v>OK</v>
      </c>
      <c r="DJ175" s="160"/>
      <c r="DK175" s="141"/>
      <c r="DL175" s="203" t="str">
        <f t="shared" si="396"/>
        <v xml:space="preserve">                                                                                                                                </v>
      </c>
      <c r="DM175" s="174" t="str">
        <f t="shared" si="377"/>
        <v>NG</v>
      </c>
      <c r="DN175" s="141"/>
      <c r="DO175" s="276" t="str">
        <f>IF(OR(DK$8="判定対象外",DN$8="判定対象外",DN175="-"),"-",IF(DK175=DN175,"OK","NG"))</f>
        <v>OK</v>
      </c>
      <c r="DP175" s="160"/>
      <c r="DQ175" s="141"/>
      <c r="DR175" s="203" t="str">
        <f t="shared" si="397"/>
        <v xml:space="preserve">                                                                                                                                </v>
      </c>
      <c r="DS175" s="174" t="str">
        <f t="shared" si="354"/>
        <v>NG</v>
      </c>
      <c r="DT175" s="141"/>
      <c r="DU175" s="276" t="str">
        <f>IF(OR(DQ$8="判定対象外",DT$8="判定対象外",DT175="-"),"-",IF(DQ175=DT175,"OK","NG"))</f>
        <v>OK</v>
      </c>
      <c r="DV175" s="160"/>
      <c r="DW175" s="141"/>
      <c r="DX175" s="203" t="str">
        <f t="shared" si="398"/>
        <v xml:space="preserve">                                                                                                                                </v>
      </c>
      <c r="DY175" s="174" t="str">
        <f t="shared" si="355"/>
        <v>NG</v>
      </c>
      <c r="DZ175" s="141"/>
      <c r="EA175" s="276" t="str">
        <f>IF(OR(DW$8="判定対象外",DZ$8="判定対象外",DZ175="-"),"-",IF(DW175=DZ175,"OK","NG"))</f>
        <v>OK</v>
      </c>
      <c r="EB175" s="160"/>
      <c r="EC175" s="141"/>
      <c r="ED175" s="203" t="str">
        <f t="shared" si="399"/>
        <v xml:space="preserve">                                                                                                                                </v>
      </c>
      <c r="EE175" s="174" t="str">
        <f t="shared" si="356"/>
        <v>NG</v>
      </c>
      <c r="EF175" s="141"/>
      <c r="EG175" s="276" t="str">
        <f>IF(OR(EC$8="判定対象外",EF$8="判定対象外",EF175="-"),"-",IF(EC175=EF175,"OK","NG"))</f>
        <v>OK</v>
      </c>
      <c r="EH175" s="160"/>
      <c r="EI175" s="141"/>
      <c r="EJ175" s="203" t="str">
        <f t="shared" si="400"/>
        <v xml:space="preserve">                                                                                                                                </v>
      </c>
      <c r="EK175" s="174" t="str">
        <f t="shared" si="357"/>
        <v>NG</v>
      </c>
      <c r="EL175" s="141"/>
      <c r="EM175" s="276" t="str">
        <f>IF(OR(EI$8="判定対象外",EL$8="判定対象外",EL175="-"),"-",IF(EI175=EL175,"OK","NG"))</f>
        <v>OK</v>
      </c>
      <c r="EN175" s="160"/>
      <c r="EO175" s="141"/>
      <c r="EP175" s="203" t="str">
        <f t="shared" si="401"/>
        <v xml:space="preserve">                                                                                                                                </v>
      </c>
      <c r="EQ175" s="174" t="str">
        <f t="shared" si="358"/>
        <v>NG</v>
      </c>
      <c r="ER175" s="141"/>
      <c r="ES175" s="276" t="str">
        <f>IF(OR(EO$8="判定対象外",ER$8="判定対象外",ER175="-"),"-",IF(EO175=ER175,"OK","NG"))</f>
        <v>OK</v>
      </c>
      <c r="ET175" s="160"/>
      <c r="EU175" s="141"/>
      <c r="EV175" s="203" t="str">
        <f t="shared" si="402"/>
        <v xml:space="preserve">                                                                                                                                </v>
      </c>
      <c r="EW175" s="174" t="str">
        <f t="shared" si="359"/>
        <v>NG</v>
      </c>
      <c r="EX175" s="141"/>
      <c r="EY175" s="276" t="str">
        <f>IF(OR(EU$8="判定対象外",EX$8="判定対象外",EX175="-"),"-",IF(EU175=EX175,"OK","NG"))</f>
        <v>OK</v>
      </c>
      <c r="EZ175" s="160"/>
      <c r="FA175" s="141"/>
      <c r="FB175" s="203" t="str">
        <f t="shared" si="403"/>
        <v xml:space="preserve">                                                                                                                                </v>
      </c>
      <c r="FC175" s="174" t="str">
        <f t="shared" si="360"/>
        <v>NG</v>
      </c>
      <c r="FD175" s="141"/>
      <c r="FE175" s="276" t="str">
        <f>IF(OR(FA$8="判定対象外",FD$8="判定対象外",FD175="-"),"-",IF(FA175=FD175,"OK","NG"))</f>
        <v>OK</v>
      </c>
      <c r="FF175" s="160"/>
      <c r="FG175" s="141"/>
      <c r="FH175" s="203" t="str">
        <f t="shared" si="404"/>
        <v xml:space="preserve">                                                                                                                                </v>
      </c>
      <c r="FI175" s="174" t="str">
        <f t="shared" si="361"/>
        <v>NG</v>
      </c>
      <c r="FJ175" s="141"/>
      <c r="FK175" s="276" t="str">
        <f>IF(OR(FG$8="判定対象外",FJ$8="判定対象外",FJ175="-"),"-",IF(FG175=FJ175,"OK","NG"))</f>
        <v>OK</v>
      </c>
      <c r="FL175" s="160"/>
      <c r="FM175" s="141"/>
      <c r="FN175" s="203" t="str">
        <f t="shared" si="405"/>
        <v xml:space="preserve">                                                                                                                                </v>
      </c>
      <c r="FO175" s="174" t="str">
        <f t="shared" si="378"/>
        <v>NG</v>
      </c>
      <c r="FP175" s="141"/>
      <c r="FQ175" s="276" t="str">
        <f>IF(OR(FM$8="判定対象外",FP$8="判定対象外",FP175="-"),"-",IF(FM175=FP175,"OK","NG"))</f>
        <v>OK</v>
      </c>
      <c r="FR175" s="160"/>
      <c r="FS175" s="141"/>
      <c r="FT175" s="203" t="str">
        <f t="shared" si="406"/>
        <v xml:space="preserve">                                                                                                                                </v>
      </c>
      <c r="FU175" s="174" t="str">
        <f t="shared" si="379"/>
        <v>NG</v>
      </c>
      <c r="FV175" s="141"/>
      <c r="FW175" s="276" t="str">
        <f>IF(OR(FS$8="判定対象外",FV$8="判定対象外",FV175="-"),"-",IF(FS175=FV175,"OK","NG"))</f>
        <v>OK</v>
      </c>
      <c r="FX175" s="160"/>
      <c r="FY175" s="141"/>
      <c r="FZ175" s="203" t="str">
        <f t="shared" si="407"/>
        <v xml:space="preserve">                                                                                                                                </v>
      </c>
      <c r="GA175" s="174" t="str">
        <f t="shared" si="380"/>
        <v>NG</v>
      </c>
      <c r="GB175" s="141"/>
      <c r="GC175" s="276" t="str">
        <f>IF(OR(FY$8="判定対象外",GB$8="判定対象外",GB175="-"),"-",IF(FY175=GB175,"OK","NG"))</f>
        <v>OK</v>
      </c>
    </row>
    <row r="176" spans="2:185" s="52" customFormat="1" ht="114.75">
      <c r="B176" s="216">
        <f t="shared" si="408"/>
        <v>169</v>
      </c>
      <c r="C176" s="37"/>
      <c r="D176" s="37"/>
      <c r="E176" s="37"/>
      <c r="F176" s="49" t="s">
        <v>339</v>
      </c>
      <c r="G176" s="39"/>
      <c r="H176" s="40"/>
      <c r="I176" s="42"/>
      <c r="J176" s="42"/>
      <c r="K176" s="42"/>
      <c r="L176" s="42"/>
      <c r="M176" s="63" t="s">
        <v>340</v>
      </c>
      <c r="N176" s="47"/>
      <c r="O176" s="143"/>
      <c r="P176" s="45">
        <f t="shared" si="411"/>
        <v>148</v>
      </c>
      <c r="Q176" s="46">
        <v>1</v>
      </c>
      <c r="R176" s="41" t="str">
        <f t="shared" si="412"/>
        <v>X</v>
      </c>
      <c r="S176" s="185" t="s">
        <v>234</v>
      </c>
      <c r="T176" s="43"/>
      <c r="U176" s="41" t="s">
        <v>80</v>
      </c>
      <c r="V176" s="44"/>
      <c r="W176" s="22">
        <v>3</v>
      </c>
      <c r="X176" s="47" t="s">
        <v>235</v>
      </c>
      <c r="Y176" s="47">
        <v>1</v>
      </c>
      <c r="Z176" s="47">
        <v>1</v>
      </c>
      <c r="AA176" s="42" t="s">
        <v>163</v>
      </c>
      <c r="AB176" s="42" t="s">
        <v>57</v>
      </c>
      <c r="AC176" s="217"/>
      <c r="AD176" s="160"/>
      <c r="AE176" s="162"/>
      <c r="AF176" s="203" t="str">
        <f t="shared" si="383"/>
        <v xml:space="preserve"> </v>
      </c>
      <c r="AG176" s="174" t="str">
        <f t="shared" si="364"/>
        <v>NG</v>
      </c>
      <c r="AH176" s="162"/>
      <c r="AI176" s="172" t="s">
        <v>71</v>
      </c>
      <c r="AJ176" s="160"/>
      <c r="AK176" s="162"/>
      <c r="AL176" s="203" t="str">
        <f t="shared" si="382"/>
        <v xml:space="preserve"> </v>
      </c>
      <c r="AM176" s="174" t="str">
        <f t="shared" si="409"/>
        <v>NG</v>
      </c>
      <c r="AN176" s="162"/>
      <c r="AO176" s="172" t="s">
        <v>71</v>
      </c>
      <c r="AP176" s="160"/>
      <c r="AQ176" s="162"/>
      <c r="AR176" s="203" t="str">
        <f t="shared" si="384"/>
        <v xml:space="preserve"> </v>
      </c>
      <c r="AS176" s="174" t="str">
        <f t="shared" si="365"/>
        <v>NG</v>
      </c>
      <c r="AT176" s="162"/>
      <c r="AU176" s="172" t="s">
        <v>71</v>
      </c>
      <c r="AV176" s="160"/>
      <c r="AW176" s="162"/>
      <c r="AX176" s="203" t="str">
        <f t="shared" si="385"/>
        <v xml:space="preserve"> </v>
      </c>
      <c r="AY176" s="174" t="str">
        <f t="shared" si="366"/>
        <v>NG</v>
      </c>
      <c r="AZ176" s="162"/>
      <c r="BA176" s="172" t="s">
        <v>71</v>
      </c>
      <c r="BB176" s="160"/>
      <c r="BC176" s="162"/>
      <c r="BD176" s="203" t="str">
        <f t="shared" si="386"/>
        <v xml:space="preserve"> </v>
      </c>
      <c r="BE176" s="174" t="str">
        <f t="shared" si="367"/>
        <v>NG</v>
      </c>
      <c r="BF176" s="162"/>
      <c r="BG176" s="172" t="s">
        <v>71</v>
      </c>
      <c r="BH176" s="160"/>
      <c r="BI176" s="162"/>
      <c r="BJ176" s="203" t="str">
        <f t="shared" si="387"/>
        <v xml:space="preserve"> </v>
      </c>
      <c r="BK176" s="174" t="str">
        <f t="shared" si="368"/>
        <v>NG</v>
      </c>
      <c r="BL176" s="162"/>
      <c r="BM176" s="172" t="s">
        <v>71</v>
      </c>
      <c r="BN176" s="160"/>
      <c r="BO176" s="162"/>
      <c r="BP176" s="203" t="str">
        <f t="shared" si="388"/>
        <v xml:space="preserve"> </v>
      </c>
      <c r="BQ176" s="174" t="str">
        <f t="shared" si="369"/>
        <v>NG</v>
      </c>
      <c r="BR176" s="162"/>
      <c r="BS176" s="172" t="s">
        <v>71</v>
      </c>
      <c r="BT176" s="160"/>
      <c r="BU176" s="162"/>
      <c r="BV176" s="203" t="str">
        <f t="shared" si="389"/>
        <v xml:space="preserve"> </v>
      </c>
      <c r="BW176" s="174" t="str">
        <f t="shared" si="370"/>
        <v>NG</v>
      </c>
      <c r="BX176" s="162"/>
      <c r="BY176" s="172" t="s">
        <v>71</v>
      </c>
      <c r="BZ176" s="160"/>
      <c r="CA176" s="162"/>
      <c r="CB176" s="203" t="str">
        <f t="shared" si="390"/>
        <v xml:space="preserve"> </v>
      </c>
      <c r="CC176" s="174" t="str">
        <f t="shared" si="371"/>
        <v>NG</v>
      </c>
      <c r="CD176" s="162"/>
      <c r="CE176" s="172" t="s">
        <v>71</v>
      </c>
      <c r="CF176" s="160"/>
      <c r="CG176" s="162"/>
      <c r="CH176" s="203" t="str">
        <f t="shared" si="391"/>
        <v xml:space="preserve"> </v>
      </c>
      <c r="CI176" s="174" t="str">
        <f t="shared" si="372"/>
        <v>NG</v>
      </c>
      <c r="CJ176" s="162"/>
      <c r="CK176" s="172" t="s">
        <v>71</v>
      </c>
      <c r="CL176" s="160"/>
      <c r="CM176" s="162"/>
      <c r="CN176" s="203" t="str">
        <f t="shared" si="392"/>
        <v xml:space="preserve"> </v>
      </c>
      <c r="CO176" s="174" t="str">
        <f t="shared" si="373"/>
        <v>NG</v>
      </c>
      <c r="CP176" s="162"/>
      <c r="CQ176" s="172" t="s">
        <v>71</v>
      </c>
      <c r="CR176" s="160"/>
      <c r="CS176" s="162"/>
      <c r="CT176" s="203" t="str">
        <f t="shared" si="393"/>
        <v xml:space="preserve"> </v>
      </c>
      <c r="CU176" s="174" t="str">
        <f t="shared" si="374"/>
        <v>NG</v>
      </c>
      <c r="CV176" s="162"/>
      <c r="CW176" s="172" t="s">
        <v>71</v>
      </c>
      <c r="CX176" s="160"/>
      <c r="CY176" s="162"/>
      <c r="CZ176" s="203" t="str">
        <f t="shared" si="394"/>
        <v xml:space="preserve"> </v>
      </c>
      <c r="DA176" s="174" t="str">
        <f t="shared" si="375"/>
        <v>NG</v>
      </c>
      <c r="DB176" s="162"/>
      <c r="DC176" s="172" t="s">
        <v>71</v>
      </c>
      <c r="DD176" s="160"/>
      <c r="DE176" s="162"/>
      <c r="DF176" s="203" t="str">
        <f t="shared" si="395"/>
        <v xml:space="preserve"> </v>
      </c>
      <c r="DG176" s="174" t="str">
        <f t="shared" si="376"/>
        <v>NG</v>
      </c>
      <c r="DH176" s="162"/>
      <c r="DI176" s="172" t="s">
        <v>71</v>
      </c>
      <c r="DJ176" s="160"/>
      <c r="DK176" s="162"/>
      <c r="DL176" s="203" t="str">
        <f t="shared" si="396"/>
        <v xml:space="preserve"> </v>
      </c>
      <c r="DM176" s="174" t="str">
        <f t="shared" si="377"/>
        <v>NG</v>
      </c>
      <c r="DN176" s="162"/>
      <c r="DO176" s="172" t="s">
        <v>71</v>
      </c>
      <c r="DP176" s="160"/>
      <c r="DQ176" s="162"/>
      <c r="DR176" s="203" t="str">
        <f t="shared" si="397"/>
        <v xml:space="preserve"> </v>
      </c>
      <c r="DS176" s="174" t="str">
        <f t="shared" si="354"/>
        <v>NG</v>
      </c>
      <c r="DT176" s="162"/>
      <c r="DU176" s="172" t="s">
        <v>71</v>
      </c>
      <c r="DV176" s="160"/>
      <c r="DW176" s="162"/>
      <c r="DX176" s="203" t="str">
        <f t="shared" si="398"/>
        <v xml:space="preserve"> </v>
      </c>
      <c r="DY176" s="174" t="str">
        <f t="shared" si="355"/>
        <v>NG</v>
      </c>
      <c r="DZ176" s="162"/>
      <c r="EA176" s="172" t="s">
        <v>71</v>
      </c>
      <c r="EB176" s="160"/>
      <c r="EC176" s="162"/>
      <c r="ED176" s="203" t="str">
        <f t="shared" si="399"/>
        <v xml:space="preserve"> </v>
      </c>
      <c r="EE176" s="174" t="str">
        <f t="shared" si="356"/>
        <v>NG</v>
      </c>
      <c r="EF176" s="162"/>
      <c r="EG176" s="172" t="s">
        <v>71</v>
      </c>
      <c r="EH176" s="160"/>
      <c r="EI176" s="162"/>
      <c r="EJ176" s="203" t="str">
        <f t="shared" si="400"/>
        <v xml:space="preserve"> </v>
      </c>
      <c r="EK176" s="174" t="str">
        <f t="shared" si="357"/>
        <v>NG</v>
      </c>
      <c r="EL176" s="162"/>
      <c r="EM176" s="172" t="s">
        <v>71</v>
      </c>
      <c r="EN176" s="160"/>
      <c r="EO176" s="162"/>
      <c r="EP176" s="203" t="str">
        <f t="shared" si="401"/>
        <v xml:space="preserve"> </v>
      </c>
      <c r="EQ176" s="174" t="str">
        <f t="shared" si="358"/>
        <v>NG</v>
      </c>
      <c r="ER176" s="162"/>
      <c r="ES176" s="172" t="s">
        <v>71</v>
      </c>
      <c r="ET176" s="160"/>
      <c r="EU176" s="162"/>
      <c r="EV176" s="203" t="str">
        <f t="shared" si="402"/>
        <v xml:space="preserve"> </v>
      </c>
      <c r="EW176" s="174" t="str">
        <f t="shared" si="359"/>
        <v>NG</v>
      </c>
      <c r="EX176" s="162"/>
      <c r="EY176" s="172" t="s">
        <v>71</v>
      </c>
      <c r="EZ176" s="160"/>
      <c r="FA176" s="162"/>
      <c r="FB176" s="203" t="str">
        <f t="shared" si="403"/>
        <v xml:space="preserve"> </v>
      </c>
      <c r="FC176" s="174" t="str">
        <f t="shared" si="360"/>
        <v>NG</v>
      </c>
      <c r="FD176" s="162"/>
      <c r="FE176" s="172" t="s">
        <v>71</v>
      </c>
      <c r="FF176" s="160"/>
      <c r="FG176" s="162"/>
      <c r="FH176" s="203" t="str">
        <f t="shared" si="404"/>
        <v xml:space="preserve"> </v>
      </c>
      <c r="FI176" s="174" t="str">
        <f t="shared" si="361"/>
        <v>NG</v>
      </c>
      <c r="FJ176" s="162"/>
      <c r="FK176" s="172" t="s">
        <v>71</v>
      </c>
      <c r="FL176" s="160"/>
      <c r="FM176" s="162"/>
      <c r="FN176" s="203" t="str">
        <f t="shared" si="405"/>
        <v xml:space="preserve"> </v>
      </c>
      <c r="FO176" s="174" t="str">
        <f t="shared" si="378"/>
        <v>NG</v>
      </c>
      <c r="FP176" s="162"/>
      <c r="FQ176" s="172" t="s">
        <v>71</v>
      </c>
      <c r="FR176" s="160"/>
      <c r="FS176" s="162"/>
      <c r="FT176" s="203" t="str">
        <f t="shared" si="406"/>
        <v xml:space="preserve"> </v>
      </c>
      <c r="FU176" s="174" t="str">
        <f t="shared" si="379"/>
        <v>NG</v>
      </c>
      <c r="FV176" s="162"/>
      <c r="FW176" s="172" t="s">
        <v>71</v>
      </c>
      <c r="FX176" s="160"/>
      <c r="FY176" s="162"/>
      <c r="FZ176" s="203" t="str">
        <f t="shared" si="407"/>
        <v xml:space="preserve"> </v>
      </c>
      <c r="GA176" s="174" t="str">
        <f t="shared" si="380"/>
        <v>NG</v>
      </c>
      <c r="GB176" s="162"/>
      <c r="GC176" s="172" t="s">
        <v>71</v>
      </c>
    </row>
    <row r="177" spans="1:185" s="52" customFormat="1" ht="127.5">
      <c r="B177" s="216">
        <f t="shared" si="408"/>
        <v>170</v>
      </c>
      <c r="C177" s="37"/>
      <c r="D177" s="37"/>
      <c r="E177" s="37"/>
      <c r="F177" s="49" t="s">
        <v>341</v>
      </c>
      <c r="G177" s="39"/>
      <c r="H177" s="40"/>
      <c r="I177" s="42"/>
      <c r="J177" s="42" t="s">
        <v>316</v>
      </c>
      <c r="K177" s="42"/>
      <c r="L177" s="42"/>
      <c r="M177" s="163" t="s">
        <v>342</v>
      </c>
      <c r="N177" s="47"/>
      <c r="O177" s="143"/>
      <c r="P177" s="45">
        <f t="shared" si="411"/>
        <v>149</v>
      </c>
      <c r="Q177" s="46">
        <v>1</v>
      </c>
      <c r="R177" s="41" t="str">
        <f t="shared" si="412"/>
        <v>X</v>
      </c>
      <c r="S177" s="185" t="s">
        <v>236</v>
      </c>
      <c r="T177" s="43"/>
      <c r="U177" s="41" t="s">
        <v>80</v>
      </c>
      <c r="V177" s="44"/>
      <c r="W177" s="22">
        <v>3</v>
      </c>
      <c r="X177" s="47" t="s">
        <v>237</v>
      </c>
      <c r="Y177" s="47">
        <v>1</v>
      </c>
      <c r="Z177" s="47">
        <v>1</v>
      </c>
      <c r="AA177" s="42" t="s">
        <v>163</v>
      </c>
      <c r="AB177" s="42" t="s">
        <v>57</v>
      </c>
      <c r="AC177" s="217"/>
      <c r="AD177" s="160"/>
      <c r="AE177" s="162"/>
      <c r="AF177" s="203" t="str">
        <f t="shared" si="383"/>
        <v xml:space="preserve"> </v>
      </c>
      <c r="AG177" s="174" t="str">
        <f t="shared" si="364"/>
        <v>NG</v>
      </c>
      <c r="AH177" s="162"/>
      <c r="AI177" s="276" t="str">
        <f>IF(OR(AE$8="判定対象外",AH$8="判定対象外",AH177="-"),"-",IF(AE177=AH177,"OK","NG"))</f>
        <v>OK</v>
      </c>
      <c r="AJ177" s="160"/>
      <c r="AK177" s="162"/>
      <c r="AL177" s="203" t="str">
        <f t="shared" si="382"/>
        <v xml:space="preserve"> </v>
      </c>
      <c r="AM177" s="174" t="str">
        <f t="shared" si="409"/>
        <v>NG</v>
      </c>
      <c r="AN177" s="162"/>
      <c r="AO177" s="276" t="str">
        <f>IF(OR(AK$8="判定対象外",AN$8="判定対象外",AN177="-"),"-",IF(AK177=AN177,"OK","NG"))</f>
        <v>OK</v>
      </c>
      <c r="AP177" s="160"/>
      <c r="AQ177" s="162"/>
      <c r="AR177" s="203" t="str">
        <f t="shared" si="384"/>
        <v xml:space="preserve"> </v>
      </c>
      <c r="AS177" s="174" t="str">
        <f t="shared" si="365"/>
        <v>NG</v>
      </c>
      <c r="AT177" s="162"/>
      <c r="AU177" s="276" t="str">
        <f>IF(OR(AQ$8="判定対象外",AT$8="判定対象外",AT177="-"),"-",IF(AQ177=AT177,"OK","NG"))</f>
        <v>OK</v>
      </c>
      <c r="AV177" s="160"/>
      <c r="AW177" s="162"/>
      <c r="AX177" s="203" t="str">
        <f t="shared" si="385"/>
        <v xml:space="preserve"> </v>
      </c>
      <c r="AY177" s="174" t="str">
        <f t="shared" si="366"/>
        <v>NG</v>
      </c>
      <c r="AZ177" s="162"/>
      <c r="BA177" s="276" t="str">
        <f>IF(OR(AW$8="判定対象外",AZ$8="判定対象外",AZ177="-"),"-",IF(AW177=AZ177,"OK","NG"))</f>
        <v>OK</v>
      </c>
      <c r="BB177" s="160"/>
      <c r="BC177" s="162"/>
      <c r="BD177" s="203" t="str">
        <f t="shared" si="386"/>
        <v xml:space="preserve"> </v>
      </c>
      <c r="BE177" s="174" t="str">
        <f t="shared" si="367"/>
        <v>NG</v>
      </c>
      <c r="BF177" s="162"/>
      <c r="BG177" s="276" t="str">
        <f>IF(OR(BC$8="判定対象外",BF$8="判定対象外",BF177="-"),"-",IF(BC177=BF177,"OK","NG"))</f>
        <v>OK</v>
      </c>
      <c r="BH177" s="160"/>
      <c r="BI177" s="162"/>
      <c r="BJ177" s="203" t="str">
        <f t="shared" si="387"/>
        <v xml:space="preserve"> </v>
      </c>
      <c r="BK177" s="174" t="str">
        <f t="shared" si="368"/>
        <v>NG</v>
      </c>
      <c r="BL177" s="162"/>
      <c r="BM177" s="276" t="str">
        <f>IF(OR(BI$8="判定対象外",BL$8="判定対象外",BL177="-"),"-",IF(BI177=BL177,"OK","NG"))</f>
        <v>OK</v>
      </c>
      <c r="BN177" s="160"/>
      <c r="BO177" s="162"/>
      <c r="BP177" s="203" t="str">
        <f t="shared" si="388"/>
        <v xml:space="preserve"> </v>
      </c>
      <c r="BQ177" s="174" t="str">
        <f t="shared" si="369"/>
        <v>NG</v>
      </c>
      <c r="BR177" s="162"/>
      <c r="BS177" s="276" t="str">
        <f>IF(OR(BO$8="判定対象外",BR$8="判定対象外",BR177="-"),"-",IF(BO177=BR177,"OK","NG"))</f>
        <v>OK</v>
      </c>
      <c r="BT177" s="160"/>
      <c r="BU177" s="162"/>
      <c r="BV177" s="203" t="str">
        <f t="shared" si="389"/>
        <v xml:space="preserve"> </v>
      </c>
      <c r="BW177" s="174" t="str">
        <f t="shared" si="370"/>
        <v>NG</v>
      </c>
      <c r="BX177" s="162"/>
      <c r="BY177" s="276" t="str">
        <f>IF(OR(BU$8="判定対象外",BX$8="判定対象外",BX177="-"),"-",IF(BU177=BX177,"OK","NG"))</f>
        <v>OK</v>
      </c>
      <c r="BZ177" s="160"/>
      <c r="CA177" s="162"/>
      <c r="CB177" s="203" t="str">
        <f t="shared" si="390"/>
        <v xml:space="preserve"> </v>
      </c>
      <c r="CC177" s="174" t="str">
        <f t="shared" si="371"/>
        <v>NG</v>
      </c>
      <c r="CD177" s="162"/>
      <c r="CE177" s="276" t="str">
        <f>IF(OR(CA$8="判定対象外",CD$8="判定対象外",CD177="-"),"-",IF(CA177=CD177,"OK","NG"))</f>
        <v>OK</v>
      </c>
      <c r="CF177" s="160"/>
      <c r="CG177" s="162"/>
      <c r="CH177" s="203" t="str">
        <f t="shared" si="391"/>
        <v xml:space="preserve"> </v>
      </c>
      <c r="CI177" s="174" t="str">
        <f t="shared" si="372"/>
        <v>NG</v>
      </c>
      <c r="CJ177" s="162"/>
      <c r="CK177" s="276" t="str">
        <f>IF(OR(CG$8="判定対象外",CJ$8="判定対象外",CJ177="-"),"-",IF(CG177=CJ177,"OK","NG"))</f>
        <v>OK</v>
      </c>
      <c r="CL177" s="160"/>
      <c r="CM177" s="162"/>
      <c r="CN177" s="203" t="str">
        <f t="shared" si="392"/>
        <v xml:space="preserve"> </v>
      </c>
      <c r="CO177" s="174" t="str">
        <f t="shared" si="373"/>
        <v>NG</v>
      </c>
      <c r="CP177" s="162"/>
      <c r="CQ177" s="276" t="str">
        <f>IF(OR(CM$8="判定対象外",CP$8="判定対象外",CP177="-"),"-",IF(CM177=CP177,"OK","NG"))</f>
        <v>OK</v>
      </c>
      <c r="CR177" s="160"/>
      <c r="CS177" s="162"/>
      <c r="CT177" s="203" t="str">
        <f t="shared" si="393"/>
        <v xml:space="preserve"> </v>
      </c>
      <c r="CU177" s="174" t="str">
        <f t="shared" si="374"/>
        <v>NG</v>
      </c>
      <c r="CV177" s="162"/>
      <c r="CW177" s="276" t="str">
        <f>IF(OR(CS$8="判定対象外",CV$8="判定対象外",CV177="-"),"-",IF(CS177=CV177,"OK","NG"))</f>
        <v>OK</v>
      </c>
      <c r="CX177" s="160"/>
      <c r="CY177" s="162"/>
      <c r="CZ177" s="203" t="str">
        <f t="shared" si="394"/>
        <v xml:space="preserve"> </v>
      </c>
      <c r="DA177" s="174" t="str">
        <f t="shared" si="375"/>
        <v>NG</v>
      </c>
      <c r="DB177" s="162"/>
      <c r="DC177" s="276" t="str">
        <f>IF(OR(CY$8="判定対象外",DB$8="判定対象外",DB177="-"),"-",IF(CY177=DB177,"OK","NG"))</f>
        <v>OK</v>
      </c>
      <c r="DD177" s="160"/>
      <c r="DE177" s="162"/>
      <c r="DF177" s="203" t="str">
        <f t="shared" si="395"/>
        <v xml:space="preserve"> </v>
      </c>
      <c r="DG177" s="174" t="str">
        <f t="shared" si="376"/>
        <v>NG</v>
      </c>
      <c r="DH177" s="162"/>
      <c r="DI177" s="276" t="str">
        <f>IF(OR(DE$8="判定対象外",DH$8="判定対象外",DH177="-"),"-",IF(DE177=DH177,"OK","NG"))</f>
        <v>OK</v>
      </c>
      <c r="DJ177" s="160"/>
      <c r="DK177" s="162"/>
      <c r="DL177" s="203" t="str">
        <f t="shared" si="396"/>
        <v xml:space="preserve"> </v>
      </c>
      <c r="DM177" s="174" t="str">
        <f t="shared" si="377"/>
        <v>NG</v>
      </c>
      <c r="DN177" s="162"/>
      <c r="DO177" s="276" t="str">
        <f>IF(OR(DK$8="判定対象外",DN$8="判定対象外",DN177="-"),"-",IF(DK177=DN177,"OK","NG"))</f>
        <v>OK</v>
      </c>
      <c r="DP177" s="160"/>
      <c r="DQ177" s="162"/>
      <c r="DR177" s="203" t="str">
        <f t="shared" si="397"/>
        <v xml:space="preserve"> </v>
      </c>
      <c r="DS177" s="174" t="str">
        <f t="shared" si="354"/>
        <v>NG</v>
      </c>
      <c r="DT177" s="162"/>
      <c r="DU177" s="276" t="str">
        <f>IF(OR(DQ$8="判定対象外",DT$8="判定対象外",DT177="-"),"-",IF(DQ177=DT177,"OK","NG"))</f>
        <v>OK</v>
      </c>
      <c r="DV177" s="160"/>
      <c r="DW177" s="162"/>
      <c r="DX177" s="203" t="str">
        <f t="shared" si="398"/>
        <v xml:space="preserve"> </v>
      </c>
      <c r="DY177" s="174" t="str">
        <f t="shared" si="355"/>
        <v>NG</v>
      </c>
      <c r="DZ177" s="162"/>
      <c r="EA177" s="276" t="str">
        <f>IF(OR(DW$8="判定対象外",DZ$8="判定対象外",DZ177="-"),"-",IF(DW177=DZ177,"OK","NG"))</f>
        <v>OK</v>
      </c>
      <c r="EB177" s="160"/>
      <c r="EC177" s="162"/>
      <c r="ED177" s="203" t="str">
        <f t="shared" si="399"/>
        <v xml:space="preserve"> </v>
      </c>
      <c r="EE177" s="174" t="str">
        <f t="shared" si="356"/>
        <v>NG</v>
      </c>
      <c r="EF177" s="162"/>
      <c r="EG177" s="276" t="str">
        <f>IF(OR(EC$8="判定対象外",EF$8="判定対象外",EF177="-"),"-",IF(EC177=EF177,"OK","NG"))</f>
        <v>OK</v>
      </c>
      <c r="EH177" s="160"/>
      <c r="EI177" s="162"/>
      <c r="EJ177" s="203" t="str">
        <f t="shared" si="400"/>
        <v xml:space="preserve"> </v>
      </c>
      <c r="EK177" s="174" t="str">
        <f t="shared" si="357"/>
        <v>NG</v>
      </c>
      <c r="EL177" s="162"/>
      <c r="EM177" s="276" t="str">
        <f>IF(OR(EI$8="判定対象外",EL$8="判定対象外",EL177="-"),"-",IF(EI177=EL177,"OK","NG"))</f>
        <v>OK</v>
      </c>
      <c r="EN177" s="160"/>
      <c r="EO177" s="162"/>
      <c r="EP177" s="203" t="str">
        <f t="shared" si="401"/>
        <v xml:space="preserve"> </v>
      </c>
      <c r="EQ177" s="174" t="str">
        <f t="shared" si="358"/>
        <v>NG</v>
      </c>
      <c r="ER177" s="162"/>
      <c r="ES177" s="276" t="str">
        <f>IF(OR(EO$8="判定対象外",ER$8="判定対象外",ER177="-"),"-",IF(EO177=ER177,"OK","NG"))</f>
        <v>OK</v>
      </c>
      <c r="ET177" s="160"/>
      <c r="EU177" s="162"/>
      <c r="EV177" s="203" t="str">
        <f t="shared" si="402"/>
        <v xml:space="preserve"> </v>
      </c>
      <c r="EW177" s="174" t="str">
        <f t="shared" si="359"/>
        <v>NG</v>
      </c>
      <c r="EX177" s="162"/>
      <c r="EY177" s="276" t="str">
        <f>IF(OR(EU$8="判定対象外",EX$8="判定対象外",EX177="-"),"-",IF(EU177=EX177,"OK","NG"))</f>
        <v>OK</v>
      </c>
      <c r="EZ177" s="160"/>
      <c r="FA177" s="162"/>
      <c r="FB177" s="203" t="str">
        <f t="shared" si="403"/>
        <v xml:space="preserve"> </v>
      </c>
      <c r="FC177" s="174" t="str">
        <f t="shared" si="360"/>
        <v>NG</v>
      </c>
      <c r="FD177" s="162"/>
      <c r="FE177" s="276" t="str">
        <f>IF(OR(FA$8="判定対象外",FD$8="判定対象外",FD177="-"),"-",IF(FA177=FD177,"OK","NG"))</f>
        <v>OK</v>
      </c>
      <c r="FF177" s="160"/>
      <c r="FG177" s="162"/>
      <c r="FH177" s="203" t="str">
        <f t="shared" si="404"/>
        <v xml:space="preserve"> </v>
      </c>
      <c r="FI177" s="174" t="str">
        <f t="shared" si="361"/>
        <v>NG</v>
      </c>
      <c r="FJ177" s="162"/>
      <c r="FK177" s="276" t="str">
        <f>IF(OR(FG$8="判定対象外",FJ$8="判定対象外",FJ177="-"),"-",IF(FG177=FJ177,"OK","NG"))</f>
        <v>OK</v>
      </c>
      <c r="FL177" s="160"/>
      <c r="FM177" s="162"/>
      <c r="FN177" s="203" t="str">
        <f t="shared" si="405"/>
        <v xml:space="preserve"> </v>
      </c>
      <c r="FO177" s="174" t="str">
        <f t="shared" si="378"/>
        <v>NG</v>
      </c>
      <c r="FP177" s="162"/>
      <c r="FQ177" s="276" t="str">
        <f>IF(OR(FM$8="判定対象外",FP$8="判定対象外",FP177="-"),"-",IF(FM177=FP177,"OK","NG"))</f>
        <v>OK</v>
      </c>
      <c r="FR177" s="160"/>
      <c r="FS177" s="162"/>
      <c r="FT177" s="203" t="str">
        <f t="shared" si="406"/>
        <v xml:space="preserve"> </v>
      </c>
      <c r="FU177" s="174" t="str">
        <f t="shared" si="379"/>
        <v>NG</v>
      </c>
      <c r="FV177" s="162"/>
      <c r="FW177" s="276" t="str">
        <f>IF(OR(FS$8="判定対象外",FV$8="判定対象外",FV177="-"),"-",IF(FS177=FV177,"OK","NG"))</f>
        <v>OK</v>
      </c>
      <c r="FX177" s="160"/>
      <c r="FY177" s="162"/>
      <c r="FZ177" s="203" t="str">
        <f t="shared" si="407"/>
        <v xml:space="preserve"> </v>
      </c>
      <c r="GA177" s="174" t="str">
        <f t="shared" si="380"/>
        <v>NG</v>
      </c>
      <c r="GB177" s="162"/>
      <c r="GC177" s="276" t="str">
        <f>IF(OR(FY$8="判定対象外",GB$8="判定対象外",GB177="-"),"-",IF(FY177=GB177,"OK","NG"))</f>
        <v>OK</v>
      </c>
    </row>
    <row r="178" spans="1:185" s="52" customFormat="1" ht="319.5" customHeight="1">
      <c r="B178" s="216">
        <f t="shared" si="408"/>
        <v>171</v>
      </c>
      <c r="C178" s="37"/>
      <c r="D178" s="37"/>
      <c r="E178" s="25"/>
      <c r="F178" s="218" t="s">
        <v>288</v>
      </c>
      <c r="G178" s="27"/>
      <c r="H178" s="28"/>
      <c r="I178" s="42"/>
      <c r="J178" s="42" t="s">
        <v>316</v>
      </c>
      <c r="K178" s="42"/>
      <c r="L178" s="42"/>
      <c r="M178" s="161" t="s">
        <v>343</v>
      </c>
      <c r="N178" s="39"/>
      <c r="O178" s="143"/>
      <c r="P178" s="45">
        <f t="shared" si="411"/>
        <v>150</v>
      </c>
      <c r="Q178" s="46">
        <v>2</v>
      </c>
      <c r="R178" s="41" t="str">
        <f t="shared" si="412"/>
        <v>X</v>
      </c>
      <c r="S178" s="185" t="s">
        <v>238</v>
      </c>
      <c r="T178" s="43"/>
      <c r="U178" s="41" t="s">
        <v>80</v>
      </c>
      <c r="V178" s="44"/>
      <c r="W178" s="22">
        <v>3</v>
      </c>
      <c r="X178" s="47" t="s">
        <v>239</v>
      </c>
      <c r="Y178" s="47">
        <v>2</v>
      </c>
      <c r="Z178" s="47">
        <v>2</v>
      </c>
      <c r="AA178" s="42" t="s">
        <v>81</v>
      </c>
      <c r="AB178" s="42" t="s">
        <v>80</v>
      </c>
      <c r="AC178" s="164"/>
      <c r="AD178" s="160"/>
      <c r="AE178" s="162"/>
      <c r="AF178" s="167" t="str">
        <f t="shared" si="383"/>
        <v xml:space="preserve">  </v>
      </c>
      <c r="AG178" s="174" t="str">
        <f t="shared" si="364"/>
        <v>NG</v>
      </c>
      <c r="AH178" s="162"/>
      <c r="AI178" s="276" t="str">
        <f>IF(OR(AE$8="判定対象外",AH$8="判定対象外",AH178="-"),"-",IF(AE178=AH178,"OK","NG"))</f>
        <v>OK</v>
      </c>
      <c r="AJ178" s="160"/>
      <c r="AK178" s="162"/>
      <c r="AL178" s="167" t="str">
        <f t="shared" si="382"/>
        <v xml:space="preserve">  </v>
      </c>
      <c r="AM178" s="174" t="str">
        <f t="shared" si="409"/>
        <v>NG</v>
      </c>
      <c r="AN178" s="162"/>
      <c r="AO178" s="276" t="str">
        <f>IF(OR(AK$8="判定対象外",AN$8="判定対象外",AN178="-"),"-",IF(AK178=AN178,"OK","NG"))</f>
        <v>OK</v>
      </c>
      <c r="AP178" s="160"/>
      <c r="AQ178" s="162"/>
      <c r="AR178" s="167" t="str">
        <f t="shared" si="384"/>
        <v xml:space="preserve">  </v>
      </c>
      <c r="AS178" s="174" t="str">
        <f t="shared" si="365"/>
        <v>NG</v>
      </c>
      <c r="AT178" s="162"/>
      <c r="AU178" s="276" t="str">
        <f>IF(OR(AQ$8="判定対象外",AT$8="判定対象外",AT178="-"),"-",IF(AQ178=AT178,"OK","NG"))</f>
        <v>OK</v>
      </c>
      <c r="AV178" s="160"/>
      <c r="AW178" s="162"/>
      <c r="AX178" s="167" t="str">
        <f t="shared" si="385"/>
        <v xml:space="preserve">  </v>
      </c>
      <c r="AY178" s="174" t="str">
        <f t="shared" si="366"/>
        <v>NG</v>
      </c>
      <c r="AZ178" s="162"/>
      <c r="BA178" s="276" t="str">
        <f>IF(OR(AW$8="判定対象外",AZ$8="判定対象外",AZ178="-"),"-",IF(AW178=AZ178,"OK","NG"))</f>
        <v>OK</v>
      </c>
      <c r="BB178" s="160"/>
      <c r="BC178" s="162"/>
      <c r="BD178" s="167" t="str">
        <f t="shared" si="386"/>
        <v xml:space="preserve">  </v>
      </c>
      <c r="BE178" s="174" t="str">
        <f t="shared" si="367"/>
        <v>NG</v>
      </c>
      <c r="BF178" s="162"/>
      <c r="BG178" s="276" t="str">
        <f>IF(OR(BC$8="判定対象外",BF$8="判定対象外",BF178="-"),"-",IF(BC178=BF178,"OK","NG"))</f>
        <v>OK</v>
      </c>
      <c r="BH178" s="160"/>
      <c r="BI178" s="162"/>
      <c r="BJ178" s="167" t="str">
        <f t="shared" si="387"/>
        <v xml:space="preserve">  </v>
      </c>
      <c r="BK178" s="174" t="str">
        <f t="shared" si="368"/>
        <v>NG</v>
      </c>
      <c r="BL178" s="162"/>
      <c r="BM178" s="276" t="str">
        <f>IF(OR(BI$8="判定対象外",BL$8="判定対象外",BL178="-"),"-",IF(BI178=BL178,"OK","NG"))</f>
        <v>OK</v>
      </c>
      <c r="BN178" s="160"/>
      <c r="BO178" s="162"/>
      <c r="BP178" s="167" t="str">
        <f t="shared" si="388"/>
        <v xml:space="preserve">  </v>
      </c>
      <c r="BQ178" s="174" t="str">
        <f t="shared" si="369"/>
        <v>NG</v>
      </c>
      <c r="BR178" s="162"/>
      <c r="BS178" s="276" t="str">
        <f>IF(OR(BO$8="判定対象外",BR$8="判定対象外",BR178="-"),"-",IF(BO178=BR178,"OK","NG"))</f>
        <v>OK</v>
      </c>
      <c r="BT178" s="160"/>
      <c r="BU178" s="162"/>
      <c r="BV178" s="167" t="str">
        <f t="shared" si="389"/>
        <v xml:space="preserve">  </v>
      </c>
      <c r="BW178" s="174" t="str">
        <f t="shared" si="370"/>
        <v>NG</v>
      </c>
      <c r="BX178" s="162"/>
      <c r="BY178" s="276" t="str">
        <f>IF(OR(BU$8="判定対象外",BX$8="判定対象外",BX178="-"),"-",IF(BU178=BX178,"OK","NG"))</f>
        <v>OK</v>
      </c>
      <c r="BZ178" s="160"/>
      <c r="CA178" s="162"/>
      <c r="CB178" s="167" t="str">
        <f t="shared" si="390"/>
        <v xml:space="preserve">  </v>
      </c>
      <c r="CC178" s="174" t="str">
        <f t="shared" si="371"/>
        <v>NG</v>
      </c>
      <c r="CD178" s="162"/>
      <c r="CE178" s="276" t="str">
        <f>IF(OR(CA$8="判定対象外",CD$8="判定対象外",CD178="-"),"-",IF(CA178=CD178,"OK","NG"))</f>
        <v>OK</v>
      </c>
      <c r="CF178" s="160"/>
      <c r="CG178" s="162"/>
      <c r="CH178" s="167" t="str">
        <f t="shared" si="391"/>
        <v xml:space="preserve">  </v>
      </c>
      <c r="CI178" s="174" t="str">
        <f t="shared" si="372"/>
        <v>NG</v>
      </c>
      <c r="CJ178" s="162"/>
      <c r="CK178" s="276" t="str">
        <f>IF(OR(CG$8="判定対象外",CJ$8="判定対象外",CJ178="-"),"-",IF(CG178=CJ178,"OK","NG"))</f>
        <v>OK</v>
      </c>
      <c r="CL178" s="160"/>
      <c r="CM178" s="162"/>
      <c r="CN178" s="167" t="str">
        <f t="shared" si="392"/>
        <v xml:space="preserve">  </v>
      </c>
      <c r="CO178" s="174" t="str">
        <f t="shared" si="373"/>
        <v>NG</v>
      </c>
      <c r="CP178" s="162"/>
      <c r="CQ178" s="276" t="str">
        <f>IF(OR(CM$8="判定対象外",CP$8="判定対象外",CP178="-"),"-",IF(CM178=CP178,"OK","NG"))</f>
        <v>OK</v>
      </c>
      <c r="CR178" s="160"/>
      <c r="CS178" s="162"/>
      <c r="CT178" s="167" t="str">
        <f t="shared" si="393"/>
        <v xml:space="preserve">  </v>
      </c>
      <c r="CU178" s="174" t="str">
        <f t="shared" si="374"/>
        <v>NG</v>
      </c>
      <c r="CV178" s="162"/>
      <c r="CW178" s="276" t="str">
        <f>IF(OR(CS$8="判定対象外",CV$8="判定対象外",CV178="-"),"-",IF(CS178=CV178,"OK","NG"))</f>
        <v>OK</v>
      </c>
      <c r="CX178" s="160"/>
      <c r="CY178" s="162"/>
      <c r="CZ178" s="167" t="str">
        <f t="shared" si="394"/>
        <v xml:space="preserve">  </v>
      </c>
      <c r="DA178" s="174" t="str">
        <f t="shared" si="375"/>
        <v>NG</v>
      </c>
      <c r="DB178" s="162"/>
      <c r="DC178" s="276" t="str">
        <f>IF(OR(CY$8="判定対象外",DB$8="判定対象外",DB178="-"),"-",IF(CY178=DB178,"OK","NG"))</f>
        <v>OK</v>
      </c>
      <c r="DD178" s="160"/>
      <c r="DE178" s="162"/>
      <c r="DF178" s="167" t="str">
        <f t="shared" si="395"/>
        <v xml:space="preserve">  </v>
      </c>
      <c r="DG178" s="174" t="str">
        <f t="shared" si="376"/>
        <v>NG</v>
      </c>
      <c r="DH178" s="162"/>
      <c r="DI178" s="276" t="str">
        <f>IF(OR(DE$8="判定対象外",DH$8="判定対象外",DH178="-"),"-",IF(DE178=DH178,"OK","NG"))</f>
        <v>OK</v>
      </c>
      <c r="DJ178" s="160"/>
      <c r="DK178" s="162"/>
      <c r="DL178" s="167" t="str">
        <f t="shared" si="396"/>
        <v xml:space="preserve">  </v>
      </c>
      <c r="DM178" s="174" t="str">
        <f t="shared" si="377"/>
        <v>NG</v>
      </c>
      <c r="DN178" s="162"/>
      <c r="DO178" s="276" t="str">
        <f>IF(OR(DK$8="判定対象外",DN$8="判定対象外",DN178="-"),"-",IF(DK178=DN178,"OK","NG"))</f>
        <v>OK</v>
      </c>
      <c r="DP178" s="160"/>
      <c r="DQ178" s="162"/>
      <c r="DR178" s="167" t="str">
        <f t="shared" si="397"/>
        <v xml:space="preserve">  </v>
      </c>
      <c r="DS178" s="174" t="str">
        <f t="shared" si="354"/>
        <v>NG</v>
      </c>
      <c r="DT178" s="162"/>
      <c r="DU178" s="276" t="str">
        <f>IF(OR(DQ$8="判定対象外",DT$8="判定対象外",DT178="-"),"-",IF(DQ178=DT178,"OK","NG"))</f>
        <v>OK</v>
      </c>
      <c r="DV178" s="160"/>
      <c r="DW178" s="162"/>
      <c r="DX178" s="167" t="str">
        <f t="shared" si="398"/>
        <v xml:space="preserve">  </v>
      </c>
      <c r="DY178" s="174" t="str">
        <f t="shared" si="355"/>
        <v>NG</v>
      </c>
      <c r="DZ178" s="162"/>
      <c r="EA178" s="276" t="str">
        <f>IF(OR(DW$8="判定対象外",DZ$8="判定対象外",DZ178="-"),"-",IF(DW178=DZ178,"OK","NG"))</f>
        <v>OK</v>
      </c>
      <c r="EB178" s="160"/>
      <c r="EC178" s="162"/>
      <c r="ED178" s="167" t="str">
        <f t="shared" si="399"/>
        <v xml:space="preserve">  </v>
      </c>
      <c r="EE178" s="174" t="str">
        <f t="shared" si="356"/>
        <v>NG</v>
      </c>
      <c r="EF178" s="162"/>
      <c r="EG178" s="276" t="str">
        <f>IF(OR(EC$8="判定対象外",EF$8="判定対象外",EF178="-"),"-",IF(EC178=EF178,"OK","NG"))</f>
        <v>OK</v>
      </c>
      <c r="EH178" s="160"/>
      <c r="EI178" s="162"/>
      <c r="EJ178" s="167" t="str">
        <f t="shared" si="400"/>
        <v xml:space="preserve">  </v>
      </c>
      <c r="EK178" s="174" t="str">
        <f t="shared" si="357"/>
        <v>NG</v>
      </c>
      <c r="EL178" s="162"/>
      <c r="EM178" s="276" t="str">
        <f>IF(OR(EI$8="判定対象外",EL$8="判定対象外",EL178="-"),"-",IF(EI178=EL178,"OK","NG"))</f>
        <v>OK</v>
      </c>
      <c r="EN178" s="160"/>
      <c r="EO178" s="162"/>
      <c r="EP178" s="167" t="str">
        <f t="shared" si="401"/>
        <v xml:space="preserve">  </v>
      </c>
      <c r="EQ178" s="174" t="str">
        <f t="shared" si="358"/>
        <v>NG</v>
      </c>
      <c r="ER178" s="162"/>
      <c r="ES178" s="276" t="str">
        <f>IF(OR(EO$8="判定対象外",ER$8="判定対象外",ER178="-"),"-",IF(EO178=ER178,"OK","NG"))</f>
        <v>OK</v>
      </c>
      <c r="ET178" s="160"/>
      <c r="EU178" s="162"/>
      <c r="EV178" s="167" t="str">
        <f t="shared" si="402"/>
        <v xml:space="preserve">  </v>
      </c>
      <c r="EW178" s="174" t="str">
        <f t="shared" si="359"/>
        <v>NG</v>
      </c>
      <c r="EX178" s="162"/>
      <c r="EY178" s="276" t="str">
        <f>IF(OR(EU$8="判定対象外",EX$8="判定対象外",EX178="-"),"-",IF(EU178=EX178,"OK","NG"))</f>
        <v>OK</v>
      </c>
      <c r="EZ178" s="160"/>
      <c r="FA178" s="162"/>
      <c r="FB178" s="167" t="str">
        <f t="shared" si="403"/>
        <v xml:space="preserve">  </v>
      </c>
      <c r="FC178" s="174" t="str">
        <f t="shared" si="360"/>
        <v>NG</v>
      </c>
      <c r="FD178" s="162"/>
      <c r="FE178" s="276" t="str">
        <f>IF(OR(FA$8="判定対象外",FD$8="判定対象外",FD178="-"),"-",IF(FA178=FD178,"OK","NG"))</f>
        <v>OK</v>
      </c>
      <c r="FF178" s="160"/>
      <c r="FG178" s="162"/>
      <c r="FH178" s="167" t="str">
        <f t="shared" si="404"/>
        <v xml:space="preserve">  </v>
      </c>
      <c r="FI178" s="174" t="str">
        <f t="shared" si="361"/>
        <v>NG</v>
      </c>
      <c r="FJ178" s="162"/>
      <c r="FK178" s="276" t="str">
        <f>IF(OR(FG$8="判定対象外",FJ$8="判定対象外",FJ178="-"),"-",IF(FG178=FJ178,"OK","NG"))</f>
        <v>OK</v>
      </c>
      <c r="FL178" s="160"/>
      <c r="FM178" s="162"/>
      <c r="FN178" s="167" t="str">
        <f t="shared" si="405"/>
        <v xml:space="preserve">  </v>
      </c>
      <c r="FO178" s="174" t="str">
        <f t="shared" si="378"/>
        <v>NG</v>
      </c>
      <c r="FP178" s="162"/>
      <c r="FQ178" s="276" t="str">
        <f>IF(OR(FM$8="判定対象外",FP$8="判定対象外",FP178="-"),"-",IF(FM178=FP178,"OK","NG"))</f>
        <v>OK</v>
      </c>
      <c r="FR178" s="160"/>
      <c r="FS178" s="162"/>
      <c r="FT178" s="167" t="str">
        <f t="shared" si="406"/>
        <v xml:space="preserve">  </v>
      </c>
      <c r="FU178" s="174" t="str">
        <f t="shared" si="379"/>
        <v>NG</v>
      </c>
      <c r="FV178" s="162"/>
      <c r="FW178" s="276" t="str">
        <f>IF(OR(FS$8="判定対象外",FV$8="判定対象外",FV178="-"),"-",IF(FS178=FV178,"OK","NG"))</f>
        <v>OK</v>
      </c>
      <c r="FX178" s="160"/>
      <c r="FY178" s="162"/>
      <c r="FZ178" s="167" t="str">
        <f t="shared" si="407"/>
        <v xml:space="preserve">  </v>
      </c>
      <c r="GA178" s="174" t="str">
        <f t="shared" si="380"/>
        <v>NG</v>
      </c>
      <c r="GB178" s="162"/>
      <c r="GC178" s="276" t="str">
        <f>IF(OR(FY$8="判定対象外",GB$8="判定対象外",GB178="-"),"-",IF(FY178=GB178,"OK","NG"))</f>
        <v>OK</v>
      </c>
    </row>
    <row r="179" spans="1:185" s="52" customFormat="1" ht="25.5">
      <c r="B179" s="216">
        <f t="shared" si="408"/>
        <v>172</v>
      </c>
      <c r="C179" s="37"/>
      <c r="D179" s="37"/>
      <c r="E179" s="25"/>
      <c r="F179" s="184" t="s">
        <v>344</v>
      </c>
      <c r="G179" s="27"/>
      <c r="H179" s="28"/>
      <c r="I179" s="42"/>
      <c r="J179" s="42"/>
      <c r="K179" s="42"/>
      <c r="L179" s="42"/>
      <c r="M179" s="63" t="s">
        <v>345</v>
      </c>
      <c r="N179" s="39"/>
      <c r="O179" s="143"/>
      <c r="P179" s="45">
        <f t="shared" si="411"/>
        <v>151</v>
      </c>
      <c r="Q179" s="46">
        <v>7</v>
      </c>
      <c r="R179" s="41" t="str">
        <f t="shared" si="412"/>
        <v>X</v>
      </c>
      <c r="S179" s="185" t="s">
        <v>240</v>
      </c>
      <c r="T179" s="43"/>
      <c r="U179" s="41" t="s">
        <v>80</v>
      </c>
      <c r="V179" s="44"/>
      <c r="W179" s="22">
        <v>3</v>
      </c>
      <c r="X179" s="47" t="s">
        <v>241</v>
      </c>
      <c r="Y179" s="47">
        <v>7</v>
      </c>
      <c r="Z179" s="47">
        <v>7</v>
      </c>
      <c r="AA179" s="42" t="s">
        <v>81</v>
      </c>
      <c r="AB179" s="42" t="s">
        <v>80</v>
      </c>
      <c r="AC179" s="219"/>
      <c r="AD179" s="160"/>
      <c r="AE179" s="141"/>
      <c r="AF179" s="203" t="str">
        <f t="shared" si="383"/>
        <v xml:space="preserve">       </v>
      </c>
      <c r="AG179" s="174" t="str">
        <f t="shared" si="364"/>
        <v>NG</v>
      </c>
      <c r="AH179" s="141"/>
      <c r="AI179" s="172" t="s">
        <v>71</v>
      </c>
      <c r="AJ179" s="160"/>
      <c r="AK179" s="141"/>
      <c r="AL179" s="203" t="str">
        <f t="shared" si="382"/>
        <v xml:space="preserve">       </v>
      </c>
      <c r="AM179" s="174" t="str">
        <f t="shared" si="409"/>
        <v>NG</v>
      </c>
      <c r="AN179" s="141"/>
      <c r="AO179" s="172" t="s">
        <v>71</v>
      </c>
      <c r="AP179" s="160"/>
      <c r="AQ179" s="141"/>
      <c r="AR179" s="203" t="str">
        <f t="shared" si="384"/>
        <v xml:space="preserve">       </v>
      </c>
      <c r="AS179" s="174" t="str">
        <f t="shared" si="365"/>
        <v>NG</v>
      </c>
      <c r="AT179" s="141"/>
      <c r="AU179" s="172" t="s">
        <v>71</v>
      </c>
      <c r="AV179" s="160"/>
      <c r="AW179" s="141"/>
      <c r="AX179" s="203" t="str">
        <f t="shared" si="385"/>
        <v xml:space="preserve">       </v>
      </c>
      <c r="AY179" s="174" t="str">
        <f t="shared" si="366"/>
        <v>NG</v>
      </c>
      <c r="AZ179" s="141"/>
      <c r="BA179" s="172" t="s">
        <v>71</v>
      </c>
      <c r="BB179" s="160"/>
      <c r="BC179" s="141"/>
      <c r="BD179" s="203" t="str">
        <f t="shared" si="386"/>
        <v xml:space="preserve">       </v>
      </c>
      <c r="BE179" s="174" t="str">
        <f t="shared" si="367"/>
        <v>NG</v>
      </c>
      <c r="BF179" s="141"/>
      <c r="BG179" s="172" t="s">
        <v>71</v>
      </c>
      <c r="BH179" s="160"/>
      <c r="BI179" s="141"/>
      <c r="BJ179" s="203" t="str">
        <f t="shared" si="387"/>
        <v xml:space="preserve">       </v>
      </c>
      <c r="BK179" s="174" t="str">
        <f t="shared" si="368"/>
        <v>NG</v>
      </c>
      <c r="BL179" s="141"/>
      <c r="BM179" s="172" t="s">
        <v>71</v>
      </c>
      <c r="BN179" s="160"/>
      <c r="BO179" s="141"/>
      <c r="BP179" s="203" t="str">
        <f t="shared" si="388"/>
        <v xml:space="preserve">       </v>
      </c>
      <c r="BQ179" s="174" t="str">
        <f t="shared" si="369"/>
        <v>NG</v>
      </c>
      <c r="BR179" s="141"/>
      <c r="BS179" s="172" t="s">
        <v>71</v>
      </c>
      <c r="BT179" s="160"/>
      <c r="BU179" s="141"/>
      <c r="BV179" s="203" t="str">
        <f t="shared" si="389"/>
        <v xml:space="preserve">       </v>
      </c>
      <c r="BW179" s="174" t="str">
        <f t="shared" si="370"/>
        <v>NG</v>
      </c>
      <c r="BX179" s="141"/>
      <c r="BY179" s="172" t="s">
        <v>71</v>
      </c>
      <c r="BZ179" s="160"/>
      <c r="CA179" s="141"/>
      <c r="CB179" s="203" t="str">
        <f t="shared" si="390"/>
        <v xml:space="preserve">       </v>
      </c>
      <c r="CC179" s="174" t="str">
        <f t="shared" si="371"/>
        <v>NG</v>
      </c>
      <c r="CD179" s="141"/>
      <c r="CE179" s="172" t="s">
        <v>71</v>
      </c>
      <c r="CF179" s="160"/>
      <c r="CG179" s="141"/>
      <c r="CH179" s="203" t="str">
        <f t="shared" si="391"/>
        <v xml:space="preserve">       </v>
      </c>
      <c r="CI179" s="174" t="str">
        <f t="shared" si="372"/>
        <v>NG</v>
      </c>
      <c r="CJ179" s="141"/>
      <c r="CK179" s="172" t="s">
        <v>71</v>
      </c>
      <c r="CL179" s="160"/>
      <c r="CM179" s="141"/>
      <c r="CN179" s="203" t="str">
        <f t="shared" si="392"/>
        <v xml:space="preserve">       </v>
      </c>
      <c r="CO179" s="174" t="str">
        <f t="shared" si="373"/>
        <v>NG</v>
      </c>
      <c r="CP179" s="141"/>
      <c r="CQ179" s="172" t="s">
        <v>71</v>
      </c>
      <c r="CR179" s="160"/>
      <c r="CS179" s="141"/>
      <c r="CT179" s="203" t="str">
        <f t="shared" si="393"/>
        <v xml:space="preserve">       </v>
      </c>
      <c r="CU179" s="174" t="str">
        <f t="shared" si="374"/>
        <v>NG</v>
      </c>
      <c r="CV179" s="141"/>
      <c r="CW179" s="172" t="s">
        <v>71</v>
      </c>
      <c r="CX179" s="160"/>
      <c r="CY179" s="141"/>
      <c r="CZ179" s="203" t="str">
        <f t="shared" si="394"/>
        <v xml:space="preserve">       </v>
      </c>
      <c r="DA179" s="174" t="str">
        <f t="shared" si="375"/>
        <v>NG</v>
      </c>
      <c r="DB179" s="141"/>
      <c r="DC179" s="172" t="s">
        <v>71</v>
      </c>
      <c r="DD179" s="160"/>
      <c r="DE179" s="141"/>
      <c r="DF179" s="203" t="str">
        <f t="shared" si="395"/>
        <v xml:space="preserve">       </v>
      </c>
      <c r="DG179" s="174" t="str">
        <f t="shared" si="376"/>
        <v>NG</v>
      </c>
      <c r="DH179" s="141"/>
      <c r="DI179" s="172" t="s">
        <v>71</v>
      </c>
      <c r="DJ179" s="160"/>
      <c r="DK179" s="141"/>
      <c r="DL179" s="203" t="str">
        <f t="shared" si="396"/>
        <v xml:space="preserve">       </v>
      </c>
      <c r="DM179" s="174" t="str">
        <f t="shared" si="377"/>
        <v>NG</v>
      </c>
      <c r="DN179" s="141"/>
      <c r="DO179" s="172" t="s">
        <v>71</v>
      </c>
      <c r="DP179" s="160"/>
      <c r="DQ179" s="141"/>
      <c r="DR179" s="203" t="str">
        <f t="shared" si="397"/>
        <v xml:space="preserve">       </v>
      </c>
      <c r="DS179" s="174" t="str">
        <f t="shared" si="354"/>
        <v>NG</v>
      </c>
      <c r="DT179" s="141"/>
      <c r="DU179" s="172" t="s">
        <v>71</v>
      </c>
      <c r="DV179" s="160"/>
      <c r="DW179" s="141"/>
      <c r="DX179" s="203" t="str">
        <f t="shared" si="398"/>
        <v xml:space="preserve">       </v>
      </c>
      <c r="DY179" s="174" t="str">
        <f t="shared" si="355"/>
        <v>NG</v>
      </c>
      <c r="DZ179" s="141"/>
      <c r="EA179" s="172" t="s">
        <v>71</v>
      </c>
      <c r="EB179" s="160"/>
      <c r="EC179" s="141"/>
      <c r="ED179" s="203" t="str">
        <f t="shared" si="399"/>
        <v xml:space="preserve">       </v>
      </c>
      <c r="EE179" s="174" t="str">
        <f t="shared" si="356"/>
        <v>NG</v>
      </c>
      <c r="EF179" s="141"/>
      <c r="EG179" s="172" t="s">
        <v>71</v>
      </c>
      <c r="EH179" s="160"/>
      <c r="EI179" s="141"/>
      <c r="EJ179" s="203" t="str">
        <f t="shared" si="400"/>
        <v xml:space="preserve">       </v>
      </c>
      <c r="EK179" s="174" t="str">
        <f t="shared" si="357"/>
        <v>NG</v>
      </c>
      <c r="EL179" s="141"/>
      <c r="EM179" s="172" t="s">
        <v>71</v>
      </c>
      <c r="EN179" s="160"/>
      <c r="EO179" s="141"/>
      <c r="EP179" s="203" t="str">
        <f t="shared" si="401"/>
        <v xml:space="preserve">       </v>
      </c>
      <c r="EQ179" s="174" t="str">
        <f t="shared" si="358"/>
        <v>NG</v>
      </c>
      <c r="ER179" s="141"/>
      <c r="ES179" s="172" t="s">
        <v>71</v>
      </c>
      <c r="ET179" s="160"/>
      <c r="EU179" s="141"/>
      <c r="EV179" s="203" t="str">
        <f t="shared" si="402"/>
        <v xml:space="preserve">       </v>
      </c>
      <c r="EW179" s="174" t="str">
        <f t="shared" si="359"/>
        <v>NG</v>
      </c>
      <c r="EX179" s="141"/>
      <c r="EY179" s="172" t="s">
        <v>71</v>
      </c>
      <c r="EZ179" s="160"/>
      <c r="FA179" s="141"/>
      <c r="FB179" s="203" t="str">
        <f t="shared" si="403"/>
        <v xml:space="preserve">       </v>
      </c>
      <c r="FC179" s="174" t="str">
        <f t="shared" si="360"/>
        <v>NG</v>
      </c>
      <c r="FD179" s="141"/>
      <c r="FE179" s="172" t="s">
        <v>71</v>
      </c>
      <c r="FF179" s="160"/>
      <c r="FG179" s="141"/>
      <c r="FH179" s="203" t="str">
        <f t="shared" si="404"/>
        <v xml:space="preserve">       </v>
      </c>
      <c r="FI179" s="174" t="str">
        <f t="shared" si="361"/>
        <v>NG</v>
      </c>
      <c r="FJ179" s="141"/>
      <c r="FK179" s="172" t="s">
        <v>71</v>
      </c>
      <c r="FL179" s="160"/>
      <c r="FM179" s="141"/>
      <c r="FN179" s="203" t="str">
        <f t="shared" si="405"/>
        <v xml:space="preserve">       </v>
      </c>
      <c r="FO179" s="174" t="str">
        <f t="shared" si="378"/>
        <v>NG</v>
      </c>
      <c r="FP179" s="141"/>
      <c r="FQ179" s="172" t="s">
        <v>71</v>
      </c>
      <c r="FR179" s="160"/>
      <c r="FS179" s="141"/>
      <c r="FT179" s="203" t="str">
        <f t="shared" si="406"/>
        <v xml:space="preserve">       </v>
      </c>
      <c r="FU179" s="174" t="str">
        <f t="shared" si="379"/>
        <v>NG</v>
      </c>
      <c r="FV179" s="141"/>
      <c r="FW179" s="172" t="s">
        <v>71</v>
      </c>
      <c r="FX179" s="160"/>
      <c r="FY179" s="141"/>
      <c r="FZ179" s="203" t="str">
        <f t="shared" si="407"/>
        <v xml:space="preserve">       </v>
      </c>
      <c r="GA179" s="174" t="str">
        <f t="shared" si="380"/>
        <v>NG</v>
      </c>
      <c r="GB179" s="141"/>
      <c r="GC179" s="172" t="s">
        <v>71</v>
      </c>
    </row>
    <row r="180" spans="1:185" s="237" customFormat="1" ht="25.5">
      <c r="B180" s="216">
        <f t="shared" si="408"/>
        <v>173</v>
      </c>
      <c r="C180" s="220"/>
      <c r="D180" s="220"/>
      <c r="E180" s="221"/>
      <c r="F180" s="222" t="s">
        <v>346</v>
      </c>
      <c r="G180" s="223"/>
      <c r="H180" s="224"/>
      <c r="I180" s="225"/>
      <c r="J180" s="225"/>
      <c r="K180" s="226"/>
      <c r="L180" s="226"/>
      <c r="M180" s="227" t="s">
        <v>345</v>
      </c>
      <c r="N180" s="228"/>
      <c r="O180" s="229"/>
      <c r="P180" s="45">
        <f t="shared" si="411"/>
        <v>152</v>
      </c>
      <c r="Q180" s="230">
        <v>10</v>
      </c>
      <c r="R180" s="41" t="str">
        <f t="shared" si="412"/>
        <v>X</v>
      </c>
      <c r="S180" s="185" t="s">
        <v>242</v>
      </c>
      <c r="T180" s="231"/>
      <c r="U180" s="41" t="s">
        <v>80</v>
      </c>
      <c r="V180" s="229"/>
      <c r="W180" s="232">
        <v>3</v>
      </c>
      <c r="X180" s="194" t="s">
        <v>243</v>
      </c>
      <c r="Y180" s="194">
        <v>10</v>
      </c>
      <c r="Z180" s="194">
        <v>10</v>
      </c>
      <c r="AA180" s="225" t="s">
        <v>163</v>
      </c>
      <c r="AB180" s="225" t="s">
        <v>57</v>
      </c>
      <c r="AC180" s="219"/>
      <c r="AD180" s="233"/>
      <c r="AE180" s="268"/>
      <c r="AF180" s="235" t="str">
        <f t="shared" si="383"/>
        <v xml:space="preserve">          </v>
      </c>
      <c r="AG180" s="174" t="str">
        <f t="shared" si="364"/>
        <v>NG</v>
      </c>
      <c r="AH180" s="268"/>
      <c r="AI180" s="172" t="s">
        <v>71</v>
      </c>
      <c r="AJ180" s="233"/>
      <c r="AK180" s="234"/>
      <c r="AL180" s="235" t="str">
        <f t="shared" si="382"/>
        <v xml:space="preserve">          </v>
      </c>
      <c r="AM180" s="174" t="str">
        <f t="shared" si="409"/>
        <v>NG</v>
      </c>
      <c r="AN180" s="268"/>
      <c r="AO180" s="172" t="s">
        <v>71</v>
      </c>
      <c r="AP180" s="233"/>
      <c r="AQ180" s="268"/>
      <c r="AR180" s="235" t="str">
        <f t="shared" si="384"/>
        <v xml:space="preserve">          </v>
      </c>
      <c r="AS180" s="174" t="str">
        <f t="shared" si="365"/>
        <v>NG</v>
      </c>
      <c r="AT180" s="268"/>
      <c r="AU180" s="172" t="s">
        <v>71</v>
      </c>
      <c r="AV180" s="233"/>
      <c r="AW180" s="268"/>
      <c r="AX180" s="235" t="str">
        <f t="shared" si="385"/>
        <v xml:space="preserve">          </v>
      </c>
      <c r="AY180" s="174" t="str">
        <f t="shared" si="366"/>
        <v>NG</v>
      </c>
      <c r="AZ180" s="268"/>
      <c r="BA180" s="172" t="s">
        <v>71</v>
      </c>
      <c r="BB180" s="233"/>
      <c r="BC180" s="268"/>
      <c r="BD180" s="235" t="str">
        <f t="shared" si="386"/>
        <v xml:space="preserve">          </v>
      </c>
      <c r="BE180" s="174" t="str">
        <f t="shared" si="367"/>
        <v>NG</v>
      </c>
      <c r="BF180" s="268"/>
      <c r="BG180" s="172" t="s">
        <v>71</v>
      </c>
      <c r="BH180" s="233"/>
      <c r="BI180" s="268"/>
      <c r="BJ180" s="235" t="str">
        <f t="shared" si="387"/>
        <v xml:space="preserve">          </v>
      </c>
      <c r="BK180" s="174" t="str">
        <f t="shared" si="368"/>
        <v>NG</v>
      </c>
      <c r="BL180" s="268"/>
      <c r="BM180" s="172" t="s">
        <v>71</v>
      </c>
      <c r="BN180" s="233"/>
      <c r="BO180" s="268"/>
      <c r="BP180" s="235" t="str">
        <f t="shared" si="388"/>
        <v xml:space="preserve">          </v>
      </c>
      <c r="BQ180" s="174" t="str">
        <f t="shared" si="369"/>
        <v>NG</v>
      </c>
      <c r="BR180" s="268"/>
      <c r="BS180" s="172" t="s">
        <v>71</v>
      </c>
      <c r="BT180" s="233"/>
      <c r="BU180" s="268"/>
      <c r="BV180" s="235" t="str">
        <f t="shared" si="389"/>
        <v xml:space="preserve">          </v>
      </c>
      <c r="BW180" s="174" t="str">
        <f t="shared" si="370"/>
        <v>NG</v>
      </c>
      <c r="BX180" s="268"/>
      <c r="BY180" s="172" t="s">
        <v>71</v>
      </c>
      <c r="BZ180" s="233"/>
      <c r="CA180" s="268"/>
      <c r="CB180" s="235" t="str">
        <f t="shared" si="390"/>
        <v xml:space="preserve">          </v>
      </c>
      <c r="CC180" s="174" t="str">
        <f t="shared" si="371"/>
        <v>NG</v>
      </c>
      <c r="CD180" s="268"/>
      <c r="CE180" s="172" t="s">
        <v>71</v>
      </c>
      <c r="CF180" s="233"/>
      <c r="CG180" s="268"/>
      <c r="CH180" s="235" t="str">
        <f t="shared" si="391"/>
        <v xml:space="preserve">          </v>
      </c>
      <c r="CI180" s="174" t="str">
        <f t="shared" si="372"/>
        <v>NG</v>
      </c>
      <c r="CJ180" s="268"/>
      <c r="CK180" s="172" t="s">
        <v>71</v>
      </c>
      <c r="CL180" s="233"/>
      <c r="CM180" s="268"/>
      <c r="CN180" s="235" t="str">
        <f t="shared" si="392"/>
        <v xml:space="preserve">          </v>
      </c>
      <c r="CO180" s="174" t="str">
        <f t="shared" si="373"/>
        <v>NG</v>
      </c>
      <c r="CP180" s="268"/>
      <c r="CQ180" s="172" t="s">
        <v>71</v>
      </c>
      <c r="CR180" s="233"/>
      <c r="CS180" s="268"/>
      <c r="CT180" s="235" t="str">
        <f t="shared" si="393"/>
        <v xml:space="preserve">          </v>
      </c>
      <c r="CU180" s="174" t="str">
        <f t="shared" si="374"/>
        <v>NG</v>
      </c>
      <c r="CV180" s="268"/>
      <c r="CW180" s="172" t="s">
        <v>71</v>
      </c>
      <c r="CX180" s="233"/>
      <c r="CY180" s="268"/>
      <c r="CZ180" s="235" t="str">
        <f t="shared" si="394"/>
        <v xml:space="preserve">          </v>
      </c>
      <c r="DA180" s="174" t="str">
        <f t="shared" si="375"/>
        <v>NG</v>
      </c>
      <c r="DB180" s="268"/>
      <c r="DC180" s="172" t="s">
        <v>71</v>
      </c>
      <c r="DD180" s="233"/>
      <c r="DE180" s="268"/>
      <c r="DF180" s="235" t="str">
        <f t="shared" si="395"/>
        <v xml:space="preserve">          </v>
      </c>
      <c r="DG180" s="174" t="str">
        <f t="shared" si="376"/>
        <v>NG</v>
      </c>
      <c r="DH180" s="268"/>
      <c r="DI180" s="172" t="s">
        <v>71</v>
      </c>
      <c r="DJ180" s="233"/>
      <c r="DK180" s="268"/>
      <c r="DL180" s="235" t="str">
        <f t="shared" si="396"/>
        <v xml:space="preserve">          </v>
      </c>
      <c r="DM180" s="174" t="str">
        <f t="shared" si="377"/>
        <v>NG</v>
      </c>
      <c r="DN180" s="268"/>
      <c r="DO180" s="172" t="s">
        <v>71</v>
      </c>
      <c r="DP180" s="233"/>
      <c r="DQ180" s="268"/>
      <c r="DR180" s="235" t="str">
        <f t="shared" si="397"/>
        <v xml:space="preserve">          </v>
      </c>
      <c r="DS180" s="174" t="str">
        <f t="shared" si="354"/>
        <v>NG</v>
      </c>
      <c r="DT180" s="268"/>
      <c r="DU180" s="172" t="s">
        <v>71</v>
      </c>
      <c r="DV180" s="233"/>
      <c r="DW180" s="268"/>
      <c r="DX180" s="235" t="str">
        <f t="shared" si="398"/>
        <v xml:space="preserve">          </v>
      </c>
      <c r="DY180" s="174" t="str">
        <f t="shared" si="355"/>
        <v>NG</v>
      </c>
      <c r="DZ180" s="268"/>
      <c r="EA180" s="172" t="s">
        <v>71</v>
      </c>
      <c r="EB180" s="233"/>
      <c r="EC180" s="268"/>
      <c r="ED180" s="235" t="str">
        <f t="shared" si="399"/>
        <v xml:space="preserve">          </v>
      </c>
      <c r="EE180" s="174" t="str">
        <f t="shared" si="356"/>
        <v>NG</v>
      </c>
      <c r="EF180" s="268"/>
      <c r="EG180" s="172" t="s">
        <v>71</v>
      </c>
      <c r="EH180" s="233"/>
      <c r="EI180" s="268"/>
      <c r="EJ180" s="235" t="str">
        <f t="shared" si="400"/>
        <v xml:space="preserve">          </v>
      </c>
      <c r="EK180" s="174" t="str">
        <f t="shared" si="357"/>
        <v>NG</v>
      </c>
      <c r="EL180" s="268"/>
      <c r="EM180" s="172" t="s">
        <v>71</v>
      </c>
      <c r="EN180" s="233"/>
      <c r="EO180" s="268"/>
      <c r="EP180" s="235" t="str">
        <f t="shared" si="401"/>
        <v xml:space="preserve">          </v>
      </c>
      <c r="EQ180" s="174" t="str">
        <f t="shared" si="358"/>
        <v>NG</v>
      </c>
      <c r="ER180" s="268"/>
      <c r="ES180" s="172" t="s">
        <v>71</v>
      </c>
      <c r="ET180" s="233"/>
      <c r="EU180" s="268"/>
      <c r="EV180" s="235" t="str">
        <f t="shared" si="402"/>
        <v xml:space="preserve">          </v>
      </c>
      <c r="EW180" s="174" t="str">
        <f t="shared" si="359"/>
        <v>NG</v>
      </c>
      <c r="EX180" s="268"/>
      <c r="EY180" s="172" t="s">
        <v>71</v>
      </c>
      <c r="EZ180" s="233"/>
      <c r="FA180" s="268"/>
      <c r="FB180" s="235" t="str">
        <f t="shared" si="403"/>
        <v xml:space="preserve">          </v>
      </c>
      <c r="FC180" s="174" t="str">
        <f t="shared" si="360"/>
        <v>NG</v>
      </c>
      <c r="FD180" s="268"/>
      <c r="FE180" s="172" t="s">
        <v>71</v>
      </c>
      <c r="FF180" s="233"/>
      <c r="FG180" s="268"/>
      <c r="FH180" s="235" t="str">
        <f t="shared" si="404"/>
        <v xml:space="preserve">          </v>
      </c>
      <c r="FI180" s="174" t="str">
        <f t="shared" si="361"/>
        <v>NG</v>
      </c>
      <c r="FJ180" s="268"/>
      <c r="FK180" s="172" t="s">
        <v>71</v>
      </c>
      <c r="FL180" s="233"/>
      <c r="FM180" s="268"/>
      <c r="FN180" s="235" t="str">
        <f t="shared" si="405"/>
        <v xml:space="preserve">          </v>
      </c>
      <c r="FO180" s="174" t="str">
        <f t="shared" si="378"/>
        <v>NG</v>
      </c>
      <c r="FP180" s="268"/>
      <c r="FQ180" s="172" t="s">
        <v>71</v>
      </c>
      <c r="FR180" s="233"/>
      <c r="FS180" s="268"/>
      <c r="FT180" s="235" t="str">
        <f t="shared" si="406"/>
        <v xml:space="preserve">          </v>
      </c>
      <c r="FU180" s="174" t="str">
        <f t="shared" si="379"/>
        <v>NG</v>
      </c>
      <c r="FV180" s="268"/>
      <c r="FW180" s="172" t="s">
        <v>71</v>
      </c>
      <c r="FX180" s="233"/>
      <c r="FY180" s="268"/>
      <c r="FZ180" s="235" t="str">
        <f t="shared" si="407"/>
        <v xml:space="preserve">          </v>
      </c>
      <c r="GA180" s="174" t="str">
        <f t="shared" si="380"/>
        <v>NG</v>
      </c>
      <c r="GB180" s="268"/>
      <c r="GC180" s="172" t="s">
        <v>71</v>
      </c>
    </row>
    <row r="181" spans="1:185" s="237" customFormat="1" ht="25.5">
      <c r="B181" s="216">
        <f t="shared" si="408"/>
        <v>174</v>
      </c>
      <c r="C181" s="220"/>
      <c r="D181" s="220"/>
      <c r="E181" s="220"/>
      <c r="F181" s="238" t="s">
        <v>244</v>
      </c>
      <c r="G181" s="168"/>
      <c r="H181" s="239"/>
      <c r="I181" s="225"/>
      <c r="J181" s="225"/>
      <c r="K181" s="226"/>
      <c r="L181" s="226"/>
      <c r="M181" s="227" t="s">
        <v>345</v>
      </c>
      <c r="N181" s="228"/>
      <c r="O181" s="229"/>
      <c r="P181" s="45">
        <f t="shared" si="411"/>
        <v>153</v>
      </c>
      <c r="Q181" s="230">
        <v>3</v>
      </c>
      <c r="R181" s="41" t="str">
        <f t="shared" si="412"/>
        <v>X</v>
      </c>
      <c r="S181" s="185" t="s">
        <v>245</v>
      </c>
      <c r="T181" s="231"/>
      <c r="U181" s="41" t="s">
        <v>80</v>
      </c>
      <c r="V181" s="229"/>
      <c r="W181" s="232">
        <v>3</v>
      </c>
      <c r="X181" s="194" t="s">
        <v>246</v>
      </c>
      <c r="Y181" s="194">
        <v>3</v>
      </c>
      <c r="Z181" s="194">
        <v>3</v>
      </c>
      <c r="AA181" s="225" t="s">
        <v>163</v>
      </c>
      <c r="AB181" s="225" t="s">
        <v>57</v>
      </c>
      <c r="AC181" s="219"/>
      <c r="AD181" s="233"/>
      <c r="AE181" s="268"/>
      <c r="AF181" s="235" t="str">
        <f t="shared" si="383"/>
        <v xml:space="preserve">   </v>
      </c>
      <c r="AG181" s="174" t="str">
        <f t="shared" si="364"/>
        <v>NG</v>
      </c>
      <c r="AH181" s="268"/>
      <c r="AI181" s="172" t="s">
        <v>71</v>
      </c>
      <c r="AJ181" s="233"/>
      <c r="AK181" s="234"/>
      <c r="AL181" s="235" t="str">
        <f t="shared" si="382"/>
        <v xml:space="preserve">   </v>
      </c>
      <c r="AM181" s="174" t="str">
        <f t="shared" si="409"/>
        <v>NG</v>
      </c>
      <c r="AN181" s="268"/>
      <c r="AO181" s="172" t="s">
        <v>71</v>
      </c>
      <c r="AP181" s="233"/>
      <c r="AQ181" s="268"/>
      <c r="AR181" s="235" t="str">
        <f t="shared" si="384"/>
        <v xml:space="preserve">   </v>
      </c>
      <c r="AS181" s="174" t="str">
        <f t="shared" si="365"/>
        <v>NG</v>
      </c>
      <c r="AT181" s="268"/>
      <c r="AU181" s="172" t="s">
        <v>71</v>
      </c>
      <c r="AV181" s="233"/>
      <c r="AW181" s="268"/>
      <c r="AX181" s="235" t="str">
        <f t="shared" si="385"/>
        <v xml:space="preserve">   </v>
      </c>
      <c r="AY181" s="174" t="str">
        <f t="shared" si="366"/>
        <v>NG</v>
      </c>
      <c r="AZ181" s="268"/>
      <c r="BA181" s="172" t="s">
        <v>71</v>
      </c>
      <c r="BB181" s="233"/>
      <c r="BC181" s="268"/>
      <c r="BD181" s="235" t="str">
        <f t="shared" si="386"/>
        <v xml:space="preserve">   </v>
      </c>
      <c r="BE181" s="174" t="str">
        <f t="shared" si="367"/>
        <v>NG</v>
      </c>
      <c r="BF181" s="268"/>
      <c r="BG181" s="172" t="s">
        <v>71</v>
      </c>
      <c r="BH181" s="233"/>
      <c r="BI181" s="268"/>
      <c r="BJ181" s="235" t="str">
        <f t="shared" si="387"/>
        <v xml:space="preserve">   </v>
      </c>
      <c r="BK181" s="174" t="str">
        <f t="shared" si="368"/>
        <v>NG</v>
      </c>
      <c r="BL181" s="268"/>
      <c r="BM181" s="172" t="s">
        <v>71</v>
      </c>
      <c r="BN181" s="233"/>
      <c r="BO181" s="268"/>
      <c r="BP181" s="235" t="str">
        <f t="shared" si="388"/>
        <v xml:space="preserve">   </v>
      </c>
      <c r="BQ181" s="174" t="str">
        <f t="shared" si="369"/>
        <v>NG</v>
      </c>
      <c r="BR181" s="268"/>
      <c r="BS181" s="172" t="s">
        <v>71</v>
      </c>
      <c r="BT181" s="233"/>
      <c r="BU181" s="268"/>
      <c r="BV181" s="235" t="str">
        <f t="shared" si="389"/>
        <v xml:space="preserve">   </v>
      </c>
      <c r="BW181" s="174" t="str">
        <f t="shared" si="370"/>
        <v>NG</v>
      </c>
      <c r="BX181" s="268"/>
      <c r="BY181" s="172" t="s">
        <v>71</v>
      </c>
      <c r="BZ181" s="233"/>
      <c r="CA181" s="268"/>
      <c r="CB181" s="235" t="str">
        <f t="shared" si="390"/>
        <v xml:space="preserve">   </v>
      </c>
      <c r="CC181" s="174" t="str">
        <f t="shared" si="371"/>
        <v>NG</v>
      </c>
      <c r="CD181" s="268"/>
      <c r="CE181" s="172" t="s">
        <v>71</v>
      </c>
      <c r="CF181" s="233"/>
      <c r="CG181" s="268"/>
      <c r="CH181" s="235" t="str">
        <f t="shared" si="391"/>
        <v xml:space="preserve">   </v>
      </c>
      <c r="CI181" s="174" t="str">
        <f t="shared" si="372"/>
        <v>NG</v>
      </c>
      <c r="CJ181" s="268"/>
      <c r="CK181" s="172" t="s">
        <v>71</v>
      </c>
      <c r="CL181" s="233"/>
      <c r="CM181" s="268"/>
      <c r="CN181" s="235" t="str">
        <f t="shared" si="392"/>
        <v xml:space="preserve">   </v>
      </c>
      <c r="CO181" s="174" t="str">
        <f t="shared" si="373"/>
        <v>NG</v>
      </c>
      <c r="CP181" s="268"/>
      <c r="CQ181" s="172" t="s">
        <v>71</v>
      </c>
      <c r="CR181" s="233"/>
      <c r="CS181" s="268"/>
      <c r="CT181" s="235" t="str">
        <f t="shared" si="393"/>
        <v xml:space="preserve">   </v>
      </c>
      <c r="CU181" s="174" t="str">
        <f t="shared" si="374"/>
        <v>NG</v>
      </c>
      <c r="CV181" s="268"/>
      <c r="CW181" s="172" t="s">
        <v>71</v>
      </c>
      <c r="CX181" s="233"/>
      <c r="CY181" s="268"/>
      <c r="CZ181" s="235" t="str">
        <f t="shared" si="394"/>
        <v xml:space="preserve">   </v>
      </c>
      <c r="DA181" s="174" t="str">
        <f t="shared" si="375"/>
        <v>NG</v>
      </c>
      <c r="DB181" s="268"/>
      <c r="DC181" s="172" t="s">
        <v>71</v>
      </c>
      <c r="DD181" s="233"/>
      <c r="DE181" s="268"/>
      <c r="DF181" s="235" t="str">
        <f t="shared" si="395"/>
        <v xml:space="preserve">   </v>
      </c>
      <c r="DG181" s="174" t="str">
        <f t="shared" si="376"/>
        <v>NG</v>
      </c>
      <c r="DH181" s="268"/>
      <c r="DI181" s="172" t="s">
        <v>71</v>
      </c>
      <c r="DJ181" s="233"/>
      <c r="DK181" s="268"/>
      <c r="DL181" s="235" t="str">
        <f t="shared" si="396"/>
        <v xml:space="preserve">   </v>
      </c>
      <c r="DM181" s="174" t="str">
        <f t="shared" si="377"/>
        <v>NG</v>
      </c>
      <c r="DN181" s="268"/>
      <c r="DO181" s="172" t="s">
        <v>71</v>
      </c>
      <c r="DP181" s="233"/>
      <c r="DQ181" s="268"/>
      <c r="DR181" s="235" t="str">
        <f t="shared" si="397"/>
        <v xml:space="preserve">   </v>
      </c>
      <c r="DS181" s="174" t="str">
        <f t="shared" si="354"/>
        <v>NG</v>
      </c>
      <c r="DT181" s="268"/>
      <c r="DU181" s="172" t="s">
        <v>71</v>
      </c>
      <c r="DV181" s="233"/>
      <c r="DW181" s="268"/>
      <c r="DX181" s="235" t="str">
        <f t="shared" si="398"/>
        <v xml:space="preserve">   </v>
      </c>
      <c r="DY181" s="174" t="str">
        <f t="shared" si="355"/>
        <v>NG</v>
      </c>
      <c r="DZ181" s="268"/>
      <c r="EA181" s="172" t="s">
        <v>71</v>
      </c>
      <c r="EB181" s="233"/>
      <c r="EC181" s="268"/>
      <c r="ED181" s="235" t="str">
        <f t="shared" si="399"/>
        <v xml:space="preserve">   </v>
      </c>
      <c r="EE181" s="174" t="str">
        <f t="shared" si="356"/>
        <v>NG</v>
      </c>
      <c r="EF181" s="268"/>
      <c r="EG181" s="172" t="s">
        <v>71</v>
      </c>
      <c r="EH181" s="233"/>
      <c r="EI181" s="268"/>
      <c r="EJ181" s="235" t="str">
        <f t="shared" si="400"/>
        <v xml:space="preserve">   </v>
      </c>
      <c r="EK181" s="174" t="str">
        <f t="shared" si="357"/>
        <v>NG</v>
      </c>
      <c r="EL181" s="268"/>
      <c r="EM181" s="172" t="s">
        <v>71</v>
      </c>
      <c r="EN181" s="233"/>
      <c r="EO181" s="268"/>
      <c r="EP181" s="235" t="str">
        <f t="shared" si="401"/>
        <v xml:space="preserve">   </v>
      </c>
      <c r="EQ181" s="174" t="str">
        <f t="shared" si="358"/>
        <v>NG</v>
      </c>
      <c r="ER181" s="268"/>
      <c r="ES181" s="172" t="s">
        <v>71</v>
      </c>
      <c r="ET181" s="233"/>
      <c r="EU181" s="268"/>
      <c r="EV181" s="235" t="str">
        <f t="shared" si="402"/>
        <v xml:space="preserve">   </v>
      </c>
      <c r="EW181" s="174" t="str">
        <f t="shared" si="359"/>
        <v>NG</v>
      </c>
      <c r="EX181" s="268"/>
      <c r="EY181" s="172" t="s">
        <v>71</v>
      </c>
      <c r="EZ181" s="233"/>
      <c r="FA181" s="268"/>
      <c r="FB181" s="235" t="str">
        <f t="shared" si="403"/>
        <v xml:space="preserve">   </v>
      </c>
      <c r="FC181" s="174" t="str">
        <f t="shared" si="360"/>
        <v>NG</v>
      </c>
      <c r="FD181" s="268"/>
      <c r="FE181" s="172" t="s">
        <v>71</v>
      </c>
      <c r="FF181" s="233"/>
      <c r="FG181" s="268"/>
      <c r="FH181" s="235" t="str">
        <f t="shared" si="404"/>
        <v xml:space="preserve">   </v>
      </c>
      <c r="FI181" s="174" t="str">
        <f t="shared" si="361"/>
        <v>NG</v>
      </c>
      <c r="FJ181" s="268"/>
      <c r="FK181" s="172" t="s">
        <v>71</v>
      </c>
      <c r="FL181" s="233"/>
      <c r="FM181" s="268"/>
      <c r="FN181" s="235" t="str">
        <f t="shared" si="405"/>
        <v xml:space="preserve">   </v>
      </c>
      <c r="FO181" s="174" t="str">
        <f t="shared" si="378"/>
        <v>NG</v>
      </c>
      <c r="FP181" s="268"/>
      <c r="FQ181" s="172" t="s">
        <v>71</v>
      </c>
      <c r="FR181" s="233"/>
      <c r="FS181" s="268"/>
      <c r="FT181" s="235" t="str">
        <f t="shared" si="406"/>
        <v xml:space="preserve">   </v>
      </c>
      <c r="FU181" s="174" t="str">
        <f t="shared" si="379"/>
        <v>NG</v>
      </c>
      <c r="FV181" s="268"/>
      <c r="FW181" s="172" t="s">
        <v>71</v>
      </c>
      <c r="FX181" s="233"/>
      <c r="FY181" s="268"/>
      <c r="FZ181" s="235" t="str">
        <f t="shared" si="407"/>
        <v xml:space="preserve">   </v>
      </c>
      <c r="GA181" s="174" t="str">
        <f t="shared" si="380"/>
        <v>NG</v>
      </c>
      <c r="GB181" s="268"/>
      <c r="GC181" s="172" t="s">
        <v>71</v>
      </c>
    </row>
    <row r="182" spans="1:185" s="237" customFormat="1" ht="25.5">
      <c r="B182" s="216">
        <f t="shared" si="408"/>
        <v>175</v>
      </c>
      <c r="C182" s="220"/>
      <c r="D182" s="220"/>
      <c r="E182" s="220"/>
      <c r="F182" s="238" t="s">
        <v>347</v>
      </c>
      <c r="G182" s="168"/>
      <c r="H182" s="239"/>
      <c r="I182" s="225"/>
      <c r="J182" s="225"/>
      <c r="K182" s="226"/>
      <c r="L182" s="226"/>
      <c r="M182" s="227" t="s">
        <v>345</v>
      </c>
      <c r="N182" s="228"/>
      <c r="O182" s="229"/>
      <c r="P182" s="45">
        <f t="shared" si="411"/>
        <v>154</v>
      </c>
      <c r="Q182" s="230">
        <v>2</v>
      </c>
      <c r="R182" s="41" t="str">
        <f t="shared" si="412"/>
        <v>X</v>
      </c>
      <c r="S182" s="185" t="s">
        <v>247</v>
      </c>
      <c r="T182" s="231"/>
      <c r="U182" s="41" t="s">
        <v>80</v>
      </c>
      <c r="V182" s="229"/>
      <c r="W182" s="232">
        <v>3</v>
      </c>
      <c r="X182" s="194" t="s">
        <v>248</v>
      </c>
      <c r="Y182" s="194">
        <v>2</v>
      </c>
      <c r="Z182" s="194">
        <v>2</v>
      </c>
      <c r="AA182" s="225" t="s">
        <v>163</v>
      </c>
      <c r="AB182" s="225" t="s">
        <v>57</v>
      </c>
      <c r="AC182" s="219"/>
      <c r="AD182" s="233"/>
      <c r="AE182" s="268"/>
      <c r="AF182" s="235" t="str">
        <f t="shared" si="383"/>
        <v xml:space="preserve">  </v>
      </c>
      <c r="AG182" s="174" t="str">
        <f t="shared" si="364"/>
        <v>NG</v>
      </c>
      <c r="AH182" s="268"/>
      <c r="AI182" s="172" t="s">
        <v>71</v>
      </c>
      <c r="AJ182" s="233"/>
      <c r="AK182" s="234"/>
      <c r="AL182" s="235" t="str">
        <f t="shared" si="382"/>
        <v xml:space="preserve">  </v>
      </c>
      <c r="AM182" s="174" t="str">
        <f t="shared" si="409"/>
        <v>NG</v>
      </c>
      <c r="AN182" s="268"/>
      <c r="AO182" s="172" t="s">
        <v>71</v>
      </c>
      <c r="AP182" s="233"/>
      <c r="AQ182" s="268"/>
      <c r="AR182" s="235" t="str">
        <f t="shared" si="384"/>
        <v xml:space="preserve">  </v>
      </c>
      <c r="AS182" s="174" t="str">
        <f t="shared" si="365"/>
        <v>NG</v>
      </c>
      <c r="AT182" s="268"/>
      <c r="AU182" s="172" t="s">
        <v>71</v>
      </c>
      <c r="AV182" s="233"/>
      <c r="AW182" s="268"/>
      <c r="AX182" s="235" t="str">
        <f t="shared" si="385"/>
        <v xml:space="preserve">  </v>
      </c>
      <c r="AY182" s="174" t="str">
        <f t="shared" si="366"/>
        <v>NG</v>
      </c>
      <c r="AZ182" s="268"/>
      <c r="BA182" s="172" t="s">
        <v>71</v>
      </c>
      <c r="BB182" s="233"/>
      <c r="BC182" s="268"/>
      <c r="BD182" s="235" t="str">
        <f t="shared" si="386"/>
        <v xml:space="preserve">  </v>
      </c>
      <c r="BE182" s="174" t="str">
        <f t="shared" si="367"/>
        <v>NG</v>
      </c>
      <c r="BF182" s="268"/>
      <c r="BG182" s="172" t="s">
        <v>71</v>
      </c>
      <c r="BH182" s="233"/>
      <c r="BI182" s="268"/>
      <c r="BJ182" s="235" t="str">
        <f t="shared" si="387"/>
        <v xml:space="preserve">  </v>
      </c>
      <c r="BK182" s="174" t="str">
        <f t="shared" si="368"/>
        <v>NG</v>
      </c>
      <c r="BL182" s="268"/>
      <c r="BM182" s="172" t="s">
        <v>71</v>
      </c>
      <c r="BN182" s="233"/>
      <c r="BO182" s="268"/>
      <c r="BP182" s="235" t="str">
        <f t="shared" si="388"/>
        <v xml:space="preserve">  </v>
      </c>
      <c r="BQ182" s="174" t="str">
        <f t="shared" si="369"/>
        <v>NG</v>
      </c>
      <c r="BR182" s="268"/>
      <c r="BS182" s="172" t="s">
        <v>71</v>
      </c>
      <c r="BT182" s="233"/>
      <c r="BU182" s="268"/>
      <c r="BV182" s="235" t="str">
        <f t="shared" si="389"/>
        <v xml:space="preserve">  </v>
      </c>
      <c r="BW182" s="174" t="str">
        <f t="shared" si="370"/>
        <v>NG</v>
      </c>
      <c r="BX182" s="268"/>
      <c r="BY182" s="172" t="s">
        <v>71</v>
      </c>
      <c r="BZ182" s="233"/>
      <c r="CA182" s="268"/>
      <c r="CB182" s="235" t="str">
        <f t="shared" si="390"/>
        <v xml:space="preserve">  </v>
      </c>
      <c r="CC182" s="174" t="str">
        <f t="shared" si="371"/>
        <v>NG</v>
      </c>
      <c r="CD182" s="268"/>
      <c r="CE182" s="172" t="s">
        <v>71</v>
      </c>
      <c r="CF182" s="233"/>
      <c r="CG182" s="268"/>
      <c r="CH182" s="235" t="str">
        <f t="shared" si="391"/>
        <v xml:space="preserve">  </v>
      </c>
      <c r="CI182" s="174" t="str">
        <f t="shared" si="372"/>
        <v>NG</v>
      </c>
      <c r="CJ182" s="268"/>
      <c r="CK182" s="172" t="s">
        <v>71</v>
      </c>
      <c r="CL182" s="233"/>
      <c r="CM182" s="268"/>
      <c r="CN182" s="235" t="str">
        <f t="shared" si="392"/>
        <v xml:space="preserve">  </v>
      </c>
      <c r="CO182" s="174" t="str">
        <f t="shared" si="373"/>
        <v>NG</v>
      </c>
      <c r="CP182" s="268"/>
      <c r="CQ182" s="172" t="s">
        <v>71</v>
      </c>
      <c r="CR182" s="233"/>
      <c r="CS182" s="268"/>
      <c r="CT182" s="235" t="str">
        <f t="shared" si="393"/>
        <v xml:space="preserve">  </v>
      </c>
      <c r="CU182" s="174" t="str">
        <f t="shared" si="374"/>
        <v>NG</v>
      </c>
      <c r="CV182" s="268"/>
      <c r="CW182" s="172" t="s">
        <v>71</v>
      </c>
      <c r="CX182" s="233"/>
      <c r="CY182" s="268"/>
      <c r="CZ182" s="235" t="str">
        <f t="shared" si="394"/>
        <v xml:space="preserve">  </v>
      </c>
      <c r="DA182" s="174" t="str">
        <f t="shared" si="375"/>
        <v>NG</v>
      </c>
      <c r="DB182" s="268"/>
      <c r="DC182" s="172" t="s">
        <v>71</v>
      </c>
      <c r="DD182" s="233"/>
      <c r="DE182" s="268"/>
      <c r="DF182" s="235" t="str">
        <f t="shared" si="395"/>
        <v xml:space="preserve">  </v>
      </c>
      <c r="DG182" s="174" t="str">
        <f t="shared" si="376"/>
        <v>NG</v>
      </c>
      <c r="DH182" s="268"/>
      <c r="DI182" s="172" t="s">
        <v>71</v>
      </c>
      <c r="DJ182" s="233"/>
      <c r="DK182" s="268"/>
      <c r="DL182" s="235" t="str">
        <f t="shared" si="396"/>
        <v xml:space="preserve">  </v>
      </c>
      <c r="DM182" s="174" t="str">
        <f t="shared" si="377"/>
        <v>NG</v>
      </c>
      <c r="DN182" s="268"/>
      <c r="DO182" s="172" t="s">
        <v>71</v>
      </c>
      <c r="DP182" s="233"/>
      <c r="DQ182" s="268"/>
      <c r="DR182" s="235" t="str">
        <f t="shared" si="397"/>
        <v xml:space="preserve">  </v>
      </c>
      <c r="DS182" s="174" t="str">
        <f t="shared" si="354"/>
        <v>NG</v>
      </c>
      <c r="DT182" s="268"/>
      <c r="DU182" s="172" t="s">
        <v>71</v>
      </c>
      <c r="DV182" s="233"/>
      <c r="DW182" s="268"/>
      <c r="DX182" s="235" t="str">
        <f t="shared" si="398"/>
        <v xml:space="preserve">  </v>
      </c>
      <c r="DY182" s="174" t="str">
        <f t="shared" si="355"/>
        <v>NG</v>
      </c>
      <c r="DZ182" s="268"/>
      <c r="EA182" s="172" t="s">
        <v>71</v>
      </c>
      <c r="EB182" s="233"/>
      <c r="EC182" s="268"/>
      <c r="ED182" s="235" t="str">
        <f t="shared" si="399"/>
        <v xml:space="preserve">  </v>
      </c>
      <c r="EE182" s="174" t="str">
        <f t="shared" si="356"/>
        <v>NG</v>
      </c>
      <c r="EF182" s="268"/>
      <c r="EG182" s="172" t="s">
        <v>71</v>
      </c>
      <c r="EH182" s="233"/>
      <c r="EI182" s="268"/>
      <c r="EJ182" s="235" t="str">
        <f t="shared" si="400"/>
        <v xml:space="preserve">  </v>
      </c>
      <c r="EK182" s="174" t="str">
        <f t="shared" si="357"/>
        <v>NG</v>
      </c>
      <c r="EL182" s="268"/>
      <c r="EM182" s="172" t="s">
        <v>71</v>
      </c>
      <c r="EN182" s="233"/>
      <c r="EO182" s="268"/>
      <c r="EP182" s="235" t="str">
        <f t="shared" si="401"/>
        <v xml:space="preserve">  </v>
      </c>
      <c r="EQ182" s="174" t="str">
        <f t="shared" si="358"/>
        <v>NG</v>
      </c>
      <c r="ER182" s="268"/>
      <c r="ES182" s="172" t="s">
        <v>71</v>
      </c>
      <c r="ET182" s="233"/>
      <c r="EU182" s="268"/>
      <c r="EV182" s="235" t="str">
        <f t="shared" si="402"/>
        <v xml:space="preserve">  </v>
      </c>
      <c r="EW182" s="174" t="str">
        <f t="shared" si="359"/>
        <v>NG</v>
      </c>
      <c r="EX182" s="268"/>
      <c r="EY182" s="172" t="s">
        <v>71</v>
      </c>
      <c r="EZ182" s="233"/>
      <c r="FA182" s="268"/>
      <c r="FB182" s="235" t="str">
        <f t="shared" si="403"/>
        <v xml:space="preserve">  </v>
      </c>
      <c r="FC182" s="174" t="str">
        <f t="shared" si="360"/>
        <v>NG</v>
      </c>
      <c r="FD182" s="268"/>
      <c r="FE182" s="172" t="s">
        <v>71</v>
      </c>
      <c r="FF182" s="233"/>
      <c r="FG182" s="268"/>
      <c r="FH182" s="235" t="str">
        <f t="shared" si="404"/>
        <v xml:space="preserve">  </v>
      </c>
      <c r="FI182" s="174" t="str">
        <f t="shared" si="361"/>
        <v>NG</v>
      </c>
      <c r="FJ182" s="268"/>
      <c r="FK182" s="172" t="s">
        <v>71</v>
      </c>
      <c r="FL182" s="233"/>
      <c r="FM182" s="268"/>
      <c r="FN182" s="235" t="str">
        <f t="shared" si="405"/>
        <v xml:space="preserve">  </v>
      </c>
      <c r="FO182" s="174" t="str">
        <f t="shared" si="378"/>
        <v>NG</v>
      </c>
      <c r="FP182" s="268"/>
      <c r="FQ182" s="172" t="s">
        <v>71</v>
      </c>
      <c r="FR182" s="233"/>
      <c r="FS182" s="268"/>
      <c r="FT182" s="235" t="str">
        <f t="shared" si="406"/>
        <v xml:space="preserve">  </v>
      </c>
      <c r="FU182" s="174" t="str">
        <f t="shared" si="379"/>
        <v>NG</v>
      </c>
      <c r="FV182" s="268"/>
      <c r="FW182" s="172" t="s">
        <v>71</v>
      </c>
      <c r="FX182" s="233"/>
      <c r="FY182" s="268"/>
      <c r="FZ182" s="235" t="str">
        <f t="shared" si="407"/>
        <v xml:space="preserve">  </v>
      </c>
      <c r="GA182" s="174" t="str">
        <f t="shared" si="380"/>
        <v>NG</v>
      </c>
      <c r="GB182" s="268"/>
      <c r="GC182" s="172" t="s">
        <v>71</v>
      </c>
    </row>
    <row r="183" spans="1:185" s="237" customFormat="1" ht="51.75" customHeight="1">
      <c r="B183" s="216">
        <f t="shared" si="408"/>
        <v>176</v>
      </c>
      <c r="C183" s="220"/>
      <c r="D183" s="220"/>
      <c r="E183" s="220"/>
      <c r="F183" s="240" t="s">
        <v>348</v>
      </c>
      <c r="G183" s="241"/>
      <c r="H183" s="242"/>
      <c r="I183" s="225"/>
      <c r="J183" s="225"/>
      <c r="K183" s="226"/>
      <c r="L183" s="226"/>
      <c r="M183" s="227" t="s">
        <v>349</v>
      </c>
      <c r="N183" s="228"/>
      <c r="O183" s="229"/>
      <c r="P183" s="45">
        <f t="shared" si="411"/>
        <v>155</v>
      </c>
      <c r="Q183" s="230">
        <v>5</v>
      </c>
      <c r="R183" s="41" t="str">
        <f t="shared" si="412"/>
        <v>X</v>
      </c>
      <c r="S183" s="185" t="s">
        <v>249</v>
      </c>
      <c r="T183" s="231"/>
      <c r="U183" s="41" t="s">
        <v>80</v>
      </c>
      <c r="V183" s="229"/>
      <c r="W183" s="232">
        <v>3</v>
      </c>
      <c r="X183" s="194" t="s">
        <v>250</v>
      </c>
      <c r="Y183" s="194">
        <v>5</v>
      </c>
      <c r="Z183" s="194">
        <v>5</v>
      </c>
      <c r="AA183" s="225" t="s">
        <v>163</v>
      </c>
      <c r="AB183" s="225" t="s">
        <v>57</v>
      </c>
      <c r="AC183" s="243"/>
      <c r="AD183" s="233"/>
      <c r="AE183" s="297"/>
      <c r="AF183" s="235" t="str">
        <f t="shared" si="383"/>
        <v xml:space="preserve">     </v>
      </c>
      <c r="AG183" s="174" t="str">
        <f t="shared" si="364"/>
        <v>NG</v>
      </c>
      <c r="AH183" s="297"/>
      <c r="AI183" s="276" t="str">
        <f>IF(OR(AE$8="判定対象外",AH$8="判定対象外",AH183="-"),"-",IF(AE183=AH183,"OK","NG"))</f>
        <v>OK</v>
      </c>
      <c r="AJ183" s="233"/>
      <c r="AK183" s="269"/>
      <c r="AL183" s="235" t="str">
        <f t="shared" si="382"/>
        <v xml:space="preserve">     </v>
      </c>
      <c r="AM183" s="174" t="str">
        <f t="shared" si="409"/>
        <v>NG</v>
      </c>
      <c r="AN183" s="297"/>
      <c r="AO183" s="276" t="str">
        <f>IF(OR(AK$8="判定対象外",AN$8="判定対象外",AN183="-"),"-",IF(AK183=AN183,"OK","NG"))</f>
        <v>OK</v>
      </c>
      <c r="AP183" s="233"/>
      <c r="AQ183" s="297"/>
      <c r="AR183" s="235" t="str">
        <f t="shared" si="384"/>
        <v xml:space="preserve">     </v>
      </c>
      <c r="AS183" s="174" t="str">
        <f t="shared" si="365"/>
        <v>NG</v>
      </c>
      <c r="AT183" s="297"/>
      <c r="AU183" s="276" t="str">
        <f>IF(OR(AQ$8="判定対象外",AT$8="判定対象外",AT183="-"),"-",IF(AQ183=AT183,"OK","NG"))</f>
        <v>OK</v>
      </c>
      <c r="AV183" s="233"/>
      <c r="AW183" s="297"/>
      <c r="AX183" s="235" t="str">
        <f t="shared" si="385"/>
        <v xml:space="preserve">     </v>
      </c>
      <c r="AY183" s="174" t="str">
        <f t="shared" si="366"/>
        <v>NG</v>
      </c>
      <c r="AZ183" s="297"/>
      <c r="BA183" s="276" t="str">
        <f>IF(OR(AW$8="判定対象外",AZ$8="判定対象外",AZ183="-"),"-",IF(AW183=AZ183,"OK","NG"))</f>
        <v>OK</v>
      </c>
      <c r="BB183" s="233"/>
      <c r="BC183" s="297"/>
      <c r="BD183" s="235" t="str">
        <f t="shared" si="386"/>
        <v xml:space="preserve">     </v>
      </c>
      <c r="BE183" s="174" t="str">
        <f t="shared" si="367"/>
        <v>NG</v>
      </c>
      <c r="BF183" s="297"/>
      <c r="BG183" s="276" t="str">
        <f>IF(OR(BC$8="判定対象外",BF$8="判定対象外",BF183="-"),"-",IF(BC183=BF183,"OK","NG"))</f>
        <v>OK</v>
      </c>
      <c r="BH183" s="233"/>
      <c r="BI183" s="297"/>
      <c r="BJ183" s="235" t="str">
        <f t="shared" si="387"/>
        <v xml:space="preserve">     </v>
      </c>
      <c r="BK183" s="174" t="str">
        <f t="shared" si="368"/>
        <v>NG</v>
      </c>
      <c r="BL183" s="297"/>
      <c r="BM183" s="276" t="str">
        <f>IF(OR(BI$8="判定対象外",BL$8="判定対象外",BL183="-"),"-",IF(BI183=BL183,"OK","NG"))</f>
        <v>OK</v>
      </c>
      <c r="BN183" s="233"/>
      <c r="BO183" s="297"/>
      <c r="BP183" s="235" t="str">
        <f t="shared" si="388"/>
        <v xml:space="preserve">     </v>
      </c>
      <c r="BQ183" s="174" t="str">
        <f t="shared" si="369"/>
        <v>NG</v>
      </c>
      <c r="BR183" s="297"/>
      <c r="BS183" s="276" t="str">
        <f>IF(OR(BO$8="判定対象外",BR$8="判定対象外",BR183="-"),"-",IF(BO183=BR183,"OK","NG"))</f>
        <v>OK</v>
      </c>
      <c r="BT183" s="233"/>
      <c r="BU183" s="297"/>
      <c r="BV183" s="235" t="str">
        <f t="shared" si="389"/>
        <v xml:space="preserve">     </v>
      </c>
      <c r="BW183" s="174" t="str">
        <f t="shared" si="370"/>
        <v>NG</v>
      </c>
      <c r="BX183" s="297"/>
      <c r="BY183" s="276" t="str">
        <f>IF(OR(BU$8="判定対象外",BX$8="判定対象外",BX183="-"),"-",IF(BU183=BX183,"OK","NG"))</f>
        <v>OK</v>
      </c>
      <c r="BZ183" s="233"/>
      <c r="CA183" s="297"/>
      <c r="CB183" s="235" t="str">
        <f t="shared" si="390"/>
        <v xml:space="preserve">     </v>
      </c>
      <c r="CC183" s="174" t="str">
        <f t="shared" si="371"/>
        <v>NG</v>
      </c>
      <c r="CD183" s="297"/>
      <c r="CE183" s="276" t="str">
        <f>IF(OR(CA$8="判定対象外",CD$8="判定対象外",CD183="-"),"-",IF(CA183=CD183,"OK","NG"))</f>
        <v>OK</v>
      </c>
      <c r="CF183" s="233"/>
      <c r="CG183" s="297"/>
      <c r="CH183" s="235" t="str">
        <f t="shared" si="391"/>
        <v xml:space="preserve">     </v>
      </c>
      <c r="CI183" s="174" t="str">
        <f t="shared" si="372"/>
        <v>NG</v>
      </c>
      <c r="CJ183" s="297"/>
      <c r="CK183" s="276" t="str">
        <f>IF(OR(CG$8="判定対象外",CJ$8="判定対象外",CJ183="-"),"-",IF(CG183=CJ183,"OK","NG"))</f>
        <v>OK</v>
      </c>
      <c r="CL183" s="233"/>
      <c r="CM183" s="297"/>
      <c r="CN183" s="235" t="str">
        <f t="shared" si="392"/>
        <v xml:space="preserve">     </v>
      </c>
      <c r="CO183" s="174" t="str">
        <f t="shared" si="373"/>
        <v>NG</v>
      </c>
      <c r="CP183" s="297"/>
      <c r="CQ183" s="276" t="str">
        <f>IF(OR(CM$8="判定対象外",CP$8="判定対象外",CP183="-"),"-",IF(CM183=CP183,"OK","NG"))</f>
        <v>OK</v>
      </c>
      <c r="CR183" s="233"/>
      <c r="CS183" s="297"/>
      <c r="CT183" s="235" t="str">
        <f t="shared" si="393"/>
        <v xml:space="preserve">     </v>
      </c>
      <c r="CU183" s="174" t="str">
        <f t="shared" si="374"/>
        <v>NG</v>
      </c>
      <c r="CV183" s="297"/>
      <c r="CW183" s="276" t="str">
        <f>IF(OR(CS$8="判定対象外",CV$8="判定対象外",CV183="-"),"-",IF(CS183=CV183,"OK","NG"))</f>
        <v>OK</v>
      </c>
      <c r="CX183" s="233"/>
      <c r="CY183" s="297"/>
      <c r="CZ183" s="235" t="str">
        <f t="shared" si="394"/>
        <v xml:space="preserve">     </v>
      </c>
      <c r="DA183" s="174" t="str">
        <f t="shared" si="375"/>
        <v>NG</v>
      </c>
      <c r="DB183" s="297"/>
      <c r="DC183" s="276" t="str">
        <f>IF(OR(CY$8="判定対象外",DB$8="判定対象外",DB183="-"),"-",IF(CY183=DB183,"OK","NG"))</f>
        <v>OK</v>
      </c>
      <c r="DD183" s="233"/>
      <c r="DE183" s="297"/>
      <c r="DF183" s="235" t="str">
        <f t="shared" si="395"/>
        <v xml:space="preserve">     </v>
      </c>
      <c r="DG183" s="174" t="str">
        <f t="shared" si="376"/>
        <v>NG</v>
      </c>
      <c r="DH183" s="297"/>
      <c r="DI183" s="276" t="str">
        <f>IF(OR(DE$8="判定対象外",DH$8="判定対象外",DH183="-"),"-",IF(DE183=DH183,"OK","NG"))</f>
        <v>OK</v>
      </c>
      <c r="DJ183" s="233"/>
      <c r="DK183" s="297"/>
      <c r="DL183" s="235" t="str">
        <f t="shared" si="396"/>
        <v xml:space="preserve">     </v>
      </c>
      <c r="DM183" s="174" t="str">
        <f t="shared" si="377"/>
        <v>NG</v>
      </c>
      <c r="DN183" s="297"/>
      <c r="DO183" s="276" t="str">
        <f>IF(OR(DK$8="判定対象外",DN$8="判定対象外",DN183="-"),"-",IF(DK183=DN183,"OK","NG"))</f>
        <v>OK</v>
      </c>
      <c r="DP183" s="233"/>
      <c r="DQ183" s="297"/>
      <c r="DR183" s="235" t="str">
        <f t="shared" si="397"/>
        <v xml:space="preserve">     </v>
      </c>
      <c r="DS183" s="174" t="str">
        <f t="shared" si="354"/>
        <v>NG</v>
      </c>
      <c r="DT183" s="297"/>
      <c r="DU183" s="276" t="str">
        <f>IF(OR(DQ$8="判定対象外",DT$8="判定対象外",DT183="-"),"-",IF(DQ183=DT183,"OK","NG"))</f>
        <v>OK</v>
      </c>
      <c r="DV183" s="233"/>
      <c r="DW183" s="297"/>
      <c r="DX183" s="235" t="str">
        <f t="shared" si="398"/>
        <v xml:space="preserve">     </v>
      </c>
      <c r="DY183" s="174" t="str">
        <f t="shared" si="355"/>
        <v>NG</v>
      </c>
      <c r="DZ183" s="297"/>
      <c r="EA183" s="276" t="str">
        <f>IF(OR(DW$8="判定対象外",DZ$8="判定対象外",DZ183="-"),"-",IF(DW183=DZ183,"OK","NG"))</f>
        <v>OK</v>
      </c>
      <c r="EB183" s="233"/>
      <c r="EC183" s="297"/>
      <c r="ED183" s="235" t="str">
        <f t="shared" si="399"/>
        <v xml:space="preserve">     </v>
      </c>
      <c r="EE183" s="174" t="str">
        <f t="shared" si="356"/>
        <v>NG</v>
      </c>
      <c r="EF183" s="297"/>
      <c r="EG183" s="276" t="str">
        <f>IF(OR(EC$8="判定対象外",EF$8="判定対象外",EF183="-"),"-",IF(EC183=EF183,"OK","NG"))</f>
        <v>OK</v>
      </c>
      <c r="EH183" s="233"/>
      <c r="EI183" s="297"/>
      <c r="EJ183" s="235" t="str">
        <f t="shared" si="400"/>
        <v xml:space="preserve">     </v>
      </c>
      <c r="EK183" s="174" t="str">
        <f t="shared" si="357"/>
        <v>NG</v>
      </c>
      <c r="EL183" s="297"/>
      <c r="EM183" s="276" t="str">
        <f>IF(OR(EI$8="判定対象外",EL$8="判定対象外",EL183="-"),"-",IF(EI183=EL183,"OK","NG"))</f>
        <v>OK</v>
      </c>
      <c r="EN183" s="233"/>
      <c r="EO183" s="297"/>
      <c r="EP183" s="235" t="str">
        <f t="shared" si="401"/>
        <v xml:space="preserve">     </v>
      </c>
      <c r="EQ183" s="174" t="str">
        <f t="shared" si="358"/>
        <v>NG</v>
      </c>
      <c r="ER183" s="297"/>
      <c r="ES183" s="276" t="str">
        <f>IF(OR(EO$8="判定対象外",ER$8="判定対象外",ER183="-"),"-",IF(EO183=ER183,"OK","NG"))</f>
        <v>OK</v>
      </c>
      <c r="ET183" s="233"/>
      <c r="EU183" s="297"/>
      <c r="EV183" s="235" t="str">
        <f t="shared" si="402"/>
        <v xml:space="preserve">     </v>
      </c>
      <c r="EW183" s="174" t="str">
        <f t="shared" si="359"/>
        <v>NG</v>
      </c>
      <c r="EX183" s="297"/>
      <c r="EY183" s="276" t="str">
        <f>IF(OR(EU$8="判定対象外",EX$8="判定対象外",EX183="-"),"-",IF(EU183=EX183,"OK","NG"))</f>
        <v>OK</v>
      </c>
      <c r="EZ183" s="233"/>
      <c r="FA183" s="297"/>
      <c r="FB183" s="235" t="str">
        <f t="shared" si="403"/>
        <v xml:space="preserve">     </v>
      </c>
      <c r="FC183" s="174" t="str">
        <f t="shared" si="360"/>
        <v>NG</v>
      </c>
      <c r="FD183" s="297"/>
      <c r="FE183" s="276" t="str">
        <f>IF(OR(FA$8="判定対象外",FD$8="判定対象外",FD183="-"),"-",IF(FA183=FD183,"OK","NG"))</f>
        <v>OK</v>
      </c>
      <c r="FF183" s="233"/>
      <c r="FG183" s="297"/>
      <c r="FH183" s="235" t="str">
        <f t="shared" si="404"/>
        <v xml:space="preserve">     </v>
      </c>
      <c r="FI183" s="174" t="str">
        <f t="shared" si="361"/>
        <v>NG</v>
      </c>
      <c r="FJ183" s="297"/>
      <c r="FK183" s="276" t="str">
        <f>IF(OR(FG$8="判定対象外",FJ$8="判定対象外",FJ183="-"),"-",IF(FG183=FJ183,"OK","NG"))</f>
        <v>OK</v>
      </c>
      <c r="FL183" s="233"/>
      <c r="FM183" s="297"/>
      <c r="FN183" s="235" t="str">
        <f t="shared" si="405"/>
        <v xml:space="preserve">     </v>
      </c>
      <c r="FO183" s="174" t="str">
        <f t="shared" si="378"/>
        <v>NG</v>
      </c>
      <c r="FP183" s="297"/>
      <c r="FQ183" s="276" t="str">
        <f>IF(OR(FM$8="判定対象外",FP$8="判定対象外",FP183="-"),"-",IF(FM183=FP183,"OK","NG"))</f>
        <v>OK</v>
      </c>
      <c r="FR183" s="233"/>
      <c r="FS183" s="297"/>
      <c r="FT183" s="235" t="str">
        <f t="shared" si="406"/>
        <v xml:space="preserve">     </v>
      </c>
      <c r="FU183" s="174" t="str">
        <f t="shared" si="379"/>
        <v>NG</v>
      </c>
      <c r="FV183" s="297"/>
      <c r="FW183" s="276" t="str">
        <f>IF(OR(FS$8="判定対象外",FV$8="判定対象外",FV183="-"),"-",IF(FS183=FV183,"OK","NG"))</f>
        <v>OK</v>
      </c>
      <c r="FX183" s="233"/>
      <c r="FY183" s="297"/>
      <c r="FZ183" s="235" t="str">
        <f t="shared" si="407"/>
        <v xml:space="preserve">     </v>
      </c>
      <c r="GA183" s="174" t="str">
        <f t="shared" si="380"/>
        <v>NG</v>
      </c>
      <c r="GB183" s="297"/>
      <c r="GC183" s="276" t="str">
        <f>IF(OR(FY$8="判定対象外",GB$8="判定対象外",GB183="-"),"-",IF(FY183=GB183,"OK","NG"))</f>
        <v>OK</v>
      </c>
    </row>
    <row r="184" spans="1:185" s="237" customFormat="1" ht="51.75" customHeight="1">
      <c r="B184" s="216">
        <f t="shared" si="408"/>
        <v>177</v>
      </c>
      <c r="C184" s="220"/>
      <c r="D184" s="220"/>
      <c r="E184" s="220"/>
      <c r="F184" s="240" t="s">
        <v>350</v>
      </c>
      <c r="G184" s="241"/>
      <c r="H184" s="242"/>
      <c r="I184" s="225"/>
      <c r="J184" s="225"/>
      <c r="K184" s="226"/>
      <c r="L184" s="226"/>
      <c r="M184" s="227" t="s">
        <v>351</v>
      </c>
      <c r="N184" s="228"/>
      <c r="O184" s="229"/>
      <c r="P184" s="45">
        <f t="shared" si="411"/>
        <v>156</v>
      </c>
      <c r="Q184" s="230">
        <v>64</v>
      </c>
      <c r="R184" s="41" t="str">
        <f t="shared" si="412"/>
        <v>NX</v>
      </c>
      <c r="S184" s="185" t="s">
        <v>251</v>
      </c>
      <c r="T184" s="231"/>
      <c r="U184" s="41" t="s">
        <v>80</v>
      </c>
      <c r="V184" s="229" t="s">
        <v>252</v>
      </c>
      <c r="W184" s="232">
        <v>3</v>
      </c>
      <c r="X184" s="194" t="s">
        <v>269</v>
      </c>
      <c r="Y184" s="194">
        <v>1</v>
      </c>
      <c r="Z184" s="194">
        <v>64</v>
      </c>
      <c r="AA184" s="225" t="s">
        <v>270</v>
      </c>
      <c r="AB184" s="225" t="s">
        <v>57</v>
      </c>
      <c r="AC184" s="243" t="s">
        <v>268</v>
      </c>
      <c r="AD184" s="233"/>
      <c r="AE184" s="297"/>
      <c r="AF184" s="235" t="str">
        <f t="shared" si="383"/>
        <v xml:space="preserve">                                                                </v>
      </c>
      <c r="AG184" s="174" t="str">
        <f t="shared" si="364"/>
        <v>NG</v>
      </c>
      <c r="AH184" s="297"/>
      <c r="AI184" s="276" t="str">
        <f>IF(OR(AE$8="判定対象外",AH$8="判定対象外",AH184="-"),"-",IF(AE184=AH184,"OK","NG"))</f>
        <v>OK</v>
      </c>
      <c r="AJ184" s="233"/>
      <c r="AK184" s="269"/>
      <c r="AL184" s="235" t="str">
        <f t="shared" si="382"/>
        <v xml:space="preserve">                                                                </v>
      </c>
      <c r="AM184" s="174" t="str">
        <f t="shared" si="409"/>
        <v>NG</v>
      </c>
      <c r="AN184" s="269"/>
      <c r="AO184" s="276" t="str">
        <f>IF(OR(AK$8="判定対象外",AN$8="判定対象外",AN184="-"),"-",IF(AK184=AN184,"OK","NG"))</f>
        <v>OK</v>
      </c>
      <c r="AP184" s="233"/>
      <c r="AQ184" s="297"/>
      <c r="AR184" s="235" t="str">
        <f t="shared" si="384"/>
        <v xml:space="preserve">                                                                </v>
      </c>
      <c r="AS184" s="174" t="str">
        <f t="shared" si="365"/>
        <v>NG</v>
      </c>
      <c r="AT184" s="297"/>
      <c r="AU184" s="276" t="str">
        <f>IF(OR(AQ$8="判定対象外",AT$8="判定対象外",AT184="-"),"-",IF(AQ184=AT184,"OK","NG"))</f>
        <v>OK</v>
      </c>
      <c r="AV184" s="233"/>
      <c r="AW184" s="297"/>
      <c r="AX184" s="235" t="str">
        <f t="shared" si="385"/>
        <v xml:space="preserve">                                                                </v>
      </c>
      <c r="AY184" s="174" t="str">
        <f t="shared" si="366"/>
        <v>NG</v>
      </c>
      <c r="AZ184" s="297"/>
      <c r="BA184" s="276" t="str">
        <f>IF(OR(AW$8="判定対象外",AZ$8="判定対象外",AZ184="-"),"-",IF(AW184=AZ184,"OK","NG"))</f>
        <v>OK</v>
      </c>
      <c r="BB184" s="233"/>
      <c r="BC184" s="297"/>
      <c r="BD184" s="235" t="str">
        <f t="shared" si="386"/>
        <v xml:space="preserve">                                                                </v>
      </c>
      <c r="BE184" s="174" t="str">
        <f t="shared" si="367"/>
        <v>NG</v>
      </c>
      <c r="BF184" s="297"/>
      <c r="BG184" s="276" t="str">
        <f>IF(OR(BC$8="判定対象外",BF$8="判定対象外",BF184="-"),"-",IF(BC184=BF184,"OK","NG"))</f>
        <v>OK</v>
      </c>
      <c r="BH184" s="233"/>
      <c r="BI184" s="297"/>
      <c r="BJ184" s="235" t="str">
        <f t="shared" si="387"/>
        <v xml:space="preserve">                                                                </v>
      </c>
      <c r="BK184" s="174" t="str">
        <f t="shared" si="368"/>
        <v>NG</v>
      </c>
      <c r="BL184" s="297"/>
      <c r="BM184" s="276" t="str">
        <f>IF(OR(BI$8="判定対象外",BL$8="判定対象外",BL184="-"),"-",IF(BI184=BL184,"OK","NG"))</f>
        <v>OK</v>
      </c>
      <c r="BN184" s="233"/>
      <c r="BO184" s="297"/>
      <c r="BP184" s="235" t="str">
        <f t="shared" si="388"/>
        <v xml:space="preserve">                                                                </v>
      </c>
      <c r="BQ184" s="174" t="str">
        <f t="shared" si="369"/>
        <v>NG</v>
      </c>
      <c r="BR184" s="297"/>
      <c r="BS184" s="276" t="str">
        <f>IF(OR(BO$8="判定対象外",BR$8="判定対象外",BR184="-"),"-",IF(BO184=BR184,"OK","NG"))</f>
        <v>OK</v>
      </c>
      <c r="BT184" s="233"/>
      <c r="BU184" s="297"/>
      <c r="BV184" s="235" t="str">
        <f t="shared" si="389"/>
        <v xml:space="preserve">                                                                </v>
      </c>
      <c r="BW184" s="174" t="str">
        <f t="shared" si="370"/>
        <v>NG</v>
      </c>
      <c r="BX184" s="297"/>
      <c r="BY184" s="276" t="str">
        <f>IF(OR(BU$8="判定対象外",BX$8="判定対象外",BX184="-"),"-",IF(BU184=BX184,"OK","NG"))</f>
        <v>OK</v>
      </c>
      <c r="BZ184" s="233"/>
      <c r="CA184" s="297"/>
      <c r="CB184" s="235" t="str">
        <f t="shared" si="390"/>
        <v xml:space="preserve">                                                                </v>
      </c>
      <c r="CC184" s="174" t="str">
        <f t="shared" si="371"/>
        <v>NG</v>
      </c>
      <c r="CD184" s="297"/>
      <c r="CE184" s="276" t="str">
        <f>IF(OR(CA$8="判定対象外",CD$8="判定対象外",CD184="-"),"-",IF(CA184=CD184,"OK","NG"))</f>
        <v>OK</v>
      </c>
      <c r="CF184" s="233"/>
      <c r="CG184" s="297"/>
      <c r="CH184" s="235" t="str">
        <f t="shared" si="391"/>
        <v xml:space="preserve">                                                                </v>
      </c>
      <c r="CI184" s="174" t="str">
        <f t="shared" si="372"/>
        <v>NG</v>
      </c>
      <c r="CJ184" s="297"/>
      <c r="CK184" s="276" t="str">
        <f>IF(OR(CG$8="判定対象外",CJ$8="判定対象外",CJ184="-"),"-",IF(CG184=CJ184,"OK","NG"))</f>
        <v>OK</v>
      </c>
      <c r="CL184" s="233"/>
      <c r="CM184" s="297"/>
      <c r="CN184" s="235" t="str">
        <f t="shared" si="392"/>
        <v xml:space="preserve">                                                                </v>
      </c>
      <c r="CO184" s="174" t="str">
        <f t="shared" si="373"/>
        <v>NG</v>
      </c>
      <c r="CP184" s="297"/>
      <c r="CQ184" s="276" t="str">
        <f>IF(OR(CM$8="判定対象外",CP$8="判定対象外",CP184="-"),"-",IF(CM184=CP184,"OK","NG"))</f>
        <v>OK</v>
      </c>
      <c r="CR184" s="233"/>
      <c r="CS184" s="297"/>
      <c r="CT184" s="235" t="str">
        <f t="shared" si="393"/>
        <v xml:space="preserve">                                                                </v>
      </c>
      <c r="CU184" s="174" t="str">
        <f t="shared" si="374"/>
        <v>NG</v>
      </c>
      <c r="CV184" s="297"/>
      <c r="CW184" s="276" t="str">
        <f>IF(OR(CS$8="判定対象外",CV$8="判定対象外",CV184="-"),"-",IF(CS184=CV184,"OK","NG"))</f>
        <v>OK</v>
      </c>
      <c r="CX184" s="233"/>
      <c r="CY184" s="297"/>
      <c r="CZ184" s="235" t="str">
        <f t="shared" si="394"/>
        <v xml:space="preserve">                                                                </v>
      </c>
      <c r="DA184" s="174" t="str">
        <f t="shared" si="375"/>
        <v>NG</v>
      </c>
      <c r="DB184" s="297"/>
      <c r="DC184" s="276" t="str">
        <f>IF(OR(CY$8="判定対象外",DB$8="判定対象外",DB184="-"),"-",IF(CY184=DB184,"OK","NG"))</f>
        <v>OK</v>
      </c>
      <c r="DD184" s="233"/>
      <c r="DE184" s="297"/>
      <c r="DF184" s="235" t="str">
        <f t="shared" si="395"/>
        <v xml:space="preserve">                                                                </v>
      </c>
      <c r="DG184" s="174" t="str">
        <f t="shared" si="376"/>
        <v>NG</v>
      </c>
      <c r="DH184" s="297"/>
      <c r="DI184" s="276" t="str">
        <f>IF(OR(DE$8="判定対象外",DH$8="判定対象外",DH184="-"),"-",IF(DE184=DH184,"OK","NG"))</f>
        <v>OK</v>
      </c>
      <c r="DJ184" s="233"/>
      <c r="DK184" s="297"/>
      <c r="DL184" s="235" t="str">
        <f t="shared" si="396"/>
        <v xml:space="preserve">                                                                </v>
      </c>
      <c r="DM184" s="174" t="str">
        <f t="shared" si="377"/>
        <v>NG</v>
      </c>
      <c r="DN184" s="297"/>
      <c r="DO184" s="276" t="str">
        <f>IF(OR(DK$8="判定対象外",DN$8="判定対象外",DN184="-"),"-",IF(DK184=DN184,"OK","NG"))</f>
        <v>OK</v>
      </c>
      <c r="DP184" s="233"/>
      <c r="DQ184" s="297"/>
      <c r="DR184" s="235" t="str">
        <f t="shared" si="397"/>
        <v xml:space="preserve">                                                                </v>
      </c>
      <c r="DS184" s="174" t="str">
        <f t="shared" si="354"/>
        <v>NG</v>
      </c>
      <c r="DT184" s="297"/>
      <c r="DU184" s="276" t="str">
        <f>IF(OR(DQ$8="判定対象外",DT$8="判定対象外",DT184="-"),"-",IF(DQ184=DT184,"OK","NG"))</f>
        <v>OK</v>
      </c>
      <c r="DV184" s="233"/>
      <c r="DW184" s="297"/>
      <c r="DX184" s="235" t="str">
        <f t="shared" si="398"/>
        <v xml:space="preserve">                                                                </v>
      </c>
      <c r="DY184" s="174" t="str">
        <f t="shared" si="355"/>
        <v>NG</v>
      </c>
      <c r="DZ184" s="297"/>
      <c r="EA184" s="276" t="str">
        <f>IF(OR(DW$8="判定対象外",DZ$8="判定対象外",DZ184="-"),"-",IF(DW184=DZ184,"OK","NG"))</f>
        <v>OK</v>
      </c>
      <c r="EB184" s="233"/>
      <c r="EC184" s="297"/>
      <c r="ED184" s="235" t="str">
        <f t="shared" si="399"/>
        <v xml:space="preserve">                                                                </v>
      </c>
      <c r="EE184" s="174" t="str">
        <f t="shared" si="356"/>
        <v>NG</v>
      </c>
      <c r="EF184" s="297"/>
      <c r="EG184" s="276" t="str">
        <f>IF(OR(EC$8="判定対象外",EF$8="判定対象外",EF184="-"),"-",IF(EC184=EF184,"OK","NG"))</f>
        <v>OK</v>
      </c>
      <c r="EH184" s="233"/>
      <c r="EI184" s="297"/>
      <c r="EJ184" s="235" t="str">
        <f t="shared" si="400"/>
        <v xml:space="preserve">                                                                </v>
      </c>
      <c r="EK184" s="174" t="str">
        <f t="shared" si="357"/>
        <v>NG</v>
      </c>
      <c r="EL184" s="297"/>
      <c r="EM184" s="276" t="str">
        <f>IF(OR(EI$8="判定対象外",EL$8="判定対象外",EL184="-"),"-",IF(EI184=EL184,"OK","NG"))</f>
        <v>OK</v>
      </c>
      <c r="EN184" s="233"/>
      <c r="EO184" s="297"/>
      <c r="EP184" s="235" t="str">
        <f t="shared" si="401"/>
        <v xml:space="preserve">                                                                </v>
      </c>
      <c r="EQ184" s="174" t="str">
        <f t="shared" si="358"/>
        <v>NG</v>
      </c>
      <c r="ER184" s="297"/>
      <c r="ES184" s="276" t="str">
        <f>IF(OR(EO$8="判定対象外",ER$8="判定対象外",ER184="-"),"-",IF(EO184=ER184,"OK","NG"))</f>
        <v>OK</v>
      </c>
      <c r="ET184" s="233"/>
      <c r="EU184" s="297"/>
      <c r="EV184" s="235" t="str">
        <f t="shared" si="402"/>
        <v xml:space="preserve">                                                                </v>
      </c>
      <c r="EW184" s="174" t="str">
        <f t="shared" si="359"/>
        <v>NG</v>
      </c>
      <c r="EX184" s="297"/>
      <c r="EY184" s="276" t="str">
        <f>IF(OR(EU$8="判定対象外",EX$8="判定対象外",EX184="-"),"-",IF(EU184=EX184,"OK","NG"))</f>
        <v>OK</v>
      </c>
      <c r="EZ184" s="233"/>
      <c r="FA184" s="297"/>
      <c r="FB184" s="235" t="str">
        <f t="shared" si="403"/>
        <v xml:space="preserve">                                                                </v>
      </c>
      <c r="FC184" s="174" t="str">
        <f t="shared" si="360"/>
        <v>NG</v>
      </c>
      <c r="FD184" s="297"/>
      <c r="FE184" s="276" t="str">
        <f>IF(OR(FA$8="判定対象外",FD$8="判定対象外",FD184="-"),"-",IF(FA184=FD184,"OK","NG"))</f>
        <v>OK</v>
      </c>
      <c r="FF184" s="233"/>
      <c r="FG184" s="297"/>
      <c r="FH184" s="235" t="str">
        <f t="shared" si="404"/>
        <v xml:space="preserve">                                                                </v>
      </c>
      <c r="FI184" s="174" t="str">
        <f t="shared" si="361"/>
        <v>NG</v>
      </c>
      <c r="FJ184" s="297"/>
      <c r="FK184" s="276" t="str">
        <f>IF(OR(FG$8="判定対象外",FJ$8="判定対象外",FJ184="-"),"-",IF(FG184=FJ184,"OK","NG"))</f>
        <v>OK</v>
      </c>
      <c r="FL184" s="233"/>
      <c r="FM184" s="297"/>
      <c r="FN184" s="235" t="str">
        <f t="shared" si="405"/>
        <v xml:space="preserve">                                                                </v>
      </c>
      <c r="FO184" s="174" t="str">
        <f t="shared" si="378"/>
        <v>NG</v>
      </c>
      <c r="FP184" s="297"/>
      <c r="FQ184" s="276" t="str">
        <f>IF(OR(FM$8="判定対象外",FP$8="判定対象外",FP184="-"),"-",IF(FM184=FP184,"OK","NG"))</f>
        <v>OK</v>
      </c>
      <c r="FR184" s="233"/>
      <c r="FS184" s="297"/>
      <c r="FT184" s="235" t="str">
        <f t="shared" si="406"/>
        <v xml:space="preserve">                                                                </v>
      </c>
      <c r="FU184" s="174" t="str">
        <f t="shared" si="379"/>
        <v>NG</v>
      </c>
      <c r="FV184" s="297"/>
      <c r="FW184" s="276" t="str">
        <f>IF(OR(FS$8="判定対象外",FV$8="判定対象外",FV184="-"),"-",IF(FS184=FV184,"OK","NG"))</f>
        <v>OK</v>
      </c>
      <c r="FX184" s="233"/>
      <c r="FY184" s="297"/>
      <c r="FZ184" s="235" t="str">
        <f t="shared" si="407"/>
        <v xml:space="preserve">                                                                </v>
      </c>
      <c r="GA184" s="174" t="str">
        <f t="shared" si="380"/>
        <v>NG</v>
      </c>
      <c r="GB184" s="297"/>
      <c r="GC184" s="276" t="str">
        <f>IF(OR(FY$8="判定対象外",GB$8="判定対象外",GB184="-"),"-",IF(FY184=GB184,"OK","NG"))</f>
        <v>OK</v>
      </c>
    </row>
    <row r="185" spans="1:185" s="237" customFormat="1" ht="92.25" customHeight="1">
      <c r="B185" s="216">
        <f t="shared" si="408"/>
        <v>178</v>
      </c>
      <c r="C185" s="220"/>
      <c r="D185" s="220"/>
      <c r="E185" s="220"/>
      <c r="F185" s="238" t="s">
        <v>352</v>
      </c>
      <c r="G185" s="168"/>
      <c r="H185" s="239"/>
      <c r="I185" s="225"/>
      <c r="J185" s="225"/>
      <c r="K185" s="226"/>
      <c r="L185" s="226"/>
      <c r="M185" s="279" t="s">
        <v>353</v>
      </c>
      <c r="N185" s="228"/>
      <c r="O185" s="229"/>
      <c r="P185" s="45">
        <f t="shared" si="411"/>
        <v>157</v>
      </c>
      <c r="Q185" s="230">
        <v>7</v>
      </c>
      <c r="R185" s="41" t="s">
        <v>81</v>
      </c>
      <c r="S185" s="185" t="s">
        <v>254</v>
      </c>
      <c r="T185" s="231"/>
      <c r="U185" s="41" t="s">
        <v>80</v>
      </c>
      <c r="V185" s="229"/>
      <c r="W185" s="232">
        <v>3</v>
      </c>
      <c r="X185" s="194" t="s">
        <v>255</v>
      </c>
      <c r="Y185" s="194">
        <v>7</v>
      </c>
      <c r="Z185" s="194">
        <v>7</v>
      </c>
      <c r="AA185" s="225" t="s">
        <v>81</v>
      </c>
      <c r="AB185" s="225" t="s">
        <v>57</v>
      </c>
      <c r="AC185" s="243"/>
      <c r="AD185" s="233"/>
      <c r="AE185" s="268"/>
      <c r="AF185" s="235" t="str">
        <f t="shared" si="383"/>
        <v xml:space="preserve">       </v>
      </c>
      <c r="AG185" s="174" t="str">
        <f t="shared" si="364"/>
        <v>NG</v>
      </c>
      <c r="AH185" s="268"/>
      <c r="AI185" s="276" t="str">
        <f>IF(OR(AE$8="判定対象外",AH$8="判定対象外",AH185="-"),"-",IF(AE185=AH185,"OK","NG"))</f>
        <v>OK</v>
      </c>
      <c r="AJ185" s="233"/>
      <c r="AK185" s="234"/>
      <c r="AL185" s="235" t="str">
        <f t="shared" si="382"/>
        <v xml:space="preserve">       </v>
      </c>
      <c r="AM185" s="174" t="str">
        <f t="shared" si="409"/>
        <v>NG</v>
      </c>
      <c r="AN185" s="268"/>
      <c r="AO185" s="276" t="str">
        <f>IF(OR(AK$8="判定対象外",AN$8="判定対象外",AN185="-"),"-",IF(AK185=AN185,"OK","NG"))</f>
        <v>OK</v>
      </c>
      <c r="AP185" s="233"/>
      <c r="AQ185" s="268"/>
      <c r="AR185" s="235" t="str">
        <f t="shared" si="384"/>
        <v xml:space="preserve">       </v>
      </c>
      <c r="AS185" s="174" t="str">
        <f t="shared" si="365"/>
        <v>NG</v>
      </c>
      <c r="AT185" s="268"/>
      <c r="AU185" s="276" t="str">
        <f>IF(OR(AQ$8="判定対象外",AT$8="判定対象外",AT185="-"),"-",IF(AQ185=AT185,"OK","NG"))</f>
        <v>OK</v>
      </c>
      <c r="AV185" s="233"/>
      <c r="AW185" s="268"/>
      <c r="AX185" s="235" t="str">
        <f t="shared" si="385"/>
        <v xml:space="preserve">       </v>
      </c>
      <c r="AY185" s="174" t="str">
        <f t="shared" si="366"/>
        <v>NG</v>
      </c>
      <c r="AZ185" s="268"/>
      <c r="BA185" s="276" t="str">
        <f>IF(OR(AW$8="判定対象外",AZ$8="判定対象外",AZ185="-"),"-",IF(AW185=AZ185,"OK","NG"))</f>
        <v>OK</v>
      </c>
      <c r="BB185" s="233"/>
      <c r="BC185" s="268"/>
      <c r="BD185" s="235" t="str">
        <f t="shared" si="386"/>
        <v xml:space="preserve">       </v>
      </c>
      <c r="BE185" s="174" t="str">
        <f t="shared" si="367"/>
        <v>NG</v>
      </c>
      <c r="BF185" s="268"/>
      <c r="BG185" s="276" t="str">
        <f>IF(OR(BC$8="判定対象外",BF$8="判定対象外",BF185="-"),"-",IF(BC185=BF185,"OK","NG"))</f>
        <v>OK</v>
      </c>
      <c r="BH185" s="233"/>
      <c r="BI185" s="268"/>
      <c r="BJ185" s="235" t="str">
        <f t="shared" si="387"/>
        <v xml:space="preserve">       </v>
      </c>
      <c r="BK185" s="174" t="str">
        <f t="shared" si="368"/>
        <v>NG</v>
      </c>
      <c r="BL185" s="268"/>
      <c r="BM185" s="276" t="str">
        <f>IF(OR(BI$8="判定対象外",BL$8="判定対象外",BL185="-"),"-",IF(BI185=BL185,"OK","NG"))</f>
        <v>OK</v>
      </c>
      <c r="BN185" s="233"/>
      <c r="BO185" s="268"/>
      <c r="BP185" s="235" t="str">
        <f t="shared" si="388"/>
        <v xml:space="preserve">       </v>
      </c>
      <c r="BQ185" s="174" t="str">
        <f t="shared" si="369"/>
        <v>NG</v>
      </c>
      <c r="BR185" s="268"/>
      <c r="BS185" s="276" t="str">
        <f>IF(OR(BO$8="判定対象外",BR$8="判定対象外",BR185="-"),"-",IF(BO185=BR185,"OK","NG"))</f>
        <v>OK</v>
      </c>
      <c r="BT185" s="233"/>
      <c r="BU185" s="268"/>
      <c r="BV185" s="235" t="str">
        <f t="shared" si="389"/>
        <v xml:space="preserve">       </v>
      </c>
      <c r="BW185" s="174" t="str">
        <f t="shared" si="370"/>
        <v>NG</v>
      </c>
      <c r="BX185" s="268"/>
      <c r="BY185" s="276" t="str">
        <f>IF(OR(BU$8="判定対象外",BX$8="判定対象外",BX185="-"),"-",IF(BU185=BX185,"OK","NG"))</f>
        <v>OK</v>
      </c>
      <c r="BZ185" s="233"/>
      <c r="CA185" s="268"/>
      <c r="CB185" s="235" t="str">
        <f t="shared" si="390"/>
        <v xml:space="preserve">       </v>
      </c>
      <c r="CC185" s="174" t="str">
        <f t="shared" si="371"/>
        <v>NG</v>
      </c>
      <c r="CD185" s="268"/>
      <c r="CE185" s="276" t="str">
        <f>IF(OR(CA$8="判定対象外",CD$8="判定対象外",CD185="-"),"-",IF(CA185=CD185,"OK","NG"))</f>
        <v>OK</v>
      </c>
      <c r="CF185" s="233"/>
      <c r="CG185" s="268"/>
      <c r="CH185" s="235" t="str">
        <f t="shared" si="391"/>
        <v xml:space="preserve">       </v>
      </c>
      <c r="CI185" s="174" t="str">
        <f t="shared" si="372"/>
        <v>NG</v>
      </c>
      <c r="CJ185" s="268"/>
      <c r="CK185" s="276" t="str">
        <f>IF(OR(CG$8="判定対象外",CJ$8="判定対象外",CJ185="-"),"-",IF(CG185=CJ185,"OK","NG"))</f>
        <v>OK</v>
      </c>
      <c r="CL185" s="233"/>
      <c r="CM185" s="268"/>
      <c r="CN185" s="235" t="str">
        <f t="shared" si="392"/>
        <v xml:space="preserve">       </v>
      </c>
      <c r="CO185" s="174" t="str">
        <f t="shared" si="373"/>
        <v>NG</v>
      </c>
      <c r="CP185" s="268"/>
      <c r="CQ185" s="276" t="str">
        <f>IF(OR(CM$8="判定対象外",CP$8="判定対象外",CP185="-"),"-",IF(CM185=CP185,"OK","NG"))</f>
        <v>OK</v>
      </c>
      <c r="CR185" s="233"/>
      <c r="CS185" s="268"/>
      <c r="CT185" s="235" t="str">
        <f t="shared" si="393"/>
        <v xml:space="preserve">       </v>
      </c>
      <c r="CU185" s="174" t="str">
        <f t="shared" si="374"/>
        <v>NG</v>
      </c>
      <c r="CV185" s="268"/>
      <c r="CW185" s="276" t="str">
        <f>IF(OR(CS$8="判定対象外",CV$8="判定対象外",CV185="-"),"-",IF(CS185=CV185,"OK","NG"))</f>
        <v>OK</v>
      </c>
      <c r="CX185" s="233"/>
      <c r="CY185" s="268"/>
      <c r="CZ185" s="235" t="str">
        <f t="shared" si="394"/>
        <v xml:space="preserve">       </v>
      </c>
      <c r="DA185" s="174" t="str">
        <f t="shared" si="375"/>
        <v>NG</v>
      </c>
      <c r="DB185" s="268"/>
      <c r="DC185" s="276" t="str">
        <f>IF(OR(CY$8="判定対象外",DB$8="判定対象外",DB185="-"),"-",IF(CY185=DB185,"OK","NG"))</f>
        <v>OK</v>
      </c>
      <c r="DD185" s="233"/>
      <c r="DE185" s="268"/>
      <c r="DF185" s="235" t="str">
        <f t="shared" si="395"/>
        <v xml:space="preserve">       </v>
      </c>
      <c r="DG185" s="174" t="str">
        <f t="shared" si="376"/>
        <v>NG</v>
      </c>
      <c r="DH185" s="268"/>
      <c r="DI185" s="276" t="str">
        <f>IF(OR(DE$8="判定対象外",DH$8="判定対象外",DH185="-"),"-",IF(DE185=DH185,"OK","NG"))</f>
        <v>OK</v>
      </c>
      <c r="DJ185" s="233"/>
      <c r="DK185" s="268"/>
      <c r="DL185" s="235" t="str">
        <f t="shared" si="396"/>
        <v xml:space="preserve">       </v>
      </c>
      <c r="DM185" s="174" t="str">
        <f t="shared" si="377"/>
        <v>NG</v>
      </c>
      <c r="DN185" s="268"/>
      <c r="DO185" s="276" t="str">
        <f>IF(OR(DK$8="判定対象外",DN$8="判定対象外",DN185="-"),"-",IF(DK185=DN185,"OK","NG"))</f>
        <v>OK</v>
      </c>
      <c r="DP185" s="233"/>
      <c r="DQ185" s="268"/>
      <c r="DR185" s="235" t="str">
        <f t="shared" si="397"/>
        <v xml:space="preserve">       </v>
      </c>
      <c r="DS185" s="174" t="str">
        <f t="shared" ref="DS185:DS248" si="413">IF(OR(DQ$8="判定対象外",DR$8="判定対象外",DR185="-"),"-",IF(DQ185=DR185,"OK","NG"))</f>
        <v>NG</v>
      </c>
      <c r="DT185" s="268"/>
      <c r="DU185" s="276" t="str">
        <f>IF(OR(DQ$8="判定対象外",DT$8="判定対象外",DT185="-"),"-",IF(DQ185=DT185,"OK","NG"))</f>
        <v>OK</v>
      </c>
      <c r="DV185" s="233"/>
      <c r="DW185" s="268"/>
      <c r="DX185" s="235" t="str">
        <f t="shared" si="398"/>
        <v xml:space="preserve">       </v>
      </c>
      <c r="DY185" s="174" t="str">
        <f t="shared" ref="DY185:DY248" si="414">IF(OR(DW$8="判定対象外",DX$8="判定対象外",DX185="-"),"-",IF(DW185=DX185,"OK","NG"))</f>
        <v>NG</v>
      </c>
      <c r="DZ185" s="268"/>
      <c r="EA185" s="276" t="str">
        <f>IF(OR(DW$8="判定対象外",DZ$8="判定対象外",DZ185="-"),"-",IF(DW185=DZ185,"OK","NG"))</f>
        <v>OK</v>
      </c>
      <c r="EB185" s="233"/>
      <c r="EC185" s="268"/>
      <c r="ED185" s="235" t="str">
        <f t="shared" si="399"/>
        <v xml:space="preserve">       </v>
      </c>
      <c r="EE185" s="174" t="str">
        <f t="shared" ref="EE185:EE248" si="415">IF(OR(EC$8="判定対象外",ED$8="判定対象外",ED185="-"),"-",IF(EC185=ED185,"OK","NG"))</f>
        <v>NG</v>
      </c>
      <c r="EF185" s="268"/>
      <c r="EG185" s="276" t="str">
        <f>IF(OR(EC$8="判定対象外",EF$8="判定対象外",EF185="-"),"-",IF(EC185=EF185,"OK","NG"))</f>
        <v>OK</v>
      </c>
      <c r="EH185" s="233"/>
      <c r="EI185" s="268"/>
      <c r="EJ185" s="235" t="str">
        <f t="shared" si="400"/>
        <v xml:space="preserve">       </v>
      </c>
      <c r="EK185" s="174" t="str">
        <f t="shared" ref="EK185:EK248" si="416">IF(OR(EI$8="判定対象外",EJ$8="判定対象外",EJ185="-"),"-",IF(EI185=EJ185,"OK","NG"))</f>
        <v>NG</v>
      </c>
      <c r="EL185" s="268"/>
      <c r="EM185" s="276" t="str">
        <f>IF(OR(EI$8="判定対象外",EL$8="判定対象外",EL185="-"),"-",IF(EI185=EL185,"OK","NG"))</f>
        <v>OK</v>
      </c>
      <c r="EN185" s="233"/>
      <c r="EO185" s="268"/>
      <c r="EP185" s="235" t="str">
        <f t="shared" si="401"/>
        <v xml:space="preserve">       </v>
      </c>
      <c r="EQ185" s="174" t="str">
        <f t="shared" ref="EQ185:EQ248" si="417">IF(OR(EO$8="判定対象外",EP$8="判定対象外",EP185="-"),"-",IF(EO185=EP185,"OK","NG"))</f>
        <v>NG</v>
      </c>
      <c r="ER185" s="268"/>
      <c r="ES185" s="276" t="str">
        <f>IF(OR(EO$8="判定対象外",ER$8="判定対象外",ER185="-"),"-",IF(EO185=ER185,"OK","NG"))</f>
        <v>OK</v>
      </c>
      <c r="ET185" s="233"/>
      <c r="EU185" s="268"/>
      <c r="EV185" s="235" t="str">
        <f t="shared" si="402"/>
        <v xml:space="preserve">       </v>
      </c>
      <c r="EW185" s="174" t="str">
        <f t="shared" ref="EW185:EW248" si="418">IF(OR(EU$8="判定対象外",EV$8="判定対象外",EV185="-"),"-",IF(EU185=EV185,"OK","NG"))</f>
        <v>NG</v>
      </c>
      <c r="EX185" s="268"/>
      <c r="EY185" s="276" t="str">
        <f>IF(OR(EU$8="判定対象外",EX$8="判定対象外",EX185="-"),"-",IF(EU185=EX185,"OK","NG"))</f>
        <v>OK</v>
      </c>
      <c r="EZ185" s="233"/>
      <c r="FA185" s="268"/>
      <c r="FB185" s="235" t="str">
        <f t="shared" si="403"/>
        <v xml:space="preserve">       </v>
      </c>
      <c r="FC185" s="174" t="str">
        <f t="shared" ref="FC185:FC248" si="419">IF(OR(FA$8="判定対象外",FB$8="判定対象外",FB185="-"),"-",IF(FA185=FB185,"OK","NG"))</f>
        <v>NG</v>
      </c>
      <c r="FD185" s="268"/>
      <c r="FE185" s="276" t="str">
        <f>IF(OR(FA$8="判定対象外",FD$8="判定対象外",FD185="-"),"-",IF(FA185=FD185,"OK","NG"))</f>
        <v>OK</v>
      </c>
      <c r="FF185" s="233"/>
      <c r="FG185" s="268"/>
      <c r="FH185" s="235" t="str">
        <f t="shared" si="404"/>
        <v xml:space="preserve">       </v>
      </c>
      <c r="FI185" s="174" t="str">
        <f t="shared" ref="FI185:FI248" si="420">IF(OR(FG$8="判定対象外",FH$8="判定対象外",FH185="-"),"-",IF(FG185=FH185,"OK","NG"))</f>
        <v>NG</v>
      </c>
      <c r="FJ185" s="268"/>
      <c r="FK185" s="276" t="str">
        <f>IF(OR(FG$8="判定対象外",FJ$8="判定対象外",FJ185="-"),"-",IF(FG185=FJ185,"OK","NG"))</f>
        <v>OK</v>
      </c>
      <c r="FL185" s="233"/>
      <c r="FM185" s="268"/>
      <c r="FN185" s="235" t="str">
        <f t="shared" si="405"/>
        <v xml:space="preserve">       </v>
      </c>
      <c r="FO185" s="174" t="str">
        <f t="shared" si="378"/>
        <v>NG</v>
      </c>
      <c r="FP185" s="268"/>
      <c r="FQ185" s="276" t="str">
        <f>IF(OR(FM$8="判定対象外",FP$8="判定対象外",FP185="-"),"-",IF(FM185=FP185,"OK","NG"))</f>
        <v>OK</v>
      </c>
      <c r="FR185" s="233"/>
      <c r="FS185" s="268"/>
      <c r="FT185" s="235" t="str">
        <f t="shared" si="406"/>
        <v xml:space="preserve">       </v>
      </c>
      <c r="FU185" s="174" t="str">
        <f t="shared" si="379"/>
        <v>NG</v>
      </c>
      <c r="FV185" s="268"/>
      <c r="FW185" s="276" t="str">
        <f>IF(OR(FS$8="判定対象外",FV$8="判定対象外",FV185="-"),"-",IF(FS185=FV185,"OK","NG"))</f>
        <v>OK</v>
      </c>
      <c r="FX185" s="233"/>
      <c r="FY185" s="268"/>
      <c r="FZ185" s="235" t="str">
        <f t="shared" si="407"/>
        <v xml:space="preserve">       </v>
      </c>
      <c r="GA185" s="174" t="str">
        <f t="shared" si="380"/>
        <v>NG</v>
      </c>
      <c r="GB185" s="268"/>
      <c r="GC185" s="276" t="str">
        <f>IF(OR(FY$8="判定対象外",GB$8="判定対象外",GB185="-"),"-",IF(FY185=GB185,"OK","NG"))</f>
        <v>OK</v>
      </c>
    </row>
    <row r="186" spans="1:185" s="237" customFormat="1" ht="127.9" thickBot="1">
      <c r="A186" s="244"/>
      <c r="B186" s="286">
        <f t="shared" si="408"/>
        <v>179</v>
      </c>
      <c r="C186" s="245"/>
      <c r="D186" s="245"/>
      <c r="E186" s="245"/>
      <c r="F186" s="287" t="s">
        <v>354</v>
      </c>
      <c r="G186" s="288"/>
      <c r="H186" s="289"/>
      <c r="I186" s="290"/>
      <c r="J186" s="290"/>
      <c r="K186" s="290"/>
      <c r="L186" s="290"/>
      <c r="M186" s="291" t="s">
        <v>355</v>
      </c>
      <c r="N186" s="280"/>
      <c r="O186" s="284"/>
      <c r="P186" s="71">
        <f t="shared" si="411"/>
        <v>158</v>
      </c>
      <c r="Q186" s="74">
        <v>1</v>
      </c>
      <c r="R186" s="73">
        <v>9</v>
      </c>
      <c r="S186" s="74" t="s">
        <v>256</v>
      </c>
      <c r="T186" s="74"/>
      <c r="U186" s="73" t="s">
        <v>80</v>
      </c>
      <c r="V186" s="246"/>
      <c r="W186" s="76" t="str">
        <f>IF(C186&lt;&gt;"","0",IF(D186&lt;&gt;"","1",IF(E186&lt;&gt;"","2",IF(F186&lt;&gt;"","3",IF(G186&lt;&gt;"","4",IF(H186&lt;&gt;"","5"))))))</f>
        <v>3</v>
      </c>
      <c r="X186" s="77" t="s">
        <v>258</v>
      </c>
      <c r="Y186" s="77">
        <v>1</v>
      </c>
      <c r="Z186" s="77">
        <v>1</v>
      </c>
      <c r="AA186" s="247">
        <v>9</v>
      </c>
      <c r="AB186" s="68" t="s">
        <v>80</v>
      </c>
      <c r="AC186" s="248"/>
      <c r="AD186" s="249"/>
      <c r="AE186" s="300"/>
      <c r="AF186" s="253" t="str">
        <f t="shared" si="383"/>
        <v xml:space="preserve"> </v>
      </c>
      <c r="AG186" s="177" t="str">
        <f t="shared" si="364"/>
        <v>NG</v>
      </c>
      <c r="AH186" s="300"/>
      <c r="AI186" s="276" t="str">
        <f>IF(OR(AE$8="判定対象外",AH$8="判定対象外",AH186="-"),"-",IF(AE186=AH186,"OK","NG"))</f>
        <v>OK</v>
      </c>
      <c r="AJ186" s="249"/>
      <c r="AK186" s="250"/>
      <c r="AL186" s="253" t="str">
        <f t="shared" si="382"/>
        <v xml:space="preserve"> </v>
      </c>
      <c r="AM186" s="177" t="str">
        <f t="shared" si="409"/>
        <v>NG</v>
      </c>
      <c r="AN186" s="250"/>
      <c r="AO186" s="276" t="str">
        <f>IF(OR(AK$8="判定対象外",AN$8="判定対象外",AN186="-"),"-",IF(AK186=AN186,"OK","NG"))</f>
        <v>OK</v>
      </c>
      <c r="AP186" s="249"/>
      <c r="AQ186" s="300"/>
      <c r="AR186" s="253" t="str">
        <f t="shared" si="384"/>
        <v xml:space="preserve"> </v>
      </c>
      <c r="AS186" s="177" t="str">
        <f t="shared" si="365"/>
        <v>NG</v>
      </c>
      <c r="AT186" s="300"/>
      <c r="AU186" s="276" t="str">
        <f>IF(OR(AQ$8="判定対象外",AT$8="判定対象外",AT186="-"),"-",IF(AQ186=AT186,"OK","NG"))</f>
        <v>OK</v>
      </c>
      <c r="AV186" s="249"/>
      <c r="AW186" s="300"/>
      <c r="AX186" s="253" t="str">
        <f t="shared" si="385"/>
        <v xml:space="preserve"> </v>
      </c>
      <c r="AY186" s="177" t="str">
        <f t="shared" si="366"/>
        <v>NG</v>
      </c>
      <c r="AZ186" s="300"/>
      <c r="BA186" s="276" t="str">
        <f>IF(OR(AW$8="判定対象外",AZ$8="判定対象外",AZ186="-"),"-",IF(AW186=AZ186,"OK","NG"))</f>
        <v>OK</v>
      </c>
      <c r="BB186" s="249"/>
      <c r="BC186" s="300"/>
      <c r="BD186" s="253" t="str">
        <f t="shared" si="386"/>
        <v xml:space="preserve"> </v>
      </c>
      <c r="BE186" s="177" t="str">
        <f t="shared" si="367"/>
        <v>NG</v>
      </c>
      <c r="BF186" s="300"/>
      <c r="BG186" s="276" t="str">
        <f>IF(OR(BC$8="判定対象外",BF$8="判定対象外",BF186="-"),"-",IF(BC186=BF186,"OK","NG"))</f>
        <v>OK</v>
      </c>
      <c r="BH186" s="249"/>
      <c r="BI186" s="300"/>
      <c r="BJ186" s="253" t="str">
        <f t="shared" si="387"/>
        <v xml:space="preserve"> </v>
      </c>
      <c r="BK186" s="177" t="str">
        <f t="shared" si="368"/>
        <v>NG</v>
      </c>
      <c r="BL186" s="300"/>
      <c r="BM186" s="276" t="str">
        <f>IF(OR(BI$8="判定対象外",BL$8="判定対象外",BL186="-"),"-",IF(BI186=BL186,"OK","NG"))</f>
        <v>OK</v>
      </c>
      <c r="BN186" s="249"/>
      <c r="BO186" s="300"/>
      <c r="BP186" s="253" t="str">
        <f t="shared" si="388"/>
        <v xml:space="preserve"> </v>
      </c>
      <c r="BQ186" s="177" t="str">
        <f t="shared" si="369"/>
        <v>NG</v>
      </c>
      <c r="BR186" s="300"/>
      <c r="BS186" s="276" t="str">
        <f>IF(OR(BO$8="判定対象外",BR$8="判定対象外",BR186="-"),"-",IF(BO186=BR186,"OK","NG"))</f>
        <v>OK</v>
      </c>
      <c r="BT186" s="249"/>
      <c r="BU186" s="300"/>
      <c r="BV186" s="253" t="str">
        <f t="shared" si="389"/>
        <v xml:space="preserve"> </v>
      </c>
      <c r="BW186" s="177" t="str">
        <f t="shared" si="370"/>
        <v>NG</v>
      </c>
      <c r="BX186" s="300"/>
      <c r="BY186" s="276" t="str">
        <f>IF(OR(BU$8="判定対象外",BX$8="判定対象外",BX186="-"),"-",IF(BU186=BX186,"OK","NG"))</f>
        <v>OK</v>
      </c>
      <c r="BZ186" s="249"/>
      <c r="CA186" s="300"/>
      <c r="CB186" s="253" t="str">
        <f t="shared" si="390"/>
        <v xml:space="preserve"> </v>
      </c>
      <c r="CC186" s="177" t="str">
        <f t="shared" si="371"/>
        <v>NG</v>
      </c>
      <c r="CD186" s="300"/>
      <c r="CE186" s="276" t="str">
        <f>IF(OR(CA$8="判定対象外",CD$8="判定対象外",CD186="-"),"-",IF(CA186=CD186,"OK","NG"))</f>
        <v>OK</v>
      </c>
      <c r="CF186" s="249"/>
      <c r="CG186" s="300"/>
      <c r="CH186" s="253" t="str">
        <f t="shared" si="391"/>
        <v xml:space="preserve"> </v>
      </c>
      <c r="CI186" s="177" t="str">
        <f t="shared" si="372"/>
        <v>NG</v>
      </c>
      <c r="CJ186" s="300"/>
      <c r="CK186" s="276" t="str">
        <f>IF(OR(CG$8="判定対象外",CJ$8="判定対象外",CJ186="-"),"-",IF(CG186=CJ186,"OK","NG"))</f>
        <v>OK</v>
      </c>
      <c r="CL186" s="249"/>
      <c r="CM186" s="300"/>
      <c r="CN186" s="253" t="str">
        <f t="shared" si="392"/>
        <v xml:space="preserve"> </v>
      </c>
      <c r="CO186" s="177" t="str">
        <f t="shared" si="373"/>
        <v>NG</v>
      </c>
      <c r="CP186" s="300"/>
      <c r="CQ186" s="276" t="str">
        <f>IF(OR(CM$8="判定対象外",CP$8="判定対象外",CP186="-"),"-",IF(CM186=CP186,"OK","NG"))</f>
        <v>OK</v>
      </c>
      <c r="CR186" s="249"/>
      <c r="CS186" s="300"/>
      <c r="CT186" s="253" t="str">
        <f t="shared" si="393"/>
        <v xml:space="preserve"> </v>
      </c>
      <c r="CU186" s="177" t="str">
        <f t="shared" si="374"/>
        <v>NG</v>
      </c>
      <c r="CV186" s="300"/>
      <c r="CW186" s="276" t="str">
        <f>IF(OR(CS$8="判定対象外",CV$8="判定対象外",CV186="-"),"-",IF(CS186=CV186,"OK","NG"))</f>
        <v>OK</v>
      </c>
      <c r="CX186" s="249"/>
      <c r="CY186" s="300"/>
      <c r="CZ186" s="253" t="str">
        <f t="shared" si="394"/>
        <v xml:space="preserve"> </v>
      </c>
      <c r="DA186" s="177" t="str">
        <f t="shared" si="375"/>
        <v>NG</v>
      </c>
      <c r="DB186" s="300"/>
      <c r="DC186" s="276" t="str">
        <f>IF(OR(CY$8="判定対象外",DB$8="判定対象外",DB186="-"),"-",IF(CY186=DB186,"OK","NG"))</f>
        <v>OK</v>
      </c>
      <c r="DD186" s="249"/>
      <c r="DE186" s="300"/>
      <c r="DF186" s="253" t="str">
        <f t="shared" si="395"/>
        <v xml:space="preserve"> </v>
      </c>
      <c r="DG186" s="177" t="str">
        <f t="shared" si="376"/>
        <v>NG</v>
      </c>
      <c r="DH186" s="300"/>
      <c r="DI186" s="276" t="str">
        <f>IF(OR(DE$8="判定対象外",DH$8="判定対象外",DH186="-"),"-",IF(DE186=DH186,"OK","NG"))</f>
        <v>OK</v>
      </c>
      <c r="DJ186" s="249"/>
      <c r="DK186" s="300"/>
      <c r="DL186" s="253" t="str">
        <f t="shared" si="396"/>
        <v xml:space="preserve"> </v>
      </c>
      <c r="DM186" s="177" t="str">
        <f t="shared" si="377"/>
        <v>NG</v>
      </c>
      <c r="DN186" s="300"/>
      <c r="DO186" s="276" t="str">
        <f>IF(OR(DK$8="判定対象外",DN$8="判定対象外",DN186="-"),"-",IF(DK186=DN186,"OK","NG"))</f>
        <v>OK</v>
      </c>
      <c r="DP186" s="249"/>
      <c r="DQ186" s="300"/>
      <c r="DR186" s="253" t="str">
        <f t="shared" si="397"/>
        <v xml:space="preserve"> </v>
      </c>
      <c r="DS186" s="177" t="str">
        <f t="shared" si="413"/>
        <v>NG</v>
      </c>
      <c r="DT186" s="300"/>
      <c r="DU186" s="276" t="str">
        <f>IF(OR(DQ$8="判定対象外",DT$8="判定対象外",DT186="-"),"-",IF(DQ186=DT186,"OK","NG"))</f>
        <v>OK</v>
      </c>
      <c r="DV186" s="249"/>
      <c r="DW186" s="300"/>
      <c r="DX186" s="253" t="str">
        <f t="shared" si="398"/>
        <v xml:space="preserve"> </v>
      </c>
      <c r="DY186" s="177" t="str">
        <f t="shared" si="414"/>
        <v>NG</v>
      </c>
      <c r="DZ186" s="300"/>
      <c r="EA186" s="276" t="str">
        <f>IF(OR(DW$8="判定対象外",DZ$8="判定対象外",DZ186="-"),"-",IF(DW186=DZ186,"OK","NG"))</f>
        <v>OK</v>
      </c>
      <c r="EB186" s="249"/>
      <c r="EC186" s="300"/>
      <c r="ED186" s="253" t="str">
        <f t="shared" si="399"/>
        <v xml:space="preserve"> </v>
      </c>
      <c r="EE186" s="177" t="str">
        <f t="shared" si="415"/>
        <v>NG</v>
      </c>
      <c r="EF186" s="300"/>
      <c r="EG186" s="276" t="str">
        <f>IF(OR(EC$8="判定対象外",EF$8="判定対象外",EF186="-"),"-",IF(EC186=EF186,"OK","NG"))</f>
        <v>OK</v>
      </c>
      <c r="EH186" s="249"/>
      <c r="EI186" s="300"/>
      <c r="EJ186" s="253" t="str">
        <f t="shared" si="400"/>
        <v xml:space="preserve"> </v>
      </c>
      <c r="EK186" s="177" t="str">
        <f t="shared" si="416"/>
        <v>NG</v>
      </c>
      <c r="EL186" s="300"/>
      <c r="EM186" s="276" t="str">
        <f>IF(OR(EI$8="判定対象外",EL$8="判定対象外",EL186="-"),"-",IF(EI186=EL186,"OK","NG"))</f>
        <v>OK</v>
      </c>
      <c r="EN186" s="249"/>
      <c r="EO186" s="300"/>
      <c r="EP186" s="253" t="str">
        <f t="shared" si="401"/>
        <v xml:space="preserve"> </v>
      </c>
      <c r="EQ186" s="177" t="str">
        <f t="shared" si="417"/>
        <v>NG</v>
      </c>
      <c r="ER186" s="300"/>
      <c r="ES186" s="276" t="str">
        <f>IF(OR(EO$8="判定対象外",ER$8="判定対象外",ER186="-"),"-",IF(EO186=ER186,"OK","NG"))</f>
        <v>OK</v>
      </c>
      <c r="ET186" s="249"/>
      <c r="EU186" s="300"/>
      <c r="EV186" s="253" t="str">
        <f t="shared" si="402"/>
        <v xml:space="preserve"> </v>
      </c>
      <c r="EW186" s="177" t="str">
        <f t="shared" si="418"/>
        <v>NG</v>
      </c>
      <c r="EX186" s="300"/>
      <c r="EY186" s="276" t="str">
        <f>IF(OR(EU$8="判定対象外",EX$8="判定対象外",EX186="-"),"-",IF(EU186=EX186,"OK","NG"))</f>
        <v>OK</v>
      </c>
      <c r="EZ186" s="249"/>
      <c r="FA186" s="300"/>
      <c r="FB186" s="253" t="str">
        <f t="shared" si="403"/>
        <v xml:space="preserve"> </v>
      </c>
      <c r="FC186" s="177" t="str">
        <f t="shared" si="419"/>
        <v>NG</v>
      </c>
      <c r="FD186" s="300"/>
      <c r="FE186" s="276" t="str">
        <f>IF(OR(FA$8="判定対象外",FD$8="判定対象外",FD186="-"),"-",IF(FA186=FD186,"OK","NG"))</f>
        <v>OK</v>
      </c>
      <c r="FF186" s="249"/>
      <c r="FG186" s="300"/>
      <c r="FH186" s="253" t="str">
        <f t="shared" si="404"/>
        <v xml:space="preserve"> </v>
      </c>
      <c r="FI186" s="177" t="str">
        <f t="shared" si="420"/>
        <v>NG</v>
      </c>
      <c r="FJ186" s="300"/>
      <c r="FK186" s="276" t="str">
        <f>IF(OR(FG$8="判定対象外",FJ$8="判定対象外",FJ186="-"),"-",IF(FG186=FJ186,"OK","NG"))</f>
        <v>OK</v>
      </c>
      <c r="FL186" s="249"/>
      <c r="FM186" s="300"/>
      <c r="FN186" s="253" t="str">
        <f t="shared" si="405"/>
        <v xml:space="preserve"> </v>
      </c>
      <c r="FO186" s="177" t="str">
        <f t="shared" si="378"/>
        <v>NG</v>
      </c>
      <c r="FP186" s="300"/>
      <c r="FQ186" s="276" t="str">
        <f>IF(OR(FM$8="判定対象外",FP$8="判定対象外",FP186="-"),"-",IF(FM186=FP186,"OK","NG"))</f>
        <v>OK</v>
      </c>
      <c r="FR186" s="249"/>
      <c r="FS186" s="300"/>
      <c r="FT186" s="253" t="str">
        <f t="shared" si="406"/>
        <v xml:space="preserve"> </v>
      </c>
      <c r="FU186" s="177" t="str">
        <f t="shared" si="379"/>
        <v>NG</v>
      </c>
      <c r="FV186" s="300"/>
      <c r="FW186" s="276" t="str">
        <f>IF(OR(FS$8="判定対象外",FV$8="判定対象外",FV186="-"),"-",IF(FS186=FV186,"OK","NG"))</f>
        <v>OK</v>
      </c>
      <c r="FX186" s="249"/>
      <c r="FY186" s="300"/>
      <c r="FZ186" s="253" t="str">
        <f t="shared" si="407"/>
        <v xml:space="preserve"> </v>
      </c>
      <c r="GA186" s="177" t="str">
        <f t="shared" si="380"/>
        <v>NG</v>
      </c>
      <c r="GB186" s="300"/>
      <c r="GC186" s="276" t="str">
        <f>IF(OR(FY$8="判定対象外",GB$8="判定対象外",GB186="-"),"-",IF(FY186=GB186,"OK","NG"))</f>
        <v>OK</v>
      </c>
    </row>
    <row r="187" spans="1:185" s="52" customFormat="1" ht="18.75" customHeight="1" thickTop="1">
      <c r="B187" s="48">
        <f t="shared" si="408"/>
        <v>180</v>
      </c>
      <c r="C187" s="37"/>
      <c r="D187" s="37"/>
      <c r="E187" s="26" t="s">
        <v>315</v>
      </c>
      <c r="F187" s="254"/>
      <c r="G187" s="254"/>
      <c r="H187" s="28"/>
      <c r="I187" s="42" t="s">
        <v>1</v>
      </c>
      <c r="J187" s="42" t="s">
        <v>316</v>
      </c>
      <c r="K187" s="42"/>
      <c r="L187" s="42"/>
      <c r="M187" s="47" t="s">
        <v>317</v>
      </c>
      <c r="N187" s="281"/>
      <c r="O187" s="282"/>
      <c r="P187" s="20"/>
      <c r="Q187" s="21"/>
      <c r="R187" s="16"/>
      <c r="S187" s="283"/>
      <c r="T187" s="281"/>
      <c r="U187" s="16"/>
      <c r="V187" s="207"/>
      <c r="W187" s="22" t="str">
        <f>IF(C187&lt;&gt;"","0",IF(D187&lt;&gt;"","1",IF(E187&lt;&gt;"","2",IF(F187&lt;&gt;"","3",IF(G187&lt;&gt;"","4",IF(H187&lt;&gt;"","5"))))))</f>
        <v>2</v>
      </c>
      <c r="X187" s="47" t="s">
        <v>187</v>
      </c>
      <c r="Y187" s="47"/>
      <c r="Z187" s="47"/>
      <c r="AA187" s="42"/>
      <c r="AB187" s="42" t="s">
        <v>80</v>
      </c>
      <c r="AC187" s="251"/>
      <c r="AD187" s="160"/>
      <c r="AE187" s="141"/>
      <c r="AF187" s="203" t="str">
        <f t="shared" si="383"/>
        <v/>
      </c>
      <c r="AG187" s="174" t="str">
        <f t="shared" si="364"/>
        <v>OK</v>
      </c>
      <c r="AH187" s="141"/>
      <c r="AI187" s="276" t="s">
        <v>71</v>
      </c>
      <c r="AJ187" s="160"/>
      <c r="AK187" s="141"/>
      <c r="AL187" s="203" t="str">
        <f t="shared" si="382"/>
        <v/>
      </c>
      <c r="AM187" s="174" t="str">
        <f t="shared" si="409"/>
        <v>OK</v>
      </c>
      <c r="AN187" s="141"/>
      <c r="AO187" s="276" t="s">
        <v>71</v>
      </c>
      <c r="AP187" s="160"/>
      <c r="AQ187" s="141"/>
      <c r="AR187" s="203" t="str">
        <f t="shared" si="384"/>
        <v/>
      </c>
      <c r="AS187" s="174" t="str">
        <f t="shared" si="365"/>
        <v>OK</v>
      </c>
      <c r="AT187" s="141"/>
      <c r="AU187" s="276" t="s">
        <v>71</v>
      </c>
      <c r="AV187" s="160"/>
      <c r="AW187" s="141"/>
      <c r="AX187" s="203" t="str">
        <f t="shared" si="385"/>
        <v/>
      </c>
      <c r="AY187" s="174" t="str">
        <f t="shared" si="366"/>
        <v>OK</v>
      </c>
      <c r="AZ187" s="141"/>
      <c r="BA187" s="276" t="s">
        <v>71</v>
      </c>
      <c r="BB187" s="160"/>
      <c r="BC187" s="141"/>
      <c r="BD187" s="203" t="str">
        <f t="shared" si="386"/>
        <v/>
      </c>
      <c r="BE187" s="174" t="str">
        <f t="shared" si="367"/>
        <v>OK</v>
      </c>
      <c r="BF187" s="141"/>
      <c r="BG187" s="276" t="s">
        <v>71</v>
      </c>
      <c r="BH187" s="160"/>
      <c r="BI187" s="141"/>
      <c r="BJ187" s="203" t="str">
        <f t="shared" si="387"/>
        <v/>
      </c>
      <c r="BK187" s="174" t="str">
        <f t="shared" si="368"/>
        <v>OK</v>
      </c>
      <c r="BL187" s="141"/>
      <c r="BM187" s="276" t="s">
        <v>71</v>
      </c>
      <c r="BN187" s="160"/>
      <c r="BO187" s="141"/>
      <c r="BP187" s="203" t="str">
        <f t="shared" si="388"/>
        <v/>
      </c>
      <c r="BQ187" s="174" t="str">
        <f t="shared" si="369"/>
        <v>OK</v>
      </c>
      <c r="BR187" s="141"/>
      <c r="BS187" s="276" t="s">
        <v>71</v>
      </c>
      <c r="BT187" s="160"/>
      <c r="BU187" s="141"/>
      <c r="BV187" s="203" t="str">
        <f t="shared" si="389"/>
        <v/>
      </c>
      <c r="BW187" s="174" t="str">
        <f t="shared" si="370"/>
        <v>OK</v>
      </c>
      <c r="BX187" s="141"/>
      <c r="BY187" s="276" t="s">
        <v>71</v>
      </c>
      <c r="BZ187" s="160"/>
      <c r="CA187" s="141"/>
      <c r="CB187" s="203" t="str">
        <f t="shared" si="390"/>
        <v/>
      </c>
      <c r="CC187" s="174" t="str">
        <f t="shared" si="371"/>
        <v>OK</v>
      </c>
      <c r="CD187" s="141"/>
      <c r="CE187" s="276" t="s">
        <v>71</v>
      </c>
      <c r="CF187" s="160"/>
      <c r="CG187" s="141"/>
      <c r="CH187" s="203" t="str">
        <f t="shared" si="391"/>
        <v/>
      </c>
      <c r="CI187" s="174" t="str">
        <f t="shared" si="372"/>
        <v>OK</v>
      </c>
      <c r="CJ187" s="141"/>
      <c r="CK187" s="276" t="s">
        <v>71</v>
      </c>
      <c r="CL187" s="160"/>
      <c r="CM187" s="141"/>
      <c r="CN187" s="203" t="str">
        <f t="shared" si="392"/>
        <v/>
      </c>
      <c r="CO187" s="174" t="str">
        <f t="shared" si="373"/>
        <v>OK</v>
      </c>
      <c r="CP187" s="141"/>
      <c r="CQ187" s="276" t="s">
        <v>71</v>
      </c>
      <c r="CR187" s="160"/>
      <c r="CS187" s="141"/>
      <c r="CT187" s="203" t="str">
        <f t="shared" si="393"/>
        <v/>
      </c>
      <c r="CU187" s="174" t="str">
        <f t="shared" si="374"/>
        <v>OK</v>
      </c>
      <c r="CV187" s="141"/>
      <c r="CW187" s="276" t="s">
        <v>71</v>
      </c>
      <c r="CX187" s="160"/>
      <c r="CY187" s="141"/>
      <c r="CZ187" s="203" t="str">
        <f t="shared" si="394"/>
        <v/>
      </c>
      <c r="DA187" s="174" t="str">
        <f t="shared" si="375"/>
        <v>OK</v>
      </c>
      <c r="DB187" s="141"/>
      <c r="DC187" s="276" t="s">
        <v>71</v>
      </c>
      <c r="DD187" s="160"/>
      <c r="DE187" s="141"/>
      <c r="DF187" s="203" t="str">
        <f t="shared" si="395"/>
        <v/>
      </c>
      <c r="DG187" s="174" t="str">
        <f t="shared" si="376"/>
        <v>OK</v>
      </c>
      <c r="DH187" s="141"/>
      <c r="DI187" s="276" t="s">
        <v>71</v>
      </c>
      <c r="DJ187" s="160"/>
      <c r="DK187" s="141"/>
      <c r="DL187" s="203" t="str">
        <f t="shared" si="396"/>
        <v/>
      </c>
      <c r="DM187" s="174" t="str">
        <f t="shared" si="377"/>
        <v>OK</v>
      </c>
      <c r="DN187" s="141"/>
      <c r="DO187" s="276" t="s">
        <v>71</v>
      </c>
      <c r="DP187" s="160"/>
      <c r="DQ187" s="141"/>
      <c r="DR187" s="203" t="str">
        <f t="shared" si="397"/>
        <v/>
      </c>
      <c r="DS187" s="174" t="str">
        <f t="shared" si="413"/>
        <v>OK</v>
      </c>
      <c r="DT187" s="141"/>
      <c r="DU187" s="276" t="s">
        <v>71</v>
      </c>
      <c r="DV187" s="160"/>
      <c r="DW187" s="141"/>
      <c r="DX187" s="203" t="str">
        <f t="shared" si="398"/>
        <v/>
      </c>
      <c r="DY187" s="174" t="str">
        <f t="shared" si="414"/>
        <v>OK</v>
      </c>
      <c r="DZ187" s="141"/>
      <c r="EA187" s="276" t="s">
        <v>71</v>
      </c>
      <c r="EB187" s="160"/>
      <c r="EC187" s="141"/>
      <c r="ED187" s="203" t="str">
        <f t="shared" si="399"/>
        <v/>
      </c>
      <c r="EE187" s="174" t="str">
        <f t="shared" si="415"/>
        <v>OK</v>
      </c>
      <c r="EF187" s="141"/>
      <c r="EG187" s="276" t="s">
        <v>71</v>
      </c>
      <c r="EH187" s="160"/>
      <c r="EI187" s="141"/>
      <c r="EJ187" s="203" t="str">
        <f t="shared" si="400"/>
        <v/>
      </c>
      <c r="EK187" s="174" t="str">
        <f t="shared" si="416"/>
        <v>OK</v>
      </c>
      <c r="EL187" s="141"/>
      <c r="EM187" s="276" t="s">
        <v>71</v>
      </c>
      <c r="EN187" s="160"/>
      <c r="EO187" s="141"/>
      <c r="EP187" s="203" t="str">
        <f t="shared" si="401"/>
        <v/>
      </c>
      <c r="EQ187" s="174" t="str">
        <f t="shared" si="417"/>
        <v>OK</v>
      </c>
      <c r="ER187" s="141"/>
      <c r="ES187" s="276" t="s">
        <v>71</v>
      </c>
      <c r="ET187" s="160"/>
      <c r="EU187" s="141"/>
      <c r="EV187" s="203" t="str">
        <f t="shared" si="402"/>
        <v/>
      </c>
      <c r="EW187" s="174" t="str">
        <f t="shared" si="418"/>
        <v>OK</v>
      </c>
      <c r="EX187" s="141"/>
      <c r="EY187" s="276" t="s">
        <v>71</v>
      </c>
      <c r="EZ187" s="160"/>
      <c r="FA187" s="141"/>
      <c r="FB187" s="203" t="str">
        <f t="shared" si="403"/>
        <v/>
      </c>
      <c r="FC187" s="174" t="str">
        <f t="shared" si="419"/>
        <v>OK</v>
      </c>
      <c r="FD187" s="141"/>
      <c r="FE187" s="276" t="s">
        <v>71</v>
      </c>
      <c r="FF187" s="160"/>
      <c r="FG187" s="141"/>
      <c r="FH187" s="203" t="str">
        <f t="shared" si="404"/>
        <v/>
      </c>
      <c r="FI187" s="174" t="str">
        <f t="shared" si="420"/>
        <v>OK</v>
      </c>
      <c r="FJ187" s="141"/>
      <c r="FK187" s="276" t="s">
        <v>71</v>
      </c>
      <c r="FL187" s="160"/>
      <c r="FM187" s="141"/>
      <c r="FN187" s="203" t="str">
        <f t="shared" si="405"/>
        <v/>
      </c>
      <c r="FO187" s="174" t="str">
        <f t="shared" si="378"/>
        <v>OK</v>
      </c>
      <c r="FP187" s="141"/>
      <c r="FQ187" s="276" t="s">
        <v>71</v>
      </c>
      <c r="FR187" s="160"/>
      <c r="FS187" s="141"/>
      <c r="FT187" s="203" t="str">
        <f t="shared" si="406"/>
        <v/>
      </c>
      <c r="FU187" s="174" t="str">
        <f t="shared" si="379"/>
        <v>OK</v>
      </c>
      <c r="FV187" s="141"/>
      <c r="FW187" s="276" t="s">
        <v>71</v>
      </c>
      <c r="FX187" s="160"/>
      <c r="FY187" s="141"/>
      <c r="FZ187" s="203" t="str">
        <f t="shared" si="407"/>
        <v/>
      </c>
      <c r="GA187" s="174" t="str">
        <f t="shared" si="380"/>
        <v>OK</v>
      </c>
      <c r="GB187" s="141"/>
      <c r="GC187" s="276" t="s">
        <v>71</v>
      </c>
    </row>
    <row r="188" spans="1:185" s="52" customFormat="1" ht="63.75">
      <c r="B188" s="48">
        <f t="shared" si="408"/>
        <v>181</v>
      </c>
      <c r="C188" s="187"/>
      <c r="D188" s="37"/>
      <c r="E188" s="37"/>
      <c r="F188" s="188" t="s">
        <v>318</v>
      </c>
      <c r="G188" s="39"/>
      <c r="H188" s="40"/>
      <c r="I188" s="57"/>
      <c r="J188" s="57"/>
      <c r="K188" s="57"/>
      <c r="L188" s="42"/>
      <c r="M188" s="58" t="s">
        <v>319</v>
      </c>
      <c r="N188" s="47"/>
      <c r="O188" s="143"/>
      <c r="P188" s="45">
        <f>P186+1</f>
        <v>159</v>
      </c>
      <c r="Q188" s="200">
        <v>2</v>
      </c>
      <c r="R188" s="41" t="str">
        <f t="shared" ref="R188:R194" si="421">IF(AA188="M","NX",AA188)</f>
        <v>X</v>
      </c>
      <c r="S188" s="185" t="s">
        <v>99</v>
      </c>
      <c r="T188" s="43"/>
      <c r="U188" s="41" t="s">
        <v>80</v>
      </c>
      <c r="V188" s="212" t="s">
        <v>188</v>
      </c>
      <c r="W188" s="22" t="str">
        <f>IF(C188&lt;&gt;"","0",IF(D188&lt;&gt;"","1",IF(E188&lt;&gt;"","2",IF(F188&lt;&gt;"","3",IF(G188&lt;&gt;"","4",IF(H188&lt;&gt;"","5"))))))</f>
        <v>3</v>
      </c>
      <c r="X188" s="62" t="s">
        <v>189</v>
      </c>
      <c r="Y188" s="201">
        <v>2</v>
      </c>
      <c r="Z188" s="201">
        <v>2</v>
      </c>
      <c r="AA188" s="202" t="s">
        <v>163</v>
      </c>
      <c r="AB188" s="202" t="s">
        <v>57</v>
      </c>
      <c r="AC188" s="166"/>
      <c r="AD188" s="160"/>
      <c r="AE188" s="162"/>
      <c r="AF188" s="167" t="str">
        <f t="shared" si="383"/>
        <v xml:space="preserve">  </v>
      </c>
      <c r="AG188" s="174" t="str">
        <f t="shared" si="364"/>
        <v>NG</v>
      </c>
      <c r="AH188" s="162"/>
      <c r="AI188" s="276" t="str">
        <f>IF(OR(AE$8="判定対象外",AH$8="判定対象外",AH188="-"),"-",IF(AE188=AH188,"OK","NG"))</f>
        <v>OK</v>
      </c>
      <c r="AJ188" s="160"/>
      <c r="AK188" s="162"/>
      <c r="AL188" s="167" t="str">
        <f t="shared" si="382"/>
        <v xml:space="preserve">  </v>
      </c>
      <c r="AM188" s="174" t="str">
        <f t="shared" si="409"/>
        <v>NG</v>
      </c>
      <c r="AN188" s="162"/>
      <c r="AO188" s="276" t="str">
        <f>IF(OR(AK$8="判定対象外",AN$8="判定対象外",AN188="-"),"-",IF(AK188=AN188,"OK","NG"))</f>
        <v>OK</v>
      </c>
      <c r="AP188" s="160"/>
      <c r="AQ188" s="162"/>
      <c r="AR188" s="167" t="str">
        <f t="shared" si="384"/>
        <v xml:space="preserve">  </v>
      </c>
      <c r="AS188" s="174" t="str">
        <f t="shared" si="365"/>
        <v>NG</v>
      </c>
      <c r="AT188" s="162"/>
      <c r="AU188" s="276" t="str">
        <f>IF(OR(AQ$8="判定対象外",AT$8="判定対象外",AT188="-"),"-",IF(AQ188=AT188,"OK","NG"))</f>
        <v>OK</v>
      </c>
      <c r="AV188" s="160"/>
      <c r="AW188" s="162"/>
      <c r="AX188" s="167" t="str">
        <f t="shared" si="385"/>
        <v xml:space="preserve">  </v>
      </c>
      <c r="AY188" s="174" t="str">
        <f t="shared" si="366"/>
        <v>NG</v>
      </c>
      <c r="AZ188" s="162"/>
      <c r="BA188" s="276" t="str">
        <f>IF(OR(AW$8="判定対象外",AZ$8="判定対象外",AZ188="-"),"-",IF(AW188=AZ188,"OK","NG"))</f>
        <v>OK</v>
      </c>
      <c r="BB188" s="160"/>
      <c r="BC188" s="162"/>
      <c r="BD188" s="167" t="str">
        <f t="shared" si="386"/>
        <v xml:space="preserve">  </v>
      </c>
      <c r="BE188" s="174" t="str">
        <f t="shared" si="367"/>
        <v>NG</v>
      </c>
      <c r="BF188" s="162"/>
      <c r="BG188" s="276" t="str">
        <f>IF(OR(BC$8="判定対象外",BF$8="判定対象外",BF188="-"),"-",IF(BC188=BF188,"OK","NG"))</f>
        <v>OK</v>
      </c>
      <c r="BH188" s="160"/>
      <c r="BI188" s="162"/>
      <c r="BJ188" s="167" t="str">
        <f t="shared" si="387"/>
        <v xml:space="preserve">  </v>
      </c>
      <c r="BK188" s="174" t="str">
        <f t="shared" si="368"/>
        <v>NG</v>
      </c>
      <c r="BL188" s="162"/>
      <c r="BM188" s="276" t="str">
        <f>IF(OR(BI$8="判定対象外",BL$8="判定対象外",BL188="-"),"-",IF(BI188=BL188,"OK","NG"))</f>
        <v>OK</v>
      </c>
      <c r="BN188" s="160"/>
      <c r="BO188" s="162"/>
      <c r="BP188" s="167" t="str">
        <f t="shared" si="388"/>
        <v xml:space="preserve">  </v>
      </c>
      <c r="BQ188" s="174" t="str">
        <f t="shared" si="369"/>
        <v>NG</v>
      </c>
      <c r="BR188" s="162"/>
      <c r="BS188" s="276" t="str">
        <f>IF(OR(BO$8="判定対象外",BR$8="判定対象外",BR188="-"),"-",IF(BO188=BR188,"OK","NG"))</f>
        <v>OK</v>
      </c>
      <c r="BT188" s="160"/>
      <c r="BU188" s="162"/>
      <c r="BV188" s="167" t="str">
        <f t="shared" si="389"/>
        <v xml:space="preserve">  </v>
      </c>
      <c r="BW188" s="174" t="str">
        <f t="shared" si="370"/>
        <v>NG</v>
      </c>
      <c r="BX188" s="162"/>
      <c r="BY188" s="276" t="str">
        <f>IF(OR(BU$8="判定対象外",BX$8="判定対象外",BX188="-"),"-",IF(BU188=BX188,"OK","NG"))</f>
        <v>OK</v>
      </c>
      <c r="BZ188" s="160"/>
      <c r="CA188" s="162"/>
      <c r="CB188" s="167" t="str">
        <f t="shared" si="390"/>
        <v xml:space="preserve">  </v>
      </c>
      <c r="CC188" s="174" t="str">
        <f t="shared" si="371"/>
        <v>NG</v>
      </c>
      <c r="CD188" s="162"/>
      <c r="CE188" s="276" t="str">
        <f>IF(OR(CA$8="判定対象外",CD$8="判定対象外",CD188="-"),"-",IF(CA188=CD188,"OK","NG"))</f>
        <v>OK</v>
      </c>
      <c r="CF188" s="160"/>
      <c r="CG188" s="162"/>
      <c r="CH188" s="167" t="str">
        <f t="shared" si="391"/>
        <v xml:space="preserve">  </v>
      </c>
      <c r="CI188" s="174" t="str">
        <f t="shared" si="372"/>
        <v>NG</v>
      </c>
      <c r="CJ188" s="162"/>
      <c r="CK188" s="276" t="str">
        <f>IF(OR(CG$8="判定対象外",CJ$8="判定対象外",CJ188="-"),"-",IF(CG188=CJ188,"OK","NG"))</f>
        <v>OK</v>
      </c>
      <c r="CL188" s="160"/>
      <c r="CM188" s="162"/>
      <c r="CN188" s="167" t="str">
        <f t="shared" si="392"/>
        <v xml:space="preserve">  </v>
      </c>
      <c r="CO188" s="174" t="str">
        <f t="shared" si="373"/>
        <v>NG</v>
      </c>
      <c r="CP188" s="162"/>
      <c r="CQ188" s="276" t="str">
        <f>IF(OR(CM$8="判定対象外",CP$8="判定対象外",CP188="-"),"-",IF(CM188=CP188,"OK","NG"))</f>
        <v>OK</v>
      </c>
      <c r="CR188" s="160"/>
      <c r="CS188" s="162"/>
      <c r="CT188" s="167" t="str">
        <f t="shared" si="393"/>
        <v xml:space="preserve">  </v>
      </c>
      <c r="CU188" s="174" t="str">
        <f t="shared" si="374"/>
        <v>NG</v>
      </c>
      <c r="CV188" s="162"/>
      <c r="CW188" s="276" t="str">
        <f>IF(OR(CS$8="判定対象外",CV$8="判定対象外",CV188="-"),"-",IF(CS188=CV188,"OK","NG"))</f>
        <v>OK</v>
      </c>
      <c r="CX188" s="160"/>
      <c r="CY188" s="162"/>
      <c r="CZ188" s="167" t="str">
        <f t="shared" si="394"/>
        <v xml:space="preserve">  </v>
      </c>
      <c r="DA188" s="174" t="str">
        <f t="shared" si="375"/>
        <v>NG</v>
      </c>
      <c r="DB188" s="162"/>
      <c r="DC188" s="276" t="str">
        <f>IF(OR(CY$8="判定対象外",DB$8="判定対象外",DB188="-"),"-",IF(CY188=DB188,"OK","NG"))</f>
        <v>OK</v>
      </c>
      <c r="DD188" s="160"/>
      <c r="DE188" s="162"/>
      <c r="DF188" s="167" t="str">
        <f t="shared" si="395"/>
        <v xml:space="preserve">  </v>
      </c>
      <c r="DG188" s="174" t="str">
        <f t="shared" si="376"/>
        <v>NG</v>
      </c>
      <c r="DH188" s="162"/>
      <c r="DI188" s="276" t="str">
        <f>IF(OR(DE$8="判定対象外",DH$8="判定対象外",DH188="-"),"-",IF(DE188=DH188,"OK","NG"))</f>
        <v>OK</v>
      </c>
      <c r="DJ188" s="160"/>
      <c r="DK188" s="162"/>
      <c r="DL188" s="167" t="str">
        <f t="shared" si="396"/>
        <v xml:space="preserve">  </v>
      </c>
      <c r="DM188" s="174" t="str">
        <f t="shared" si="377"/>
        <v>NG</v>
      </c>
      <c r="DN188" s="162"/>
      <c r="DO188" s="276" t="str">
        <f>IF(OR(DK$8="判定対象外",DN$8="判定対象外",DN188="-"),"-",IF(DK188=DN188,"OK","NG"))</f>
        <v>OK</v>
      </c>
      <c r="DP188" s="160"/>
      <c r="DQ188" s="162"/>
      <c r="DR188" s="167" t="str">
        <f t="shared" si="397"/>
        <v xml:space="preserve">  </v>
      </c>
      <c r="DS188" s="174" t="str">
        <f t="shared" si="413"/>
        <v>NG</v>
      </c>
      <c r="DT188" s="162"/>
      <c r="DU188" s="276" t="str">
        <f>IF(OR(DQ$8="判定対象外",DT$8="判定対象外",DT188="-"),"-",IF(DQ188=DT188,"OK","NG"))</f>
        <v>OK</v>
      </c>
      <c r="DV188" s="160"/>
      <c r="DW188" s="162"/>
      <c r="DX188" s="167" t="str">
        <f t="shared" si="398"/>
        <v xml:space="preserve">  </v>
      </c>
      <c r="DY188" s="174" t="str">
        <f t="shared" si="414"/>
        <v>NG</v>
      </c>
      <c r="DZ188" s="162"/>
      <c r="EA188" s="276" t="str">
        <f>IF(OR(DW$8="判定対象外",DZ$8="判定対象外",DZ188="-"),"-",IF(DW188=DZ188,"OK","NG"))</f>
        <v>OK</v>
      </c>
      <c r="EB188" s="160"/>
      <c r="EC188" s="162"/>
      <c r="ED188" s="167" t="str">
        <f t="shared" si="399"/>
        <v xml:space="preserve">  </v>
      </c>
      <c r="EE188" s="174" t="str">
        <f t="shared" si="415"/>
        <v>NG</v>
      </c>
      <c r="EF188" s="162"/>
      <c r="EG188" s="276" t="str">
        <f>IF(OR(EC$8="判定対象外",EF$8="判定対象外",EF188="-"),"-",IF(EC188=EF188,"OK","NG"))</f>
        <v>OK</v>
      </c>
      <c r="EH188" s="160"/>
      <c r="EI188" s="162"/>
      <c r="EJ188" s="167" t="str">
        <f t="shared" si="400"/>
        <v xml:space="preserve">  </v>
      </c>
      <c r="EK188" s="174" t="str">
        <f t="shared" si="416"/>
        <v>NG</v>
      </c>
      <c r="EL188" s="162"/>
      <c r="EM188" s="276" t="str">
        <f>IF(OR(EI$8="判定対象外",EL$8="判定対象外",EL188="-"),"-",IF(EI188=EL188,"OK","NG"))</f>
        <v>OK</v>
      </c>
      <c r="EN188" s="160"/>
      <c r="EO188" s="162"/>
      <c r="EP188" s="167" t="str">
        <f t="shared" si="401"/>
        <v xml:space="preserve">  </v>
      </c>
      <c r="EQ188" s="174" t="str">
        <f t="shared" si="417"/>
        <v>NG</v>
      </c>
      <c r="ER188" s="162"/>
      <c r="ES188" s="276" t="str">
        <f>IF(OR(EO$8="判定対象外",ER$8="判定対象外",ER188="-"),"-",IF(EO188=ER188,"OK","NG"))</f>
        <v>OK</v>
      </c>
      <c r="ET188" s="160"/>
      <c r="EU188" s="162"/>
      <c r="EV188" s="167" t="str">
        <f t="shared" si="402"/>
        <v xml:space="preserve">  </v>
      </c>
      <c r="EW188" s="174" t="str">
        <f t="shared" si="418"/>
        <v>NG</v>
      </c>
      <c r="EX188" s="162"/>
      <c r="EY188" s="276" t="str">
        <f>IF(OR(EU$8="判定対象外",EX$8="判定対象外",EX188="-"),"-",IF(EU188=EX188,"OK","NG"))</f>
        <v>OK</v>
      </c>
      <c r="EZ188" s="160"/>
      <c r="FA188" s="162"/>
      <c r="FB188" s="167" t="str">
        <f t="shared" si="403"/>
        <v xml:space="preserve">  </v>
      </c>
      <c r="FC188" s="174" t="str">
        <f t="shared" si="419"/>
        <v>NG</v>
      </c>
      <c r="FD188" s="162"/>
      <c r="FE188" s="276" t="str">
        <f>IF(OR(FA$8="判定対象外",FD$8="判定対象外",FD188="-"),"-",IF(FA188=FD188,"OK","NG"))</f>
        <v>OK</v>
      </c>
      <c r="FF188" s="160"/>
      <c r="FG188" s="162"/>
      <c r="FH188" s="167" t="str">
        <f t="shared" si="404"/>
        <v xml:space="preserve">  </v>
      </c>
      <c r="FI188" s="174" t="str">
        <f t="shared" si="420"/>
        <v>NG</v>
      </c>
      <c r="FJ188" s="162"/>
      <c r="FK188" s="276" t="str">
        <f>IF(OR(FG$8="判定対象外",FJ$8="判定対象外",FJ188="-"),"-",IF(FG188=FJ188,"OK","NG"))</f>
        <v>OK</v>
      </c>
      <c r="FL188" s="160"/>
      <c r="FM188" s="162"/>
      <c r="FN188" s="167" t="str">
        <f t="shared" si="405"/>
        <v xml:space="preserve">  </v>
      </c>
      <c r="FO188" s="174" t="str">
        <f t="shared" si="378"/>
        <v>NG</v>
      </c>
      <c r="FP188" s="162"/>
      <c r="FQ188" s="276" t="str">
        <f>IF(OR(FM$8="判定対象外",FP$8="判定対象外",FP188="-"),"-",IF(FM188=FP188,"OK","NG"))</f>
        <v>OK</v>
      </c>
      <c r="FR188" s="160"/>
      <c r="FS188" s="162"/>
      <c r="FT188" s="167" t="str">
        <f t="shared" si="406"/>
        <v xml:space="preserve">  </v>
      </c>
      <c r="FU188" s="174" t="str">
        <f t="shared" si="379"/>
        <v>NG</v>
      </c>
      <c r="FV188" s="162"/>
      <c r="FW188" s="276" t="str">
        <f>IF(OR(FS$8="判定対象外",FV$8="判定対象外",FV188="-"),"-",IF(FS188=FV188,"OK","NG"))</f>
        <v>OK</v>
      </c>
      <c r="FX188" s="160"/>
      <c r="FY188" s="162"/>
      <c r="FZ188" s="167" t="str">
        <f t="shared" si="407"/>
        <v xml:space="preserve">  </v>
      </c>
      <c r="GA188" s="174" t="str">
        <f t="shared" si="380"/>
        <v>NG</v>
      </c>
      <c r="GB188" s="162"/>
      <c r="GC188" s="276" t="str">
        <f>IF(OR(FY$8="判定対象外",GB$8="判定対象外",GB188="-"),"-",IF(FY188=GB188,"OK","NG"))</f>
        <v>OK</v>
      </c>
    </row>
    <row r="189" spans="1:185" s="52" customFormat="1" ht="344.25">
      <c r="B189" s="48">
        <f t="shared" si="408"/>
        <v>182</v>
      </c>
      <c r="C189" s="37"/>
      <c r="D189" s="37"/>
      <c r="E189" s="37"/>
      <c r="F189" s="188" t="s">
        <v>320</v>
      </c>
      <c r="G189" s="39"/>
      <c r="H189" s="40"/>
      <c r="I189" s="42"/>
      <c r="J189" s="42" t="s">
        <v>316</v>
      </c>
      <c r="K189" s="42"/>
      <c r="L189" s="42"/>
      <c r="M189" s="189" t="s">
        <v>321</v>
      </c>
      <c r="N189" s="63"/>
      <c r="O189" s="143"/>
      <c r="P189" s="45">
        <f>P188+1</f>
        <v>160</v>
      </c>
      <c r="Q189" s="46">
        <v>2</v>
      </c>
      <c r="R189" s="41" t="str">
        <f t="shared" si="421"/>
        <v>X</v>
      </c>
      <c r="S189" s="185" t="s">
        <v>100</v>
      </c>
      <c r="T189" s="43"/>
      <c r="U189" s="41" t="s">
        <v>80</v>
      </c>
      <c r="V189" s="44"/>
      <c r="W189" s="22">
        <v>3</v>
      </c>
      <c r="X189" s="47" t="s">
        <v>262</v>
      </c>
      <c r="Y189" s="47">
        <v>2</v>
      </c>
      <c r="Z189" s="47">
        <v>2</v>
      </c>
      <c r="AA189" s="42" t="s">
        <v>163</v>
      </c>
      <c r="AB189" s="42" t="s">
        <v>57</v>
      </c>
      <c r="AC189" s="166"/>
      <c r="AD189" s="160"/>
      <c r="AE189" s="162"/>
      <c r="AF189" s="167" t="str">
        <f t="shared" si="383"/>
        <v xml:space="preserve">  </v>
      </c>
      <c r="AG189" s="174" t="str">
        <f t="shared" si="364"/>
        <v>NG</v>
      </c>
      <c r="AH189" s="162"/>
      <c r="AI189" s="276" t="str">
        <f>IF(OR(AE$8="判定対象外",AH$8="判定対象外",AH189="-"),"-",IF(AE189=AH189,"OK","NG"))</f>
        <v>OK</v>
      </c>
      <c r="AJ189" s="160"/>
      <c r="AK189" s="162"/>
      <c r="AL189" s="167" t="str">
        <f t="shared" si="382"/>
        <v xml:space="preserve">  </v>
      </c>
      <c r="AM189" s="174" t="str">
        <f t="shared" si="409"/>
        <v>NG</v>
      </c>
      <c r="AN189" s="162"/>
      <c r="AO189" s="276" t="str">
        <f>IF(OR(AK$8="判定対象外",AN$8="判定対象外",AN189="-"),"-",IF(AK189=AN189,"OK","NG"))</f>
        <v>OK</v>
      </c>
      <c r="AP189" s="160"/>
      <c r="AQ189" s="162"/>
      <c r="AR189" s="167" t="str">
        <f t="shared" si="384"/>
        <v xml:space="preserve">  </v>
      </c>
      <c r="AS189" s="174" t="str">
        <f t="shared" si="365"/>
        <v>NG</v>
      </c>
      <c r="AT189" s="162"/>
      <c r="AU189" s="276" t="str">
        <f>IF(OR(AQ$8="判定対象外",AT$8="判定対象外",AT189="-"),"-",IF(AQ189=AT189,"OK","NG"))</f>
        <v>OK</v>
      </c>
      <c r="AV189" s="160"/>
      <c r="AW189" s="162"/>
      <c r="AX189" s="167" t="str">
        <f t="shared" si="385"/>
        <v xml:space="preserve">  </v>
      </c>
      <c r="AY189" s="174" t="str">
        <f t="shared" si="366"/>
        <v>NG</v>
      </c>
      <c r="AZ189" s="162"/>
      <c r="BA189" s="276" t="str">
        <f>IF(OR(AW$8="判定対象外",AZ$8="判定対象外",AZ189="-"),"-",IF(AW189=AZ189,"OK","NG"))</f>
        <v>OK</v>
      </c>
      <c r="BB189" s="160"/>
      <c r="BC189" s="162"/>
      <c r="BD189" s="167" t="str">
        <f t="shared" si="386"/>
        <v xml:space="preserve">  </v>
      </c>
      <c r="BE189" s="174" t="str">
        <f t="shared" si="367"/>
        <v>NG</v>
      </c>
      <c r="BF189" s="162"/>
      <c r="BG189" s="276" t="str">
        <f>IF(OR(BC$8="判定対象外",BF$8="判定対象外",BF189="-"),"-",IF(BC189=BF189,"OK","NG"))</f>
        <v>OK</v>
      </c>
      <c r="BH189" s="160"/>
      <c r="BI189" s="162"/>
      <c r="BJ189" s="167" t="str">
        <f t="shared" si="387"/>
        <v xml:space="preserve">  </v>
      </c>
      <c r="BK189" s="174" t="str">
        <f t="shared" si="368"/>
        <v>NG</v>
      </c>
      <c r="BL189" s="162"/>
      <c r="BM189" s="276" t="str">
        <f>IF(OR(BI$8="判定対象外",BL$8="判定対象外",BL189="-"),"-",IF(BI189=BL189,"OK","NG"))</f>
        <v>OK</v>
      </c>
      <c r="BN189" s="160"/>
      <c r="BO189" s="162"/>
      <c r="BP189" s="167" t="str">
        <f t="shared" si="388"/>
        <v xml:space="preserve">  </v>
      </c>
      <c r="BQ189" s="174" t="str">
        <f t="shared" si="369"/>
        <v>NG</v>
      </c>
      <c r="BR189" s="162"/>
      <c r="BS189" s="276" t="str">
        <f>IF(OR(BO$8="判定対象外",BR$8="判定対象外",BR189="-"),"-",IF(BO189=BR189,"OK","NG"))</f>
        <v>OK</v>
      </c>
      <c r="BT189" s="160"/>
      <c r="BU189" s="162"/>
      <c r="BV189" s="167" t="str">
        <f t="shared" si="389"/>
        <v xml:space="preserve">  </v>
      </c>
      <c r="BW189" s="174" t="str">
        <f t="shared" si="370"/>
        <v>NG</v>
      </c>
      <c r="BX189" s="162"/>
      <c r="BY189" s="276" t="str">
        <f>IF(OR(BU$8="判定対象外",BX$8="判定対象外",BX189="-"),"-",IF(BU189=BX189,"OK","NG"))</f>
        <v>OK</v>
      </c>
      <c r="BZ189" s="160"/>
      <c r="CA189" s="162"/>
      <c r="CB189" s="167" t="str">
        <f t="shared" si="390"/>
        <v xml:space="preserve">  </v>
      </c>
      <c r="CC189" s="174" t="str">
        <f t="shared" si="371"/>
        <v>NG</v>
      </c>
      <c r="CD189" s="162"/>
      <c r="CE189" s="276" t="str">
        <f>IF(OR(CA$8="判定対象外",CD$8="判定対象外",CD189="-"),"-",IF(CA189=CD189,"OK","NG"))</f>
        <v>OK</v>
      </c>
      <c r="CF189" s="160"/>
      <c r="CG189" s="162"/>
      <c r="CH189" s="167" t="str">
        <f t="shared" si="391"/>
        <v xml:space="preserve">  </v>
      </c>
      <c r="CI189" s="174" t="str">
        <f t="shared" si="372"/>
        <v>NG</v>
      </c>
      <c r="CJ189" s="162"/>
      <c r="CK189" s="276" t="str">
        <f>IF(OR(CG$8="判定対象外",CJ$8="判定対象外",CJ189="-"),"-",IF(CG189=CJ189,"OK","NG"))</f>
        <v>OK</v>
      </c>
      <c r="CL189" s="160"/>
      <c r="CM189" s="162"/>
      <c r="CN189" s="167" t="str">
        <f t="shared" si="392"/>
        <v xml:space="preserve">  </v>
      </c>
      <c r="CO189" s="174" t="str">
        <f t="shared" si="373"/>
        <v>NG</v>
      </c>
      <c r="CP189" s="162"/>
      <c r="CQ189" s="276" t="str">
        <f>IF(OR(CM$8="判定対象外",CP$8="判定対象外",CP189="-"),"-",IF(CM189=CP189,"OK","NG"))</f>
        <v>OK</v>
      </c>
      <c r="CR189" s="160"/>
      <c r="CS189" s="162"/>
      <c r="CT189" s="167" t="str">
        <f t="shared" si="393"/>
        <v xml:space="preserve">  </v>
      </c>
      <c r="CU189" s="174" t="str">
        <f t="shared" si="374"/>
        <v>NG</v>
      </c>
      <c r="CV189" s="162"/>
      <c r="CW189" s="276" t="str">
        <f>IF(OR(CS$8="判定対象外",CV$8="判定対象外",CV189="-"),"-",IF(CS189=CV189,"OK","NG"))</f>
        <v>OK</v>
      </c>
      <c r="CX189" s="160"/>
      <c r="CY189" s="162"/>
      <c r="CZ189" s="167" t="str">
        <f t="shared" si="394"/>
        <v xml:space="preserve">  </v>
      </c>
      <c r="DA189" s="174" t="str">
        <f t="shared" si="375"/>
        <v>NG</v>
      </c>
      <c r="DB189" s="162"/>
      <c r="DC189" s="276" t="str">
        <f>IF(OR(CY$8="判定対象外",DB$8="判定対象外",DB189="-"),"-",IF(CY189=DB189,"OK","NG"))</f>
        <v>OK</v>
      </c>
      <c r="DD189" s="160"/>
      <c r="DE189" s="162"/>
      <c r="DF189" s="167" t="str">
        <f t="shared" si="395"/>
        <v xml:space="preserve">  </v>
      </c>
      <c r="DG189" s="174" t="str">
        <f t="shared" si="376"/>
        <v>NG</v>
      </c>
      <c r="DH189" s="162"/>
      <c r="DI189" s="276" t="str">
        <f>IF(OR(DE$8="判定対象外",DH$8="判定対象外",DH189="-"),"-",IF(DE189=DH189,"OK","NG"))</f>
        <v>OK</v>
      </c>
      <c r="DJ189" s="160"/>
      <c r="DK189" s="162"/>
      <c r="DL189" s="167" t="str">
        <f t="shared" si="396"/>
        <v xml:space="preserve">  </v>
      </c>
      <c r="DM189" s="174" t="str">
        <f t="shared" si="377"/>
        <v>NG</v>
      </c>
      <c r="DN189" s="162"/>
      <c r="DO189" s="276" t="str">
        <f>IF(OR(DK$8="判定対象外",DN$8="判定対象外",DN189="-"),"-",IF(DK189=DN189,"OK","NG"))</f>
        <v>OK</v>
      </c>
      <c r="DP189" s="160"/>
      <c r="DQ189" s="162"/>
      <c r="DR189" s="167" t="str">
        <f t="shared" si="397"/>
        <v xml:space="preserve">  </v>
      </c>
      <c r="DS189" s="174" t="str">
        <f t="shared" si="413"/>
        <v>NG</v>
      </c>
      <c r="DT189" s="162"/>
      <c r="DU189" s="276" t="str">
        <f>IF(OR(DQ$8="判定対象外",DT$8="判定対象外",DT189="-"),"-",IF(DQ189=DT189,"OK","NG"))</f>
        <v>OK</v>
      </c>
      <c r="DV189" s="160"/>
      <c r="DW189" s="162"/>
      <c r="DX189" s="167" t="str">
        <f t="shared" si="398"/>
        <v xml:space="preserve">  </v>
      </c>
      <c r="DY189" s="174" t="str">
        <f t="shared" si="414"/>
        <v>NG</v>
      </c>
      <c r="DZ189" s="162"/>
      <c r="EA189" s="276" t="str">
        <f>IF(OR(DW$8="判定対象外",DZ$8="判定対象外",DZ189="-"),"-",IF(DW189=DZ189,"OK","NG"))</f>
        <v>OK</v>
      </c>
      <c r="EB189" s="160"/>
      <c r="EC189" s="162"/>
      <c r="ED189" s="167" t="str">
        <f t="shared" si="399"/>
        <v xml:space="preserve">  </v>
      </c>
      <c r="EE189" s="174" t="str">
        <f t="shared" si="415"/>
        <v>NG</v>
      </c>
      <c r="EF189" s="162"/>
      <c r="EG189" s="276" t="str">
        <f>IF(OR(EC$8="判定対象外",EF$8="判定対象外",EF189="-"),"-",IF(EC189=EF189,"OK","NG"))</f>
        <v>OK</v>
      </c>
      <c r="EH189" s="160"/>
      <c r="EI189" s="162"/>
      <c r="EJ189" s="167" t="str">
        <f t="shared" si="400"/>
        <v xml:space="preserve">  </v>
      </c>
      <c r="EK189" s="174" t="str">
        <f t="shared" si="416"/>
        <v>NG</v>
      </c>
      <c r="EL189" s="162"/>
      <c r="EM189" s="276" t="str">
        <f>IF(OR(EI$8="判定対象外",EL$8="判定対象外",EL189="-"),"-",IF(EI189=EL189,"OK","NG"))</f>
        <v>OK</v>
      </c>
      <c r="EN189" s="160"/>
      <c r="EO189" s="162"/>
      <c r="EP189" s="167" t="str">
        <f t="shared" si="401"/>
        <v xml:space="preserve">  </v>
      </c>
      <c r="EQ189" s="174" t="str">
        <f t="shared" si="417"/>
        <v>NG</v>
      </c>
      <c r="ER189" s="162"/>
      <c r="ES189" s="276" t="str">
        <f>IF(OR(EO$8="判定対象外",ER$8="判定対象外",ER189="-"),"-",IF(EO189=ER189,"OK","NG"))</f>
        <v>OK</v>
      </c>
      <c r="ET189" s="160"/>
      <c r="EU189" s="162"/>
      <c r="EV189" s="167" t="str">
        <f t="shared" si="402"/>
        <v xml:space="preserve">  </v>
      </c>
      <c r="EW189" s="174" t="str">
        <f t="shared" si="418"/>
        <v>NG</v>
      </c>
      <c r="EX189" s="162"/>
      <c r="EY189" s="276" t="str">
        <f>IF(OR(EU$8="判定対象外",EX$8="判定対象外",EX189="-"),"-",IF(EU189=EX189,"OK","NG"))</f>
        <v>OK</v>
      </c>
      <c r="EZ189" s="160"/>
      <c r="FA189" s="162"/>
      <c r="FB189" s="167" t="str">
        <f t="shared" si="403"/>
        <v xml:space="preserve">  </v>
      </c>
      <c r="FC189" s="174" t="str">
        <f t="shared" si="419"/>
        <v>NG</v>
      </c>
      <c r="FD189" s="162"/>
      <c r="FE189" s="276" t="str">
        <f>IF(OR(FA$8="判定対象外",FD$8="判定対象外",FD189="-"),"-",IF(FA189=FD189,"OK","NG"))</f>
        <v>OK</v>
      </c>
      <c r="FF189" s="160"/>
      <c r="FG189" s="162"/>
      <c r="FH189" s="167" t="str">
        <f t="shared" si="404"/>
        <v xml:space="preserve">  </v>
      </c>
      <c r="FI189" s="174" t="str">
        <f t="shared" si="420"/>
        <v>NG</v>
      </c>
      <c r="FJ189" s="162"/>
      <c r="FK189" s="276" t="str">
        <f>IF(OR(FG$8="判定対象外",FJ$8="判定対象外",FJ189="-"),"-",IF(FG189=FJ189,"OK","NG"))</f>
        <v>OK</v>
      </c>
      <c r="FL189" s="160"/>
      <c r="FM189" s="162"/>
      <c r="FN189" s="167" t="str">
        <f t="shared" si="405"/>
        <v xml:space="preserve">  </v>
      </c>
      <c r="FO189" s="174" t="str">
        <f t="shared" si="378"/>
        <v>NG</v>
      </c>
      <c r="FP189" s="162"/>
      <c r="FQ189" s="276" t="str">
        <f>IF(OR(FM$8="判定対象外",FP$8="判定対象外",FP189="-"),"-",IF(FM189=FP189,"OK","NG"))</f>
        <v>OK</v>
      </c>
      <c r="FR189" s="160"/>
      <c r="FS189" s="162"/>
      <c r="FT189" s="167" t="str">
        <f t="shared" si="406"/>
        <v xml:space="preserve">  </v>
      </c>
      <c r="FU189" s="174" t="str">
        <f t="shared" si="379"/>
        <v>NG</v>
      </c>
      <c r="FV189" s="162"/>
      <c r="FW189" s="276" t="str">
        <f>IF(OR(FS$8="判定対象外",FV$8="判定対象外",FV189="-"),"-",IF(FS189=FV189,"OK","NG"))</f>
        <v>OK</v>
      </c>
      <c r="FX189" s="160"/>
      <c r="FY189" s="162"/>
      <c r="FZ189" s="167" t="str">
        <f t="shared" si="407"/>
        <v xml:space="preserve">  </v>
      </c>
      <c r="GA189" s="174" t="str">
        <f t="shared" si="380"/>
        <v>NG</v>
      </c>
      <c r="GB189" s="162"/>
      <c r="GC189" s="276" t="str">
        <f>IF(OR(FY$8="判定対象外",GB$8="判定対象外",GB189="-"),"-",IF(FY189=GB189,"OK","NG"))</f>
        <v>OK</v>
      </c>
    </row>
    <row r="190" spans="1:185" s="52" customFormat="1">
      <c r="B190" s="48">
        <f t="shared" si="408"/>
        <v>183</v>
      </c>
      <c r="C190" s="37"/>
      <c r="D190" s="37"/>
      <c r="E190" s="37"/>
      <c r="F190" s="49" t="s">
        <v>322</v>
      </c>
      <c r="G190" s="39"/>
      <c r="H190" s="40"/>
      <c r="I190" s="42"/>
      <c r="J190" s="42"/>
      <c r="K190" s="42"/>
      <c r="L190" s="42"/>
      <c r="M190" s="213" t="s">
        <v>323</v>
      </c>
      <c r="N190" s="63"/>
      <c r="O190" s="143"/>
      <c r="P190" s="45">
        <f t="shared" ref="P190:P216" si="422">P189+1</f>
        <v>161</v>
      </c>
      <c r="Q190" s="46">
        <v>2</v>
      </c>
      <c r="R190" s="41" t="str">
        <f t="shared" si="421"/>
        <v>X</v>
      </c>
      <c r="S190" s="185" t="s">
        <v>190</v>
      </c>
      <c r="T190" s="43"/>
      <c r="U190" s="41" t="s">
        <v>80</v>
      </c>
      <c r="V190" s="44"/>
      <c r="W190" s="22">
        <v>3</v>
      </c>
      <c r="X190" s="47" t="s">
        <v>191</v>
      </c>
      <c r="Y190" s="47">
        <v>2</v>
      </c>
      <c r="Z190" s="47">
        <v>2</v>
      </c>
      <c r="AA190" s="42" t="s">
        <v>163</v>
      </c>
      <c r="AB190" s="42" t="s">
        <v>57</v>
      </c>
      <c r="AC190" s="166"/>
      <c r="AD190" s="160"/>
      <c r="AE190" s="141"/>
      <c r="AF190" s="203" t="str">
        <f t="shared" si="383"/>
        <v xml:space="preserve">  </v>
      </c>
      <c r="AG190" s="174" t="str">
        <f t="shared" si="364"/>
        <v>NG</v>
      </c>
      <c r="AH190" s="141"/>
      <c r="AI190" s="172" t="s">
        <v>71</v>
      </c>
      <c r="AJ190" s="160"/>
      <c r="AK190" s="141"/>
      <c r="AL190" s="203" t="str">
        <f t="shared" si="382"/>
        <v xml:space="preserve">  </v>
      </c>
      <c r="AM190" s="174" t="str">
        <f t="shared" si="409"/>
        <v>NG</v>
      </c>
      <c r="AN190" s="141"/>
      <c r="AO190" s="172" t="s">
        <v>71</v>
      </c>
      <c r="AP190" s="160"/>
      <c r="AQ190" s="141"/>
      <c r="AR190" s="203" t="str">
        <f t="shared" si="384"/>
        <v xml:space="preserve">  </v>
      </c>
      <c r="AS190" s="174" t="str">
        <f t="shared" si="365"/>
        <v>NG</v>
      </c>
      <c r="AT190" s="141"/>
      <c r="AU190" s="172" t="s">
        <v>71</v>
      </c>
      <c r="AV190" s="160"/>
      <c r="AW190" s="141"/>
      <c r="AX190" s="203" t="str">
        <f t="shared" si="385"/>
        <v xml:space="preserve">  </v>
      </c>
      <c r="AY190" s="174" t="str">
        <f t="shared" si="366"/>
        <v>NG</v>
      </c>
      <c r="AZ190" s="141"/>
      <c r="BA190" s="172" t="s">
        <v>71</v>
      </c>
      <c r="BB190" s="160"/>
      <c r="BC190" s="141"/>
      <c r="BD190" s="203" t="str">
        <f t="shared" si="386"/>
        <v xml:space="preserve">  </v>
      </c>
      <c r="BE190" s="174" t="str">
        <f t="shared" si="367"/>
        <v>NG</v>
      </c>
      <c r="BF190" s="141"/>
      <c r="BG190" s="172" t="s">
        <v>71</v>
      </c>
      <c r="BH190" s="160"/>
      <c r="BI190" s="141"/>
      <c r="BJ190" s="203" t="str">
        <f t="shared" si="387"/>
        <v xml:space="preserve">  </v>
      </c>
      <c r="BK190" s="174" t="str">
        <f t="shared" si="368"/>
        <v>NG</v>
      </c>
      <c r="BL190" s="141"/>
      <c r="BM190" s="172" t="s">
        <v>71</v>
      </c>
      <c r="BN190" s="160"/>
      <c r="BO190" s="141"/>
      <c r="BP190" s="203" t="str">
        <f t="shared" si="388"/>
        <v xml:space="preserve">  </v>
      </c>
      <c r="BQ190" s="174" t="str">
        <f t="shared" si="369"/>
        <v>NG</v>
      </c>
      <c r="BR190" s="141"/>
      <c r="BS190" s="172" t="s">
        <v>71</v>
      </c>
      <c r="BT190" s="160"/>
      <c r="BU190" s="141"/>
      <c r="BV190" s="203" t="str">
        <f t="shared" si="389"/>
        <v xml:space="preserve">  </v>
      </c>
      <c r="BW190" s="174" t="str">
        <f t="shared" si="370"/>
        <v>NG</v>
      </c>
      <c r="BX190" s="141"/>
      <c r="BY190" s="172" t="s">
        <v>71</v>
      </c>
      <c r="BZ190" s="160"/>
      <c r="CA190" s="141"/>
      <c r="CB190" s="203" t="str">
        <f t="shared" si="390"/>
        <v xml:space="preserve">  </v>
      </c>
      <c r="CC190" s="174" t="str">
        <f t="shared" si="371"/>
        <v>NG</v>
      </c>
      <c r="CD190" s="141"/>
      <c r="CE190" s="172" t="s">
        <v>71</v>
      </c>
      <c r="CF190" s="160"/>
      <c r="CG190" s="141"/>
      <c r="CH190" s="203" t="str">
        <f t="shared" si="391"/>
        <v xml:space="preserve">  </v>
      </c>
      <c r="CI190" s="174" t="str">
        <f t="shared" si="372"/>
        <v>NG</v>
      </c>
      <c r="CJ190" s="141"/>
      <c r="CK190" s="172" t="s">
        <v>71</v>
      </c>
      <c r="CL190" s="160"/>
      <c r="CM190" s="141"/>
      <c r="CN190" s="203" t="str">
        <f t="shared" si="392"/>
        <v xml:space="preserve">  </v>
      </c>
      <c r="CO190" s="174" t="str">
        <f t="shared" si="373"/>
        <v>NG</v>
      </c>
      <c r="CP190" s="141"/>
      <c r="CQ190" s="172" t="s">
        <v>71</v>
      </c>
      <c r="CR190" s="160"/>
      <c r="CS190" s="141"/>
      <c r="CT190" s="203" t="str">
        <f t="shared" si="393"/>
        <v xml:space="preserve">  </v>
      </c>
      <c r="CU190" s="174" t="str">
        <f t="shared" si="374"/>
        <v>NG</v>
      </c>
      <c r="CV190" s="141"/>
      <c r="CW190" s="172" t="s">
        <v>71</v>
      </c>
      <c r="CX190" s="160"/>
      <c r="CY190" s="141"/>
      <c r="CZ190" s="203" t="str">
        <f t="shared" si="394"/>
        <v xml:space="preserve">  </v>
      </c>
      <c r="DA190" s="174" t="str">
        <f t="shared" si="375"/>
        <v>NG</v>
      </c>
      <c r="DB190" s="141"/>
      <c r="DC190" s="172" t="s">
        <v>71</v>
      </c>
      <c r="DD190" s="160"/>
      <c r="DE190" s="141"/>
      <c r="DF190" s="203" t="str">
        <f t="shared" si="395"/>
        <v xml:space="preserve">  </v>
      </c>
      <c r="DG190" s="174" t="str">
        <f t="shared" si="376"/>
        <v>NG</v>
      </c>
      <c r="DH190" s="141"/>
      <c r="DI190" s="172" t="s">
        <v>71</v>
      </c>
      <c r="DJ190" s="160"/>
      <c r="DK190" s="141"/>
      <c r="DL190" s="203" t="str">
        <f t="shared" si="396"/>
        <v xml:space="preserve">  </v>
      </c>
      <c r="DM190" s="174" t="str">
        <f t="shared" si="377"/>
        <v>NG</v>
      </c>
      <c r="DN190" s="141"/>
      <c r="DO190" s="172" t="s">
        <v>71</v>
      </c>
      <c r="DP190" s="160"/>
      <c r="DQ190" s="141"/>
      <c r="DR190" s="203" t="str">
        <f t="shared" si="397"/>
        <v xml:space="preserve">  </v>
      </c>
      <c r="DS190" s="174" t="str">
        <f t="shared" si="413"/>
        <v>NG</v>
      </c>
      <c r="DT190" s="141"/>
      <c r="DU190" s="172" t="s">
        <v>71</v>
      </c>
      <c r="DV190" s="160"/>
      <c r="DW190" s="141"/>
      <c r="DX190" s="203" t="str">
        <f t="shared" si="398"/>
        <v xml:space="preserve">  </v>
      </c>
      <c r="DY190" s="174" t="str">
        <f t="shared" si="414"/>
        <v>NG</v>
      </c>
      <c r="DZ190" s="141"/>
      <c r="EA190" s="172" t="s">
        <v>71</v>
      </c>
      <c r="EB190" s="160"/>
      <c r="EC190" s="141"/>
      <c r="ED190" s="203" t="str">
        <f t="shared" si="399"/>
        <v xml:space="preserve">  </v>
      </c>
      <c r="EE190" s="174" t="str">
        <f t="shared" si="415"/>
        <v>NG</v>
      </c>
      <c r="EF190" s="141"/>
      <c r="EG190" s="172" t="s">
        <v>71</v>
      </c>
      <c r="EH190" s="160"/>
      <c r="EI190" s="141"/>
      <c r="EJ190" s="203" t="str">
        <f t="shared" si="400"/>
        <v xml:space="preserve">  </v>
      </c>
      <c r="EK190" s="174" t="str">
        <f t="shared" si="416"/>
        <v>NG</v>
      </c>
      <c r="EL190" s="141"/>
      <c r="EM190" s="172" t="s">
        <v>71</v>
      </c>
      <c r="EN190" s="160"/>
      <c r="EO190" s="141"/>
      <c r="EP190" s="203" t="str">
        <f t="shared" si="401"/>
        <v xml:space="preserve">  </v>
      </c>
      <c r="EQ190" s="174" t="str">
        <f t="shared" si="417"/>
        <v>NG</v>
      </c>
      <c r="ER190" s="141"/>
      <c r="ES190" s="172" t="s">
        <v>71</v>
      </c>
      <c r="ET190" s="160"/>
      <c r="EU190" s="141"/>
      <c r="EV190" s="203" t="str">
        <f t="shared" si="402"/>
        <v xml:space="preserve">  </v>
      </c>
      <c r="EW190" s="174" t="str">
        <f t="shared" si="418"/>
        <v>NG</v>
      </c>
      <c r="EX190" s="141"/>
      <c r="EY190" s="172" t="s">
        <v>71</v>
      </c>
      <c r="EZ190" s="160"/>
      <c r="FA190" s="141"/>
      <c r="FB190" s="203" t="str">
        <f t="shared" si="403"/>
        <v xml:space="preserve">  </v>
      </c>
      <c r="FC190" s="174" t="str">
        <f t="shared" si="419"/>
        <v>NG</v>
      </c>
      <c r="FD190" s="141"/>
      <c r="FE190" s="172" t="s">
        <v>71</v>
      </c>
      <c r="FF190" s="160"/>
      <c r="FG190" s="141"/>
      <c r="FH190" s="203" t="str">
        <f t="shared" si="404"/>
        <v xml:space="preserve">  </v>
      </c>
      <c r="FI190" s="174" t="str">
        <f t="shared" si="420"/>
        <v>NG</v>
      </c>
      <c r="FJ190" s="141"/>
      <c r="FK190" s="172" t="s">
        <v>71</v>
      </c>
      <c r="FL190" s="160"/>
      <c r="FM190" s="141"/>
      <c r="FN190" s="203" t="str">
        <f t="shared" si="405"/>
        <v xml:space="preserve">  </v>
      </c>
      <c r="FO190" s="174" t="str">
        <f t="shared" si="378"/>
        <v>NG</v>
      </c>
      <c r="FP190" s="141"/>
      <c r="FQ190" s="172" t="s">
        <v>71</v>
      </c>
      <c r="FR190" s="160"/>
      <c r="FS190" s="141"/>
      <c r="FT190" s="203" t="str">
        <f t="shared" si="406"/>
        <v xml:space="preserve">  </v>
      </c>
      <c r="FU190" s="174" t="str">
        <f t="shared" si="379"/>
        <v>NG</v>
      </c>
      <c r="FV190" s="141"/>
      <c r="FW190" s="172" t="s">
        <v>71</v>
      </c>
      <c r="FX190" s="160"/>
      <c r="FY190" s="141"/>
      <c r="FZ190" s="203" t="str">
        <f t="shared" si="407"/>
        <v xml:space="preserve">  </v>
      </c>
      <c r="GA190" s="174" t="str">
        <f t="shared" si="380"/>
        <v>NG</v>
      </c>
      <c r="GB190" s="141"/>
      <c r="GC190" s="172" t="s">
        <v>71</v>
      </c>
    </row>
    <row r="191" spans="1:185" s="52" customFormat="1">
      <c r="B191" s="48">
        <f t="shared" si="408"/>
        <v>184</v>
      </c>
      <c r="C191" s="37"/>
      <c r="D191" s="37"/>
      <c r="E191" s="37"/>
      <c r="F191" s="49" t="s">
        <v>192</v>
      </c>
      <c r="G191" s="39"/>
      <c r="H191" s="40"/>
      <c r="I191" s="42"/>
      <c r="J191" s="42" t="s">
        <v>316</v>
      </c>
      <c r="K191" s="42"/>
      <c r="L191" s="42"/>
      <c r="M191" s="47" t="s">
        <v>324</v>
      </c>
      <c r="N191" s="47"/>
      <c r="O191" s="143"/>
      <c r="P191" s="45">
        <f t="shared" si="422"/>
        <v>162</v>
      </c>
      <c r="Q191" s="46">
        <v>255</v>
      </c>
      <c r="R191" s="41" t="str">
        <f t="shared" si="421"/>
        <v>NX</v>
      </c>
      <c r="S191" s="185" t="s">
        <v>193</v>
      </c>
      <c r="T191" s="43"/>
      <c r="U191" s="41" t="s">
        <v>80</v>
      </c>
      <c r="V191" s="44"/>
      <c r="W191" s="22">
        <v>3</v>
      </c>
      <c r="X191" s="47" t="s">
        <v>271</v>
      </c>
      <c r="Y191" s="47">
        <v>1</v>
      </c>
      <c r="Z191" s="47">
        <v>255</v>
      </c>
      <c r="AA191" s="42" t="s">
        <v>195</v>
      </c>
      <c r="AB191" s="42" t="s">
        <v>57</v>
      </c>
      <c r="AC191" s="166"/>
      <c r="AD191" s="160"/>
      <c r="AE191" s="162"/>
      <c r="AF191" s="204" t="str">
        <f t="shared" si="383"/>
        <v xml:space="preserve">                                                                                                                                                                                                                                                               </v>
      </c>
      <c r="AG191" s="174" t="str">
        <f t="shared" si="364"/>
        <v>NG</v>
      </c>
      <c r="AH191" s="162"/>
      <c r="AI191" s="276" t="str">
        <f>IF(OR(AE$8="判定対象外",AH$8="判定対象外",AH191="-"),"-",IF(AE191=AH191,"OK","NG"))</f>
        <v>OK</v>
      </c>
      <c r="AJ191" s="160"/>
      <c r="AK191" s="162"/>
      <c r="AL191" s="204" t="str">
        <f t="shared" si="382"/>
        <v xml:space="preserve">                                                                                                                                                                                                                                                               </v>
      </c>
      <c r="AM191" s="174" t="str">
        <f t="shared" si="409"/>
        <v>NG</v>
      </c>
      <c r="AN191" s="162"/>
      <c r="AO191" s="276" t="str">
        <f>IF(OR(AK$8="判定対象外",AN$8="判定対象外",AN191="-"),"-",IF(AK191=AN191,"OK","NG"))</f>
        <v>OK</v>
      </c>
      <c r="AP191" s="160"/>
      <c r="AQ191" s="162"/>
      <c r="AR191" s="204" t="str">
        <f t="shared" si="384"/>
        <v xml:space="preserve">                                                                                                                                                                                                                                                               </v>
      </c>
      <c r="AS191" s="174" t="str">
        <f t="shared" si="365"/>
        <v>NG</v>
      </c>
      <c r="AT191" s="162"/>
      <c r="AU191" s="276" t="str">
        <f>IF(OR(AQ$8="判定対象外",AT$8="判定対象外",AT191="-"),"-",IF(AQ191=AT191,"OK","NG"))</f>
        <v>OK</v>
      </c>
      <c r="AV191" s="160"/>
      <c r="AW191" s="162"/>
      <c r="AX191" s="204" t="str">
        <f t="shared" si="385"/>
        <v xml:space="preserve">                                                                                                                                                                                                                                                               </v>
      </c>
      <c r="AY191" s="174" t="str">
        <f t="shared" si="366"/>
        <v>NG</v>
      </c>
      <c r="AZ191" s="162"/>
      <c r="BA191" s="276" t="str">
        <f>IF(OR(AW$8="判定対象外",AZ$8="判定対象外",AZ191="-"),"-",IF(AW191=AZ191,"OK","NG"))</f>
        <v>OK</v>
      </c>
      <c r="BB191" s="160"/>
      <c r="BC191" s="162"/>
      <c r="BD191" s="204" t="str">
        <f t="shared" si="386"/>
        <v xml:space="preserve">                                                                                                                                                                                                                                                               </v>
      </c>
      <c r="BE191" s="174" t="str">
        <f t="shared" si="367"/>
        <v>NG</v>
      </c>
      <c r="BF191" s="162"/>
      <c r="BG191" s="276" t="str">
        <f>IF(OR(BC$8="判定対象外",BF$8="判定対象外",BF191="-"),"-",IF(BC191=BF191,"OK","NG"))</f>
        <v>OK</v>
      </c>
      <c r="BH191" s="160"/>
      <c r="BI191" s="162"/>
      <c r="BJ191" s="204" t="str">
        <f t="shared" si="387"/>
        <v xml:space="preserve">                                                                                                                                                                                                                                                               </v>
      </c>
      <c r="BK191" s="174" t="str">
        <f t="shared" si="368"/>
        <v>NG</v>
      </c>
      <c r="BL191" s="162"/>
      <c r="BM191" s="276" t="str">
        <f>IF(OR(BI$8="判定対象外",BL$8="判定対象外",BL191="-"),"-",IF(BI191=BL191,"OK","NG"))</f>
        <v>OK</v>
      </c>
      <c r="BN191" s="160"/>
      <c r="BO191" s="162"/>
      <c r="BP191" s="204" t="str">
        <f t="shared" si="388"/>
        <v xml:space="preserve">                                                                                                                                                                                                                                                               </v>
      </c>
      <c r="BQ191" s="174" t="str">
        <f t="shared" si="369"/>
        <v>NG</v>
      </c>
      <c r="BR191" s="162"/>
      <c r="BS191" s="276" t="str">
        <f>IF(OR(BO$8="判定対象外",BR$8="判定対象外",BR191="-"),"-",IF(BO191=BR191,"OK","NG"))</f>
        <v>OK</v>
      </c>
      <c r="BT191" s="160"/>
      <c r="BU191" s="162"/>
      <c r="BV191" s="204" t="str">
        <f t="shared" si="389"/>
        <v xml:space="preserve">                                                                                                                                                                                                                                                               </v>
      </c>
      <c r="BW191" s="174" t="str">
        <f t="shared" si="370"/>
        <v>NG</v>
      </c>
      <c r="BX191" s="162"/>
      <c r="BY191" s="276" t="str">
        <f>IF(OR(BU$8="判定対象外",BX$8="判定対象外",BX191="-"),"-",IF(BU191=BX191,"OK","NG"))</f>
        <v>OK</v>
      </c>
      <c r="BZ191" s="160"/>
      <c r="CA191" s="162"/>
      <c r="CB191" s="204" t="str">
        <f t="shared" si="390"/>
        <v xml:space="preserve">                                                                                                                                                                                                                                                               </v>
      </c>
      <c r="CC191" s="174" t="str">
        <f t="shared" si="371"/>
        <v>NG</v>
      </c>
      <c r="CD191" s="162"/>
      <c r="CE191" s="276" t="str">
        <f>IF(OR(CA$8="判定対象外",CD$8="判定対象外",CD191="-"),"-",IF(CA191=CD191,"OK","NG"))</f>
        <v>OK</v>
      </c>
      <c r="CF191" s="160"/>
      <c r="CG191" s="162"/>
      <c r="CH191" s="204" t="str">
        <f t="shared" si="391"/>
        <v xml:space="preserve">                                                                                                                                                                                                                                                               </v>
      </c>
      <c r="CI191" s="174" t="str">
        <f t="shared" si="372"/>
        <v>NG</v>
      </c>
      <c r="CJ191" s="162"/>
      <c r="CK191" s="276" t="str">
        <f>IF(OR(CG$8="判定対象外",CJ$8="判定対象外",CJ191="-"),"-",IF(CG191=CJ191,"OK","NG"))</f>
        <v>OK</v>
      </c>
      <c r="CL191" s="160"/>
      <c r="CM191" s="162"/>
      <c r="CN191" s="204" t="str">
        <f t="shared" si="392"/>
        <v xml:space="preserve">                                                                                                                                                                                                                                                               </v>
      </c>
      <c r="CO191" s="174" t="str">
        <f t="shared" si="373"/>
        <v>NG</v>
      </c>
      <c r="CP191" s="162"/>
      <c r="CQ191" s="276" t="str">
        <f>IF(OR(CM$8="判定対象外",CP$8="判定対象外",CP191="-"),"-",IF(CM191=CP191,"OK","NG"))</f>
        <v>OK</v>
      </c>
      <c r="CR191" s="160"/>
      <c r="CS191" s="162"/>
      <c r="CT191" s="204" t="str">
        <f t="shared" si="393"/>
        <v xml:space="preserve">                                                                                                                                                                                                                                                               </v>
      </c>
      <c r="CU191" s="174" t="str">
        <f t="shared" si="374"/>
        <v>NG</v>
      </c>
      <c r="CV191" s="162"/>
      <c r="CW191" s="276" t="str">
        <f>IF(OR(CS$8="判定対象外",CV$8="判定対象外",CV191="-"),"-",IF(CS191=CV191,"OK","NG"))</f>
        <v>OK</v>
      </c>
      <c r="CX191" s="160"/>
      <c r="CY191" s="162"/>
      <c r="CZ191" s="204" t="str">
        <f t="shared" si="394"/>
        <v xml:space="preserve">                                                                                                                                                                                                                                                               </v>
      </c>
      <c r="DA191" s="174" t="str">
        <f t="shared" si="375"/>
        <v>NG</v>
      </c>
      <c r="DB191" s="162"/>
      <c r="DC191" s="276" t="str">
        <f>IF(OR(CY$8="判定対象外",DB$8="判定対象外",DB191="-"),"-",IF(CY191=DB191,"OK","NG"))</f>
        <v>OK</v>
      </c>
      <c r="DD191" s="160"/>
      <c r="DE191" s="162"/>
      <c r="DF191" s="204" t="str">
        <f t="shared" si="395"/>
        <v xml:space="preserve">                                                                                                                                                                                                                                                               </v>
      </c>
      <c r="DG191" s="174" t="str">
        <f t="shared" si="376"/>
        <v>NG</v>
      </c>
      <c r="DH191" s="162"/>
      <c r="DI191" s="276" t="str">
        <f>IF(OR(DE$8="判定対象外",DH$8="判定対象外",DH191="-"),"-",IF(DE191=DH191,"OK","NG"))</f>
        <v>OK</v>
      </c>
      <c r="DJ191" s="160"/>
      <c r="DK191" s="162"/>
      <c r="DL191" s="204" t="str">
        <f t="shared" si="396"/>
        <v xml:space="preserve">                                                                                                                                                                                                                                                               </v>
      </c>
      <c r="DM191" s="174" t="str">
        <f t="shared" si="377"/>
        <v>NG</v>
      </c>
      <c r="DN191" s="162"/>
      <c r="DO191" s="276" t="str">
        <f>IF(OR(DK$8="判定対象外",DN$8="判定対象外",DN191="-"),"-",IF(DK191=DN191,"OK","NG"))</f>
        <v>OK</v>
      </c>
      <c r="DP191" s="160"/>
      <c r="DQ191" s="162"/>
      <c r="DR191" s="204" t="str">
        <f t="shared" si="397"/>
        <v xml:space="preserve">                                                                                                                                                                                                                                                               </v>
      </c>
      <c r="DS191" s="174" t="str">
        <f t="shared" si="413"/>
        <v>NG</v>
      </c>
      <c r="DT191" s="162"/>
      <c r="DU191" s="276" t="str">
        <f>IF(OR(DQ$8="判定対象外",DT$8="判定対象外",DT191="-"),"-",IF(DQ191=DT191,"OK","NG"))</f>
        <v>OK</v>
      </c>
      <c r="DV191" s="160"/>
      <c r="DW191" s="162"/>
      <c r="DX191" s="204" t="str">
        <f t="shared" si="398"/>
        <v xml:space="preserve">                                                                                                                                                                                                                                                               </v>
      </c>
      <c r="DY191" s="174" t="str">
        <f t="shared" si="414"/>
        <v>NG</v>
      </c>
      <c r="DZ191" s="162"/>
      <c r="EA191" s="276" t="str">
        <f>IF(OR(DW$8="判定対象外",DZ$8="判定対象外",DZ191="-"),"-",IF(DW191=DZ191,"OK","NG"))</f>
        <v>OK</v>
      </c>
      <c r="EB191" s="160"/>
      <c r="EC191" s="162"/>
      <c r="ED191" s="204" t="str">
        <f t="shared" si="399"/>
        <v xml:space="preserve">                                                                                                                                                                                                                                                               </v>
      </c>
      <c r="EE191" s="174" t="str">
        <f t="shared" si="415"/>
        <v>NG</v>
      </c>
      <c r="EF191" s="162"/>
      <c r="EG191" s="276" t="str">
        <f>IF(OR(EC$8="判定対象外",EF$8="判定対象外",EF191="-"),"-",IF(EC191=EF191,"OK","NG"))</f>
        <v>OK</v>
      </c>
      <c r="EH191" s="160"/>
      <c r="EI191" s="162"/>
      <c r="EJ191" s="204" t="str">
        <f t="shared" si="400"/>
        <v xml:space="preserve">                                                                                                                                                                                                                                                               </v>
      </c>
      <c r="EK191" s="174" t="str">
        <f t="shared" si="416"/>
        <v>NG</v>
      </c>
      <c r="EL191" s="162"/>
      <c r="EM191" s="276" t="str">
        <f>IF(OR(EI$8="判定対象外",EL$8="判定対象外",EL191="-"),"-",IF(EI191=EL191,"OK","NG"))</f>
        <v>OK</v>
      </c>
      <c r="EN191" s="160"/>
      <c r="EO191" s="162"/>
      <c r="EP191" s="204" t="str">
        <f t="shared" si="401"/>
        <v xml:space="preserve">                                                                                                                                                                                                                                                               </v>
      </c>
      <c r="EQ191" s="174" t="str">
        <f t="shared" si="417"/>
        <v>NG</v>
      </c>
      <c r="ER191" s="162"/>
      <c r="ES191" s="276" t="str">
        <f>IF(OR(EO$8="判定対象外",ER$8="判定対象外",ER191="-"),"-",IF(EO191=ER191,"OK","NG"))</f>
        <v>OK</v>
      </c>
      <c r="ET191" s="160"/>
      <c r="EU191" s="162"/>
      <c r="EV191" s="204" t="str">
        <f t="shared" si="402"/>
        <v xml:space="preserve">                                                                                                                                                                                                                                                               </v>
      </c>
      <c r="EW191" s="174" t="str">
        <f t="shared" si="418"/>
        <v>NG</v>
      </c>
      <c r="EX191" s="162"/>
      <c r="EY191" s="276" t="str">
        <f>IF(OR(EU$8="判定対象外",EX$8="判定対象外",EX191="-"),"-",IF(EU191=EX191,"OK","NG"))</f>
        <v>OK</v>
      </c>
      <c r="EZ191" s="160"/>
      <c r="FA191" s="162"/>
      <c r="FB191" s="204" t="str">
        <f t="shared" si="403"/>
        <v xml:space="preserve">                                                                                                                                                                                                                                                               </v>
      </c>
      <c r="FC191" s="174" t="str">
        <f t="shared" si="419"/>
        <v>NG</v>
      </c>
      <c r="FD191" s="162"/>
      <c r="FE191" s="276" t="str">
        <f>IF(OR(FA$8="判定対象外",FD$8="判定対象外",FD191="-"),"-",IF(FA191=FD191,"OK","NG"))</f>
        <v>OK</v>
      </c>
      <c r="FF191" s="160"/>
      <c r="FG191" s="162"/>
      <c r="FH191" s="204" t="str">
        <f t="shared" si="404"/>
        <v xml:space="preserve">                                                                                                                                                                                                                                                               </v>
      </c>
      <c r="FI191" s="174" t="str">
        <f t="shared" si="420"/>
        <v>NG</v>
      </c>
      <c r="FJ191" s="162"/>
      <c r="FK191" s="276" t="str">
        <f>IF(OR(FG$8="判定対象外",FJ$8="判定対象外",FJ191="-"),"-",IF(FG191=FJ191,"OK","NG"))</f>
        <v>OK</v>
      </c>
      <c r="FL191" s="160"/>
      <c r="FM191" s="162"/>
      <c r="FN191" s="204" t="str">
        <f t="shared" si="405"/>
        <v xml:space="preserve">                                                                                                                                                                                                                                                               </v>
      </c>
      <c r="FO191" s="174" t="str">
        <f t="shared" si="378"/>
        <v>NG</v>
      </c>
      <c r="FP191" s="162"/>
      <c r="FQ191" s="276" t="str">
        <f>IF(OR(FM$8="判定対象外",FP$8="判定対象外",FP191="-"),"-",IF(FM191=FP191,"OK","NG"))</f>
        <v>OK</v>
      </c>
      <c r="FR191" s="160"/>
      <c r="FS191" s="162"/>
      <c r="FT191" s="204" t="str">
        <f t="shared" si="406"/>
        <v xml:space="preserve">                                                                                                                                                                                                                                                               </v>
      </c>
      <c r="FU191" s="174" t="str">
        <f t="shared" si="379"/>
        <v>NG</v>
      </c>
      <c r="FV191" s="162"/>
      <c r="FW191" s="276" t="str">
        <f>IF(OR(FS$8="判定対象外",FV$8="判定対象外",FV191="-"),"-",IF(FS191=FV191,"OK","NG"))</f>
        <v>OK</v>
      </c>
      <c r="FX191" s="160"/>
      <c r="FY191" s="162"/>
      <c r="FZ191" s="204" t="str">
        <f t="shared" si="407"/>
        <v xml:space="preserve">                                                                                                                                                                                                                                                               </v>
      </c>
      <c r="GA191" s="174" t="str">
        <f t="shared" si="380"/>
        <v>NG</v>
      </c>
      <c r="GB191" s="162"/>
      <c r="GC191" s="276" t="str">
        <f>IF(OR(FY$8="判定対象外",GB$8="判定対象外",GB191="-"),"-",IF(FY191=GB191,"OK","NG"))</f>
        <v>OK</v>
      </c>
    </row>
    <row r="192" spans="1:185" s="52" customFormat="1">
      <c r="B192" s="53">
        <f t="shared" si="408"/>
        <v>185</v>
      </c>
      <c r="C192" s="37"/>
      <c r="D192" s="37"/>
      <c r="E192" s="37"/>
      <c r="F192" s="54" t="s">
        <v>325</v>
      </c>
      <c r="G192" s="54"/>
      <c r="H192" s="55"/>
      <c r="I192" s="57"/>
      <c r="J192" s="57"/>
      <c r="K192" s="57"/>
      <c r="L192" s="57"/>
      <c r="M192" s="58" t="s">
        <v>326</v>
      </c>
      <c r="N192" s="62"/>
      <c r="O192" s="150"/>
      <c r="P192" s="45">
        <f t="shared" si="422"/>
        <v>163</v>
      </c>
      <c r="Q192" s="60">
        <v>256</v>
      </c>
      <c r="R192" s="41" t="str">
        <f t="shared" si="421"/>
        <v>NX</v>
      </c>
      <c r="S192" s="185" t="s">
        <v>196</v>
      </c>
      <c r="T192" s="43"/>
      <c r="U192" s="41" t="s">
        <v>80</v>
      </c>
      <c r="V192" s="44"/>
      <c r="W192" s="61">
        <v>3</v>
      </c>
      <c r="X192" s="62" t="s">
        <v>272</v>
      </c>
      <c r="Y192" s="62">
        <v>1</v>
      </c>
      <c r="Z192" s="62">
        <v>256</v>
      </c>
      <c r="AA192" s="57" t="s">
        <v>270</v>
      </c>
      <c r="AB192" s="57" t="s">
        <v>266</v>
      </c>
      <c r="AC192" s="214"/>
      <c r="AD192" s="160"/>
      <c r="AE192" s="141"/>
      <c r="AF192" s="203" t="str">
        <f t="shared" si="383"/>
        <v xml:space="preserve">                                                                                                                                                                                                                                                                </v>
      </c>
      <c r="AG192" s="174" t="str">
        <f t="shared" si="364"/>
        <v>NG</v>
      </c>
      <c r="AH192" s="141"/>
      <c r="AI192" s="172" t="s">
        <v>71</v>
      </c>
      <c r="AJ192" s="160"/>
      <c r="AK192" s="141"/>
      <c r="AL192" s="203" t="str">
        <f t="shared" si="382"/>
        <v xml:space="preserve">                                                                                                                                                                                                                                                                </v>
      </c>
      <c r="AM192" s="174" t="str">
        <f t="shared" si="409"/>
        <v>NG</v>
      </c>
      <c r="AN192" s="141"/>
      <c r="AO192" s="172" t="s">
        <v>71</v>
      </c>
      <c r="AP192" s="160"/>
      <c r="AQ192" s="141"/>
      <c r="AR192" s="203" t="str">
        <f t="shared" si="384"/>
        <v xml:space="preserve">                                                                                                                                                                                                                                                                </v>
      </c>
      <c r="AS192" s="174" t="str">
        <f t="shared" si="365"/>
        <v>NG</v>
      </c>
      <c r="AT192" s="141"/>
      <c r="AU192" s="172" t="s">
        <v>71</v>
      </c>
      <c r="AV192" s="160"/>
      <c r="AW192" s="141"/>
      <c r="AX192" s="203" t="str">
        <f t="shared" si="385"/>
        <v xml:space="preserve">                                                                                                                                                                                                                                                                </v>
      </c>
      <c r="AY192" s="174" t="str">
        <f t="shared" si="366"/>
        <v>NG</v>
      </c>
      <c r="AZ192" s="141"/>
      <c r="BA192" s="172" t="s">
        <v>71</v>
      </c>
      <c r="BB192" s="160"/>
      <c r="BC192" s="141"/>
      <c r="BD192" s="203" t="str">
        <f t="shared" si="386"/>
        <v xml:space="preserve">                                                                                                                                                                                                                                                                </v>
      </c>
      <c r="BE192" s="174" t="str">
        <f t="shared" si="367"/>
        <v>NG</v>
      </c>
      <c r="BF192" s="141"/>
      <c r="BG192" s="172" t="s">
        <v>71</v>
      </c>
      <c r="BH192" s="160"/>
      <c r="BI192" s="141"/>
      <c r="BJ192" s="203" t="str">
        <f t="shared" si="387"/>
        <v xml:space="preserve">                                                                                                                                                                                                                                                                </v>
      </c>
      <c r="BK192" s="174" t="str">
        <f t="shared" si="368"/>
        <v>NG</v>
      </c>
      <c r="BL192" s="141"/>
      <c r="BM192" s="172" t="s">
        <v>71</v>
      </c>
      <c r="BN192" s="160"/>
      <c r="BO192" s="141"/>
      <c r="BP192" s="203" t="str">
        <f t="shared" si="388"/>
        <v xml:space="preserve">                                                                                                                                                                                                                                                                </v>
      </c>
      <c r="BQ192" s="174" t="str">
        <f t="shared" si="369"/>
        <v>NG</v>
      </c>
      <c r="BR192" s="141"/>
      <c r="BS192" s="172" t="s">
        <v>71</v>
      </c>
      <c r="BT192" s="160"/>
      <c r="BU192" s="141"/>
      <c r="BV192" s="203" t="str">
        <f t="shared" si="389"/>
        <v xml:space="preserve">                                                                                                                                                                                                                                                                </v>
      </c>
      <c r="BW192" s="174" t="str">
        <f t="shared" si="370"/>
        <v>NG</v>
      </c>
      <c r="BX192" s="141"/>
      <c r="BY192" s="172" t="s">
        <v>71</v>
      </c>
      <c r="BZ192" s="160"/>
      <c r="CA192" s="141"/>
      <c r="CB192" s="203" t="str">
        <f t="shared" si="390"/>
        <v xml:space="preserve">                                                                                                                                                                                                                                                                </v>
      </c>
      <c r="CC192" s="174" t="str">
        <f t="shared" si="371"/>
        <v>NG</v>
      </c>
      <c r="CD192" s="141"/>
      <c r="CE192" s="172" t="s">
        <v>71</v>
      </c>
      <c r="CF192" s="160"/>
      <c r="CG192" s="141"/>
      <c r="CH192" s="203" t="str">
        <f t="shared" si="391"/>
        <v xml:space="preserve">                                                                                                                                                                                                                                                                </v>
      </c>
      <c r="CI192" s="174" t="str">
        <f t="shared" si="372"/>
        <v>NG</v>
      </c>
      <c r="CJ192" s="141"/>
      <c r="CK192" s="172" t="s">
        <v>71</v>
      </c>
      <c r="CL192" s="160"/>
      <c r="CM192" s="141"/>
      <c r="CN192" s="203" t="str">
        <f t="shared" si="392"/>
        <v xml:space="preserve">                                                                                                                                                                                                                                                                </v>
      </c>
      <c r="CO192" s="174" t="str">
        <f t="shared" si="373"/>
        <v>NG</v>
      </c>
      <c r="CP192" s="141"/>
      <c r="CQ192" s="172" t="s">
        <v>71</v>
      </c>
      <c r="CR192" s="160"/>
      <c r="CS192" s="141"/>
      <c r="CT192" s="203" t="str">
        <f t="shared" si="393"/>
        <v xml:space="preserve">                                                                                                                                                                                                                                                                </v>
      </c>
      <c r="CU192" s="174" t="str">
        <f t="shared" si="374"/>
        <v>NG</v>
      </c>
      <c r="CV192" s="141"/>
      <c r="CW192" s="172" t="s">
        <v>71</v>
      </c>
      <c r="CX192" s="160"/>
      <c r="CY192" s="141"/>
      <c r="CZ192" s="203" t="str">
        <f t="shared" si="394"/>
        <v xml:space="preserve">                                                                                                                                                                                                                                                                </v>
      </c>
      <c r="DA192" s="174" t="str">
        <f t="shared" si="375"/>
        <v>NG</v>
      </c>
      <c r="DB192" s="141"/>
      <c r="DC192" s="172" t="s">
        <v>71</v>
      </c>
      <c r="DD192" s="160"/>
      <c r="DE192" s="141"/>
      <c r="DF192" s="203" t="str">
        <f t="shared" si="395"/>
        <v xml:space="preserve">                                                                                                                                                                                                                                                                </v>
      </c>
      <c r="DG192" s="174" t="str">
        <f t="shared" si="376"/>
        <v>NG</v>
      </c>
      <c r="DH192" s="141"/>
      <c r="DI192" s="172" t="s">
        <v>71</v>
      </c>
      <c r="DJ192" s="160"/>
      <c r="DK192" s="141"/>
      <c r="DL192" s="203" t="str">
        <f t="shared" si="396"/>
        <v xml:space="preserve">                                                                                                                                                                                                                                                                </v>
      </c>
      <c r="DM192" s="174" t="str">
        <f t="shared" si="377"/>
        <v>NG</v>
      </c>
      <c r="DN192" s="141"/>
      <c r="DO192" s="172" t="s">
        <v>71</v>
      </c>
      <c r="DP192" s="160"/>
      <c r="DQ192" s="141"/>
      <c r="DR192" s="203" t="str">
        <f t="shared" si="397"/>
        <v xml:space="preserve">                                                                                                                                                                                                                                                                </v>
      </c>
      <c r="DS192" s="174" t="str">
        <f t="shared" si="413"/>
        <v>NG</v>
      </c>
      <c r="DT192" s="141"/>
      <c r="DU192" s="172" t="s">
        <v>71</v>
      </c>
      <c r="DV192" s="160"/>
      <c r="DW192" s="141"/>
      <c r="DX192" s="203" t="str">
        <f t="shared" si="398"/>
        <v xml:space="preserve">                                                                                                                                                                                                                                                                </v>
      </c>
      <c r="DY192" s="174" t="str">
        <f t="shared" si="414"/>
        <v>NG</v>
      </c>
      <c r="DZ192" s="141"/>
      <c r="EA192" s="172" t="s">
        <v>71</v>
      </c>
      <c r="EB192" s="160"/>
      <c r="EC192" s="141"/>
      <c r="ED192" s="203" t="str">
        <f t="shared" si="399"/>
        <v xml:space="preserve">                                                                                                                                                                                                                                                                </v>
      </c>
      <c r="EE192" s="174" t="str">
        <f t="shared" si="415"/>
        <v>NG</v>
      </c>
      <c r="EF192" s="141"/>
      <c r="EG192" s="172" t="s">
        <v>71</v>
      </c>
      <c r="EH192" s="160"/>
      <c r="EI192" s="141"/>
      <c r="EJ192" s="203" t="str">
        <f t="shared" si="400"/>
        <v xml:space="preserve">                                                                                                                                                                                                                                                                </v>
      </c>
      <c r="EK192" s="174" t="str">
        <f t="shared" si="416"/>
        <v>NG</v>
      </c>
      <c r="EL192" s="141"/>
      <c r="EM192" s="172" t="s">
        <v>71</v>
      </c>
      <c r="EN192" s="160"/>
      <c r="EO192" s="141"/>
      <c r="EP192" s="203" t="str">
        <f t="shared" si="401"/>
        <v xml:space="preserve">                                                                                                                                                                                                                                                                </v>
      </c>
      <c r="EQ192" s="174" t="str">
        <f t="shared" si="417"/>
        <v>NG</v>
      </c>
      <c r="ER192" s="141"/>
      <c r="ES192" s="172" t="s">
        <v>71</v>
      </c>
      <c r="ET192" s="160"/>
      <c r="EU192" s="141"/>
      <c r="EV192" s="203" t="str">
        <f t="shared" si="402"/>
        <v xml:space="preserve">                                                                                                                                                                                                                                                                </v>
      </c>
      <c r="EW192" s="174" t="str">
        <f t="shared" si="418"/>
        <v>NG</v>
      </c>
      <c r="EX192" s="141"/>
      <c r="EY192" s="172" t="s">
        <v>71</v>
      </c>
      <c r="EZ192" s="160"/>
      <c r="FA192" s="141"/>
      <c r="FB192" s="203" t="str">
        <f t="shared" si="403"/>
        <v xml:space="preserve">                                                                                                                                                                                                                                                                </v>
      </c>
      <c r="FC192" s="174" t="str">
        <f t="shared" si="419"/>
        <v>NG</v>
      </c>
      <c r="FD192" s="141"/>
      <c r="FE192" s="172" t="s">
        <v>71</v>
      </c>
      <c r="FF192" s="160"/>
      <c r="FG192" s="141"/>
      <c r="FH192" s="203" t="str">
        <f t="shared" si="404"/>
        <v xml:space="preserve">                                                                                                                                                                                                                                                                </v>
      </c>
      <c r="FI192" s="174" t="str">
        <f t="shared" si="420"/>
        <v>NG</v>
      </c>
      <c r="FJ192" s="141"/>
      <c r="FK192" s="172" t="s">
        <v>71</v>
      </c>
      <c r="FL192" s="160"/>
      <c r="FM192" s="141"/>
      <c r="FN192" s="203" t="str">
        <f t="shared" si="405"/>
        <v xml:space="preserve">                                                                                                                                                                                                                                                                </v>
      </c>
      <c r="FO192" s="174" t="str">
        <f t="shared" si="378"/>
        <v>NG</v>
      </c>
      <c r="FP192" s="141"/>
      <c r="FQ192" s="172" t="s">
        <v>71</v>
      </c>
      <c r="FR192" s="160"/>
      <c r="FS192" s="141"/>
      <c r="FT192" s="203" t="str">
        <f t="shared" si="406"/>
        <v xml:space="preserve">                                                                                                                                                                                                                                                                </v>
      </c>
      <c r="FU192" s="174" t="str">
        <f t="shared" si="379"/>
        <v>NG</v>
      </c>
      <c r="FV192" s="141"/>
      <c r="FW192" s="172" t="s">
        <v>71</v>
      </c>
      <c r="FX192" s="160"/>
      <c r="FY192" s="141"/>
      <c r="FZ192" s="203" t="str">
        <f t="shared" si="407"/>
        <v xml:space="preserve">                                                                                                                                                                                                                                                                </v>
      </c>
      <c r="GA192" s="174" t="str">
        <f t="shared" si="380"/>
        <v>NG</v>
      </c>
      <c r="GB192" s="141"/>
      <c r="GC192" s="172" t="s">
        <v>71</v>
      </c>
    </row>
    <row r="193" spans="2:185" s="52" customFormat="1" ht="63.75">
      <c r="B193" s="48">
        <f t="shared" si="408"/>
        <v>186</v>
      </c>
      <c r="C193" s="37"/>
      <c r="D193" s="37"/>
      <c r="E193" s="37"/>
      <c r="F193" s="49" t="s">
        <v>198</v>
      </c>
      <c r="G193" s="39"/>
      <c r="H193" s="40"/>
      <c r="I193" s="42"/>
      <c r="J193" s="42"/>
      <c r="K193" s="42"/>
      <c r="L193" s="42"/>
      <c r="M193" s="63" t="s">
        <v>327</v>
      </c>
      <c r="N193" s="47"/>
      <c r="O193" s="143"/>
      <c r="P193" s="45">
        <f t="shared" si="422"/>
        <v>164</v>
      </c>
      <c r="Q193" s="46">
        <v>256</v>
      </c>
      <c r="R193" s="41" t="str">
        <f t="shared" si="421"/>
        <v>NX</v>
      </c>
      <c r="S193" s="185" t="s">
        <v>199</v>
      </c>
      <c r="T193" s="43"/>
      <c r="U193" s="41" t="s">
        <v>80</v>
      </c>
      <c r="V193" s="44"/>
      <c r="W193" s="22">
        <v>3</v>
      </c>
      <c r="X193" s="47" t="s">
        <v>200</v>
      </c>
      <c r="Y193" s="47">
        <v>1</v>
      </c>
      <c r="Z193" s="47">
        <v>256</v>
      </c>
      <c r="AA193" s="42" t="s">
        <v>195</v>
      </c>
      <c r="AB193" s="42" t="s">
        <v>266</v>
      </c>
      <c r="AC193" s="166"/>
      <c r="AD193" s="160"/>
      <c r="AE193" s="162"/>
      <c r="AF193" s="167" t="str">
        <f t="shared" si="383"/>
        <v xml:space="preserve">                                                                                                                                                                                                                                                                </v>
      </c>
      <c r="AG193" s="174" t="str">
        <f t="shared" si="364"/>
        <v>NG</v>
      </c>
      <c r="AH193" s="162"/>
      <c r="AI193" s="172" t="s">
        <v>71</v>
      </c>
      <c r="AJ193" s="160"/>
      <c r="AK193" s="162"/>
      <c r="AL193" s="167" t="str">
        <f t="shared" si="382"/>
        <v xml:space="preserve">                                                                                                                                                                                                                                                                </v>
      </c>
      <c r="AM193" s="174" t="str">
        <f t="shared" si="409"/>
        <v>NG</v>
      </c>
      <c r="AN193" s="162"/>
      <c r="AO193" s="172" t="s">
        <v>71</v>
      </c>
      <c r="AP193" s="160"/>
      <c r="AQ193" s="162"/>
      <c r="AR193" s="167" t="str">
        <f t="shared" si="384"/>
        <v xml:space="preserve">                                                                                                                                                                                                                                                                </v>
      </c>
      <c r="AS193" s="174" t="str">
        <f t="shared" si="365"/>
        <v>NG</v>
      </c>
      <c r="AT193" s="162"/>
      <c r="AU193" s="172" t="s">
        <v>71</v>
      </c>
      <c r="AV193" s="160"/>
      <c r="AW193" s="162"/>
      <c r="AX193" s="167" t="str">
        <f t="shared" si="385"/>
        <v xml:space="preserve">                                                                                                                                                                                                                                                                </v>
      </c>
      <c r="AY193" s="174" t="str">
        <f t="shared" si="366"/>
        <v>NG</v>
      </c>
      <c r="AZ193" s="162"/>
      <c r="BA193" s="172" t="s">
        <v>71</v>
      </c>
      <c r="BB193" s="160"/>
      <c r="BC193" s="162"/>
      <c r="BD193" s="167" t="str">
        <f t="shared" si="386"/>
        <v xml:space="preserve">                                                                                                                                                                                                                                                                </v>
      </c>
      <c r="BE193" s="174" t="str">
        <f t="shared" si="367"/>
        <v>NG</v>
      </c>
      <c r="BF193" s="162"/>
      <c r="BG193" s="172" t="s">
        <v>71</v>
      </c>
      <c r="BH193" s="160"/>
      <c r="BI193" s="162"/>
      <c r="BJ193" s="167" t="str">
        <f t="shared" si="387"/>
        <v xml:space="preserve">                                                                                                                                                                                                                                                                </v>
      </c>
      <c r="BK193" s="174" t="str">
        <f t="shared" si="368"/>
        <v>NG</v>
      </c>
      <c r="BL193" s="162"/>
      <c r="BM193" s="172" t="s">
        <v>71</v>
      </c>
      <c r="BN193" s="160"/>
      <c r="BO193" s="162"/>
      <c r="BP193" s="167" t="str">
        <f t="shared" si="388"/>
        <v xml:space="preserve">                                                                                                                                                                                                                                                                </v>
      </c>
      <c r="BQ193" s="174" t="str">
        <f t="shared" si="369"/>
        <v>NG</v>
      </c>
      <c r="BR193" s="162"/>
      <c r="BS193" s="172" t="s">
        <v>71</v>
      </c>
      <c r="BT193" s="160"/>
      <c r="BU193" s="162"/>
      <c r="BV193" s="167" t="str">
        <f t="shared" si="389"/>
        <v xml:space="preserve">                                                                                                                                                                                                                                                                </v>
      </c>
      <c r="BW193" s="174" t="str">
        <f t="shared" si="370"/>
        <v>NG</v>
      </c>
      <c r="BX193" s="162"/>
      <c r="BY193" s="172" t="s">
        <v>71</v>
      </c>
      <c r="BZ193" s="160"/>
      <c r="CA193" s="162"/>
      <c r="CB193" s="167" t="str">
        <f t="shared" si="390"/>
        <v xml:space="preserve">                                                                                                                                                                                                                                                                </v>
      </c>
      <c r="CC193" s="174" t="str">
        <f t="shared" si="371"/>
        <v>NG</v>
      </c>
      <c r="CD193" s="162"/>
      <c r="CE193" s="172" t="s">
        <v>71</v>
      </c>
      <c r="CF193" s="160"/>
      <c r="CG193" s="162"/>
      <c r="CH193" s="167" t="str">
        <f t="shared" si="391"/>
        <v xml:space="preserve">                                                                                                                                                                                                                                                                </v>
      </c>
      <c r="CI193" s="174" t="str">
        <f t="shared" si="372"/>
        <v>NG</v>
      </c>
      <c r="CJ193" s="162"/>
      <c r="CK193" s="172" t="s">
        <v>71</v>
      </c>
      <c r="CL193" s="160"/>
      <c r="CM193" s="162"/>
      <c r="CN193" s="167" t="str">
        <f t="shared" si="392"/>
        <v xml:space="preserve">                                                                                                                                                                                                                                                                </v>
      </c>
      <c r="CO193" s="174" t="str">
        <f t="shared" si="373"/>
        <v>NG</v>
      </c>
      <c r="CP193" s="162"/>
      <c r="CQ193" s="172" t="s">
        <v>71</v>
      </c>
      <c r="CR193" s="160"/>
      <c r="CS193" s="162"/>
      <c r="CT193" s="167" t="str">
        <f t="shared" si="393"/>
        <v xml:space="preserve">                                                                                                                                                                                                                                                                </v>
      </c>
      <c r="CU193" s="174" t="str">
        <f t="shared" si="374"/>
        <v>NG</v>
      </c>
      <c r="CV193" s="162"/>
      <c r="CW193" s="172" t="s">
        <v>71</v>
      </c>
      <c r="CX193" s="160"/>
      <c r="CY193" s="162"/>
      <c r="CZ193" s="167" t="str">
        <f t="shared" si="394"/>
        <v xml:space="preserve">                                                                                                                                                                                                                                                                </v>
      </c>
      <c r="DA193" s="174" t="str">
        <f t="shared" si="375"/>
        <v>NG</v>
      </c>
      <c r="DB193" s="162"/>
      <c r="DC193" s="172" t="s">
        <v>71</v>
      </c>
      <c r="DD193" s="160"/>
      <c r="DE193" s="162"/>
      <c r="DF193" s="167" t="str">
        <f t="shared" si="395"/>
        <v xml:space="preserve">                                                                                                                                                                                                                                                                </v>
      </c>
      <c r="DG193" s="174" t="str">
        <f t="shared" si="376"/>
        <v>NG</v>
      </c>
      <c r="DH193" s="162"/>
      <c r="DI193" s="172" t="s">
        <v>71</v>
      </c>
      <c r="DJ193" s="160"/>
      <c r="DK193" s="162"/>
      <c r="DL193" s="167" t="str">
        <f t="shared" si="396"/>
        <v xml:space="preserve">                                                                                                                                                                                                                                                                </v>
      </c>
      <c r="DM193" s="174" t="str">
        <f t="shared" si="377"/>
        <v>NG</v>
      </c>
      <c r="DN193" s="162"/>
      <c r="DO193" s="172" t="s">
        <v>71</v>
      </c>
      <c r="DP193" s="160"/>
      <c r="DQ193" s="162"/>
      <c r="DR193" s="167" t="str">
        <f t="shared" si="397"/>
        <v xml:space="preserve">                                                                                                                                                                                                                                                                </v>
      </c>
      <c r="DS193" s="174" t="str">
        <f t="shared" si="413"/>
        <v>NG</v>
      </c>
      <c r="DT193" s="162"/>
      <c r="DU193" s="172" t="s">
        <v>71</v>
      </c>
      <c r="DV193" s="160"/>
      <c r="DW193" s="162"/>
      <c r="DX193" s="167" t="str">
        <f t="shared" si="398"/>
        <v xml:space="preserve">                                                                                                                                                                                                                                                                </v>
      </c>
      <c r="DY193" s="174" t="str">
        <f t="shared" si="414"/>
        <v>NG</v>
      </c>
      <c r="DZ193" s="162"/>
      <c r="EA193" s="172" t="s">
        <v>71</v>
      </c>
      <c r="EB193" s="160"/>
      <c r="EC193" s="162"/>
      <c r="ED193" s="167" t="str">
        <f t="shared" si="399"/>
        <v xml:space="preserve">                                                                                                                                                                                                                                                                </v>
      </c>
      <c r="EE193" s="174" t="str">
        <f t="shared" si="415"/>
        <v>NG</v>
      </c>
      <c r="EF193" s="162"/>
      <c r="EG193" s="172" t="s">
        <v>71</v>
      </c>
      <c r="EH193" s="160"/>
      <c r="EI193" s="162"/>
      <c r="EJ193" s="167" t="str">
        <f t="shared" si="400"/>
        <v xml:space="preserve">                                                                                                                                                                                                                                                                </v>
      </c>
      <c r="EK193" s="174" t="str">
        <f t="shared" si="416"/>
        <v>NG</v>
      </c>
      <c r="EL193" s="162"/>
      <c r="EM193" s="172" t="s">
        <v>71</v>
      </c>
      <c r="EN193" s="160"/>
      <c r="EO193" s="162"/>
      <c r="EP193" s="167" t="str">
        <f t="shared" si="401"/>
        <v xml:space="preserve">                                                                                                                                                                                                                                                                </v>
      </c>
      <c r="EQ193" s="174" t="str">
        <f t="shared" si="417"/>
        <v>NG</v>
      </c>
      <c r="ER193" s="162"/>
      <c r="ES193" s="172" t="s">
        <v>71</v>
      </c>
      <c r="ET193" s="160"/>
      <c r="EU193" s="162"/>
      <c r="EV193" s="167" t="str">
        <f t="shared" si="402"/>
        <v xml:space="preserve">                                                                                                                                                                                                                                                                </v>
      </c>
      <c r="EW193" s="174" t="str">
        <f t="shared" si="418"/>
        <v>NG</v>
      </c>
      <c r="EX193" s="162"/>
      <c r="EY193" s="172" t="s">
        <v>71</v>
      </c>
      <c r="EZ193" s="160"/>
      <c r="FA193" s="162"/>
      <c r="FB193" s="167" t="str">
        <f t="shared" si="403"/>
        <v xml:space="preserve">                                                                                                                                                                                                                                                                </v>
      </c>
      <c r="FC193" s="174" t="str">
        <f t="shared" si="419"/>
        <v>NG</v>
      </c>
      <c r="FD193" s="162"/>
      <c r="FE193" s="172" t="s">
        <v>71</v>
      </c>
      <c r="FF193" s="160"/>
      <c r="FG193" s="162"/>
      <c r="FH193" s="167" t="str">
        <f t="shared" si="404"/>
        <v xml:space="preserve">                                                                                                                                                                                                                                                                </v>
      </c>
      <c r="FI193" s="174" t="str">
        <f t="shared" si="420"/>
        <v>NG</v>
      </c>
      <c r="FJ193" s="162"/>
      <c r="FK193" s="172" t="s">
        <v>71</v>
      </c>
      <c r="FL193" s="160"/>
      <c r="FM193" s="162"/>
      <c r="FN193" s="167" t="str">
        <f t="shared" si="405"/>
        <v xml:space="preserve">                                                                                                                                                                                                                                                                </v>
      </c>
      <c r="FO193" s="174" t="str">
        <f t="shared" si="378"/>
        <v>NG</v>
      </c>
      <c r="FP193" s="162"/>
      <c r="FQ193" s="172" t="s">
        <v>71</v>
      </c>
      <c r="FR193" s="160"/>
      <c r="FS193" s="162"/>
      <c r="FT193" s="167" t="str">
        <f t="shared" si="406"/>
        <v xml:space="preserve">                                                                                                                                                                                                                                                                </v>
      </c>
      <c r="FU193" s="174" t="str">
        <f t="shared" si="379"/>
        <v>NG</v>
      </c>
      <c r="FV193" s="162"/>
      <c r="FW193" s="172" t="s">
        <v>71</v>
      </c>
      <c r="FX193" s="160"/>
      <c r="FY193" s="162"/>
      <c r="FZ193" s="167" t="str">
        <f t="shared" si="407"/>
        <v xml:space="preserve">                                                                                                                                                                                                                                                                </v>
      </c>
      <c r="GA193" s="174" t="str">
        <f t="shared" si="380"/>
        <v>NG</v>
      </c>
      <c r="GB193" s="162"/>
      <c r="GC193" s="172" t="s">
        <v>71</v>
      </c>
    </row>
    <row r="194" spans="2:185" s="52" customFormat="1" ht="63.75">
      <c r="B194" s="48">
        <f t="shared" si="408"/>
        <v>187</v>
      </c>
      <c r="C194" s="37"/>
      <c r="D194" s="37"/>
      <c r="E194" s="37"/>
      <c r="F194" s="49" t="s">
        <v>201</v>
      </c>
      <c r="G194" s="39"/>
      <c r="H194" s="40"/>
      <c r="I194" s="42"/>
      <c r="J194" s="42"/>
      <c r="K194" s="42"/>
      <c r="L194" s="42"/>
      <c r="M194" s="63" t="s">
        <v>328</v>
      </c>
      <c r="N194" s="47"/>
      <c r="O194" s="143"/>
      <c r="P194" s="45">
        <f t="shared" si="422"/>
        <v>165</v>
      </c>
      <c r="Q194" s="46">
        <v>256</v>
      </c>
      <c r="R194" s="41" t="str">
        <f t="shared" si="421"/>
        <v>NX</v>
      </c>
      <c r="S194" s="185" t="s">
        <v>202</v>
      </c>
      <c r="T194" s="43"/>
      <c r="U194" s="41" t="s">
        <v>80</v>
      </c>
      <c r="V194" s="44"/>
      <c r="W194" s="22">
        <v>3</v>
      </c>
      <c r="X194" s="47" t="s">
        <v>203</v>
      </c>
      <c r="Y194" s="47">
        <v>1</v>
      </c>
      <c r="Z194" s="47">
        <v>256</v>
      </c>
      <c r="AA194" s="42" t="s">
        <v>195</v>
      </c>
      <c r="AB194" s="42" t="s">
        <v>266</v>
      </c>
      <c r="AC194" s="166"/>
      <c r="AD194" s="160"/>
      <c r="AE194" s="162"/>
      <c r="AF194" s="167" t="str">
        <f t="shared" si="383"/>
        <v xml:space="preserve">                                                                                                                                                                                                                                                                </v>
      </c>
      <c r="AG194" s="174" t="str">
        <f t="shared" si="364"/>
        <v>NG</v>
      </c>
      <c r="AH194" s="162"/>
      <c r="AI194" s="172" t="s">
        <v>71</v>
      </c>
      <c r="AJ194" s="160"/>
      <c r="AK194" s="162"/>
      <c r="AL194" s="167" t="str">
        <f t="shared" si="382"/>
        <v xml:space="preserve">                                                                                                                                                                                                                                                                </v>
      </c>
      <c r="AM194" s="174" t="str">
        <f t="shared" si="409"/>
        <v>NG</v>
      </c>
      <c r="AN194" s="162"/>
      <c r="AO194" s="172" t="s">
        <v>71</v>
      </c>
      <c r="AP194" s="160"/>
      <c r="AQ194" s="162"/>
      <c r="AR194" s="167" t="str">
        <f t="shared" si="384"/>
        <v xml:space="preserve">                                                                                                                                                                                                                                                                </v>
      </c>
      <c r="AS194" s="174" t="str">
        <f t="shared" si="365"/>
        <v>NG</v>
      </c>
      <c r="AT194" s="162"/>
      <c r="AU194" s="172" t="s">
        <v>71</v>
      </c>
      <c r="AV194" s="160"/>
      <c r="AW194" s="162"/>
      <c r="AX194" s="167" t="str">
        <f t="shared" si="385"/>
        <v xml:space="preserve">                                                                                                                                                                                                                                                                </v>
      </c>
      <c r="AY194" s="174" t="str">
        <f t="shared" si="366"/>
        <v>NG</v>
      </c>
      <c r="AZ194" s="162"/>
      <c r="BA194" s="172" t="s">
        <v>71</v>
      </c>
      <c r="BB194" s="160"/>
      <c r="BC194" s="162"/>
      <c r="BD194" s="167" t="str">
        <f t="shared" si="386"/>
        <v xml:space="preserve">                                                                                                                                                                                                                                                                </v>
      </c>
      <c r="BE194" s="174" t="str">
        <f t="shared" si="367"/>
        <v>NG</v>
      </c>
      <c r="BF194" s="162"/>
      <c r="BG194" s="172" t="s">
        <v>71</v>
      </c>
      <c r="BH194" s="160"/>
      <c r="BI194" s="162"/>
      <c r="BJ194" s="167" t="str">
        <f t="shared" si="387"/>
        <v xml:space="preserve">                                                                                                                                                                                                                                                                </v>
      </c>
      <c r="BK194" s="174" t="str">
        <f t="shared" si="368"/>
        <v>NG</v>
      </c>
      <c r="BL194" s="162"/>
      <c r="BM194" s="172" t="s">
        <v>71</v>
      </c>
      <c r="BN194" s="160"/>
      <c r="BO194" s="162"/>
      <c r="BP194" s="167" t="str">
        <f t="shared" si="388"/>
        <v xml:space="preserve">                                                                                                                                                                                                                                                                </v>
      </c>
      <c r="BQ194" s="174" t="str">
        <f t="shared" si="369"/>
        <v>NG</v>
      </c>
      <c r="BR194" s="162"/>
      <c r="BS194" s="172" t="s">
        <v>71</v>
      </c>
      <c r="BT194" s="160"/>
      <c r="BU194" s="162"/>
      <c r="BV194" s="167" t="str">
        <f t="shared" si="389"/>
        <v xml:space="preserve">                                                                                                                                                                                                                                                                </v>
      </c>
      <c r="BW194" s="174" t="str">
        <f t="shared" si="370"/>
        <v>NG</v>
      </c>
      <c r="BX194" s="162"/>
      <c r="BY194" s="172" t="s">
        <v>71</v>
      </c>
      <c r="BZ194" s="160"/>
      <c r="CA194" s="162"/>
      <c r="CB194" s="167" t="str">
        <f t="shared" si="390"/>
        <v xml:space="preserve">                                                                                                                                                                                                                                                                </v>
      </c>
      <c r="CC194" s="174" t="str">
        <f t="shared" si="371"/>
        <v>NG</v>
      </c>
      <c r="CD194" s="162"/>
      <c r="CE194" s="172" t="s">
        <v>71</v>
      </c>
      <c r="CF194" s="160"/>
      <c r="CG194" s="162"/>
      <c r="CH194" s="167" t="str">
        <f t="shared" si="391"/>
        <v xml:space="preserve">                                                                                                                                                                                                                                                                </v>
      </c>
      <c r="CI194" s="174" t="str">
        <f t="shared" si="372"/>
        <v>NG</v>
      </c>
      <c r="CJ194" s="162"/>
      <c r="CK194" s="172" t="s">
        <v>71</v>
      </c>
      <c r="CL194" s="160"/>
      <c r="CM194" s="162"/>
      <c r="CN194" s="167" t="str">
        <f t="shared" si="392"/>
        <v xml:space="preserve">                                                                                                                                                                                                                                                                </v>
      </c>
      <c r="CO194" s="174" t="str">
        <f t="shared" si="373"/>
        <v>NG</v>
      </c>
      <c r="CP194" s="162"/>
      <c r="CQ194" s="172" t="s">
        <v>71</v>
      </c>
      <c r="CR194" s="160"/>
      <c r="CS194" s="162"/>
      <c r="CT194" s="167" t="str">
        <f t="shared" si="393"/>
        <v xml:space="preserve">                                                                                                                                                                                                                                                                </v>
      </c>
      <c r="CU194" s="174" t="str">
        <f t="shared" si="374"/>
        <v>NG</v>
      </c>
      <c r="CV194" s="162"/>
      <c r="CW194" s="172" t="s">
        <v>71</v>
      </c>
      <c r="CX194" s="160"/>
      <c r="CY194" s="162"/>
      <c r="CZ194" s="167" t="str">
        <f t="shared" si="394"/>
        <v xml:space="preserve">                                                                                                                                                                                                                                                                </v>
      </c>
      <c r="DA194" s="174" t="str">
        <f t="shared" si="375"/>
        <v>NG</v>
      </c>
      <c r="DB194" s="162"/>
      <c r="DC194" s="172" t="s">
        <v>71</v>
      </c>
      <c r="DD194" s="160"/>
      <c r="DE194" s="162"/>
      <c r="DF194" s="167" t="str">
        <f t="shared" si="395"/>
        <v xml:space="preserve">                                                                                                                                                                                                                                                                </v>
      </c>
      <c r="DG194" s="174" t="str">
        <f t="shared" si="376"/>
        <v>NG</v>
      </c>
      <c r="DH194" s="162"/>
      <c r="DI194" s="172" t="s">
        <v>71</v>
      </c>
      <c r="DJ194" s="160"/>
      <c r="DK194" s="162"/>
      <c r="DL194" s="167" t="str">
        <f t="shared" si="396"/>
        <v xml:space="preserve">                                                                                                                                                                                                                                                                </v>
      </c>
      <c r="DM194" s="174" t="str">
        <f t="shared" si="377"/>
        <v>NG</v>
      </c>
      <c r="DN194" s="162"/>
      <c r="DO194" s="172" t="s">
        <v>71</v>
      </c>
      <c r="DP194" s="160"/>
      <c r="DQ194" s="162"/>
      <c r="DR194" s="167" t="str">
        <f t="shared" si="397"/>
        <v xml:space="preserve">                                                                                                                                                                                                                                                                </v>
      </c>
      <c r="DS194" s="174" t="str">
        <f t="shared" si="413"/>
        <v>NG</v>
      </c>
      <c r="DT194" s="162"/>
      <c r="DU194" s="172" t="s">
        <v>71</v>
      </c>
      <c r="DV194" s="160"/>
      <c r="DW194" s="162"/>
      <c r="DX194" s="167" t="str">
        <f t="shared" si="398"/>
        <v xml:space="preserve">                                                                                                                                                                                                                                                                </v>
      </c>
      <c r="DY194" s="174" t="str">
        <f t="shared" si="414"/>
        <v>NG</v>
      </c>
      <c r="DZ194" s="162"/>
      <c r="EA194" s="172" t="s">
        <v>71</v>
      </c>
      <c r="EB194" s="160"/>
      <c r="EC194" s="162"/>
      <c r="ED194" s="167" t="str">
        <f t="shared" si="399"/>
        <v xml:space="preserve">                                                                                                                                                                                                                                                                </v>
      </c>
      <c r="EE194" s="174" t="str">
        <f t="shared" si="415"/>
        <v>NG</v>
      </c>
      <c r="EF194" s="162"/>
      <c r="EG194" s="172" t="s">
        <v>71</v>
      </c>
      <c r="EH194" s="160"/>
      <c r="EI194" s="162"/>
      <c r="EJ194" s="167" t="str">
        <f t="shared" si="400"/>
        <v xml:space="preserve">                                                                                                                                                                                                                                                                </v>
      </c>
      <c r="EK194" s="174" t="str">
        <f t="shared" si="416"/>
        <v>NG</v>
      </c>
      <c r="EL194" s="162"/>
      <c r="EM194" s="172" t="s">
        <v>71</v>
      </c>
      <c r="EN194" s="160"/>
      <c r="EO194" s="162"/>
      <c r="EP194" s="167" t="str">
        <f t="shared" si="401"/>
        <v xml:space="preserve">                                                                                                                                                                                                                                                                </v>
      </c>
      <c r="EQ194" s="174" t="str">
        <f t="shared" si="417"/>
        <v>NG</v>
      </c>
      <c r="ER194" s="162"/>
      <c r="ES194" s="172" t="s">
        <v>71</v>
      </c>
      <c r="ET194" s="160"/>
      <c r="EU194" s="162"/>
      <c r="EV194" s="167" t="str">
        <f t="shared" si="402"/>
        <v xml:space="preserve">                                                                                                                                                                                                                                                                </v>
      </c>
      <c r="EW194" s="174" t="str">
        <f t="shared" si="418"/>
        <v>NG</v>
      </c>
      <c r="EX194" s="162"/>
      <c r="EY194" s="172" t="s">
        <v>71</v>
      </c>
      <c r="EZ194" s="160"/>
      <c r="FA194" s="162"/>
      <c r="FB194" s="167" t="str">
        <f t="shared" si="403"/>
        <v xml:space="preserve">                                                                                                                                                                                                                                                                </v>
      </c>
      <c r="FC194" s="174" t="str">
        <f t="shared" si="419"/>
        <v>NG</v>
      </c>
      <c r="FD194" s="162"/>
      <c r="FE194" s="172" t="s">
        <v>71</v>
      </c>
      <c r="FF194" s="160"/>
      <c r="FG194" s="162"/>
      <c r="FH194" s="167" t="str">
        <f t="shared" si="404"/>
        <v xml:space="preserve">                                                                                                                                                                                                                                                                </v>
      </c>
      <c r="FI194" s="174" t="str">
        <f t="shared" si="420"/>
        <v>NG</v>
      </c>
      <c r="FJ194" s="162"/>
      <c r="FK194" s="172" t="s">
        <v>71</v>
      </c>
      <c r="FL194" s="160"/>
      <c r="FM194" s="162"/>
      <c r="FN194" s="167" t="str">
        <f t="shared" si="405"/>
        <v xml:space="preserve">                                                                                                                                                                                                                                                                </v>
      </c>
      <c r="FO194" s="174" t="str">
        <f t="shared" si="378"/>
        <v>NG</v>
      </c>
      <c r="FP194" s="162"/>
      <c r="FQ194" s="172" t="s">
        <v>71</v>
      </c>
      <c r="FR194" s="160"/>
      <c r="FS194" s="162"/>
      <c r="FT194" s="167" t="str">
        <f t="shared" si="406"/>
        <v xml:space="preserve">                                                                                                                                                                                                                                                                </v>
      </c>
      <c r="FU194" s="174" t="str">
        <f t="shared" si="379"/>
        <v>NG</v>
      </c>
      <c r="FV194" s="162"/>
      <c r="FW194" s="172" t="s">
        <v>71</v>
      </c>
      <c r="FX194" s="160"/>
      <c r="FY194" s="162"/>
      <c r="FZ194" s="167" t="str">
        <f t="shared" si="407"/>
        <v xml:space="preserve">                                                                                                                                                                                                                                                                </v>
      </c>
      <c r="GA194" s="174" t="str">
        <f t="shared" si="380"/>
        <v>NG</v>
      </c>
      <c r="GB194" s="162"/>
      <c r="GC194" s="172" t="s">
        <v>71</v>
      </c>
    </row>
    <row r="195" spans="2:185" s="52" customFormat="1" ht="69" customHeight="1">
      <c r="B195" s="53">
        <f t="shared" si="408"/>
        <v>188</v>
      </c>
      <c r="C195" s="37"/>
      <c r="D195" s="37"/>
      <c r="E195" s="37"/>
      <c r="F195" s="188" t="s">
        <v>329</v>
      </c>
      <c r="G195" s="39"/>
      <c r="H195" s="40"/>
      <c r="I195" s="42"/>
      <c r="J195" s="42" t="s">
        <v>316</v>
      </c>
      <c r="K195" s="42"/>
      <c r="L195" s="42"/>
      <c r="M195" s="63" t="s">
        <v>330</v>
      </c>
      <c r="N195" s="47"/>
      <c r="O195" s="143"/>
      <c r="P195" s="45">
        <f t="shared" si="422"/>
        <v>166</v>
      </c>
      <c r="Q195" s="46">
        <v>1</v>
      </c>
      <c r="R195" s="41" t="s">
        <v>81</v>
      </c>
      <c r="S195" s="185" t="s">
        <v>204</v>
      </c>
      <c r="T195" s="43"/>
      <c r="U195" s="41" t="s">
        <v>80</v>
      </c>
      <c r="V195" s="44"/>
      <c r="W195" s="22">
        <v>3</v>
      </c>
      <c r="X195" s="47" t="s">
        <v>205</v>
      </c>
      <c r="Y195" s="47">
        <v>1</v>
      </c>
      <c r="Z195" s="47">
        <v>1</v>
      </c>
      <c r="AA195" s="42">
        <v>9</v>
      </c>
      <c r="AB195" s="42" t="s">
        <v>57</v>
      </c>
      <c r="AC195" s="166"/>
      <c r="AD195" s="160"/>
      <c r="AE195" s="162"/>
      <c r="AF195" s="203" t="str">
        <f t="shared" si="383"/>
        <v xml:space="preserve"> </v>
      </c>
      <c r="AG195" s="174" t="str">
        <f t="shared" si="364"/>
        <v>NG</v>
      </c>
      <c r="AH195" s="162"/>
      <c r="AI195" s="276" t="str">
        <f>IF(OR(AE$8="判定対象外",AH$8="判定対象外",AH195="-"),"-",IF(AE195=AH195,"OK","NG"))</f>
        <v>OK</v>
      </c>
      <c r="AJ195" s="160"/>
      <c r="AK195" s="162"/>
      <c r="AL195" s="203" t="str">
        <f t="shared" si="382"/>
        <v xml:space="preserve"> </v>
      </c>
      <c r="AM195" s="174" t="str">
        <f t="shared" si="409"/>
        <v>NG</v>
      </c>
      <c r="AN195" s="162"/>
      <c r="AO195" s="276" t="str">
        <f>IF(OR(AK$8="判定対象外",AN$8="判定対象外",AN195="-"),"-",IF(AK195=AN195,"OK","NG"))</f>
        <v>OK</v>
      </c>
      <c r="AP195" s="160"/>
      <c r="AQ195" s="162"/>
      <c r="AR195" s="203" t="str">
        <f t="shared" si="384"/>
        <v xml:space="preserve"> </v>
      </c>
      <c r="AS195" s="174" t="str">
        <f t="shared" si="365"/>
        <v>NG</v>
      </c>
      <c r="AT195" s="162"/>
      <c r="AU195" s="276" t="str">
        <f>IF(OR(AQ$8="判定対象外",AT$8="判定対象外",AT195="-"),"-",IF(AQ195=AT195,"OK","NG"))</f>
        <v>OK</v>
      </c>
      <c r="AV195" s="160"/>
      <c r="AW195" s="162"/>
      <c r="AX195" s="203" t="str">
        <f t="shared" si="385"/>
        <v xml:space="preserve"> </v>
      </c>
      <c r="AY195" s="174" t="str">
        <f t="shared" si="366"/>
        <v>NG</v>
      </c>
      <c r="AZ195" s="162"/>
      <c r="BA195" s="276" t="str">
        <f>IF(OR(AW$8="判定対象外",AZ$8="判定対象外",AZ195="-"),"-",IF(AW195=AZ195,"OK","NG"))</f>
        <v>OK</v>
      </c>
      <c r="BB195" s="160"/>
      <c r="BC195" s="162"/>
      <c r="BD195" s="203" t="str">
        <f t="shared" si="386"/>
        <v xml:space="preserve"> </v>
      </c>
      <c r="BE195" s="174" t="str">
        <f t="shared" si="367"/>
        <v>NG</v>
      </c>
      <c r="BF195" s="162"/>
      <c r="BG195" s="276" t="str">
        <f>IF(OR(BC$8="判定対象外",BF$8="判定対象外",BF195="-"),"-",IF(BC195=BF195,"OK","NG"))</f>
        <v>OK</v>
      </c>
      <c r="BH195" s="160"/>
      <c r="BI195" s="162"/>
      <c r="BJ195" s="203" t="str">
        <f t="shared" si="387"/>
        <v xml:space="preserve"> </v>
      </c>
      <c r="BK195" s="174" t="str">
        <f t="shared" si="368"/>
        <v>NG</v>
      </c>
      <c r="BL195" s="162"/>
      <c r="BM195" s="276" t="str">
        <f>IF(OR(BI$8="判定対象外",BL$8="判定対象外",BL195="-"),"-",IF(BI195=BL195,"OK","NG"))</f>
        <v>OK</v>
      </c>
      <c r="BN195" s="160"/>
      <c r="BO195" s="162"/>
      <c r="BP195" s="203" t="str">
        <f t="shared" si="388"/>
        <v xml:space="preserve"> </v>
      </c>
      <c r="BQ195" s="174" t="str">
        <f t="shared" si="369"/>
        <v>NG</v>
      </c>
      <c r="BR195" s="162"/>
      <c r="BS195" s="276" t="str">
        <f>IF(OR(BO$8="判定対象外",BR$8="判定対象外",BR195="-"),"-",IF(BO195=BR195,"OK","NG"))</f>
        <v>OK</v>
      </c>
      <c r="BT195" s="160"/>
      <c r="BU195" s="162"/>
      <c r="BV195" s="203" t="str">
        <f t="shared" si="389"/>
        <v xml:space="preserve"> </v>
      </c>
      <c r="BW195" s="174" t="str">
        <f t="shared" si="370"/>
        <v>NG</v>
      </c>
      <c r="BX195" s="162"/>
      <c r="BY195" s="276" t="str">
        <f>IF(OR(BU$8="判定対象外",BX$8="判定対象外",BX195="-"),"-",IF(BU195=BX195,"OK","NG"))</f>
        <v>OK</v>
      </c>
      <c r="BZ195" s="160"/>
      <c r="CA195" s="162"/>
      <c r="CB195" s="203" t="str">
        <f t="shared" si="390"/>
        <v xml:space="preserve"> </v>
      </c>
      <c r="CC195" s="174" t="str">
        <f t="shared" si="371"/>
        <v>NG</v>
      </c>
      <c r="CD195" s="162"/>
      <c r="CE195" s="276" t="str">
        <f>IF(OR(CA$8="判定対象外",CD$8="判定対象外",CD195="-"),"-",IF(CA195=CD195,"OK","NG"))</f>
        <v>OK</v>
      </c>
      <c r="CF195" s="160"/>
      <c r="CG195" s="162"/>
      <c r="CH195" s="203" t="str">
        <f t="shared" si="391"/>
        <v xml:space="preserve"> </v>
      </c>
      <c r="CI195" s="174" t="str">
        <f t="shared" si="372"/>
        <v>NG</v>
      </c>
      <c r="CJ195" s="162"/>
      <c r="CK195" s="276" t="str">
        <f>IF(OR(CG$8="判定対象外",CJ$8="判定対象外",CJ195="-"),"-",IF(CG195=CJ195,"OK","NG"))</f>
        <v>OK</v>
      </c>
      <c r="CL195" s="160"/>
      <c r="CM195" s="162"/>
      <c r="CN195" s="203" t="str">
        <f t="shared" si="392"/>
        <v xml:space="preserve"> </v>
      </c>
      <c r="CO195" s="174" t="str">
        <f t="shared" si="373"/>
        <v>NG</v>
      </c>
      <c r="CP195" s="162"/>
      <c r="CQ195" s="276" t="str">
        <f>IF(OR(CM$8="判定対象外",CP$8="判定対象外",CP195="-"),"-",IF(CM195=CP195,"OK","NG"))</f>
        <v>OK</v>
      </c>
      <c r="CR195" s="160"/>
      <c r="CS195" s="162"/>
      <c r="CT195" s="203" t="str">
        <f t="shared" si="393"/>
        <v xml:space="preserve"> </v>
      </c>
      <c r="CU195" s="174" t="str">
        <f t="shared" si="374"/>
        <v>NG</v>
      </c>
      <c r="CV195" s="162"/>
      <c r="CW195" s="276" t="str">
        <f>IF(OR(CS$8="判定対象外",CV$8="判定対象外",CV195="-"),"-",IF(CS195=CV195,"OK","NG"))</f>
        <v>OK</v>
      </c>
      <c r="CX195" s="160"/>
      <c r="CY195" s="162"/>
      <c r="CZ195" s="203" t="str">
        <f t="shared" si="394"/>
        <v xml:space="preserve"> </v>
      </c>
      <c r="DA195" s="174" t="str">
        <f t="shared" si="375"/>
        <v>NG</v>
      </c>
      <c r="DB195" s="162"/>
      <c r="DC195" s="276" t="str">
        <f>IF(OR(CY$8="判定対象外",DB$8="判定対象外",DB195="-"),"-",IF(CY195=DB195,"OK","NG"))</f>
        <v>OK</v>
      </c>
      <c r="DD195" s="160"/>
      <c r="DE195" s="162"/>
      <c r="DF195" s="203" t="str">
        <f t="shared" si="395"/>
        <v xml:space="preserve"> </v>
      </c>
      <c r="DG195" s="174" t="str">
        <f t="shared" si="376"/>
        <v>NG</v>
      </c>
      <c r="DH195" s="162"/>
      <c r="DI195" s="276" t="str">
        <f>IF(OR(DE$8="判定対象外",DH$8="判定対象外",DH195="-"),"-",IF(DE195=DH195,"OK","NG"))</f>
        <v>OK</v>
      </c>
      <c r="DJ195" s="160"/>
      <c r="DK195" s="162"/>
      <c r="DL195" s="203" t="str">
        <f t="shared" si="396"/>
        <v xml:space="preserve"> </v>
      </c>
      <c r="DM195" s="174" t="str">
        <f t="shared" si="377"/>
        <v>NG</v>
      </c>
      <c r="DN195" s="162"/>
      <c r="DO195" s="276" t="str">
        <f>IF(OR(DK$8="判定対象外",DN$8="判定対象外",DN195="-"),"-",IF(DK195=DN195,"OK","NG"))</f>
        <v>OK</v>
      </c>
      <c r="DP195" s="160"/>
      <c r="DQ195" s="162"/>
      <c r="DR195" s="203" t="str">
        <f t="shared" si="397"/>
        <v xml:space="preserve"> </v>
      </c>
      <c r="DS195" s="174" t="str">
        <f t="shared" si="413"/>
        <v>NG</v>
      </c>
      <c r="DT195" s="162"/>
      <c r="DU195" s="276" t="str">
        <f>IF(OR(DQ$8="判定対象外",DT$8="判定対象外",DT195="-"),"-",IF(DQ195=DT195,"OK","NG"))</f>
        <v>OK</v>
      </c>
      <c r="DV195" s="160"/>
      <c r="DW195" s="162"/>
      <c r="DX195" s="203" t="str">
        <f t="shared" si="398"/>
        <v xml:space="preserve"> </v>
      </c>
      <c r="DY195" s="174" t="str">
        <f t="shared" si="414"/>
        <v>NG</v>
      </c>
      <c r="DZ195" s="162"/>
      <c r="EA195" s="276" t="str">
        <f>IF(OR(DW$8="判定対象外",DZ$8="判定対象外",DZ195="-"),"-",IF(DW195=DZ195,"OK","NG"))</f>
        <v>OK</v>
      </c>
      <c r="EB195" s="160"/>
      <c r="EC195" s="162"/>
      <c r="ED195" s="203" t="str">
        <f t="shared" si="399"/>
        <v xml:space="preserve"> </v>
      </c>
      <c r="EE195" s="174" t="str">
        <f t="shared" si="415"/>
        <v>NG</v>
      </c>
      <c r="EF195" s="162"/>
      <c r="EG195" s="276" t="str">
        <f>IF(OR(EC$8="判定対象外",EF$8="判定対象外",EF195="-"),"-",IF(EC195=EF195,"OK","NG"))</f>
        <v>OK</v>
      </c>
      <c r="EH195" s="160"/>
      <c r="EI195" s="162"/>
      <c r="EJ195" s="203" t="str">
        <f t="shared" si="400"/>
        <v xml:space="preserve"> </v>
      </c>
      <c r="EK195" s="174" t="str">
        <f t="shared" si="416"/>
        <v>NG</v>
      </c>
      <c r="EL195" s="162"/>
      <c r="EM195" s="276" t="str">
        <f>IF(OR(EI$8="判定対象外",EL$8="判定対象外",EL195="-"),"-",IF(EI195=EL195,"OK","NG"))</f>
        <v>OK</v>
      </c>
      <c r="EN195" s="160"/>
      <c r="EO195" s="162"/>
      <c r="EP195" s="203" t="str">
        <f t="shared" si="401"/>
        <v xml:space="preserve"> </v>
      </c>
      <c r="EQ195" s="174" t="str">
        <f t="shared" si="417"/>
        <v>NG</v>
      </c>
      <c r="ER195" s="162"/>
      <c r="ES195" s="276" t="str">
        <f>IF(OR(EO$8="判定対象外",ER$8="判定対象外",ER195="-"),"-",IF(EO195=ER195,"OK","NG"))</f>
        <v>OK</v>
      </c>
      <c r="ET195" s="160"/>
      <c r="EU195" s="162"/>
      <c r="EV195" s="203" t="str">
        <f t="shared" si="402"/>
        <v xml:space="preserve"> </v>
      </c>
      <c r="EW195" s="174" t="str">
        <f t="shared" si="418"/>
        <v>NG</v>
      </c>
      <c r="EX195" s="162"/>
      <c r="EY195" s="276" t="str">
        <f>IF(OR(EU$8="判定対象外",EX$8="判定対象外",EX195="-"),"-",IF(EU195=EX195,"OK","NG"))</f>
        <v>OK</v>
      </c>
      <c r="EZ195" s="160"/>
      <c r="FA195" s="162"/>
      <c r="FB195" s="203" t="str">
        <f t="shared" si="403"/>
        <v xml:space="preserve"> </v>
      </c>
      <c r="FC195" s="174" t="str">
        <f t="shared" si="419"/>
        <v>NG</v>
      </c>
      <c r="FD195" s="162"/>
      <c r="FE195" s="276" t="str">
        <f>IF(OR(FA$8="判定対象外",FD$8="判定対象外",FD195="-"),"-",IF(FA195=FD195,"OK","NG"))</f>
        <v>OK</v>
      </c>
      <c r="FF195" s="160"/>
      <c r="FG195" s="162"/>
      <c r="FH195" s="203" t="str">
        <f t="shared" si="404"/>
        <v xml:space="preserve"> </v>
      </c>
      <c r="FI195" s="174" t="str">
        <f t="shared" si="420"/>
        <v>NG</v>
      </c>
      <c r="FJ195" s="162"/>
      <c r="FK195" s="276" t="str">
        <f>IF(OR(FG$8="判定対象外",FJ$8="判定対象外",FJ195="-"),"-",IF(FG195=FJ195,"OK","NG"))</f>
        <v>OK</v>
      </c>
      <c r="FL195" s="160"/>
      <c r="FM195" s="162"/>
      <c r="FN195" s="203" t="str">
        <f t="shared" si="405"/>
        <v xml:space="preserve"> </v>
      </c>
      <c r="FO195" s="174" t="str">
        <f t="shared" si="378"/>
        <v>NG</v>
      </c>
      <c r="FP195" s="162"/>
      <c r="FQ195" s="276" t="str">
        <f>IF(OR(FM$8="判定対象外",FP$8="判定対象外",FP195="-"),"-",IF(FM195=FP195,"OK","NG"))</f>
        <v>OK</v>
      </c>
      <c r="FR195" s="160"/>
      <c r="FS195" s="162"/>
      <c r="FT195" s="203" t="str">
        <f t="shared" si="406"/>
        <v xml:space="preserve"> </v>
      </c>
      <c r="FU195" s="174" t="str">
        <f t="shared" si="379"/>
        <v>NG</v>
      </c>
      <c r="FV195" s="162"/>
      <c r="FW195" s="276" t="str">
        <f>IF(OR(FS$8="判定対象外",FV$8="判定対象外",FV195="-"),"-",IF(FS195=FV195,"OK","NG"))</f>
        <v>OK</v>
      </c>
      <c r="FX195" s="160"/>
      <c r="FY195" s="162"/>
      <c r="FZ195" s="203" t="str">
        <f t="shared" si="407"/>
        <v xml:space="preserve"> </v>
      </c>
      <c r="GA195" s="174" t="str">
        <f t="shared" si="380"/>
        <v>NG</v>
      </c>
      <c r="GB195" s="162"/>
      <c r="GC195" s="276" t="str">
        <f>IF(OR(FY$8="判定対象外",GB$8="判定対象外",GB195="-"),"-",IF(FY195=GB195,"OK","NG"))</f>
        <v>OK</v>
      </c>
    </row>
    <row r="196" spans="2:185" s="52" customFormat="1" ht="114.75">
      <c r="B196" s="48">
        <f t="shared" si="408"/>
        <v>189</v>
      </c>
      <c r="C196" s="37"/>
      <c r="D196" s="37"/>
      <c r="E196" s="37"/>
      <c r="F196" s="49" t="s">
        <v>206</v>
      </c>
      <c r="G196" s="39"/>
      <c r="H196" s="40"/>
      <c r="I196" s="42"/>
      <c r="J196" s="42"/>
      <c r="K196" s="42"/>
      <c r="L196" s="42"/>
      <c r="M196" s="163" t="s">
        <v>331</v>
      </c>
      <c r="N196" s="47"/>
      <c r="O196" s="143"/>
      <c r="P196" s="45">
        <f t="shared" si="422"/>
        <v>167</v>
      </c>
      <c r="Q196" s="46">
        <v>1</v>
      </c>
      <c r="R196" s="41" t="s">
        <v>81</v>
      </c>
      <c r="S196" s="185" t="s">
        <v>207</v>
      </c>
      <c r="T196" s="43"/>
      <c r="U196" s="41" t="s">
        <v>80</v>
      </c>
      <c r="V196" s="44"/>
      <c r="W196" s="22">
        <v>3</v>
      </c>
      <c r="X196" s="47" t="s">
        <v>98</v>
      </c>
      <c r="Y196" s="47">
        <v>1</v>
      </c>
      <c r="Z196" s="47">
        <v>1</v>
      </c>
      <c r="AA196" s="42">
        <v>9</v>
      </c>
      <c r="AB196" s="42" t="s">
        <v>57</v>
      </c>
      <c r="AC196" s="215"/>
      <c r="AD196" s="160"/>
      <c r="AE196" s="162"/>
      <c r="AF196" s="203" t="str">
        <f t="shared" si="383"/>
        <v xml:space="preserve"> </v>
      </c>
      <c r="AG196" s="174" t="str">
        <f t="shared" si="364"/>
        <v>NG</v>
      </c>
      <c r="AH196" s="162"/>
      <c r="AI196" s="172" t="s">
        <v>71</v>
      </c>
      <c r="AJ196" s="160"/>
      <c r="AK196" s="162"/>
      <c r="AL196" s="203" t="str">
        <f t="shared" si="382"/>
        <v xml:space="preserve"> </v>
      </c>
      <c r="AM196" s="174" t="str">
        <f t="shared" si="409"/>
        <v>NG</v>
      </c>
      <c r="AN196" s="162"/>
      <c r="AO196" s="172" t="s">
        <v>71</v>
      </c>
      <c r="AP196" s="160"/>
      <c r="AQ196" s="162"/>
      <c r="AR196" s="203" t="str">
        <f t="shared" si="384"/>
        <v xml:space="preserve"> </v>
      </c>
      <c r="AS196" s="174" t="str">
        <f t="shared" si="365"/>
        <v>NG</v>
      </c>
      <c r="AT196" s="162"/>
      <c r="AU196" s="172" t="s">
        <v>71</v>
      </c>
      <c r="AV196" s="160"/>
      <c r="AW196" s="162"/>
      <c r="AX196" s="203" t="str">
        <f t="shared" si="385"/>
        <v xml:space="preserve"> </v>
      </c>
      <c r="AY196" s="174" t="str">
        <f t="shared" si="366"/>
        <v>NG</v>
      </c>
      <c r="AZ196" s="162"/>
      <c r="BA196" s="172" t="s">
        <v>71</v>
      </c>
      <c r="BB196" s="160"/>
      <c r="BC196" s="162"/>
      <c r="BD196" s="203" t="str">
        <f t="shared" si="386"/>
        <v xml:space="preserve"> </v>
      </c>
      <c r="BE196" s="174" t="str">
        <f t="shared" si="367"/>
        <v>NG</v>
      </c>
      <c r="BF196" s="162"/>
      <c r="BG196" s="172" t="s">
        <v>71</v>
      </c>
      <c r="BH196" s="160"/>
      <c r="BI196" s="162"/>
      <c r="BJ196" s="203" t="str">
        <f t="shared" si="387"/>
        <v xml:space="preserve"> </v>
      </c>
      <c r="BK196" s="174" t="str">
        <f t="shared" si="368"/>
        <v>NG</v>
      </c>
      <c r="BL196" s="162"/>
      <c r="BM196" s="172" t="s">
        <v>71</v>
      </c>
      <c r="BN196" s="160"/>
      <c r="BO196" s="162"/>
      <c r="BP196" s="203" t="str">
        <f t="shared" si="388"/>
        <v xml:space="preserve"> </v>
      </c>
      <c r="BQ196" s="174" t="str">
        <f t="shared" si="369"/>
        <v>NG</v>
      </c>
      <c r="BR196" s="162"/>
      <c r="BS196" s="172" t="s">
        <v>71</v>
      </c>
      <c r="BT196" s="160"/>
      <c r="BU196" s="162"/>
      <c r="BV196" s="203" t="str">
        <f t="shared" si="389"/>
        <v xml:space="preserve"> </v>
      </c>
      <c r="BW196" s="174" t="str">
        <f t="shared" si="370"/>
        <v>NG</v>
      </c>
      <c r="BX196" s="162"/>
      <c r="BY196" s="172" t="s">
        <v>71</v>
      </c>
      <c r="BZ196" s="160"/>
      <c r="CA196" s="162"/>
      <c r="CB196" s="203" t="str">
        <f t="shared" si="390"/>
        <v xml:space="preserve"> </v>
      </c>
      <c r="CC196" s="174" t="str">
        <f t="shared" si="371"/>
        <v>NG</v>
      </c>
      <c r="CD196" s="162"/>
      <c r="CE196" s="172" t="s">
        <v>71</v>
      </c>
      <c r="CF196" s="160"/>
      <c r="CG196" s="162"/>
      <c r="CH196" s="203" t="str">
        <f t="shared" si="391"/>
        <v xml:space="preserve"> </v>
      </c>
      <c r="CI196" s="174" t="str">
        <f t="shared" si="372"/>
        <v>NG</v>
      </c>
      <c r="CJ196" s="162"/>
      <c r="CK196" s="172" t="s">
        <v>71</v>
      </c>
      <c r="CL196" s="160"/>
      <c r="CM196" s="162"/>
      <c r="CN196" s="203" t="str">
        <f t="shared" si="392"/>
        <v xml:space="preserve"> </v>
      </c>
      <c r="CO196" s="174" t="str">
        <f t="shared" si="373"/>
        <v>NG</v>
      </c>
      <c r="CP196" s="162"/>
      <c r="CQ196" s="172" t="s">
        <v>71</v>
      </c>
      <c r="CR196" s="160"/>
      <c r="CS196" s="162"/>
      <c r="CT196" s="203" t="str">
        <f t="shared" si="393"/>
        <v xml:space="preserve"> </v>
      </c>
      <c r="CU196" s="174" t="str">
        <f t="shared" si="374"/>
        <v>NG</v>
      </c>
      <c r="CV196" s="162"/>
      <c r="CW196" s="172" t="s">
        <v>71</v>
      </c>
      <c r="CX196" s="160"/>
      <c r="CY196" s="162"/>
      <c r="CZ196" s="203" t="str">
        <f t="shared" si="394"/>
        <v xml:space="preserve"> </v>
      </c>
      <c r="DA196" s="174" t="str">
        <f t="shared" si="375"/>
        <v>NG</v>
      </c>
      <c r="DB196" s="162"/>
      <c r="DC196" s="172" t="s">
        <v>71</v>
      </c>
      <c r="DD196" s="160"/>
      <c r="DE196" s="162"/>
      <c r="DF196" s="203" t="str">
        <f t="shared" si="395"/>
        <v xml:space="preserve"> </v>
      </c>
      <c r="DG196" s="174" t="str">
        <f t="shared" si="376"/>
        <v>NG</v>
      </c>
      <c r="DH196" s="162"/>
      <c r="DI196" s="172" t="s">
        <v>71</v>
      </c>
      <c r="DJ196" s="160"/>
      <c r="DK196" s="162"/>
      <c r="DL196" s="203" t="str">
        <f t="shared" si="396"/>
        <v xml:space="preserve"> </v>
      </c>
      <c r="DM196" s="174" t="str">
        <f t="shared" si="377"/>
        <v>NG</v>
      </c>
      <c r="DN196" s="162"/>
      <c r="DO196" s="172" t="s">
        <v>71</v>
      </c>
      <c r="DP196" s="160"/>
      <c r="DQ196" s="162"/>
      <c r="DR196" s="203" t="str">
        <f t="shared" si="397"/>
        <v xml:space="preserve"> </v>
      </c>
      <c r="DS196" s="174" t="str">
        <f t="shared" si="413"/>
        <v>NG</v>
      </c>
      <c r="DT196" s="162"/>
      <c r="DU196" s="172" t="s">
        <v>71</v>
      </c>
      <c r="DV196" s="160"/>
      <c r="DW196" s="162"/>
      <c r="DX196" s="203" t="str">
        <f t="shared" si="398"/>
        <v xml:space="preserve"> </v>
      </c>
      <c r="DY196" s="174" t="str">
        <f t="shared" si="414"/>
        <v>NG</v>
      </c>
      <c r="DZ196" s="162"/>
      <c r="EA196" s="172" t="s">
        <v>71</v>
      </c>
      <c r="EB196" s="160"/>
      <c r="EC196" s="162"/>
      <c r="ED196" s="203" t="str">
        <f t="shared" si="399"/>
        <v xml:space="preserve"> </v>
      </c>
      <c r="EE196" s="174" t="str">
        <f t="shared" si="415"/>
        <v>NG</v>
      </c>
      <c r="EF196" s="162"/>
      <c r="EG196" s="172" t="s">
        <v>71</v>
      </c>
      <c r="EH196" s="160"/>
      <c r="EI196" s="162"/>
      <c r="EJ196" s="203" t="str">
        <f t="shared" si="400"/>
        <v xml:space="preserve"> </v>
      </c>
      <c r="EK196" s="174" t="str">
        <f t="shared" si="416"/>
        <v>NG</v>
      </c>
      <c r="EL196" s="162"/>
      <c r="EM196" s="172" t="s">
        <v>71</v>
      </c>
      <c r="EN196" s="160"/>
      <c r="EO196" s="162"/>
      <c r="EP196" s="203" t="str">
        <f t="shared" si="401"/>
        <v xml:space="preserve"> </v>
      </c>
      <c r="EQ196" s="174" t="str">
        <f t="shared" si="417"/>
        <v>NG</v>
      </c>
      <c r="ER196" s="162"/>
      <c r="ES196" s="172" t="s">
        <v>71</v>
      </c>
      <c r="ET196" s="160"/>
      <c r="EU196" s="162"/>
      <c r="EV196" s="203" t="str">
        <f t="shared" si="402"/>
        <v xml:space="preserve"> </v>
      </c>
      <c r="EW196" s="174" t="str">
        <f t="shared" si="418"/>
        <v>NG</v>
      </c>
      <c r="EX196" s="162"/>
      <c r="EY196" s="172" t="s">
        <v>71</v>
      </c>
      <c r="EZ196" s="160"/>
      <c r="FA196" s="162"/>
      <c r="FB196" s="203" t="str">
        <f t="shared" si="403"/>
        <v xml:space="preserve"> </v>
      </c>
      <c r="FC196" s="174" t="str">
        <f t="shared" si="419"/>
        <v>NG</v>
      </c>
      <c r="FD196" s="162"/>
      <c r="FE196" s="172" t="s">
        <v>71</v>
      </c>
      <c r="FF196" s="160"/>
      <c r="FG196" s="162"/>
      <c r="FH196" s="203" t="str">
        <f t="shared" si="404"/>
        <v xml:space="preserve"> </v>
      </c>
      <c r="FI196" s="174" t="str">
        <f t="shared" si="420"/>
        <v>NG</v>
      </c>
      <c r="FJ196" s="162"/>
      <c r="FK196" s="172" t="s">
        <v>71</v>
      </c>
      <c r="FL196" s="160"/>
      <c r="FM196" s="162"/>
      <c r="FN196" s="203" t="str">
        <f t="shared" si="405"/>
        <v xml:space="preserve"> </v>
      </c>
      <c r="FO196" s="174" t="str">
        <f t="shared" si="378"/>
        <v>NG</v>
      </c>
      <c r="FP196" s="162"/>
      <c r="FQ196" s="172" t="s">
        <v>71</v>
      </c>
      <c r="FR196" s="160"/>
      <c r="FS196" s="162"/>
      <c r="FT196" s="203" t="str">
        <f t="shared" si="406"/>
        <v xml:space="preserve"> </v>
      </c>
      <c r="FU196" s="174" t="str">
        <f t="shared" si="379"/>
        <v>NG</v>
      </c>
      <c r="FV196" s="162"/>
      <c r="FW196" s="172" t="s">
        <v>71</v>
      </c>
      <c r="FX196" s="160"/>
      <c r="FY196" s="162"/>
      <c r="FZ196" s="203" t="str">
        <f t="shared" si="407"/>
        <v xml:space="preserve"> </v>
      </c>
      <c r="GA196" s="174" t="str">
        <f t="shared" si="380"/>
        <v>NG</v>
      </c>
      <c r="GB196" s="162"/>
      <c r="GC196" s="172" t="s">
        <v>71</v>
      </c>
    </row>
    <row r="197" spans="2:185" s="52" customFormat="1" ht="126.75" customHeight="1">
      <c r="B197" s="216">
        <f t="shared" si="408"/>
        <v>190</v>
      </c>
      <c r="C197" s="37"/>
      <c r="D197" s="37"/>
      <c r="E197" s="37"/>
      <c r="F197" s="188" t="s">
        <v>332</v>
      </c>
      <c r="G197" s="39"/>
      <c r="H197" s="40"/>
      <c r="I197" s="42"/>
      <c r="J197" s="42"/>
      <c r="K197" s="42"/>
      <c r="L197" s="42"/>
      <c r="M197" s="63" t="s">
        <v>333</v>
      </c>
      <c r="N197" s="47"/>
      <c r="O197" s="143"/>
      <c r="P197" s="45">
        <f t="shared" si="422"/>
        <v>168</v>
      </c>
      <c r="Q197" s="46">
        <v>1</v>
      </c>
      <c r="R197" s="41" t="str">
        <f t="shared" ref="R197:R214" si="423">IF(AA197="M","NX",AA197)</f>
        <v>X</v>
      </c>
      <c r="S197" s="185" t="s">
        <v>208</v>
      </c>
      <c r="T197" s="43"/>
      <c r="U197" s="41" t="s">
        <v>80</v>
      </c>
      <c r="V197" s="44"/>
      <c r="W197" s="22">
        <v>3</v>
      </c>
      <c r="X197" s="47" t="s">
        <v>274</v>
      </c>
      <c r="Y197" s="47">
        <v>1</v>
      </c>
      <c r="Z197" s="47">
        <v>1</v>
      </c>
      <c r="AA197" s="42" t="s">
        <v>273</v>
      </c>
      <c r="AB197" s="42" t="s">
        <v>266</v>
      </c>
      <c r="AC197" s="166"/>
      <c r="AD197" s="160"/>
      <c r="AE197" s="162"/>
      <c r="AF197" s="203" t="str">
        <f t="shared" si="383"/>
        <v xml:space="preserve"> </v>
      </c>
      <c r="AG197" s="174" t="str">
        <f t="shared" si="364"/>
        <v>NG</v>
      </c>
      <c r="AH197" s="162"/>
      <c r="AI197" s="276" t="str">
        <f>IF(OR(AE$8="判定対象外",AH$8="判定対象外",AH197="-"),"-",IF(AE197=AH197,"OK","NG"))</f>
        <v>OK</v>
      </c>
      <c r="AJ197" s="160"/>
      <c r="AK197" s="162"/>
      <c r="AL197" s="203" t="str">
        <f t="shared" si="382"/>
        <v xml:space="preserve"> </v>
      </c>
      <c r="AM197" s="174" t="str">
        <f t="shared" si="409"/>
        <v>NG</v>
      </c>
      <c r="AN197" s="162"/>
      <c r="AO197" s="276" t="str">
        <f>IF(OR(AK$8="判定対象外",AN$8="判定対象外",AN197="-"),"-",IF(AK197=AN197,"OK","NG"))</f>
        <v>OK</v>
      </c>
      <c r="AP197" s="160"/>
      <c r="AQ197" s="162"/>
      <c r="AR197" s="203" t="str">
        <f t="shared" si="384"/>
        <v xml:space="preserve"> </v>
      </c>
      <c r="AS197" s="174" t="str">
        <f t="shared" si="365"/>
        <v>NG</v>
      </c>
      <c r="AT197" s="162"/>
      <c r="AU197" s="276" t="str">
        <f>IF(OR(AQ$8="判定対象外",AT$8="判定対象外",AT197="-"),"-",IF(AQ197=AT197,"OK","NG"))</f>
        <v>OK</v>
      </c>
      <c r="AV197" s="160"/>
      <c r="AW197" s="162"/>
      <c r="AX197" s="203" t="str">
        <f t="shared" si="385"/>
        <v xml:space="preserve"> </v>
      </c>
      <c r="AY197" s="174" t="str">
        <f t="shared" si="366"/>
        <v>NG</v>
      </c>
      <c r="AZ197" s="162"/>
      <c r="BA197" s="276" t="str">
        <f>IF(OR(AW$8="判定対象外",AZ$8="判定対象外",AZ197="-"),"-",IF(AW197=AZ197,"OK","NG"))</f>
        <v>OK</v>
      </c>
      <c r="BB197" s="160"/>
      <c r="BC197" s="162"/>
      <c r="BD197" s="203" t="str">
        <f t="shared" si="386"/>
        <v xml:space="preserve"> </v>
      </c>
      <c r="BE197" s="174" t="str">
        <f t="shared" si="367"/>
        <v>NG</v>
      </c>
      <c r="BF197" s="162"/>
      <c r="BG197" s="276" t="str">
        <f>IF(OR(BC$8="判定対象外",BF$8="判定対象外",BF197="-"),"-",IF(BC197=BF197,"OK","NG"))</f>
        <v>OK</v>
      </c>
      <c r="BH197" s="160"/>
      <c r="BI197" s="162"/>
      <c r="BJ197" s="203" t="str">
        <f t="shared" si="387"/>
        <v xml:space="preserve"> </v>
      </c>
      <c r="BK197" s="174" t="str">
        <f t="shared" si="368"/>
        <v>NG</v>
      </c>
      <c r="BL197" s="162"/>
      <c r="BM197" s="276" t="str">
        <f>IF(OR(BI$8="判定対象外",BL$8="判定対象外",BL197="-"),"-",IF(BI197=BL197,"OK","NG"))</f>
        <v>OK</v>
      </c>
      <c r="BN197" s="160"/>
      <c r="BO197" s="162"/>
      <c r="BP197" s="203" t="str">
        <f t="shared" si="388"/>
        <v xml:space="preserve"> </v>
      </c>
      <c r="BQ197" s="174" t="str">
        <f t="shared" si="369"/>
        <v>NG</v>
      </c>
      <c r="BR197" s="162"/>
      <c r="BS197" s="276" t="str">
        <f>IF(OR(BO$8="判定対象外",BR$8="判定対象外",BR197="-"),"-",IF(BO197=BR197,"OK","NG"))</f>
        <v>OK</v>
      </c>
      <c r="BT197" s="160"/>
      <c r="BU197" s="162"/>
      <c r="BV197" s="203" t="str">
        <f t="shared" si="389"/>
        <v xml:space="preserve"> </v>
      </c>
      <c r="BW197" s="174" t="str">
        <f t="shared" si="370"/>
        <v>NG</v>
      </c>
      <c r="BX197" s="162"/>
      <c r="BY197" s="276" t="str">
        <f>IF(OR(BU$8="判定対象外",BX$8="判定対象外",BX197="-"),"-",IF(BU197=BX197,"OK","NG"))</f>
        <v>OK</v>
      </c>
      <c r="BZ197" s="160"/>
      <c r="CA197" s="162"/>
      <c r="CB197" s="203" t="str">
        <f t="shared" si="390"/>
        <v xml:space="preserve"> </v>
      </c>
      <c r="CC197" s="174" t="str">
        <f t="shared" si="371"/>
        <v>NG</v>
      </c>
      <c r="CD197" s="162"/>
      <c r="CE197" s="276" t="str">
        <f>IF(OR(CA$8="判定対象外",CD$8="判定対象外",CD197="-"),"-",IF(CA197=CD197,"OK","NG"))</f>
        <v>OK</v>
      </c>
      <c r="CF197" s="160"/>
      <c r="CG197" s="162"/>
      <c r="CH197" s="203" t="str">
        <f t="shared" si="391"/>
        <v xml:space="preserve"> </v>
      </c>
      <c r="CI197" s="174" t="str">
        <f t="shared" si="372"/>
        <v>NG</v>
      </c>
      <c r="CJ197" s="162"/>
      <c r="CK197" s="276" t="str">
        <f>IF(OR(CG$8="判定対象外",CJ$8="判定対象外",CJ197="-"),"-",IF(CG197=CJ197,"OK","NG"))</f>
        <v>OK</v>
      </c>
      <c r="CL197" s="160"/>
      <c r="CM197" s="162"/>
      <c r="CN197" s="203" t="str">
        <f t="shared" si="392"/>
        <v xml:space="preserve"> </v>
      </c>
      <c r="CO197" s="174" t="str">
        <f t="shared" si="373"/>
        <v>NG</v>
      </c>
      <c r="CP197" s="162"/>
      <c r="CQ197" s="276" t="str">
        <f>IF(OR(CM$8="判定対象外",CP$8="判定対象外",CP197="-"),"-",IF(CM197=CP197,"OK","NG"))</f>
        <v>OK</v>
      </c>
      <c r="CR197" s="160"/>
      <c r="CS197" s="162"/>
      <c r="CT197" s="203" t="str">
        <f t="shared" si="393"/>
        <v xml:space="preserve"> </v>
      </c>
      <c r="CU197" s="174" t="str">
        <f t="shared" si="374"/>
        <v>NG</v>
      </c>
      <c r="CV197" s="162"/>
      <c r="CW197" s="276" t="str">
        <f>IF(OR(CS$8="判定対象外",CV$8="判定対象外",CV197="-"),"-",IF(CS197=CV197,"OK","NG"))</f>
        <v>OK</v>
      </c>
      <c r="CX197" s="160"/>
      <c r="CY197" s="162"/>
      <c r="CZ197" s="203" t="str">
        <f t="shared" si="394"/>
        <v xml:space="preserve"> </v>
      </c>
      <c r="DA197" s="174" t="str">
        <f t="shared" si="375"/>
        <v>NG</v>
      </c>
      <c r="DB197" s="162"/>
      <c r="DC197" s="276" t="str">
        <f>IF(OR(CY$8="判定対象外",DB$8="判定対象外",DB197="-"),"-",IF(CY197=DB197,"OK","NG"))</f>
        <v>OK</v>
      </c>
      <c r="DD197" s="160"/>
      <c r="DE197" s="162"/>
      <c r="DF197" s="203" t="str">
        <f t="shared" si="395"/>
        <v xml:space="preserve"> </v>
      </c>
      <c r="DG197" s="174" t="str">
        <f t="shared" si="376"/>
        <v>NG</v>
      </c>
      <c r="DH197" s="162"/>
      <c r="DI197" s="276" t="str">
        <f>IF(OR(DE$8="判定対象外",DH$8="判定対象外",DH197="-"),"-",IF(DE197=DH197,"OK","NG"))</f>
        <v>OK</v>
      </c>
      <c r="DJ197" s="160"/>
      <c r="DK197" s="162"/>
      <c r="DL197" s="203" t="str">
        <f t="shared" si="396"/>
        <v xml:space="preserve"> </v>
      </c>
      <c r="DM197" s="174" t="str">
        <f t="shared" si="377"/>
        <v>NG</v>
      </c>
      <c r="DN197" s="162"/>
      <c r="DO197" s="276" t="str">
        <f>IF(OR(DK$8="判定対象外",DN$8="判定対象外",DN197="-"),"-",IF(DK197=DN197,"OK","NG"))</f>
        <v>OK</v>
      </c>
      <c r="DP197" s="160"/>
      <c r="DQ197" s="162"/>
      <c r="DR197" s="203" t="str">
        <f t="shared" si="397"/>
        <v xml:space="preserve"> </v>
      </c>
      <c r="DS197" s="174" t="str">
        <f t="shared" si="413"/>
        <v>NG</v>
      </c>
      <c r="DT197" s="162"/>
      <c r="DU197" s="276" t="str">
        <f>IF(OR(DQ$8="判定対象外",DT$8="判定対象外",DT197="-"),"-",IF(DQ197=DT197,"OK","NG"))</f>
        <v>OK</v>
      </c>
      <c r="DV197" s="160"/>
      <c r="DW197" s="162"/>
      <c r="DX197" s="203" t="str">
        <f t="shared" si="398"/>
        <v xml:space="preserve"> </v>
      </c>
      <c r="DY197" s="174" t="str">
        <f t="shared" si="414"/>
        <v>NG</v>
      </c>
      <c r="DZ197" s="162"/>
      <c r="EA197" s="276" t="str">
        <f>IF(OR(DW$8="判定対象外",DZ$8="判定対象外",DZ197="-"),"-",IF(DW197=DZ197,"OK","NG"))</f>
        <v>OK</v>
      </c>
      <c r="EB197" s="160"/>
      <c r="EC197" s="162"/>
      <c r="ED197" s="203" t="str">
        <f t="shared" si="399"/>
        <v xml:space="preserve"> </v>
      </c>
      <c r="EE197" s="174" t="str">
        <f t="shared" si="415"/>
        <v>NG</v>
      </c>
      <c r="EF197" s="162"/>
      <c r="EG197" s="276" t="str">
        <f>IF(OR(EC$8="判定対象外",EF$8="判定対象外",EF197="-"),"-",IF(EC197=EF197,"OK","NG"))</f>
        <v>OK</v>
      </c>
      <c r="EH197" s="160"/>
      <c r="EI197" s="162"/>
      <c r="EJ197" s="203" t="str">
        <f t="shared" si="400"/>
        <v xml:space="preserve"> </v>
      </c>
      <c r="EK197" s="174" t="str">
        <f t="shared" si="416"/>
        <v>NG</v>
      </c>
      <c r="EL197" s="162"/>
      <c r="EM197" s="276" t="str">
        <f>IF(OR(EI$8="判定対象外",EL$8="判定対象外",EL197="-"),"-",IF(EI197=EL197,"OK","NG"))</f>
        <v>OK</v>
      </c>
      <c r="EN197" s="160"/>
      <c r="EO197" s="162"/>
      <c r="EP197" s="203" t="str">
        <f t="shared" si="401"/>
        <v xml:space="preserve"> </v>
      </c>
      <c r="EQ197" s="174" t="str">
        <f t="shared" si="417"/>
        <v>NG</v>
      </c>
      <c r="ER197" s="162"/>
      <c r="ES197" s="276" t="str">
        <f>IF(OR(EO$8="判定対象外",ER$8="判定対象外",ER197="-"),"-",IF(EO197=ER197,"OK","NG"))</f>
        <v>OK</v>
      </c>
      <c r="ET197" s="160"/>
      <c r="EU197" s="162"/>
      <c r="EV197" s="203" t="str">
        <f t="shared" si="402"/>
        <v xml:space="preserve"> </v>
      </c>
      <c r="EW197" s="174" t="str">
        <f t="shared" si="418"/>
        <v>NG</v>
      </c>
      <c r="EX197" s="162"/>
      <c r="EY197" s="276" t="str">
        <f>IF(OR(EU$8="判定対象外",EX$8="判定対象外",EX197="-"),"-",IF(EU197=EX197,"OK","NG"))</f>
        <v>OK</v>
      </c>
      <c r="EZ197" s="160"/>
      <c r="FA197" s="162"/>
      <c r="FB197" s="203" t="str">
        <f t="shared" si="403"/>
        <v xml:space="preserve"> </v>
      </c>
      <c r="FC197" s="174" t="str">
        <f t="shared" si="419"/>
        <v>NG</v>
      </c>
      <c r="FD197" s="162"/>
      <c r="FE197" s="276" t="str">
        <f>IF(OR(FA$8="判定対象外",FD$8="判定対象外",FD197="-"),"-",IF(FA197=FD197,"OK","NG"))</f>
        <v>OK</v>
      </c>
      <c r="FF197" s="160"/>
      <c r="FG197" s="162"/>
      <c r="FH197" s="203" t="str">
        <f t="shared" si="404"/>
        <v xml:space="preserve"> </v>
      </c>
      <c r="FI197" s="174" t="str">
        <f t="shared" si="420"/>
        <v>NG</v>
      </c>
      <c r="FJ197" s="162"/>
      <c r="FK197" s="276" t="str">
        <f>IF(OR(FG$8="判定対象外",FJ$8="判定対象外",FJ197="-"),"-",IF(FG197=FJ197,"OK","NG"))</f>
        <v>OK</v>
      </c>
      <c r="FL197" s="160"/>
      <c r="FM197" s="162"/>
      <c r="FN197" s="203" t="str">
        <f t="shared" si="405"/>
        <v xml:space="preserve"> </v>
      </c>
      <c r="FO197" s="174" t="str">
        <f t="shared" si="378"/>
        <v>NG</v>
      </c>
      <c r="FP197" s="162"/>
      <c r="FQ197" s="276" t="str">
        <f>IF(OR(FM$8="判定対象外",FP$8="判定対象外",FP197="-"),"-",IF(FM197=FP197,"OK","NG"))</f>
        <v>OK</v>
      </c>
      <c r="FR197" s="160"/>
      <c r="FS197" s="162"/>
      <c r="FT197" s="203" t="str">
        <f t="shared" si="406"/>
        <v xml:space="preserve"> </v>
      </c>
      <c r="FU197" s="174" t="str">
        <f t="shared" si="379"/>
        <v>NG</v>
      </c>
      <c r="FV197" s="162"/>
      <c r="FW197" s="276" t="str">
        <f>IF(OR(FS$8="判定対象外",FV$8="判定対象外",FV197="-"),"-",IF(FS197=FV197,"OK","NG"))</f>
        <v>OK</v>
      </c>
      <c r="FX197" s="160"/>
      <c r="FY197" s="162"/>
      <c r="FZ197" s="203" t="str">
        <f t="shared" si="407"/>
        <v xml:space="preserve"> </v>
      </c>
      <c r="GA197" s="174" t="str">
        <f t="shared" si="380"/>
        <v>NG</v>
      </c>
      <c r="GB197" s="162"/>
      <c r="GC197" s="276" t="str">
        <f>IF(OR(FY$8="判定対象外",GB$8="判定対象外",GB197="-"),"-",IF(FY197=GB197,"OK","NG"))</f>
        <v>OK</v>
      </c>
    </row>
    <row r="198" spans="2:185" s="52" customFormat="1">
      <c r="B198" s="216">
        <f t="shared" si="408"/>
        <v>191</v>
      </c>
      <c r="C198" s="37"/>
      <c r="D198" s="37"/>
      <c r="E198" s="37"/>
      <c r="F198" s="49" t="s">
        <v>210</v>
      </c>
      <c r="G198" s="39"/>
      <c r="H198" s="40"/>
      <c r="I198" s="42"/>
      <c r="J198" s="42"/>
      <c r="K198" s="42"/>
      <c r="L198" s="42"/>
      <c r="M198" s="163" t="s">
        <v>334</v>
      </c>
      <c r="N198" s="47"/>
      <c r="O198" s="143"/>
      <c r="P198" s="45">
        <f t="shared" si="422"/>
        <v>169</v>
      </c>
      <c r="Q198" s="46">
        <v>400</v>
      </c>
      <c r="R198" s="41" t="str">
        <f t="shared" si="423"/>
        <v>NX</v>
      </c>
      <c r="S198" s="185" t="s">
        <v>211</v>
      </c>
      <c r="T198" s="43"/>
      <c r="U198" s="41" t="s">
        <v>80</v>
      </c>
      <c r="V198" s="44"/>
      <c r="W198" s="22">
        <v>3</v>
      </c>
      <c r="X198" s="47" t="s">
        <v>212</v>
      </c>
      <c r="Y198" s="47">
        <v>1</v>
      </c>
      <c r="Z198" s="47">
        <v>400</v>
      </c>
      <c r="AA198" s="42" t="s">
        <v>195</v>
      </c>
      <c r="AB198" s="42" t="s">
        <v>266</v>
      </c>
      <c r="AC198" s="166"/>
      <c r="AD198" s="160"/>
      <c r="AE198" s="162"/>
      <c r="AF198" s="175" t="str">
        <f t="shared" si="383"/>
        <v xml:space="preserve">                                                                                                                                                                                                                                                                                                                                                                                                                </v>
      </c>
      <c r="AG198" s="174" t="str">
        <f t="shared" si="364"/>
        <v>NG</v>
      </c>
      <c r="AH198" s="162"/>
      <c r="AI198" s="276" t="str">
        <f>IF(OR(AE$8="判定対象外",AH$8="判定対象外",AH198="-"),"-",IF(AE198=AH198,"OK","NG"))</f>
        <v>OK</v>
      </c>
      <c r="AJ198" s="160"/>
      <c r="AK198" s="162"/>
      <c r="AL198" s="175" t="str">
        <f t="shared" si="382"/>
        <v xml:space="preserve">                                                                                                                                                                                                                                                                                                                                                                                                                </v>
      </c>
      <c r="AM198" s="174" t="str">
        <f t="shared" si="409"/>
        <v>NG</v>
      </c>
      <c r="AN198" s="162"/>
      <c r="AO198" s="276" t="str">
        <f>IF(OR(AK$8="判定対象外",AN$8="判定対象外",AN198="-"),"-",IF(AK198=AN198,"OK","NG"))</f>
        <v>OK</v>
      </c>
      <c r="AP198" s="160"/>
      <c r="AQ198" s="162"/>
      <c r="AR198" s="175" t="str">
        <f t="shared" si="384"/>
        <v xml:space="preserve">                                                                                                                                                                                                                                                                                                                                                                                                                </v>
      </c>
      <c r="AS198" s="174" t="str">
        <f t="shared" si="365"/>
        <v>NG</v>
      </c>
      <c r="AT198" s="162"/>
      <c r="AU198" s="276" t="str">
        <f>IF(OR(AQ$8="判定対象外",AT$8="判定対象外",AT198="-"),"-",IF(AQ198=AT198,"OK","NG"))</f>
        <v>OK</v>
      </c>
      <c r="AV198" s="160"/>
      <c r="AW198" s="162"/>
      <c r="AX198" s="175" t="str">
        <f t="shared" si="385"/>
        <v xml:space="preserve">                                                                                                                                                                                                                                                                                                                                                                                                                </v>
      </c>
      <c r="AY198" s="174" t="str">
        <f t="shared" si="366"/>
        <v>NG</v>
      </c>
      <c r="AZ198" s="162"/>
      <c r="BA198" s="276" t="str">
        <f>IF(OR(AW$8="判定対象外",AZ$8="判定対象外",AZ198="-"),"-",IF(AW198=AZ198,"OK","NG"))</f>
        <v>OK</v>
      </c>
      <c r="BB198" s="160"/>
      <c r="BC198" s="162"/>
      <c r="BD198" s="175" t="str">
        <f t="shared" si="386"/>
        <v xml:space="preserve">                                                                                                                                                                                                                                                                                                                                                                                                                </v>
      </c>
      <c r="BE198" s="174" t="str">
        <f t="shared" si="367"/>
        <v>NG</v>
      </c>
      <c r="BF198" s="162"/>
      <c r="BG198" s="276" t="str">
        <f>IF(OR(BC$8="判定対象外",BF$8="判定対象外",BF198="-"),"-",IF(BC198=BF198,"OK","NG"))</f>
        <v>OK</v>
      </c>
      <c r="BH198" s="160"/>
      <c r="BI198" s="162"/>
      <c r="BJ198" s="175" t="str">
        <f t="shared" si="387"/>
        <v xml:space="preserve">                                                                                                                                                                                                                                                                                                                                                                                                                </v>
      </c>
      <c r="BK198" s="174" t="str">
        <f t="shared" si="368"/>
        <v>NG</v>
      </c>
      <c r="BL198" s="162"/>
      <c r="BM198" s="276" t="str">
        <f>IF(OR(BI$8="判定対象外",BL$8="判定対象外",BL198="-"),"-",IF(BI198=BL198,"OK","NG"))</f>
        <v>OK</v>
      </c>
      <c r="BN198" s="160"/>
      <c r="BO198" s="162"/>
      <c r="BP198" s="175" t="str">
        <f t="shared" si="388"/>
        <v xml:space="preserve">                                                                                                                                                                                                                                                                                                                                                                                                                </v>
      </c>
      <c r="BQ198" s="174" t="str">
        <f t="shared" si="369"/>
        <v>NG</v>
      </c>
      <c r="BR198" s="162"/>
      <c r="BS198" s="276" t="str">
        <f>IF(OR(BO$8="判定対象外",BR$8="判定対象外",BR198="-"),"-",IF(BO198=BR198,"OK","NG"))</f>
        <v>OK</v>
      </c>
      <c r="BT198" s="160"/>
      <c r="BU198" s="162"/>
      <c r="BV198" s="175" t="str">
        <f t="shared" si="389"/>
        <v xml:space="preserve">                                                                                                                                                                                                                                                                                                                                                                                                                </v>
      </c>
      <c r="BW198" s="174" t="str">
        <f t="shared" si="370"/>
        <v>NG</v>
      </c>
      <c r="BX198" s="162"/>
      <c r="BY198" s="276" t="str">
        <f>IF(OR(BU$8="判定対象外",BX$8="判定対象外",BX198="-"),"-",IF(BU198=BX198,"OK","NG"))</f>
        <v>OK</v>
      </c>
      <c r="BZ198" s="160"/>
      <c r="CA198" s="162"/>
      <c r="CB198" s="175" t="str">
        <f t="shared" si="390"/>
        <v xml:space="preserve">                                                                                                                                                                                                                                                                                                                                                                                                                </v>
      </c>
      <c r="CC198" s="174" t="str">
        <f t="shared" si="371"/>
        <v>NG</v>
      </c>
      <c r="CD198" s="162"/>
      <c r="CE198" s="276" t="str">
        <f>IF(OR(CA$8="判定対象外",CD$8="判定対象外",CD198="-"),"-",IF(CA198=CD198,"OK","NG"))</f>
        <v>OK</v>
      </c>
      <c r="CF198" s="160"/>
      <c r="CG198" s="162"/>
      <c r="CH198" s="175" t="str">
        <f t="shared" si="391"/>
        <v xml:space="preserve">                                                                                                                                                                                                                                                                                                                                                                                                                </v>
      </c>
      <c r="CI198" s="174" t="str">
        <f t="shared" si="372"/>
        <v>NG</v>
      </c>
      <c r="CJ198" s="162"/>
      <c r="CK198" s="276" t="str">
        <f>IF(OR(CG$8="判定対象外",CJ$8="判定対象外",CJ198="-"),"-",IF(CG198=CJ198,"OK","NG"))</f>
        <v>OK</v>
      </c>
      <c r="CL198" s="160"/>
      <c r="CM198" s="162"/>
      <c r="CN198" s="175" t="str">
        <f t="shared" si="392"/>
        <v xml:space="preserve">                                                                                                                                                                                                                                                                                                                                                                                                                </v>
      </c>
      <c r="CO198" s="174" t="str">
        <f t="shared" si="373"/>
        <v>NG</v>
      </c>
      <c r="CP198" s="162"/>
      <c r="CQ198" s="276" t="str">
        <f>IF(OR(CM$8="判定対象外",CP$8="判定対象外",CP198="-"),"-",IF(CM198=CP198,"OK","NG"))</f>
        <v>OK</v>
      </c>
      <c r="CR198" s="160"/>
      <c r="CS198" s="162"/>
      <c r="CT198" s="175" t="str">
        <f t="shared" si="393"/>
        <v xml:space="preserve">                                                                                                                                                                                                                                                                                                                                                                                                                </v>
      </c>
      <c r="CU198" s="174" t="str">
        <f t="shared" si="374"/>
        <v>NG</v>
      </c>
      <c r="CV198" s="162"/>
      <c r="CW198" s="276" t="str">
        <f>IF(OR(CS$8="判定対象外",CV$8="判定対象外",CV198="-"),"-",IF(CS198=CV198,"OK","NG"))</f>
        <v>OK</v>
      </c>
      <c r="CX198" s="160"/>
      <c r="CY198" s="162"/>
      <c r="CZ198" s="175" t="str">
        <f t="shared" si="394"/>
        <v xml:space="preserve">                                                                                                                                                                                                                                                                                                                                                                                                                </v>
      </c>
      <c r="DA198" s="174" t="str">
        <f t="shared" si="375"/>
        <v>NG</v>
      </c>
      <c r="DB198" s="162"/>
      <c r="DC198" s="276" t="str">
        <f>IF(OR(CY$8="判定対象外",DB$8="判定対象外",DB198="-"),"-",IF(CY198=DB198,"OK","NG"))</f>
        <v>OK</v>
      </c>
      <c r="DD198" s="160"/>
      <c r="DE198" s="162"/>
      <c r="DF198" s="175" t="str">
        <f t="shared" si="395"/>
        <v xml:space="preserve">                                                                                                                                                                                                                                                                                                                                                                                                                </v>
      </c>
      <c r="DG198" s="174" t="str">
        <f t="shared" si="376"/>
        <v>NG</v>
      </c>
      <c r="DH198" s="162"/>
      <c r="DI198" s="276" t="str">
        <f>IF(OR(DE$8="判定対象外",DH$8="判定対象外",DH198="-"),"-",IF(DE198=DH198,"OK","NG"))</f>
        <v>OK</v>
      </c>
      <c r="DJ198" s="160"/>
      <c r="DK198" s="162"/>
      <c r="DL198" s="175" t="str">
        <f t="shared" si="396"/>
        <v xml:space="preserve">                                                                                                                                                                                                                                                                                                                                                                                                                </v>
      </c>
      <c r="DM198" s="174" t="str">
        <f t="shared" si="377"/>
        <v>NG</v>
      </c>
      <c r="DN198" s="162"/>
      <c r="DO198" s="276" t="str">
        <f>IF(OR(DK$8="判定対象外",DN$8="判定対象外",DN198="-"),"-",IF(DK198=DN198,"OK","NG"))</f>
        <v>OK</v>
      </c>
      <c r="DP198" s="160"/>
      <c r="DQ198" s="162"/>
      <c r="DR198" s="175" t="str">
        <f t="shared" si="397"/>
        <v xml:space="preserve">                                                                                                                                                                                                                                                                                                                                                                                                                </v>
      </c>
      <c r="DS198" s="174" t="str">
        <f t="shared" si="413"/>
        <v>NG</v>
      </c>
      <c r="DT198" s="162"/>
      <c r="DU198" s="276" t="str">
        <f>IF(OR(DQ$8="判定対象外",DT$8="判定対象外",DT198="-"),"-",IF(DQ198=DT198,"OK","NG"))</f>
        <v>OK</v>
      </c>
      <c r="DV198" s="160"/>
      <c r="DW198" s="162"/>
      <c r="DX198" s="175" t="str">
        <f t="shared" si="398"/>
        <v xml:space="preserve">                                                                                                                                                                                                                                                                                                                                                                                                                </v>
      </c>
      <c r="DY198" s="174" t="str">
        <f t="shared" si="414"/>
        <v>NG</v>
      </c>
      <c r="DZ198" s="162"/>
      <c r="EA198" s="276" t="str">
        <f>IF(OR(DW$8="判定対象外",DZ$8="判定対象外",DZ198="-"),"-",IF(DW198=DZ198,"OK","NG"))</f>
        <v>OK</v>
      </c>
      <c r="EB198" s="160"/>
      <c r="EC198" s="162"/>
      <c r="ED198" s="175" t="str">
        <f t="shared" si="399"/>
        <v xml:space="preserve">                                                                                                                                                                                                                                                                                                                                                                                                                </v>
      </c>
      <c r="EE198" s="174" t="str">
        <f t="shared" si="415"/>
        <v>NG</v>
      </c>
      <c r="EF198" s="162"/>
      <c r="EG198" s="276" t="str">
        <f>IF(OR(EC$8="判定対象外",EF$8="判定対象外",EF198="-"),"-",IF(EC198=EF198,"OK","NG"))</f>
        <v>OK</v>
      </c>
      <c r="EH198" s="160"/>
      <c r="EI198" s="162"/>
      <c r="EJ198" s="175" t="str">
        <f t="shared" si="400"/>
        <v xml:space="preserve">                                                                                                                                                                                                                                                                                                                                                                                                                </v>
      </c>
      <c r="EK198" s="174" t="str">
        <f t="shared" si="416"/>
        <v>NG</v>
      </c>
      <c r="EL198" s="162"/>
      <c r="EM198" s="276" t="str">
        <f>IF(OR(EI$8="判定対象外",EL$8="判定対象外",EL198="-"),"-",IF(EI198=EL198,"OK","NG"))</f>
        <v>OK</v>
      </c>
      <c r="EN198" s="160"/>
      <c r="EO198" s="162"/>
      <c r="EP198" s="175" t="str">
        <f t="shared" si="401"/>
        <v xml:space="preserve">                                                                                                                                                                                                                                                                                                                                                                                                                </v>
      </c>
      <c r="EQ198" s="174" t="str">
        <f t="shared" si="417"/>
        <v>NG</v>
      </c>
      <c r="ER198" s="162"/>
      <c r="ES198" s="276" t="str">
        <f>IF(OR(EO$8="判定対象外",ER$8="判定対象外",ER198="-"),"-",IF(EO198=ER198,"OK","NG"))</f>
        <v>OK</v>
      </c>
      <c r="ET198" s="160"/>
      <c r="EU198" s="162"/>
      <c r="EV198" s="175" t="str">
        <f t="shared" si="402"/>
        <v xml:space="preserve">                                                                                                                                                                                                                                                                                                                                                                                                                </v>
      </c>
      <c r="EW198" s="174" t="str">
        <f t="shared" si="418"/>
        <v>NG</v>
      </c>
      <c r="EX198" s="162"/>
      <c r="EY198" s="276" t="str">
        <f>IF(OR(EU$8="判定対象外",EX$8="判定対象外",EX198="-"),"-",IF(EU198=EX198,"OK","NG"))</f>
        <v>OK</v>
      </c>
      <c r="EZ198" s="160"/>
      <c r="FA198" s="162"/>
      <c r="FB198" s="175" t="str">
        <f t="shared" si="403"/>
        <v xml:space="preserve">                                                                                                                                                                                                                                                                                                                                                                                                                </v>
      </c>
      <c r="FC198" s="174" t="str">
        <f t="shared" si="419"/>
        <v>NG</v>
      </c>
      <c r="FD198" s="162"/>
      <c r="FE198" s="276" t="str">
        <f>IF(OR(FA$8="判定対象外",FD$8="判定対象外",FD198="-"),"-",IF(FA198=FD198,"OK","NG"))</f>
        <v>OK</v>
      </c>
      <c r="FF198" s="160"/>
      <c r="FG198" s="162"/>
      <c r="FH198" s="175" t="str">
        <f t="shared" si="404"/>
        <v xml:space="preserve">                                                                                                                                                                                                                                                                                                                                                                                                                </v>
      </c>
      <c r="FI198" s="174" t="str">
        <f t="shared" si="420"/>
        <v>NG</v>
      </c>
      <c r="FJ198" s="162"/>
      <c r="FK198" s="276" t="str">
        <f>IF(OR(FG$8="判定対象外",FJ$8="判定対象外",FJ198="-"),"-",IF(FG198=FJ198,"OK","NG"))</f>
        <v>OK</v>
      </c>
      <c r="FL198" s="160"/>
      <c r="FM198" s="162"/>
      <c r="FN198" s="175" t="str">
        <f t="shared" si="405"/>
        <v xml:space="preserve">                                                                                                                                                                                                                                                                                                                                                                                                                </v>
      </c>
      <c r="FO198" s="174" t="str">
        <f t="shared" si="378"/>
        <v>NG</v>
      </c>
      <c r="FP198" s="162"/>
      <c r="FQ198" s="276" t="str">
        <f>IF(OR(FM$8="判定対象外",FP$8="判定対象外",FP198="-"),"-",IF(FM198=FP198,"OK","NG"))</f>
        <v>OK</v>
      </c>
      <c r="FR198" s="160"/>
      <c r="FS198" s="162"/>
      <c r="FT198" s="175" t="str">
        <f t="shared" si="406"/>
        <v xml:space="preserve">                                                                                                                                                                                                                                                                                                                                                                                                                </v>
      </c>
      <c r="FU198" s="174" t="str">
        <f t="shared" si="379"/>
        <v>NG</v>
      </c>
      <c r="FV198" s="162"/>
      <c r="FW198" s="276" t="str">
        <f>IF(OR(FS$8="判定対象外",FV$8="判定対象外",FV198="-"),"-",IF(FS198=FV198,"OK","NG"))</f>
        <v>OK</v>
      </c>
      <c r="FX198" s="160"/>
      <c r="FY198" s="162"/>
      <c r="FZ198" s="175" t="str">
        <f t="shared" si="407"/>
        <v xml:space="preserve">                                                                                                                                                                                                                                                                                                                                                                                                                </v>
      </c>
      <c r="GA198" s="174" t="str">
        <f t="shared" si="380"/>
        <v>NG</v>
      </c>
      <c r="GB198" s="162"/>
      <c r="GC198" s="276" t="str">
        <f>IF(OR(FY$8="判定対象外",GB$8="判定対象外",GB198="-"),"-",IF(FY198=GB198,"OK","NG"))</f>
        <v>OK</v>
      </c>
    </row>
    <row r="199" spans="2:185" s="52" customFormat="1" ht="63.75">
      <c r="B199" s="216">
        <f t="shared" si="408"/>
        <v>192</v>
      </c>
      <c r="C199" s="37"/>
      <c r="D199" s="37"/>
      <c r="E199" s="37"/>
      <c r="F199" s="49" t="s">
        <v>213</v>
      </c>
      <c r="G199" s="39"/>
      <c r="H199" s="40"/>
      <c r="I199" s="42"/>
      <c r="J199" s="42"/>
      <c r="K199" s="42"/>
      <c r="L199" s="42"/>
      <c r="M199" s="163" t="s">
        <v>335</v>
      </c>
      <c r="N199" s="47"/>
      <c r="O199" s="143"/>
      <c r="P199" s="45">
        <f t="shared" si="422"/>
        <v>170</v>
      </c>
      <c r="Q199" s="46">
        <v>400</v>
      </c>
      <c r="R199" s="41" t="str">
        <f t="shared" si="423"/>
        <v>NX</v>
      </c>
      <c r="S199" s="185" t="s">
        <v>214</v>
      </c>
      <c r="T199" s="43"/>
      <c r="U199" s="41" t="s">
        <v>80</v>
      </c>
      <c r="V199" s="44"/>
      <c r="W199" s="22">
        <v>3</v>
      </c>
      <c r="X199" s="47" t="s">
        <v>215</v>
      </c>
      <c r="Y199" s="47">
        <v>1</v>
      </c>
      <c r="Z199" s="47">
        <v>400</v>
      </c>
      <c r="AA199" s="42" t="s">
        <v>195</v>
      </c>
      <c r="AB199" s="42" t="s">
        <v>266</v>
      </c>
      <c r="AC199" s="166"/>
      <c r="AD199" s="160"/>
      <c r="AE199" s="162"/>
      <c r="AF199" s="146" t="str">
        <f t="shared" si="383"/>
        <v xml:space="preserve">                                                                                                                                                                                                                                                                                                                                                                                                                </v>
      </c>
      <c r="AG199" s="174" t="str">
        <f t="shared" si="364"/>
        <v>NG</v>
      </c>
      <c r="AH199" s="162"/>
      <c r="AI199" s="172" t="s">
        <v>71</v>
      </c>
      <c r="AJ199" s="160"/>
      <c r="AK199" s="162"/>
      <c r="AL199" s="146" t="str">
        <f t="shared" si="382"/>
        <v xml:space="preserve">                                                                                                                                                                                                                                                                                                                                                                                                                </v>
      </c>
      <c r="AM199" s="174" t="str">
        <f t="shared" si="409"/>
        <v>NG</v>
      </c>
      <c r="AN199" s="162"/>
      <c r="AO199" s="172" t="s">
        <v>71</v>
      </c>
      <c r="AP199" s="160"/>
      <c r="AQ199" s="162"/>
      <c r="AR199" s="146" t="str">
        <f t="shared" si="384"/>
        <v xml:space="preserve">                                                                                                                                                                                                                                                                                                                                                                                                                </v>
      </c>
      <c r="AS199" s="174" t="str">
        <f t="shared" si="365"/>
        <v>NG</v>
      </c>
      <c r="AT199" s="162"/>
      <c r="AU199" s="172" t="s">
        <v>71</v>
      </c>
      <c r="AV199" s="160"/>
      <c r="AW199" s="162"/>
      <c r="AX199" s="146" t="str">
        <f t="shared" si="385"/>
        <v xml:space="preserve">                                                                                                                                                                                                                                                                                                                                                                                                                </v>
      </c>
      <c r="AY199" s="174" t="str">
        <f t="shared" si="366"/>
        <v>NG</v>
      </c>
      <c r="AZ199" s="162"/>
      <c r="BA199" s="172" t="s">
        <v>71</v>
      </c>
      <c r="BB199" s="160"/>
      <c r="BC199" s="162"/>
      <c r="BD199" s="146" t="str">
        <f t="shared" si="386"/>
        <v xml:space="preserve">                                                                                                                                                                                                                                                                                                                                                                                                                </v>
      </c>
      <c r="BE199" s="174" t="str">
        <f t="shared" si="367"/>
        <v>NG</v>
      </c>
      <c r="BF199" s="162"/>
      <c r="BG199" s="172" t="s">
        <v>71</v>
      </c>
      <c r="BH199" s="160"/>
      <c r="BI199" s="162"/>
      <c r="BJ199" s="146" t="str">
        <f t="shared" si="387"/>
        <v xml:space="preserve">                                                                                                                                                                                                                                                                                                                                                                                                                </v>
      </c>
      <c r="BK199" s="174" t="str">
        <f t="shared" si="368"/>
        <v>NG</v>
      </c>
      <c r="BL199" s="162"/>
      <c r="BM199" s="172" t="s">
        <v>71</v>
      </c>
      <c r="BN199" s="160"/>
      <c r="BO199" s="162"/>
      <c r="BP199" s="146" t="str">
        <f t="shared" si="388"/>
        <v xml:space="preserve">                                                                                                                                                                                                                                                                                                                                                                                                                </v>
      </c>
      <c r="BQ199" s="174" t="str">
        <f t="shared" si="369"/>
        <v>NG</v>
      </c>
      <c r="BR199" s="162"/>
      <c r="BS199" s="172" t="s">
        <v>71</v>
      </c>
      <c r="BT199" s="160"/>
      <c r="BU199" s="162"/>
      <c r="BV199" s="146" t="str">
        <f t="shared" si="389"/>
        <v xml:space="preserve">                                                                                                                                                                                                                                                                                                                                                                                                                </v>
      </c>
      <c r="BW199" s="174" t="str">
        <f t="shared" si="370"/>
        <v>NG</v>
      </c>
      <c r="BX199" s="162"/>
      <c r="BY199" s="172" t="s">
        <v>71</v>
      </c>
      <c r="BZ199" s="160"/>
      <c r="CA199" s="162"/>
      <c r="CB199" s="146" t="str">
        <f t="shared" si="390"/>
        <v xml:space="preserve">                                                                                                                                                                                                                                                                                                                                                                                                                </v>
      </c>
      <c r="CC199" s="174" t="str">
        <f t="shared" si="371"/>
        <v>NG</v>
      </c>
      <c r="CD199" s="162"/>
      <c r="CE199" s="172" t="s">
        <v>71</v>
      </c>
      <c r="CF199" s="160"/>
      <c r="CG199" s="162"/>
      <c r="CH199" s="146" t="str">
        <f t="shared" si="391"/>
        <v xml:space="preserve">                                                                                                                                                                                                                                                                                                                                                                                                                </v>
      </c>
      <c r="CI199" s="174" t="str">
        <f t="shared" si="372"/>
        <v>NG</v>
      </c>
      <c r="CJ199" s="162"/>
      <c r="CK199" s="172" t="s">
        <v>71</v>
      </c>
      <c r="CL199" s="160"/>
      <c r="CM199" s="162"/>
      <c r="CN199" s="146" t="str">
        <f t="shared" si="392"/>
        <v xml:space="preserve">                                                                                                                                                                                                                                                                                                                                                                                                                </v>
      </c>
      <c r="CO199" s="174" t="str">
        <f t="shared" si="373"/>
        <v>NG</v>
      </c>
      <c r="CP199" s="162"/>
      <c r="CQ199" s="172" t="s">
        <v>71</v>
      </c>
      <c r="CR199" s="160"/>
      <c r="CS199" s="162"/>
      <c r="CT199" s="146" t="str">
        <f t="shared" si="393"/>
        <v xml:space="preserve">                                                                                                                                                                                                                                                                                                                                                                                                                </v>
      </c>
      <c r="CU199" s="174" t="str">
        <f t="shared" si="374"/>
        <v>NG</v>
      </c>
      <c r="CV199" s="162"/>
      <c r="CW199" s="172" t="s">
        <v>71</v>
      </c>
      <c r="CX199" s="160"/>
      <c r="CY199" s="162"/>
      <c r="CZ199" s="146" t="str">
        <f t="shared" si="394"/>
        <v xml:space="preserve">                                                                                                                                                                                                                                                                                                                                                                                                                </v>
      </c>
      <c r="DA199" s="174" t="str">
        <f t="shared" si="375"/>
        <v>NG</v>
      </c>
      <c r="DB199" s="162"/>
      <c r="DC199" s="172" t="s">
        <v>71</v>
      </c>
      <c r="DD199" s="160"/>
      <c r="DE199" s="162"/>
      <c r="DF199" s="146" t="str">
        <f t="shared" si="395"/>
        <v xml:space="preserve">                                                                                                                                                                                                                                                                                                                                                                                                                </v>
      </c>
      <c r="DG199" s="174" t="str">
        <f t="shared" si="376"/>
        <v>NG</v>
      </c>
      <c r="DH199" s="162"/>
      <c r="DI199" s="172" t="s">
        <v>71</v>
      </c>
      <c r="DJ199" s="160"/>
      <c r="DK199" s="162"/>
      <c r="DL199" s="146" t="str">
        <f t="shared" si="396"/>
        <v xml:space="preserve">                                                                                                                                                                                                                                                                                                                                                                                                                </v>
      </c>
      <c r="DM199" s="174" t="str">
        <f t="shared" si="377"/>
        <v>NG</v>
      </c>
      <c r="DN199" s="162"/>
      <c r="DO199" s="172" t="s">
        <v>71</v>
      </c>
      <c r="DP199" s="160"/>
      <c r="DQ199" s="162"/>
      <c r="DR199" s="146" t="str">
        <f t="shared" si="397"/>
        <v xml:space="preserve">                                                                                                                                                                                                                                                                                                                                                                                                                </v>
      </c>
      <c r="DS199" s="174" t="str">
        <f t="shared" si="413"/>
        <v>NG</v>
      </c>
      <c r="DT199" s="162"/>
      <c r="DU199" s="172" t="s">
        <v>71</v>
      </c>
      <c r="DV199" s="160"/>
      <c r="DW199" s="162"/>
      <c r="DX199" s="146" t="str">
        <f t="shared" si="398"/>
        <v xml:space="preserve">                                                                                                                                                                                                                                                                                                                                                                                                                </v>
      </c>
      <c r="DY199" s="174" t="str">
        <f t="shared" si="414"/>
        <v>NG</v>
      </c>
      <c r="DZ199" s="162"/>
      <c r="EA199" s="172" t="s">
        <v>71</v>
      </c>
      <c r="EB199" s="160"/>
      <c r="EC199" s="162"/>
      <c r="ED199" s="146" t="str">
        <f t="shared" si="399"/>
        <v xml:space="preserve">                                                                                                                                                                                                                                                                                                                                                                                                                </v>
      </c>
      <c r="EE199" s="174" t="str">
        <f t="shared" si="415"/>
        <v>NG</v>
      </c>
      <c r="EF199" s="162"/>
      <c r="EG199" s="172" t="s">
        <v>71</v>
      </c>
      <c r="EH199" s="160"/>
      <c r="EI199" s="162"/>
      <c r="EJ199" s="146" t="str">
        <f t="shared" si="400"/>
        <v xml:space="preserve">                                                                                                                                                                                                                                                                                                                                                                                                                </v>
      </c>
      <c r="EK199" s="174" t="str">
        <f t="shared" si="416"/>
        <v>NG</v>
      </c>
      <c r="EL199" s="162"/>
      <c r="EM199" s="172" t="s">
        <v>71</v>
      </c>
      <c r="EN199" s="160"/>
      <c r="EO199" s="162"/>
      <c r="EP199" s="146" t="str">
        <f t="shared" si="401"/>
        <v xml:space="preserve">                                                                                                                                                                                                                                                                                                                                                                                                                </v>
      </c>
      <c r="EQ199" s="174" t="str">
        <f t="shared" si="417"/>
        <v>NG</v>
      </c>
      <c r="ER199" s="162"/>
      <c r="ES199" s="172" t="s">
        <v>71</v>
      </c>
      <c r="ET199" s="160"/>
      <c r="EU199" s="162"/>
      <c r="EV199" s="146" t="str">
        <f t="shared" si="402"/>
        <v xml:space="preserve">                                                                                                                                                                                                                                                                                                                                                                                                                </v>
      </c>
      <c r="EW199" s="174" t="str">
        <f t="shared" si="418"/>
        <v>NG</v>
      </c>
      <c r="EX199" s="162"/>
      <c r="EY199" s="172" t="s">
        <v>71</v>
      </c>
      <c r="EZ199" s="160"/>
      <c r="FA199" s="162"/>
      <c r="FB199" s="146" t="str">
        <f t="shared" si="403"/>
        <v xml:space="preserve">                                                                                                                                                                                                                                                                                                                                                                                                                </v>
      </c>
      <c r="FC199" s="174" t="str">
        <f t="shared" si="419"/>
        <v>NG</v>
      </c>
      <c r="FD199" s="162"/>
      <c r="FE199" s="172" t="s">
        <v>71</v>
      </c>
      <c r="FF199" s="160"/>
      <c r="FG199" s="162"/>
      <c r="FH199" s="146" t="str">
        <f t="shared" si="404"/>
        <v xml:space="preserve">                                                                                                                                                                                                                                                                                                                                                                                                                </v>
      </c>
      <c r="FI199" s="174" t="str">
        <f t="shared" si="420"/>
        <v>NG</v>
      </c>
      <c r="FJ199" s="162"/>
      <c r="FK199" s="172" t="s">
        <v>71</v>
      </c>
      <c r="FL199" s="160"/>
      <c r="FM199" s="162"/>
      <c r="FN199" s="146" t="str">
        <f t="shared" si="405"/>
        <v xml:space="preserve">                                                                                                                                                                                                                                                                                                                                                                                                                </v>
      </c>
      <c r="FO199" s="174" t="str">
        <f t="shared" si="378"/>
        <v>NG</v>
      </c>
      <c r="FP199" s="162"/>
      <c r="FQ199" s="172" t="s">
        <v>71</v>
      </c>
      <c r="FR199" s="160"/>
      <c r="FS199" s="162"/>
      <c r="FT199" s="146" t="str">
        <f t="shared" si="406"/>
        <v xml:space="preserve">                                                                                                                                                                                                                                                                                                                                                                                                                </v>
      </c>
      <c r="FU199" s="174" t="str">
        <f t="shared" si="379"/>
        <v>NG</v>
      </c>
      <c r="FV199" s="162"/>
      <c r="FW199" s="172" t="s">
        <v>71</v>
      </c>
      <c r="FX199" s="160"/>
      <c r="FY199" s="162"/>
      <c r="FZ199" s="146" t="str">
        <f t="shared" si="407"/>
        <v xml:space="preserve">                                                                                                                                                                                                                                                                                                                                                                                                                </v>
      </c>
      <c r="GA199" s="174" t="str">
        <f t="shared" si="380"/>
        <v>NG</v>
      </c>
      <c r="GB199" s="162"/>
      <c r="GC199" s="172" t="s">
        <v>71</v>
      </c>
    </row>
    <row r="200" spans="2:185" s="52" customFormat="1">
      <c r="B200" s="216">
        <f t="shared" si="408"/>
        <v>193</v>
      </c>
      <c r="C200" s="37"/>
      <c r="D200" s="37"/>
      <c r="E200" s="37"/>
      <c r="F200" s="49" t="s">
        <v>216</v>
      </c>
      <c r="G200" s="39"/>
      <c r="H200" s="40"/>
      <c r="I200" s="42"/>
      <c r="J200" s="42"/>
      <c r="K200" s="42"/>
      <c r="L200" s="42"/>
      <c r="M200" s="63" t="s">
        <v>336</v>
      </c>
      <c r="N200" s="47"/>
      <c r="O200" s="143"/>
      <c r="P200" s="45">
        <f t="shared" si="422"/>
        <v>171</v>
      </c>
      <c r="Q200" s="46">
        <v>400</v>
      </c>
      <c r="R200" s="41" t="str">
        <f t="shared" si="423"/>
        <v>NX</v>
      </c>
      <c r="S200" s="185" t="s">
        <v>217</v>
      </c>
      <c r="T200" s="43"/>
      <c r="U200" s="41" t="s">
        <v>80</v>
      </c>
      <c r="V200" s="44"/>
      <c r="W200" s="22">
        <v>3</v>
      </c>
      <c r="X200" s="47" t="s">
        <v>218</v>
      </c>
      <c r="Y200" s="47">
        <v>1</v>
      </c>
      <c r="Z200" s="47">
        <v>400</v>
      </c>
      <c r="AA200" s="42" t="s">
        <v>195</v>
      </c>
      <c r="AB200" s="42" t="s">
        <v>266</v>
      </c>
      <c r="AC200" s="166"/>
      <c r="AD200" s="160"/>
      <c r="AE200" s="141"/>
      <c r="AF200" s="146" t="str">
        <f t="shared" si="383"/>
        <v xml:space="preserve">                                                                                                                                                                                                                                                                                                                                                                                                                </v>
      </c>
      <c r="AG200" s="174" t="str">
        <f t="shared" ref="AG200:AG263" si="424">IF(OR(AE$8="判定対象外",AF$8="判定対象外",AF200="-"),"-",IF(AE200=AF200,"OK","NG"))</f>
        <v>NG</v>
      </c>
      <c r="AH200" s="141"/>
      <c r="AI200" s="172" t="s">
        <v>71</v>
      </c>
      <c r="AJ200" s="160"/>
      <c r="AK200" s="141"/>
      <c r="AL200" s="146" t="str">
        <f t="shared" si="382"/>
        <v xml:space="preserve">                                                                                                                                                                                                                                                                                                                                                                                                                </v>
      </c>
      <c r="AM200" s="174" t="str">
        <f t="shared" si="409"/>
        <v>NG</v>
      </c>
      <c r="AN200" s="141"/>
      <c r="AO200" s="172" t="s">
        <v>71</v>
      </c>
      <c r="AP200" s="160"/>
      <c r="AQ200" s="141"/>
      <c r="AR200" s="146" t="str">
        <f t="shared" si="384"/>
        <v xml:space="preserve">                                                                                                                                                                                                                                                                                                                                                                                                                </v>
      </c>
      <c r="AS200" s="174" t="str">
        <f t="shared" ref="AS200:AS263" si="425">IF(OR(AQ$8="判定対象外",AR$8="判定対象外",AR200="-"),"-",IF(AQ200=AR200,"OK","NG"))</f>
        <v>NG</v>
      </c>
      <c r="AT200" s="141"/>
      <c r="AU200" s="172" t="s">
        <v>71</v>
      </c>
      <c r="AV200" s="160"/>
      <c r="AW200" s="141"/>
      <c r="AX200" s="146" t="str">
        <f t="shared" si="385"/>
        <v xml:space="preserve">                                                                                                                                                                                                                                                                                                                                                                                                                </v>
      </c>
      <c r="AY200" s="174" t="str">
        <f t="shared" ref="AY200:AY263" si="426">IF(OR(AW$8="判定対象外",AX$8="判定対象外",AX200="-"),"-",IF(AW200=AX200,"OK","NG"))</f>
        <v>NG</v>
      </c>
      <c r="AZ200" s="141"/>
      <c r="BA200" s="172" t="s">
        <v>71</v>
      </c>
      <c r="BB200" s="160"/>
      <c r="BC200" s="141"/>
      <c r="BD200" s="146" t="str">
        <f t="shared" si="386"/>
        <v xml:space="preserve">                                                                                                                                                                                                                                                                                                                                                                                                                </v>
      </c>
      <c r="BE200" s="174" t="str">
        <f t="shared" ref="BE200:BE263" si="427">IF(OR(BC$8="判定対象外",BD$8="判定対象外",BD200="-"),"-",IF(BC200=BD200,"OK","NG"))</f>
        <v>NG</v>
      </c>
      <c r="BF200" s="141"/>
      <c r="BG200" s="172" t="s">
        <v>71</v>
      </c>
      <c r="BH200" s="160"/>
      <c r="BI200" s="141"/>
      <c r="BJ200" s="146" t="str">
        <f t="shared" si="387"/>
        <v xml:space="preserve">                                                                                                                                                                                                                                                                                                                                                                                                                </v>
      </c>
      <c r="BK200" s="174" t="str">
        <f t="shared" ref="BK200:BK263" si="428">IF(OR(BI$8="判定対象外",BJ$8="判定対象外",BJ200="-"),"-",IF(BI200=BJ200,"OK","NG"))</f>
        <v>NG</v>
      </c>
      <c r="BL200" s="141"/>
      <c r="BM200" s="172" t="s">
        <v>71</v>
      </c>
      <c r="BN200" s="160"/>
      <c r="BO200" s="141"/>
      <c r="BP200" s="146" t="str">
        <f t="shared" si="388"/>
        <v xml:space="preserve">                                                                                                                                                                                                                                                                                                                                                                                                                </v>
      </c>
      <c r="BQ200" s="174" t="str">
        <f t="shared" ref="BQ200:BQ263" si="429">IF(OR(BO$8="判定対象外",BP$8="判定対象外",BP200="-"),"-",IF(BO200=BP200,"OK","NG"))</f>
        <v>NG</v>
      </c>
      <c r="BR200" s="141"/>
      <c r="BS200" s="172" t="s">
        <v>71</v>
      </c>
      <c r="BT200" s="160"/>
      <c r="BU200" s="141"/>
      <c r="BV200" s="146" t="str">
        <f t="shared" si="389"/>
        <v xml:space="preserve">                                                                                                                                                                                                                                                                                                                                                                                                                </v>
      </c>
      <c r="BW200" s="174" t="str">
        <f t="shared" ref="BW200:BW263" si="430">IF(OR(BU$8="判定対象外",BV$8="判定対象外",BV200="-"),"-",IF(BU200=BV200,"OK","NG"))</f>
        <v>NG</v>
      </c>
      <c r="BX200" s="141"/>
      <c r="BY200" s="172" t="s">
        <v>71</v>
      </c>
      <c r="BZ200" s="160"/>
      <c r="CA200" s="141"/>
      <c r="CB200" s="146" t="str">
        <f t="shared" si="390"/>
        <v xml:space="preserve">                                                                                                                                                                                                                                                                                                                                                                                                                </v>
      </c>
      <c r="CC200" s="174" t="str">
        <f t="shared" ref="CC200:CC263" si="431">IF(OR(CA$8="判定対象外",CB$8="判定対象外",CB200="-"),"-",IF(CA200=CB200,"OK","NG"))</f>
        <v>NG</v>
      </c>
      <c r="CD200" s="141"/>
      <c r="CE200" s="172" t="s">
        <v>71</v>
      </c>
      <c r="CF200" s="160"/>
      <c r="CG200" s="141"/>
      <c r="CH200" s="146" t="str">
        <f t="shared" si="391"/>
        <v xml:space="preserve">                                                                                                                                                                                                                                                                                                                                                                                                                </v>
      </c>
      <c r="CI200" s="174" t="str">
        <f t="shared" ref="CI200:CI263" si="432">IF(OR(CG$8="判定対象外",CH$8="判定対象外",CH200="-"),"-",IF(CG200=CH200,"OK","NG"))</f>
        <v>NG</v>
      </c>
      <c r="CJ200" s="141"/>
      <c r="CK200" s="172" t="s">
        <v>71</v>
      </c>
      <c r="CL200" s="160"/>
      <c r="CM200" s="141"/>
      <c r="CN200" s="146" t="str">
        <f t="shared" si="392"/>
        <v xml:space="preserve">                                                                                                                                                                                                                                                                                                                                                                                                                </v>
      </c>
      <c r="CO200" s="174" t="str">
        <f t="shared" ref="CO200:CO263" si="433">IF(OR(CM$8="判定対象外",CN$8="判定対象外",CN200="-"),"-",IF(CM200=CN200,"OK","NG"))</f>
        <v>NG</v>
      </c>
      <c r="CP200" s="141"/>
      <c r="CQ200" s="172" t="s">
        <v>71</v>
      </c>
      <c r="CR200" s="160"/>
      <c r="CS200" s="141"/>
      <c r="CT200" s="146" t="str">
        <f t="shared" si="393"/>
        <v xml:space="preserve">                                                                                                                                                                                                                                                                                                                                                                                                                </v>
      </c>
      <c r="CU200" s="174" t="str">
        <f t="shared" ref="CU200:CU263" si="434">IF(OR(CS$8="判定対象外",CT$8="判定対象外",CT200="-"),"-",IF(CS200=CT200,"OK","NG"))</f>
        <v>NG</v>
      </c>
      <c r="CV200" s="141"/>
      <c r="CW200" s="172" t="s">
        <v>71</v>
      </c>
      <c r="CX200" s="160"/>
      <c r="CY200" s="141"/>
      <c r="CZ200" s="146" t="str">
        <f t="shared" si="394"/>
        <v xml:space="preserve">                                                                                                                                                                                                                                                                                                                                                                                                                </v>
      </c>
      <c r="DA200" s="174" t="str">
        <f t="shared" ref="DA200:DA263" si="435">IF(OR(CY$8="判定対象外",CZ$8="判定対象外",CZ200="-"),"-",IF(CY200=CZ200,"OK","NG"))</f>
        <v>NG</v>
      </c>
      <c r="DB200" s="141"/>
      <c r="DC200" s="172" t="s">
        <v>71</v>
      </c>
      <c r="DD200" s="160"/>
      <c r="DE200" s="141"/>
      <c r="DF200" s="146" t="str">
        <f t="shared" si="395"/>
        <v xml:space="preserve">                                                                                                                                                                                                                                                                                                                                                                                                                </v>
      </c>
      <c r="DG200" s="174" t="str">
        <f t="shared" ref="DG200:DG263" si="436">IF(OR(DE$8="判定対象外",DF$8="判定対象外",DF200="-"),"-",IF(DE200=DF200,"OK","NG"))</f>
        <v>NG</v>
      </c>
      <c r="DH200" s="141"/>
      <c r="DI200" s="172" t="s">
        <v>71</v>
      </c>
      <c r="DJ200" s="160"/>
      <c r="DK200" s="141"/>
      <c r="DL200" s="146" t="str">
        <f t="shared" si="396"/>
        <v xml:space="preserve">                                                                                                                                                                                                                                                                                                                                                                                                                </v>
      </c>
      <c r="DM200" s="174" t="str">
        <f t="shared" ref="DM200:DM263" si="437">IF(OR(DK$8="判定対象外",DL$8="判定対象外",DL200="-"),"-",IF(DK200=DL200,"OK","NG"))</f>
        <v>NG</v>
      </c>
      <c r="DN200" s="141"/>
      <c r="DO200" s="172" t="s">
        <v>71</v>
      </c>
      <c r="DP200" s="160"/>
      <c r="DQ200" s="141"/>
      <c r="DR200" s="146" t="str">
        <f t="shared" si="397"/>
        <v xml:space="preserve">                                                                                                                                                                                                                                                                                                                                                                                                                </v>
      </c>
      <c r="DS200" s="174" t="str">
        <f t="shared" si="413"/>
        <v>NG</v>
      </c>
      <c r="DT200" s="141"/>
      <c r="DU200" s="172" t="s">
        <v>71</v>
      </c>
      <c r="DV200" s="160"/>
      <c r="DW200" s="141"/>
      <c r="DX200" s="146" t="str">
        <f t="shared" si="398"/>
        <v xml:space="preserve">                                                                                                                                                                                                                                                                                                                                                                                                                </v>
      </c>
      <c r="DY200" s="174" t="str">
        <f t="shared" si="414"/>
        <v>NG</v>
      </c>
      <c r="DZ200" s="141"/>
      <c r="EA200" s="172" t="s">
        <v>71</v>
      </c>
      <c r="EB200" s="160"/>
      <c r="EC200" s="141"/>
      <c r="ED200" s="146" t="str">
        <f t="shared" si="399"/>
        <v xml:space="preserve">                                                                                                                                                                                                                                                                                                                                                                                                                </v>
      </c>
      <c r="EE200" s="174" t="str">
        <f t="shared" si="415"/>
        <v>NG</v>
      </c>
      <c r="EF200" s="141"/>
      <c r="EG200" s="172" t="s">
        <v>71</v>
      </c>
      <c r="EH200" s="160"/>
      <c r="EI200" s="141"/>
      <c r="EJ200" s="146" t="str">
        <f t="shared" si="400"/>
        <v xml:space="preserve">                                                                                                                                                                                                                                                                                                                                                                                                                </v>
      </c>
      <c r="EK200" s="174" t="str">
        <f t="shared" si="416"/>
        <v>NG</v>
      </c>
      <c r="EL200" s="141"/>
      <c r="EM200" s="172" t="s">
        <v>71</v>
      </c>
      <c r="EN200" s="160"/>
      <c r="EO200" s="141"/>
      <c r="EP200" s="146" t="str">
        <f t="shared" si="401"/>
        <v xml:space="preserve">                                                                                                                                                                                                                                                                                                                                                                                                                </v>
      </c>
      <c r="EQ200" s="174" t="str">
        <f t="shared" si="417"/>
        <v>NG</v>
      </c>
      <c r="ER200" s="141"/>
      <c r="ES200" s="172" t="s">
        <v>71</v>
      </c>
      <c r="ET200" s="160"/>
      <c r="EU200" s="141"/>
      <c r="EV200" s="146" t="str">
        <f t="shared" si="402"/>
        <v xml:space="preserve">                                                                                                                                                                                                                                                                                                                                                                                                                </v>
      </c>
      <c r="EW200" s="174" t="str">
        <f t="shared" si="418"/>
        <v>NG</v>
      </c>
      <c r="EX200" s="141"/>
      <c r="EY200" s="172" t="s">
        <v>71</v>
      </c>
      <c r="EZ200" s="160"/>
      <c r="FA200" s="141"/>
      <c r="FB200" s="146" t="str">
        <f t="shared" si="403"/>
        <v xml:space="preserve">                                                                                                                                                                                                                                                                                                                                                                                                                </v>
      </c>
      <c r="FC200" s="174" t="str">
        <f t="shared" si="419"/>
        <v>NG</v>
      </c>
      <c r="FD200" s="141"/>
      <c r="FE200" s="172" t="s">
        <v>71</v>
      </c>
      <c r="FF200" s="160"/>
      <c r="FG200" s="141"/>
      <c r="FH200" s="146" t="str">
        <f t="shared" si="404"/>
        <v xml:space="preserve">                                                                                                                                                                                                                                                                                                                                                                                                                </v>
      </c>
      <c r="FI200" s="174" t="str">
        <f t="shared" si="420"/>
        <v>NG</v>
      </c>
      <c r="FJ200" s="141"/>
      <c r="FK200" s="172" t="s">
        <v>71</v>
      </c>
      <c r="FL200" s="160"/>
      <c r="FM200" s="141"/>
      <c r="FN200" s="146" t="str">
        <f t="shared" si="405"/>
        <v xml:space="preserve">                                                                                                                                                                                                                                                                                                                                                                                                                </v>
      </c>
      <c r="FO200" s="174" t="str">
        <f t="shared" ref="FO200:FO263" si="438">IF(OR(FM$8="判定対象外",FN$8="判定対象外",FN200="-"),"-",IF(FM200=FN200,"OK","NG"))</f>
        <v>NG</v>
      </c>
      <c r="FP200" s="141"/>
      <c r="FQ200" s="172" t="s">
        <v>71</v>
      </c>
      <c r="FR200" s="160"/>
      <c r="FS200" s="141"/>
      <c r="FT200" s="146" t="str">
        <f t="shared" si="406"/>
        <v xml:space="preserve">                                                                                                                                                                                                                                                                                                                                                                                                                </v>
      </c>
      <c r="FU200" s="174" t="str">
        <f t="shared" ref="FU200:FU263" si="439">IF(OR(FS$8="判定対象外",FT$8="判定対象外",FT200="-"),"-",IF(FS200=FT200,"OK","NG"))</f>
        <v>NG</v>
      </c>
      <c r="FV200" s="141"/>
      <c r="FW200" s="172" t="s">
        <v>71</v>
      </c>
      <c r="FX200" s="160"/>
      <c r="FY200" s="141"/>
      <c r="FZ200" s="146" t="str">
        <f t="shared" si="407"/>
        <v xml:space="preserve">                                                                                                                                                                                                                                                                                                                                                                                                                </v>
      </c>
      <c r="GA200" s="174" t="str">
        <f t="shared" ref="GA200:GA263" si="440">IF(OR(FY$8="判定対象外",FZ$8="判定対象外",FZ200="-"),"-",IF(FY200=FZ200,"OK","NG"))</f>
        <v>NG</v>
      </c>
      <c r="GB200" s="141"/>
      <c r="GC200" s="172" t="s">
        <v>71</v>
      </c>
    </row>
    <row r="201" spans="2:185" s="52" customFormat="1" ht="76.5">
      <c r="B201" s="216">
        <f t="shared" si="408"/>
        <v>194</v>
      </c>
      <c r="C201" s="37"/>
      <c r="D201" s="37"/>
      <c r="E201" s="37"/>
      <c r="F201" s="49" t="s">
        <v>219</v>
      </c>
      <c r="G201" s="39"/>
      <c r="H201" s="40"/>
      <c r="I201" s="42"/>
      <c r="J201" s="42"/>
      <c r="K201" s="42"/>
      <c r="L201" s="42"/>
      <c r="M201" s="63" t="s">
        <v>337</v>
      </c>
      <c r="N201" s="47"/>
      <c r="O201" s="143"/>
      <c r="P201" s="45">
        <f t="shared" si="422"/>
        <v>172</v>
      </c>
      <c r="Q201" s="46">
        <v>400</v>
      </c>
      <c r="R201" s="41" t="str">
        <f t="shared" si="423"/>
        <v>NX</v>
      </c>
      <c r="S201" s="185" t="s">
        <v>220</v>
      </c>
      <c r="T201" s="43"/>
      <c r="U201" s="41" t="s">
        <v>80</v>
      </c>
      <c r="V201" s="44"/>
      <c r="W201" s="22">
        <v>3</v>
      </c>
      <c r="X201" s="47" t="s">
        <v>221</v>
      </c>
      <c r="Y201" s="47">
        <v>1</v>
      </c>
      <c r="Z201" s="47">
        <v>400</v>
      </c>
      <c r="AA201" s="42" t="s">
        <v>195</v>
      </c>
      <c r="AB201" s="42" t="s">
        <v>266</v>
      </c>
      <c r="AC201" s="166"/>
      <c r="AD201" s="160"/>
      <c r="AE201" s="141"/>
      <c r="AF201" s="146" t="str">
        <f t="shared" si="383"/>
        <v xml:space="preserve">                                                                                                                                                                                                                                                                                                                                                                                                                </v>
      </c>
      <c r="AG201" s="174" t="str">
        <f t="shared" si="424"/>
        <v>NG</v>
      </c>
      <c r="AH201" s="141"/>
      <c r="AI201" s="172" t="s">
        <v>71</v>
      </c>
      <c r="AJ201" s="160"/>
      <c r="AK201" s="141"/>
      <c r="AL201" s="146" t="str">
        <f t="shared" si="382"/>
        <v xml:space="preserve">                                                                                                                                                                                                                                                                                                                                                                                                                </v>
      </c>
      <c r="AM201" s="174" t="str">
        <f t="shared" si="409"/>
        <v>NG</v>
      </c>
      <c r="AN201" s="141"/>
      <c r="AO201" s="172" t="s">
        <v>71</v>
      </c>
      <c r="AP201" s="160"/>
      <c r="AQ201" s="141"/>
      <c r="AR201" s="146" t="str">
        <f t="shared" si="384"/>
        <v xml:space="preserve">                                                                                                                                                                                                                                                                                                                                                                                                                </v>
      </c>
      <c r="AS201" s="174" t="str">
        <f t="shared" si="425"/>
        <v>NG</v>
      </c>
      <c r="AT201" s="141"/>
      <c r="AU201" s="172" t="s">
        <v>71</v>
      </c>
      <c r="AV201" s="160"/>
      <c r="AW201" s="141"/>
      <c r="AX201" s="146" t="str">
        <f t="shared" si="385"/>
        <v xml:space="preserve">                                                                                                                                                                                                                                                                                                                                                                                                                </v>
      </c>
      <c r="AY201" s="174" t="str">
        <f t="shared" si="426"/>
        <v>NG</v>
      </c>
      <c r="AZ201" s="141"/>
      <c r="BA201" s="172" t="s">
        <v>71</v>
      </c>
      <c r="BB201" s="160"/>
      <c r="BC201" s="141"/>
      <c r="BD201" s="146" t="str">
        <f t="shared" si="386"/>
        <v xml:space="preserve">                                                                                                                                                                                                                                                                                                                                                                                                                </v>
      </c>
      <c r="BE201" s="174" t="str">
        <f t="shared" si="427"/>
        <v>NG</v>
      </c>
      <c r="BF201" s="141"/>
      <c r="BG201" s="172" t="s">
        <v>71</v>
      </c>
      <c r="BH201" s="160"/>
      <c r="BI201" s="141"/>
      <c r="BJ201" s="146" t="str">
        <f t="shared" si="387"/>
        <v xml:space="preserve">                                                                                                                                                                                                                                                                                                                                                                                                                </v>
      </c>
      <c r="BK201" s="174" t="str">
        <f t="shared" si="428"/>
        <v>NG</v>
      </c>
      <c r="BL201" s="141"/>
      <c r="BM201" s="172" t="s">
        <v>71</v>
      </c>
      <c r="BN201" s="160"/>
      <c r="BO201" s="141"/>
      <c r="BP201" s="146" t="str">
        <f t="shared" si="388"/>
        <v xml:space="preserve">                                                                                                                                                                                                                                                                                                                                                                                                                </v>
      </c>
      <c r="BQ201" s="174" t="str">
        <f t="shared" si="429"/>
        <v>NG</v>
      </c>
      <c r="BR201" s="141"/>
      <c r="BS201" s="172" t="s">
        <v>71</v>
      </c>
      <c r="BT201" s="160"/>
      <c r="BU201" s="141"/>
      <c r="BV201" s="146" t="str">
        <f t="shared" si="389"/>
        <v xml:space="preserve">                                                                                                                                                                                                                                                                                                                                                                                                                </v>
      </c>
      <c r="BW201" s="174" t="str">
        <f t="shared" si="430"/>
        <v>NG</v>
      </c>
      <c r="BX201" s="141"/>
      <c r="BY201" s="172" t="s">
        <v>71</v>
      </c>
      <c r="BZ201" s="160"/>
      <c r="CA201" s="141"/>
      <c r="CB201" s="146" t="str">
        <f t="shared" si="390"/>
        <v xml:space="preserve">                                                                                                                                                                                                                                                                                                                                                                                                                </v>
      </c>
      <c r="CC201" s="174" t="str">
        <f t="shared" si="431"/>
        <v>NG</v>
      </c>
      <c r="CD201" s="141"/>
      <c r="CE201" s="172" t="s">
        <v>71</v>
      </c>
      <c r="CF201" s="160"/>
      <c r="CG201" s="141"/>
      <c r="CH201" s="146" t="str">
        <f t="shared" si="391"/>
        <v xml:space="preserve">                                                                                                                                                                                                                                                                                                                                                                                                                </v>
      </c>
      <c r="CI201" s="174" t="str">
        <f t="shared" si="432"/>
        <v>NG</v>
      </c>
      <c r="CJ201" s="141"/>
      <c r="CK201" s="172" t="s">
        <v>71</v>
      </c>
      <c r="CL201" s="160"/>
      <c r="CM201" s="141"/>
      <c r="CN201" s="146" t="str">
        <f t="shared" si="392"/>
        <v xml:space="preserve">                                                                                                                                                                                                                                                                                                                                                                                                                </v>
      </c>
      <c r="CO201" s="174" t="str">
        <f t="shared" si="433"/>
        <v>NG</v>
      </c>
      <c r="CP201" s="141"/>
      <c r="CQ201" s="172" t="s">
        <v>71</v>
      </c>
      <c r="CR201" s="160"/>
      <c r="CS201" s="141"/>
      <c r="CT201" s="146" t="str">
        <f t="shared" si="393"/>
        <v xml:space="preserve">                                                                                                                                                                                                                                                                                                                                                                                                                </v>
      </c>
      <c r="CU201" s="174" t="str">
        <f t="shared" si="434"/>
        <v>NG</v>
      </c>
      <c r="CV201" s="141"/>
      <c r="CW201" s="172" t="s">
        <v>71</v>
      </c>
      <c r="CX201" s="160"/>
      <c r="CY201" s="141"/>
      <c r="CZ201" s="146" t="str">
        <f t="shared" si="394"/>
        <v xml:space="preserve">                                                                                                                                                                                                                                                                                                                                                                                                                </v>
      </c>
      <c r="DA201" s="174" t="str">
        <f t="shared" si="435"/>
        <v>NG</v>
      </c>
      <c r="DB201" s="141"/>
      <c r="DC201" s="172" t="s">
        <v>71</v>
      </c>
      <c r="DD201" s="160"/>
      <c r="DE201" s="141"/>
      <c r="DF201" s="146" t="str">
        <f t="shared" si="395"/>
        <v xml:space="preserve">                                                                                                                                                                                                                                                                                                                                                                                                                </v>
      </c>
      <c r="DG201" s="174" t="str">
        <f t="shared" si="436"/>
        <v>NG</v>
      </c>
      <c r="DH201" s="141"/>
      <c r="DI201" s="172" t="s">
        <v>71</v>
      </c>
      <c r="DJ201" s="160"/>
      <c r="DK201" s="141"/>
      <c r="DL201" s="146" t="str">
        <f t="shared" si="396"/>
        <v xml:space="preserve">                                                                                                                                                                                                                                                                                                                                                                                                                </v>
      </c>
      <c r="DM201" s="174" t="str">
        <f t="shared" si="437"/>
        <v>NG</v>
      </c>
      <c r="DN201" s="141"/>
      <c r="DO201" s="172" t="s">
        <v>71</v>
      </c>
      <c r="DP201" s="160"/>
      <c r="DQ201" s="141"/>
      <c r="DR201" s="146" t="str">
        <f t="shared" si="397"/>
        <v xml:space="preserve">                                                                                                                                                                                                                                                                                                                                                                                                                </v>
      </c>
      <c r="DS201" s="174" t="str">
        <f t="shared" si="413"/>
        <v>NG</v>
      </c>
      <c r="DT201" s="141"/>
      <c r="DU201" s="172" t="s">
        <v>71</v>
      </c>
      <c r="DV201" s="160"/>
      <c r="DW201" s="141"/>
      <c r="DX201" s="146" t="str">
        <f t="shared" si="398"/>
        <v xml:space="preserve">                                                                                                                                                                                                                                                                                                                                                                                                                </v>
      </c>
      <c r="DY201" s="174" t="str">
        <f t="shared" si="414"/>
        <v>NG</v>
      </c>
      <c r="DZ201" s="141"/>
      <c r="EA201" s="172" t="s">
        <v>71</v>
      </c>
      <c r="EB201" s="160"/>
      <c r="EC201" s="141"/>
      <c r="ED201" s="146" t="str">
        <f t="shared" si="399"/>
        <v xml:space="preserve">                                                                                                                                                                                                                                                                                                                                                                                                                </v>
      </c>
      <c r="EE201" s="174" t="str">
        <f t="shared" si="415"/>
        <v>NG</v>
      </c>
      <c r="EF201" s="141"/>
      <c r="EG201" s="172" t="s">
        <v>71</v>
      </c>
      <c r="EH201" s="160"/>
      <c r="EI201" s="141"/>
      <c r="EJ201" s="146" t="str">
        <f t="shared" si="400"/>
        <v xml:space="preserve">                                                                                                                                                                                                                                                                                                                                                                                                                </v>
      </c>
      <c r="EK201" s="174" t="str">
        <f t="shared" si="416"/>
        <v>NG</v>
      </c>
      <c r="EL201" s="141"/>
      <c r="EM201" s="172" t="s">
        <v>71</v>
      </c>
      <c r="EN201" s="160"/>
      <c r="EO201" s="141"/>
      <c r="EP201" s="146" t="str">
        <f t="shared" si="401"/>
        <v xml:space="preserve">                                                                                                                                                                                                                                                                                                                                                                                                                </v>
      </c>
      <c r="EQ201" s="174" t="str">
        <f t="shared" si="417"/>
        <v>NG</v>
      </c>
      <c r="ER201" s="141"/>
      <c r="ES201" s="172" t="s">
        <v>71</v>
      </c>
      <c r="ET201" s="160"/>
      <c r="EU201" s="141"/>
      <c r="EV201" s="146" t="str">
        <f t="shared" si="402"/>
        <v xml:space="preserve">                                                                                                                                                                                                                                                                                                                                                                                                                </v>
      </c>
      <c r="EW201" s="174" t="str">
        <f t="shared" si="418"/>
        <v>NG</v>
      </c>
      <c r="EX201" s="141"/>
      <c r="EY201" s="172" t="s">
        <v>71</v>
      </c>
      <c r="EZ201" s="160"/>
      <c r="FA201" s="141"/>
      <c r="FB201" s="146" t="str">
        <f t="shared" si="403"/>
        <v xml:space="preserve">                                                                                                                                                                                                                                                                                                                                                                                                                </v>
      </c>
      <c r="FC201" s="174" t="str">
        <f t="shared" si="419"/>
        <v>NG</v>
      </c>
      <c r="FD201" s="141"/>
      <c r="FE201" s="172" t="s">
        <v>71</v>
      </c>
      <c r="FF201" s="160"/>
      <c r="FG201" s="141"/>
      <c r="FH201" s="146" t="str">
        <f t="shared" si="404"/>
        <v xml:space="preserve">                                                                                                                                                                                                                                                                                                                                                                                                                </v>
      </c>
      <c r="FI201" s="174" t="str">
        <f t="shared" si="420"/>
        <v>NG</v>
      </c>
      <c r="FJ201" s="141"/>
      <c r="FK201" s="172" t="s">
        <v>71</v>
      </c>
      <c r="FL201" s="160"/>
      <c r="FM201" s="141"/>
      <c r="FN201" s="146" t="str">
        <f t="shared" si="405"/>
        <v xml:space="preserve">                                                                                                                                                                                                                                                                                                                                                                                                                </v>
      </c>
      <c r="FO201" s="174" t="str">
        <f t="shared" si="438"/>
        <v>NG</v>
      </c>
      <c r="FP201" s="141"/>
      <c r="FQ201" s="172" t="s">
        <v>71</v>
      </c>
      <c r="FR201" s="160"/>
      <c r="FS201" s="141"/>
      <c r="FT201" s="146" t="str">
        <f t="shared" si="406"/>
        <v xml:space="preserve">                                                                                                                                                                                                                                                                                                                                                                                                                </v>
      </c>
      <c r="FU201" s="174" t="str">
        <f t="shared" si="439"/>
        <v>NG</v>
      </c>
      <c r="FV201" s="141"/>
      <c r="FW201" s="172" t="s">
        <v>71</v>
      </c>
      <c r="FX201" s="160"/>
      <c r="FY201" s="141"/>
      <c r="FZ201" s="146" t="str">
        <f t="shared" si="407"/>
        <v xml:space="preserve">                                                                                                                                                                                                                                                                                                                                                                                                                </v>
      </c>
      <c r="GA201" s="174" t="str">
        <f t="shared" si="440"/>
        <v>NG</v>
      </c>
      <c r="GB201" s="141"/>
      <c r="GC201" s="172" t="s">
        <v>71</v>
      </c>
    </row>
    <row r="202" spans="2:185" s="52" customFormat="1">
      <c r="B202" s="216">
        <f t="shared" si="408"/>
        <v>195</v>
      </c>
      <c r="C202" s="37"/>
      <c r="D202" s="37"/>
      <c r="E202" s="37"/>
      <c r="F202" s="49" t="s">
        <v>222</v>
      </c>
      <c r="G202" s="39"/>
      <c r="H202" s="40"/>
      <c r="I202" s="42"/>
      <c r="J202" s="42"/>
      <c r="K202" s="42"/>
      <c r="L202" s="42"/>
      <c r="M202" s="63" t="s">
        <v>336</v>
      </c>
      <c r="N202" s="47"/>
      <c r="O202" s="143"/>
      <c r="P202" s="45">
        <f t="shared" si="422"/>
        <v>173</v>
      </c>
      <c r="Q202" s="46">
        <v>400</v>
      </c>
      <c r="R202" s="41" t="str">
        <f t="shared" si="423"/>
        <v>NX</v>
      </c>
      <c r="S202" s="185" t="s">
        <v>223</v>
      </c>
      <c r="T202" s="43"/>
      <c r="U202" s="41" t="s">
        <v>80</v>
      </c>
      <c r="V202" s="44"/>
      <c r="W202" s="22">
        <v>3</v>
      </c>
      <c r="X202" s="47" t="s">
        <v>224</v>
      </c>
      <c r="Y202" s="47">
        <v>1</v>
      </c>
      <c r="Z202" s="47">
        <v>400</v>
      </c>
      <c r="AA202" s="42" t="s">
        <v>195</v>
      </c>
      <c r="AB202" s="42" t="s">
        <v>266</v>
      </c>
      <c r="AC202" s="166"/>
      <c r="AD202" s="160"/>
      <c r="AE202" s="141"/>
      <c r="AF202" s="146" t="str">
        <f t="shared" si="383"/>
        <v xml:space="preserve">                                                                                                                                                                                                                                                                                                                                                                                                                </v>
      </c>
      <c r="AG202" s="174" t="str">
        <f t="shared" si="424"/>
        <v>NG</v>
      </c>
      <c r="AH202" s="141"/>
      <c r="AI202" s="172" t="s">
        <v>71</v>
      </c>
      <c r="AJ202" s="160"/>
      <c r="AK202" s="141"/>
      <c r="AL202" s="146" t="str">
        <f t="shared" si="382"/>
        <v xml:space="preserve">                                                                                                                                                                                                                                                                                                                                                                                                                </v>
      </c>
      <c r="AM202" s="174" t="str">
        <f t="shared" si="409"/>
        <v>NG</v>
      </c>
      <c r="AN202" s="141"/>
      <c r="AO202" s="172" t="s">
        <v>71</v>
      </c>
      <c r="AP202" s="160"/>
      <c r="AQ202" s="141"/>
      <c r="AR202" s="146" t="str">
        <f t="shared" si="384"/>
        <v xml:space="preserve">                                                                                                                                                                                                                                                                                                                                                                                                                </v>
      </c>
      <c r="AS202" s="174" t="str">
        <f t="shared" si="425"/>
        <v>NG</v>
      </c>
      <c r="AT202" s="141"/>
      <c r="AU202" s="172" t="s">
        <v>71</v>
      </c>
      <c r="AV202" s="160"/>
      <c r="AW202" s="141"/>
      <c r="AX202" s="146" t="str">
        <f t="shared" si="385"/>
        <v xml:space="preserve">                                                                                                                                                                                                                                                                                                                                                                                                                </v>
      </c>
      <c r="AY202" s="174" t="str">
        <f t="shared" si="426"/>
        <v>NG</v>
      </c>
      <c r="AZ202" s="141"/>
      <c r="BA202" s="172" t="s">
        <v>71</v>
      </c>
      <c r="BB202" s="160"/>
      <c r="BC202" s="141"/>
      <c r="BD202" s="146" t="str">
        <f t="shared" si="386"/>
        <v xml:space="preserve">                                                                                                                                                                                                                                                                                                                                                                                                                </v>
      </c>
      <c r="BE202" s="174" t="str">
        <f t="shared" si="427"/>
        <v>NG</v>
      </c>
      <c r="BF202" s="141"/>
      <c r="BG202" s="172" t="s">
        <v>71</v>
      </c>
      <c r="BH202" s="160"/>
      <c r="BI202" s="141"/>
      <c r="BJ202" s="146" t="str">
        <f t="shared" si="387"/>
        <v xml:space="preserve">                                                                                                                                                                                                                                                                                                                                                                                                                </v>
      </c>
      <c r="BK202" s="174" t="str">
        <f t="shared" si="428"/>
        <v>NG</v>
      </c>
      <c r="BL202" s="141"/>
      <c r="BM202" s="172" t="s">
        <v>71</v>
      </c>
      <c r="BN202" s="160"/>
      <c r="BO202" s="141"/>
      <c r="BP202" s="146" t="str">
        <f t="shared" si="388"/>
        <v xml:space="preserve">                                                                                                                                                                                                                                                                                                                                                                                                                </v>
      </c>
      <c r="BQ202" s="174" t="str">
        <f t="shared" si="429"/>
        <v>NG</v>
      </c>
      <c r="BR202" s="141"/>
      <c r="BS202" s="172" t="s">
        <v>71</v>
      </c>
      <c r="BT202" s="160"/>
      <c r="BU202" s="141"/>
      <c r="BV202" s="146" t="str">
        <f t="shared" si="389"/>
        <v xml:space="preserve">                                                                                                                                                                                                                                                                                                                                                                                                                </v>
      </c>
      <c r="BW202" s="174" t="str">
        <f t="shared" si="430"/>
        <v>NG</v>
      </c>
      <c r="BX202" s="141"/>
      <c r="BY202" s="172" t="s">
        <v>71</v>
      </c>
      <c r="BZ202" s="160"/>
      <c r="CA202" s="141"/>
      <c r="CB202" s="146" t="str">
        <f t="shared" si="390"/>
        <v xml:space="preserve">                                                                                                                                                                                                                                                                                                                                                                                                                </v>
      </c>
      <c r="CC202" s="174" t="str">
        <f t="shared" si="431"/>
        <v>NG</v>
      </c>
      <c r="CD202" s="141"/>
      <c r="CE202" s="172" t="s">
        <v>71</v>
      </c>
      <c r="CF202" s="160"/>
      <c r="CG202" s="141"/>
      <c r="CH202" s="146" t="str">
        <f t="shared" si="391"/>
        <v xml:space="preserve">                                                                                                                                                                                                                                                                                                                                                                                                                </v>
      </c>
      <c r="CI202" s="174" t="str">
        <f t="shared" si="432"/>
        <v>NG</v>
      </c>
      <c r="CJ202" s="141"/>
      <c r="CK202" s="172" t="s">
        <v>71</v>
      </c>
      <c r="CL202" s="160"/>
      <c r="CM202" s="141"/>
      <c r="CN202" s="146" t="str">
        <f t="shared" si="392"/>
        <v xml:space="preserve">                                                                                                                                                                                                                                                                                                                                                                                                                </v>
      </c>
      <c r="CO202" s="174" t="str">
        <f t="shared" si="433"/>
        <v>NG</v>
      </c>
      <c r="CP202" s="141"/>
      <c r="CQ202" s="172" t="s">
        <v>71</v>
      </c>
      <c r="CR202" s="160"/>
      <c r="CS202" s="141"/>
      <c r="CT202" s="146" t="str">
        <f t="shared" si="393"/>
        <v xml:space="preserve">                                                                                                                                                                                                                                                                                                                                                                                                                </v>
      </c>
      <c r="CU202" s="174" t="str">
        <f t="shared" si="434"/>
        <v>NG</v>
      </c>
      <c r="CV202" s="141"/>
      <c r="CW202" s="172" t="s">
        <v>71</v>
      </c>
      <c r="CX202" s="160"/>
      <c r="CY202" s="141"/>
      <c r="CZ202" s="146" t="str">
        <f t="shared" si="394"/>
        <v xml:space="preserve">                                                                                                                                                                                                                                                                                                                                                                                                                </v>
      </c>
      <c r="DA202" s="174" t="str">
        <f t="shared" si="435"/>
        <v>NG</v>
      </c>
      <c r="DB202" s="141"/>
      <c r="DC202" s="172" t="s">
        <v>71</v>
      </c>
      <c r="DD202" s="160"/>
      <c r="DE202" s="141"/>
      <c r="DF202" s="146" t="str">
        <f t="shared" si="395"/>
        <v xml:space="preserve">                                                                                                                                                                                                                                                                                                                                                                                                                </v>
      </c>
      <c r="DG202" s="174" t="str">
        <f t="shared" si="436"/>
        <v>NG</v>
      </c>
      <c r="DH202" s="141"/>
      <c r="DI202" s="172" t="s">
        <v>71</v>
      </c>
      <c r="DJ202" s="160"/>
      <c r="DK202" s="141"/>
      <c r="DL202" s="146" t="str">
        <f t="shared" si="396"/>
        <v xml:space="preserve">                                                                                                                                                                                                                                                                                                                                                                                                                </v>
      </c>
      <c r="DM202" s="174" t="str">
        <f t="shared" si="437"/>
        <v>NG</v>
      </c>
      <c r="DN202" s="141"/>
      <c r="DO202" s="172" t="s">
        <v>71</v>
      </c>
      <c r="DP202" s="160"/>
      <c r="DQ202" s="141"/>
      <c r="DR202" s="146" t="str">
        <f t="shared" si="397"/>
        <v xml:space="preserve">                                                                                                                                                                                                                                                                                                                                                                                                                </v>
      </c>
      <c r="DS202" s="174" t="str">
        <f t="shared" si="413"/>
        <v>NG</v>
      </c>
      <c r="DT202" s="141"/>
      <c r="DU202" s="172" t="s">
        <v>71</v>
      </c>
      <c r="DV202" s="160"/>
      <c r="DW202" s="141"/>
      <c r="DX202" s="146" t="str">
        <f t="shared" si="398"/>
        <v xml:space="preserve">                                                                                                                                                                                                                                                                                                                                                                                                                </v>
      </c>
      <c r="DY202" s="174" t="str">
        <f t="shared" si="414"/>
        <v>NG</v>
      </c>
      <c r="DZ202" s="141"/>
      <c r="EA202" s="172" t="s">
        <v>71</v>
      </c>
      <c r="EB202" s="160"/>
      <c r="EC202" s="141"/>
      <c r="ED202" s="146" t="str">
        <f t="shared" si="399"/>
        <v xml:space="preserve">                                                                                                                                                                                                                                                                                                                                                                                                                </v>
      </c>
      <c r="EE202" s="174" t="str">
        <f t="shared" si="415"/>
        <v>NG</v>
      </c>
      <c r="EF202" s="141"/>
      <c r="EG202" s="172" t="s">
        <v>71</v>
      </c>
      <c r="EH202" s="160"/>
      <c r="EI202" s="141"/>
      <c r="EJ202" s="146" t="str">
        <f t="shared" si="400"/>
        <v xml:space="preserve">                                                                                                                                                                                                                                                                                                                                                                                                                </v>
      </c>
      <c r="EK202" s="174" t="str">
        <f t="shared" si="416"/>
        <v>NG</v>
      </c>
      <c r="EL202" s="141"/>
      <c r="EM202" s="172" t="s">
        <v>71</v>
      </c>
      <c r="EN202" s="160"/>
      <c r="EO202" s="141"/>
      <c r="EP202" s="146" t="str">
        <f t="shared" si="401"/>
        <v xml:space="preserve">                                                                                                                                                                                                                                                                                                                                                                                                                </v>
      </c>
      <c r="EQ202" s="174" t="str">
        <f t="shared" si="417"/>
        <v>NG</v>
      </c>
      <c r="ER202" s="141"/>
      <c r="ES202" s="172" t="s">
        <v>71</v>
      </c>
      <c r="ET202" s="160"/>
      <c r="EU202" s="141"/>
      <c r="EV202" s="146" t="str">
        <f t="shared" si="402"/>
        <v xml:space="preserve">                                                                                                                                                                                                                                                                                                                                                                                                                </v>
      </c>
      <c r="EW202" s="174" t="str">
        <f t="shared" si="418"/>
        <v>NG</v>
      </c>
      <c r="EX202" s="141"/>
      <c r="EY202" s="172" t="s">
        <v>71</v>
      </c>
      <c r="EZ202" s="160"/>
      <c r="FA202" s="141"/>
      <c r="FB202" s="146" t="str">
        <f t="shared" si="403"/>
        <v xml:space="preserve">                                                                                                                                                                                                                                                                                                                                                                                                                </v>
      </c>
      <c r="FC202" s="174" t="str">
        <f t="shared" si="419"/>
        <v>NG</v>
      </c>
      <c r="FD202" s="141"/>
      <c r="FE202" s="172" t="s">
        <v>71</v>
      </c>
      <c r="FF202" s="160"/>
      <c r="FG202" s="141"/>
      <c r="FH202" s="146" t="str">
        <f t="shared" si="404"/>
        <v xml:space="preserve">                                                                                                                                                                                                                                                                                                                                                                                                                </v>
      </c>
      <c r="FI202" s="174" t="str">
        <f t="shared" si="420"/>
        <v>NG</v>
      </c>
      <c r="FJ202" s="141"/>
      <c r="FK202" s="172" t="s">
        <v>71</v>
      </c>
      <c r="FL202" s="160"/>
      <c r="FM202" s="141"/>
      <c r="FN202" s="146" t="str">
        <f t="shared" si="405"/>
        <v xml:space="preserve">                                                                                                                                                                                                                                                                                                                                                                                                                </v>
      </c>
      <c r="FO202" s="174" t="str">
        <f t="shared" si="438"/>
        <v>NG</v>
      </c>
      <c r="FP202" s="141"/>
      <c r="FQ202" s="172" t="s">
        <v>71</v>
      </c>
      <c r="FR202" s="160"/>
      <c r="FS202" s="141"/>
      <c r="FT202" s="146" t="str">
        <f t="shared" si="406"/>
        <v xml:space="preserve">                                                                                                                                                                                                                                                                                                                                                                                                                </v>
      </c>
      <c r="FU202" s="174" t="str">
        <f t="shared" si="439"/>
        <v>NG</v>
      </c>
      <c r="FV202" s="141"/>
      <c r="FW202" s="172" t="s">
        <v>71</v>
      </c>
      <c r="FX202" s="160"/>
      <c r="FY202" s="141"/>
      <c r="FZ202" s="146" t="str">
        <f t="shared" si="407"/>
        <v xml:space="preserve">                                                                                                                                                                                                                                                                                                                                                                                                                </v>
      </c>
      <c r="GA202" s="174" t="str">
        <f t="shared" si="440"/>
        <v>NG</v>
      </c>
      <c r="GB202" s="141"/>
      <c r="GC202" s="172" t="s">
        <v>71</v>
      </c>
    </row>
    <row r="203" spans="2:185" s="52" customFormat="1">
      <c r="B203" s="216">
        <f t="shared" si="408"/>
        <v>196</v>
      </c>
      <c r="C203" s="37"/>
      <c r="D203" s="37"/>
      <c r="E203" s="37"/>
      <c r="F203" s="49" t="s">
        <v>225</v>
      </c>
      <c r="G203" s="39"/>
      <c r="H203" s="40"/>
      <c r="I203" s="42"/>
      <c r="J203" s="42"/>
      <c r="K203" s="42"/>
      <c r="L203" s="42"/>
      <c r="M203" s="63" t="s">
        <v>336</v>
      </c>
      <c r="N203" s="47"/>
      <c r="O203" s="143"/>
      <c r="P203" s="45">
        <f t="shared" si="422"/>
        <v>174</v>
      </c>
      <c r="Q203" s="46">
        <v>400</v>
      </c>
      <c r="R203" s="41" t="str">
        <f t="shared" si="423"/>
        <v>NX</v>
      </c>
      <c r="S203" s="185" t="s">
        <v>226</v>
      </c>
      <c r="T203" s="43"/>
      <c r="U203" s="41" t="s">
        <v>80</v>
      </c>
      <c r="V203" s="44"/>
      <c r="W203" s="22">
        <v>3</v>
      </c>
      <c r="X203" s="47" t="s">
        <v>227</v>
      </c>
      <c r="Y203" s="47">
        <v>1</v>
      </c>
      <c r="Z203" s="47">
        <v>400</v>
      </c>
      <c r="AA203" s="42" t="s">
        <v>195</v>
      </c>
      <c r="AB203" s="42" t="s">
        <v>266</v>
      </c>
      <c r="AC203" s="166"/>
      <c r="AD203" s="160"/>
      <c r="AE203" s="141"/>
      <c r="AF203" s="146" t="str">
        <f t="shared" si="383"/>
        <v xml:space="preserve">                                                                                                                                                                                                                                                                                                                                                                                                                </v>
      </c>
      <c r="AG203" s="174" t="str">
        <f t="shared" si="424"/>
        <v>NG</v>
      </c>
      <c r="AH203" s="141"/>
      <c r="AI203" s="172" t="s">
        <v>71</v>
      </c>
      <c r="AJ203" s="160"/>
      <c r="AK203" s="141"/>
      <c r="AL203" s="146" t="str">
        <f t="shared" si="382"/>
        <v xml:space="preserve">                                                                                                                                                                                                                                                                                                                                                                                                                </v>
      </c>
      <c r="AM203" s="174" t="str">
        <f t="shared" si="409"/>
        <v>NG</v>
      </c>
      <c r="AN203" s="141"/>
      <c r="AO203" s="172" t="s">
        <v>71</v>
      </c>
      <c r="AP203" s="160"/>
      <c r="AQ203" s="141"/>
      <c r="AR203" s="146" t="str">
        <f t="shared" si="384"/>
        <v xml:space="preserve">                                                                                                                                                                                                                                                                                                                                                                                                                </v>
      </c>
      <c r="AS203" s="174" t="str">
        <f t="shared" si="425"/>
        <v>NG</v>
      </c>
      <c r="AT203" s="141"/>
      <c r="AU203" s="172" t="s">
        <v>71</v>
      </c>
      <c r="AV203" s="160"/>
      <c r="AW203" s="141"/>
      <c r="AX203" s="146" t="str">
        <f t="shared" si="385"/>
        <v xml:space="preserve">                                                                                                                                                                                                                                                                                                                                                                                                                </v>
      </c>
      <c r="AY203" s="174" t="str">
        <f t="shared" si="426"/>
        <v>NG</v>
      </c>
      <c r="AZ203" s="141"/>
      <c r="BA203" s="172" t="s">
        <v>71</v>
      </c>
      <c r="BB203" s="160"/>
      <c r="BC203" s="141"/>
      <c r="BD203" s="146" t="str">
        <f t="shared" si="386"/>
        <v xml:space="preserve">                                                                                                                                                                                                                                                                                                                                                                                                                </v>
      </c>
      <c r="BE203" s="174" t="str">
        <f t="shared" si="427"/>
        <v>NG</v>
      </c>
      <c r="BF203" s="141"/>
      <c r="BG203" s="172" t="s">
        <v>71</v>
      </c>
      <c r="BH203" s="160"/>
      <c r="BI203" s="141"/>
      <c r="BJ203" s="146" t="str">
        <f t="shared" si="387"/>
        <v xml:space="preserve">                                                                                                                                                                                                                                                                                                                                                                                                                </v>
      </c>
      <c r="BK203" s="174" t="str">
        <f t="shared" si="428"/>
        <v>NG</v>
      </c>
      <c r="BL203" s="141"/>
      <c r="BM203" s="172" t="s">
        <v>71</v>
      </c>
      <c r="BN203" s="160"/>
      <c r="BO203" s="141"/>
      <c r="BP203" s="146" t="str">
        <f t="shared" si="388"/>
        <v xml:space="preserve">                                                                                                                                                                                                                                                                                                                                                                                                                </v>
      </c>
      <c r="BQ203" s="174" t="str">
        <f t="shared" si="429"/>
        <v>NG</v>
      </c>
      <c r="BR203" s="141"/>
      <c r="BS203" s="172" t="s">
        <v>71</v>
      </c>
      <c r="BT203" s="160"/>
      <c r="BU203" s="141"/>
      <c r="BV203" s="146" t="str">
        <f t="shared" si="389"/>
        <v xml:space="preserve">                                                                                                                                                                                                                                                                                                                                                                                                                </v>
      </c>
      <c r="BW203" s="174" t="str">
        <f t="shared" si="430"/>
        <v>NG</v>
      </c>
      <c r="BX203" s="141"/>
      <c r="BY203" s="172" t="s">
        <v>71</v>
      </c>
      <c r="BZ203" s="160"/>
      <c r="CA203" s="141"/>
      <c r="CB203" s="146" t="str">
        <f t="shared" si="390"/>
        <v xml:space="preserve">                                                                                                                                                                                                                                                                                                                                                                                                                </v>
      </c>
      <c r="CC203" s="174" t="str">
        <f t="shared" si="431"/>
        <v>NG</v>
      </c>
      <c r="CD203" s="141"/>
      <c r="CE203" s="172" t="s">
        <v>71</v>
      </c>
      <c r="CF203" s="160"/>
      <c r="CG203" s="141"/>
      <c r="CH203" s="146" t="str">
        <f t="shared" si="391"/>
        <v xml:space="preserve">                                                                                                                                                                                                                                                                                                                                                                                                                </v>
      </c>
      <c r="CI203" s="174" t="str">
        <f t="shared" si="432"/>
        <v>NG</v>
      </c>
      <c r="CJ203" s="141"/>
      <c r="CK203" s="172" t="s">
        <v>71</v>
      </c>
      <c r="CL203" s="160"/>
      <c r="CM203" s="141"/>
      <c r="CN203" s="146" t="str">
        <f t="shared" si="392"/>
        <v xml:space="preserve">                                                                                                                                                                                                                                                                                                                                                                                                                </v>
      </c>
      <c r="CO203" s="174" t="str">
        <f t="shared" si="433"/>
        <v>NG</v>
      </c>
      <c r="CP203" s="141"/>
      <c r="CQ203" s="172" t="s">
        <v>71</v>
      </c>
      <c r="CR203" s="160"/>
      <c r="CS203" s="141"/>
      <c r="CT203" s="146" t="str">
        <f t="shared" si="393"/>
        <v xml:space="preserve">                                                                                                                                                                                                                                                                                                                                                                                                                </v>
      </c>
      <c r="CU203" s="174" t="str">
        <f t="shared" si="434"/>
        <v>NG</v>
      </c>
      <c r="CV203" s="141"/>
      <c r="CW203" s="172" t="s">
        <v>71</v>
      </c>
      <c r="CX203" s="160"/>
      <c r="CY203" s="141"/>
      <c r="CZ203" s="146" t="str">
        <f t="shared" si="394"/>
        <v xml:space="preserve">                                                                                                                                                                                                                                                                                                                                                                                                                </v>
      </c>
      <c r="DA203" s="174" t="str">
        <f t="shared" si="435"/>
        <v>NG</v>
      </c>
      <c r="DB203" s="141"/>
      <c r="DC203" s="172" t="s">
        <v>71</v>
      </c>
      <c r="DD203" s="160"/>
      <c r="DE203" s="141"/>
      <c r="DF203" s="146" t="str">
        <f t="shared" si="395"/>
        <v xml:space="preserve">                                                                                                                                                                                                                                                                                                                                                                                                                </v>
      </c>
      <c r="DG203" s="174" t="str">
        <f t="shared" si="436"/>
        <v>NG</v>
      </c>
      <c r="DH203" s="141"/>
      <c r="DI203" s="172" t="s">
        <v>71</v>
      </c>
      <c r="DJ203" s="160"/>
      <c r="DK203" s="141"/>
      <c r="DL203" s="146" t="str">
        <f t="shared" si="396"/>
        <v xml:space="preserve">                                                                                                                                                                                                                                                                                                                                                                                                                </v>
      </c>
      <c r="DM203" s="174" t="str">
        <f t="shared" si="437"/>
        <v>NG</v>
      </c>
      <c r="DN203" s="141"/>
      <c r="DO203" s="172" t="s">
        <v>71</v>
      </c>
      <c r="DP203" s="160"/>
      <c r="DQ203" s="141"/>
      <c r="DR203" s="146" t="str">
        <f t="shared" si="397"/>
        <v xml:space="preserve">                                                                                                                                                                                                                                                                                                                                                                                                                </v>
      </c>
      <c r="DS203" s="174" t="str">
        <f t="shared" si="413"/>
        <v>NG</v>
      </c>
      <c r="DT203" s="141"/>
      <c r="DU203" s="172" t="s">
        <v>71</v>
      </c>
      <c r="DV203" s="160"/>
      <c r="DW203" s="141"/>
      <c r="DX203" s="146" t="str">
        <f t="shared" si="398"/>
        <v xml:space="preserve">                                                                                                                                                                                                                                                                                                                                                                                                                </v>
      </c>
      <c r="DY203" s="174" t="str">
        <f t="shared" si="414"/>
        <v>NG</v>
      </c>
      <c r="DZ203" s="141"/>
      <c r="EA203" s="172" t="s">
        <v>71</v>
      </c>
      <c r="EB203" s="160"/>
      <c r="EC203" s="141"/>
      <c r="ED203" s="146" t="str">
        <f t="shared" si="399"/>
        <v xml:space="preserve">                                                                                                                                                                                                                                                                                                                                                                                                                </v>
      </c>
      <c r="EE203" s="174" t="str">
        <f t="shared" si="415"/>
        <v>NG</v>
      </c>
      <c r="EF203" s="141"/>
      <c r="EG203" s="172" t="s">
        <v>71</v>
      </c>
      <c r="EH203" s="160"/>
      <c r="EI203" s="141"/>
      <c r="EJ203" s="146" t="str">
        <f t="shared" si="400"/>
        <v xml:space="preserve">                                                                                                                                                                                                                                                                                                                                                                                                                </v>
      </c>
      <c r="EK203" s="174" t="str">
        <f t="shared" si="416"/>
        <v>NG</v>
      </c>
      <c r="EL203" s="141"/>
      <c r="EM203" s="172" t="s">
        <v>71</v>
      </c>
      <c r="EN203" s="160"/>
      <c r="EO203" s="141"/>
      <c r="EP203" s="146" t="str">
        <f t="shared" si="401"/>
        <v xml:space="preserve">                                                                                                                                                                                                                                                                                                                                                                                                                </v>
      </c>
      <c r="EQ203" s="174" t="str">
        <f t="shared" si="417"/>
        <v>NG</v>
      </c>
      <c r="ER203" s="141"/>
      <c r="ES203" s="172" t="s">
        <v>71</v>
      </c>
      <c r="ET203" s="160"/>
      <c r="EU203" s="141"/>
      <c r="EV203" s="146" t="str">
        <f t="shared" si="402"/>
        <v xml:space="preserve">                                                                                                                                                                                                                                                                                                                                                                                                                </v>
      </c>
      <c r="EW203" s="174" t="str">
        <f t="shared" si="418"/>
        <v>NG</v>
      </c>
      <c r="EX203" s="141"/>
      <c r="EY203" s="172" t="s">
        <v>71</v>
      </c>
      <c r="EZ203" s="160"/>
      <c r="FA203" s="141"/>
      <c r="FB203" s="146" t="str">
        <f t="shared" si="403"/>
        <v xml:space="preserve">                                                                                                                                                                                                                                                                                                                                                                                                                </v>
      </c>
      <c r="FC203" s="174" t="str">
        <f t="shared" si="419"/>
        <v>NG</v>
      </c>
      <c r="FD203" s="141"/>
      <c r="FE203" s="172" t="s">
        <v>71</v>
      </c>
      <c r="FF203" s="160"/>
      <c r="FG203" s="141"/>
      <c r="FH203" s="146" t="str">
        <f t="shared" si="404"/>
        <v xml:space="preserve">                                                                                                                                                                                                                                                                                                                                                                                                                </v>
      </c>
      <c r="FI203" s="174" t="str">
        <f t="shared" si="420"/>
        <v>NG</v>
      </c>
      <c r="FJ203" s="141"/>
      <c r="FK203" s="172" t="s">
        <v>71</v>
      </c>
      <c r="FL203" s="160"/>
      <c r="FM203" s="141"/>
      <c r="FN203" s="146" t="str">
        <f t="shared" si="405"/>
        <v xml:space="preserve">                                                                                                                                                                                                                                                                                                                                                                                                                </v>
      </c>
      <c r="FO203" s="174" t="str">
        <f t="shared" si="438"/>
        <v>NG</v>
      </c>
      <c r="FP203" s="141"/>
      <c r="FQ203" s="172" t="s">
        <v>71</v>
      </c>
      <c r="FR203" s="160"/>
      <c r="FS203" s="141"/>
      <c r="FT203" s="146" t="str">
        <f t="shared" si="406"/>
        <v xml:space="preserve">                                                                                                                                                                                                                                                                                                                                                                                                                </v>
      </c>
      <c r="FU203" s="174" t="str">
        <f t="shared" si="439"/>
        <v>NG</v>
      </c>
      <c r="FV203" s="141"/>
      <c r="FW203" s="172" t="s">
        <v>71</v>
      </c>
      <c r="FX203" s="160"/>
      <c r="FY203" s="141"/>
      <c r="FZ203" s="146" t="str">
        <f t="shared" si="407"/>
        <v xml:space="preserve">                                                                                                                                                                                                                                                                                                                                                                                                                </v>
      </c>
      <c r="GA203" s="174" t="str">
        <f t="shared" si="440"/>
        <v>NG</v>
      </c>
      <c r="GB203" s="141"/>
      <c r="GC203" s="172" t="s">
        <v>71</v>
      </c>
    </row>
    <row r="204" spans="2:185" s="52" customFormat="1" ht="89.25">
      <c r="B204" s="216">
        <f t="shared" si="408"/>
        <v>197</v>
      </c>
      <c r="C204" s="37"/>
      <c r="D204" s="37"/>
      <c r="E204" s="37"/>
      <c r="F204" s="49" t="s">
        <v>228</v>
      </c>
      <c r="G204" s="39"/>
      <c r="H204" s="40"/>
      <c r="I204" s="42"/>
      <c r="J204" s="42"/>
      <c r="K204" s="42"/>
      <c r="L204" s="42"/>
      <c r="M204" s="63" t="s">
        <v>338</v>
      </c>
      <c r="N204" s="47"/>
      <c r="O204" s="143"/>
      <c r="P204" s="45">
        <f t="shared" si="422"/>
        <v>175</v>
      </c>
      <c r="Q204" s="46">
        <v>1</v>
      </c>
      <c r="R204" s="41" t="str">
        <f t="shared" si="423"/>
        <v>X</v>
      </c>
      <c r="S204" s="185" t="s">
        <v>229</v>
      </c>
      <c r="T204" s="43"/>
      <c r="U204" s="41" t="s">
        <v>80</v>
      </c>
      <c r="V204" s="44"/>
      <c r="W204" s="22">
        <v>3</v>
      </c>
      <c r="X204" s="47" t="s">
        <v>275</v>
      </c>
      <c r="Y204" s="47">
        <v>1</v>
      </c>
      <c r="Z204" s="47">
        <v>1</v>
      </c>
      <c r="AA204" s="42" t="s">
        <v>163</v>
      </c>
      <c r="AB204" s="42" t="s">
        <v>57</v>
      </c>
      <c r="AC204" s="217"/>
      <c r="AD204" s="160"/>
      <c r="AE204" s="162"/>
      <c r="AF204" s="203" t="str">
        <f t="shared" si="383"/>
        <v xml:space="preserve"> </v>
      </c>
      <c r="AG204" s="174" t="str">
        <f t="shared" si="424"/>
        <v>NG</v>
      </c>
      <c r="AH204" s="162"/>
      <c r="AI204" s="172" t="s">
        <v>71</v>
      </c>
      <c r="AJ204" s="160"/>
      <c r="AK204" s="162"/>
      <c r="AL204" s="203" t="str">
        <f t="shared" si="382"/>
        <v xml:space="preserve"> </v>
      </c>
      <c r="AM204" s="174" t="str">
        <f t="shared" si="409"/>
        <v>NG</v>
      </c>
      <c r="AN204" s="162"/>
      <c r="AO204" s="172" t="s">
        <v>71</v>
      </c>
      <c r="AP204" s="160"/>
      <c r="AQ204" s="162"/>
      <c r="AR204" s="203" t="str">
        <f t="shared" si="384"/>
        <v xml:space="preserve"> </v>
      </c>
      <c r="AS204" s="174" t="str">
        <f t="shared" si="425"/>
        <v>NG</v>
      </c>
      <c r="AT204" s="162"/>
      <c r="AU204" s="172" t="s">
        <v>71</v>
      </c>
      <c r="AV204" s="160"/>
      <c r="AW204" s="162"/>
      <c r="AX204" s="203" t="str">
        <f t="shared" si="385"/>
        <v xml:space="preserve"> </v>
      </c>
      <c r="AY204" s="174" t="str">
        <f t="shared" si="426"/>
        <v>NG</v>
      </c>
      <c r="AZ204" s="162"/>
      <c r="BA204" s="172" t="s">
        <v>71</v>
      </c>
      <c r="BB204" s="160"/>
      <c r="BC204" s="162"/>
      <c r="BD204" s="203" t="str">
        <f t="shared" si="386"/>
        <v xml:space="preserve"> </v>
      </c>
      <c r="BE204" s="174" t="str">
        <f t="shared" si="427"/>
        <v>NG</v>
      </c>
      <c r="BF204" s="162"/>
      <c r="BG204" s="172" t="s">
        <v>71</v>
      </c>
      <c r="BH204" s="160"/>
      <c r="BI204" s="162"/>
      <c r="BJ204" s="203" t="str">
        <f t="shared" si="387"/>
        <v xml:space="preserve"> </v>
      </c>
      <c r="BK204" s="174" t="str">
        <f t="shared" si="428"/>
        <v>NG</v>
      </c>
      <c r="BL204" s="162"/>
      <c r="BM204" s="172" t="s">
        <v>71</v>
      </c>
      <c r="BN204" s="160"/>
      <c r="BO204" s="162"/>
      <c r="BP204" s="203" t="str">
        <f t="shared" si="388"/>
        <v xml:space="preserve"> </v>
      </c>
      <c r="BQ204" s="174" t="str">
        <f t="shared" si="429"/>
        <v>NG</v>
      </c>
      <c r="BR204" s="162"/>
      <c r="BS204" s="172" t="s">
        <v>71</v>
      </c>
      <c r="BT204" s="160"/>
      <c r="BU204" s="162"/>
      <c r="BV204" s="203" t="str">
        <f t="shared" si="389"/>
        <v xml:space="preserve"> </v>
      </c>
      <c r="BW204" s="174" t="str">
        <f t="shared" si="430"/>
        <v>NG</v>
      </c>
      <c r="BX204" s="162"/>
      <c r="BY204" s="172" t="s">
        <v>71</v>
      </c>
      <c r="BZ204" s="160"/>
      <c r="CA204" s="162"/>
      <c r="CB204" s="203" t="str">
        <f t="shared" si="390"/>
        <v xml:space="preserve"> </v>
      </c>
      <c r="CC204" s="174" t="str">
        <f t="shared" si="431"/>
        <v>NG</v>
      </c>
      <c r="CD204" s="162"/>
      <c r="CE204" s="172" t="s">
        <v>71</v>
      </c>
      <c r="CF204" s="160"/>
      <c r="CG204" s="162"/>
      <c r="CH204" s="203" t="str">
        <f t="shared" si="391"/>
        <v xml:space="preserve"> </v>
      </c>
      <c r="CI204" s="174" t="str">
        <f t="shared" si="432"/>
        <v>NG</v>
      </c>
      <c r="CJ204" s="162"/>
      <c r="CK204" s="172" t="s">
        <v>71</v>
      </c>
      <c r="CL204" s="160"/>
      <c r="CM204" s="162"/>
      <c r="CN204" s="203" t="str">
        <f t="shared" si="392"/>
        <v xml:space="preserve"> </v>
      </c>
      <c r="CO204" s="174" t="str">
        <f t="shared" si="433"/>
        <v>NG</v>
      </c>
      <c r="CP204" s="162"/>
      <c r="CQ204" s="172" t="s">
        <v>71</v>
      </c>
      <c r="CR204" s="160"/>
      <c r="CS204" s="162"/>
      <c r="CT204" s="203" t="str">
        <f t="shared" si="393"/>
        <v xml:space="preserve"> </v>
      </c>
      <c r="CU204" s="174" t="str">
        <f t="shared" si="434"/>
        <v>NG</v>
      </c>
      <c r="CV204" s="162"/>
      <c r="CW204" s="172" t="s">
        <v>71</v>
      </c>
      <c r="CX204" s="160"/>
      <c r="CY204" s="162"/>
      <c r="CZ204" s="203" t="str">
        <f t="shared" si="394"/>
        <v xml:space="preserve"> </v>
      </c>
      <c r="DA204" s="174" t="str">
        <f t="shared" si="435"/>
        <v>NG</v>
      </c>
      <c r="DB204" s="162"/>
      <c r="DC204" s="172" t="s">
        <v>71</v>
      </c>
      <c r="DD204" s="160"/>
      <c r="DE204" s="162"/>
      <c r="DF204" s="203" t="str">
        <f t="shared" si="395"/>
        <v xml:space="preserve"> </v>
      </c>
      <c r="DG204" s="174" t="str">
        <f t="shared" si="436"/>
        <v>NG</v>
      </c>
      <c r="DH204" s="162"/>
      <c r="DI204" s="172" t="s">
        <v>71</v>
      </c>
      <c r="DJ204" s="160"/>
      <c r="DK204" s="162"/>
      <c r="DL204" s="203" t="str">
        <f t="shared" si="396"/>
        <v xml:space="preserve"> </v>
      </c>
      <c r="DM204" s="174" t="str">
        <f t="shared" si="437"/>
        <v>NG</v>
      </c>
      <c r="DN204" s="162"/>
      <c r="DO204" s="172" t="s">
        <v>71</v>
      </c>
      <c r="DP204" s="160"/>
      <c r="DQ204" s="162"/>
      <c r="DR204" s="203" t="str">
        <f t="shared" si="397"/>
        <v xml:space="preserve"> </v>
      </c>
      <c r="DS204" s="174" t="str">
        <f t="shared" si="413"/>
        <v>NG</v>
      </c>
      <c r="DT204" s="162"/>
      <c r="DU204" s="172" t="s">
        <v>71</v>
      </c>
      <c r="DV204" s="160"/>
      <c r="DW204" s="162"/>
      <c r="DX204" s="203" t="str">
        <f t="shared" si="398"/>
        <v xml:space="preserve"> </v>
      </c>
      <c r="DY204" s="174" t="str">
        <f t="shared" si="414"/>
        <v>NG</v>
      </c>
      <c r="DZ204" s="162"/>
      <c r="EA204" s="172" t="s">
        <v>71</v>
      </c>
      <c r="EB204" s="160"/>
      <c r="EC204" s="162"/>
      <c r="ED204" s="203" t="str">
        <f t="shared" si="399"/>
        <v xml:space="preserve"> </v>
      </c>
      <c r="EE204" s="174" t="str">
        <f t="shared" si="415"/>
        <v>NG</v>
      </c>
      <c r="EF204" s="162"/>
      <c r="EG204" s="172" t="s">
        <v>71</v>
      </c>
      <c r="EH204" s="160"/>
      <c r="EI204" s="162"/>
      <c r="EJ204" s="203" t="str">
        <f t="shared" si="400"/>
        <v xml:space="preserve"> </v>
      </c>
      <c r="EK204" s="174" t="str">
        <f t="shared" si="416"/>
        <v>NG</v>
      </c>
      <c r="EL204" s="162"/>
      <c r="EM204" s="172" t="s">
        <v>71</v>
      </c>
      <c r="EN204" s="160"/>
      <c r="EO204" s="162"/>
      <c r="EP204" s="203" t="str">
        <f t="shared" si="401"/>
        <v xml:space="preserve"> </v>
      </c>
      <c r="EQ204" s="174" t="str">
        <f t="shared" si="417"/>
        <v>NG</v>
      </c>
      <c r="ER204" s="162"/>
      <c r="ES204" s="172" t="s">
        <v>71</v>
      </c>
      <c r="ET204" s="160"/>
      <c r="EU204" s="162"/>
      <c r="EV204" s="203" t="str">
        <f t="shared" si="402"/>
        <v xml:space="preserve"> </v>
      </c>
      <c r="EW204" s="174" t="str">
        <f t="shared" si="418"/>
        <v>NG</v>
      </c>
      <c r="EX204" s="162"/>
      <c r="EY204" s="172" t="s">
        <v>71</v>
      </c>
      <c r="EZ204" s="160"/>
      <c r="FA204" s="162"/>
      <c r="FB204" s="203" t="str">
        <f t="shared" si="403"/>
        <v xml:space="preserve"> </v>
      </c>
      <c r="FC204" s="174" t="str">
        <f t="shared" si="419"/>
        <v>NG</v>
      </c>
      <c r="FD204" s="162"/>
      <c r="FE204" s="172" t="s">
        <v>71</v>
      </c>
      <c r="FF204" s="160"/>
      <c r="FG204" s="162"/>
      <c r="FH204" s="203" t="str">
        <f t="shared" si="404"/>
        <v xml:space="preserve"> </v>
      </c>
      <c r="FI204" s="174" t="str">
        <f t="shared" si="420"/>
        <v>NG</v>
      </c>
      <c r="FJ204" s="162"/>
      <c r="FK204" s="172" t="s">
        <v>71</v>
      </c>
      <c r="FL204" s="160"/>
      <c r="FM204" s="162"/>
      <c r="FN204" s="203" t="str">
        <f t="shared" si="405"/>
        <v xml:space="preserve"> </v>
      </c>
      <c r="FO204" s="174" t="str">
        <f t="shared" si="438"/>
        <v>NG</v>
      </c>
      <c r="FP204" s="162"/>
      <c r="FQ204" s="172" t="s">
        <v>71</v>
      </c>
      <c r="FR204" s="160"/>
      <c r="FS204" s="162"/>
      <c r="FT204" s="203" t="str">
        <f t="shared" si="406"/>
        <v xml:space="preserve"> </v>
      </c>
      <c r="FU204" s="174" t="str">
        <f t="shared" si="439"/>
        <v>NG</v>
      </c>
      <c r="FV204" s="162"/>
      <c r="FW204" s="172" t="s">
        <v>71</v>
      </c>
      <c r="FX204" s="160"/>
      <c r="FY204" s="162"/>
      <c r="FZ204" s="203" t="str">
        <f t="shared" si="407"/>
        <v xml:space="preserve"> </v>
      </c>
      <c r="GA204" s="174" t="str">
        <f t="shared" si="440"/>
        <v>NG</v>
      </c>
      <c r="GB204" s="162"/>
      <c r="GC204" s="172" t="s">
        <v>71</v>
      </c>
    </row>
    <row r="205" spans="2:185" s="52" customFormat="1">
      <c r="B205" s="216">
        <f t="shared" si="408"/>
        <v>198</v>
      </c>
      <c r="C205" s="37"/>
      <c r="D205" s="37"/>
      <c r="E205" s="37"/>
      <c r="F205" s="49" t="s">
        <v>231</v>
      </c>
      <c r="G205" s="39"/>
      <c r="H205" s="40"/>
      <c r="I205" s="42"/>
      <c r="J205" s="42"/>
      <c r="K205" s="42"/>
      <c r="L205" s="42"/>
      <c r="M205" s="63"/>
      <c r="N205" s="47"/>
      <c r="O205" s="143"/>
      <c r="P205" s="45">
        <f t="shared" si="422"/>
        <v>176</v>
      </c>
      <c r="Q205" s="46">
        <v>128</v>
      </c>
      <c r="R205" s="41" t="str">
        <f t="shared" si="423"/>
        <v>X</v>
      </c>
      <c r="S205" s="185" t="s">
        <v>232</v>
      </c>
      <c r="T205" s="43"/>
      <c r="U205" s="41" t="s">
        <v>80</v>
      </c>
      <c r="V205" s="44"/>
      <c r="W205" s="22">
        <v>3</v>
      </c>
      <c r="X205" s="47" t="s">
        <v>276</v>
      </c>
      <c r="Y205" s="47">
        <v>1</v>
      </c>
      <c r="Z205" s="47">
        <v>128</v>
      </c>
      <c r="AA205" s="42" t="s">
        <v>163</v>
      </c>
      <c r="AB205" s="42" t="s">
        <v>57</v>
      </c>
      <c r="AC205" s="166"/>
      <c r="AD205" s="160"/>
      <c r="AE205" s="141"/>
      <c r="AF205" s="203" t="str">
        <f t="shared" si="383"/>
        <v xml:space="preserve">                                                                                                                                </v>
      </c>
      <c r="AG205" s="174" t="str">
        <f t="shared" si="424"/>
        <v>NG</v>
      </c>
      <c r="AH205" s="141"/>
      <c r="AI205" s="276" t="str">
        <f>IF(OR(AE$8="判定対象外",AH$8="判定対象外",AH205="-"),"-",IF(AE205=AH205,"OK","NG"))</f>
        <v>OK</v>
      </c>
      <c r="AJ205" s="160"/>
      <c r="AK205" s="141"/>
      <c r="AL205" s="203" t="str">
        <f t="shared" si="382"/>
        <v xml:space="preserve">                                                                                                                                </v>
      </c>
      <c r="AM205" s="174" t="str">
        <f t="shared" si="409"/>
        <v>NG</v>
      </c>
      <c r="AN205" s="141"/>
      <c r="AO205" s="276" t="str">
        <f>IF(OR(AK$8="判定対象外",AN$8="判定対象外",AN205="-"),"-",IF(AK205=AN205,"OK","NG"))</f>
        <v>OK</v>
      </c>
      <c r="AP205" s="160"/>
      <c r="AQ205" s="141"/>
      <c r="AR205" s="203" t="str">
        <f t="shared" si="384"/>
        <v xml:space="preserve">                                                                                                                                </v>
      </c>
      <c r="AS205" s="174" t="str">
        <f t="shared" si="425"/>
        <v>NG</v>
      </c>
      <c r="AT205" s="141"/>
      <c r="AU205" s="276" t="str">
        <f>IF(OR(AQ$8="判定対象外",AT$8="判定対象外",AT205="-"),"-",IF(AQ205=AT205,"OK","NG"))</f>
        <v>OK</v>
      </c>
      <c r="AV205" s="160"/>
      <c r="AW205" s="141"/>
      <c r="AX205" s="203" t="str">
        <f t="shared" si="385"/>
        <v xml:space="preserve">                                                                                                                                </v>
      </c>
      <c r="AY205" s="174" t="str">
        <f t="shared" si="426"/>
        <v>NG</v>
      </c>
      <c r="AZ205" s="141"/>
      <c r="BA205" s="276" t="str">
        <f>IF(OR(AW$8="判定対象外",AZ$8="判定対象外",AZ205="-"),"-",IF(AW205=AZ205,"OK","NG"))</f>
        <v>OK</v>
      </c>
      <c r="BB205" s="160"/>
      <c r="BC205" s="141"/>
      <c r="BD205" s="203" t="str">
        <f t="shared" si="386"/>
        <v xml:space="preserve">                                                                                                                                </v>
      </c>
      <c r="BE205" s="174" t="str">
        <f t="shared" si="427"/>
        <v>NG</v>
      </c>
      <c r="BF205" s="141"/>
      <c r="BG205" s="276" t="str">
        <f>IF(OR(BC$8="判定対象外",BF$8="判定対象外",BF205="-"),"-",IF(BC205=BF205,"OK","NG"))</f>
        <v>OK</v>
      </c>
      <c r="BH205" s="160"/>
      <c r="BI205" s="141"/>
      <c r="BJ205" s="203" t="str">
        <f t="shared" si="387"/>
        <v xml:space="preserve">                                                                                                                                </v>
      </c>
      <c r="BK205" s="174" t="str">
        <f t="shared" si="428"/>
        <v>NG</v>
      </c>
      <c r="BL205" s="141"/>
      <c r="BM205" s="276" t="str">
        <f>IF(OR(BI$8="判定対象外",BL$8="判定対象外",BL205="-"),"-",IF(BI205=BL205,"OK","NG"))</f>
        <v>OK</v>
      </c>
      <c r="BN205" s="160"/>
      <c r="BO205" s="141"/>
      <c r="BP205" s="203" t="str">
        <f t="shared" si="388"/>
        <v xml:space="preserve">                                                                                                                                </v>
      </c>
      <c r="BQ205" s="174" t="str">
        <f t="shared" si="429"/>
        <v>NG</v>
      </c>
      <c r="BR205" s="141"/>
      <c r="BS205" s="276" t="str">
        <f>IF(OR(BO$8="判定対象外",BR$8="判定対象外",BR205="-"),"-",IF(BO205=BR205,"OK","NG"))</f>
        <v>OK</v>
      </c>
      <c r="BT205" s="160"/>
      <c r="BU205" s="141"/>
      <c r="BV205" s="203" t="str">
        <f t="shared" si="389"/>
        <v xml:space="preserve">                                                                                                                                </v>
      </c>
      <c r="BW205" s="174" t="str">
        <f t="shared" si="430"/>
        <v>NG</v>
      </c>
      <c r="BX205" s="141"/>
      <c r="BY205" s="276" t="str">
        <f>IF(OR(BU$8="判定対象外",BX$8="判定対象外",BX205="-"),"-",IF(BU205=BX205,"OK","NG"))</f>
        <v>OK</v>
      </c>
      <c r="BZ205" s="160"/>
      <c r="CA205" s="141"/>
      <c r="CB205" s="203" t="str">
        <f t="shared" si="390"/>
        <v xml:space="preserve">                                                                                                                                </v>
      </c>
      <c r="CC205" s="174" t="str">
        <f t="shared" si="431"/>
        <v>NG</v>
      </c>
      <c r="CD205" s="141"/>
      <c r="CE205" s="276" t="str">
        <f>IF(OR(CA$8="判定対象外",CD$8="判定対象外",CD205="-"),"-",IF(CA205=CD205,"OK","NG"))</f>
        <v>OK</v>
      </c>
      <c r="CF205" s="160"/>
      <c r="CG205" s="141"/>
      <c r="CH205" s="203" t="str">
        <f t="shared" si="391"/>
        <v xml:space="preserve">                                                                                                                                </v>
      </c>
      <c r="CI205" s="174" t="str">
        <f t="shared" si="432"/>
        <v>NG</v>
      </c>
      <c r="CJ205" s="141"/>
      <c r="CK205" s="276" t="str">
        <f>IF(OR(CG$8="判定対象外",CJ$8="判定対象外",CJ205="-"),"-",IF(CG205=CJ205,"OK","NG"))</f>
        <v>OK</v>
      </c>
      <c r="CL205" s="160"/>
      <c r="CM205" s="141"/>
      <c r="CN205" s="203" t="str">
        <f t="shared" si="392"/>
        <v xml:space="preserve">                                                                                                                                </v>
      </c>
      <c r="CO205" s="174" t="str">
        <f t="shared" si="433"/>
        <v>NG</v>
      </c>
      <c r="CP205" s="141"/>
      <c r="CQ205" s="276" t="str">
        <f>IF(OR(CM$8="判定対象外",CP$8="判定対象外",CP205="-"),"-",IF(CM205=CP205,"OK","NG"))</f>
        <v>OK</v>
      </c>
      <c r="CR205" s="160"/>
      <c r="CS205" s="141"/>
      <c r="CT205" s="203" t="str">
        <f t="shared" si="393"/>
        <v xml:space="preserve">                                                                                                                                </v>
      </c>
      <c r="CU205" s="174" t="str">
        <f t="shared" si="434"/>
        <v>NG</v>
      </c>
      <c r="CV205" s="141"/>
      <c r="CW205" s="276" t="str">
        <f>IF(OR(CS$8="判定対象外",CV$8="判定対象外",CV205="-"),"-",IF(CS205=CV205,"OK","NG"))</f>
        <v>OK</v>
      </c>
      <c r="CX205" s="160"/>
      <c r="CY205" s="141"/>
      <c r="CZ205" s="203" t="str">
        <f t="shared" si="394"/>
        <v xml:space="preserve">                                                                                                                                </v>
      </c>
      <c r="DA205" s="174" t="str">
        <f t="shared" si="435"/>
        <v>NG</v>
      </c>
      <c r="DB205" s="141"/>
      <c r="DC205" s="276" t="str">
        <f>IF(OR(CY$8="判定対象外",DB$8="判定対象外",DB205="-"),"-",IF(CY205=DB205,"OK","NG"))</f>
        <v>OK</v>
      </c>
      <c r="DD205" s="160"/>
      <c r="DE205" s="141"/>
      <c r="DF205" s="203" t="str">
        <f t="shared" si="395"/>
        <v xml:space="preserve">                                                                                                                                </v>
      </c>
      <c r="DG205" s="174" t="str">
        <f t="shared" si="436"/>
        <v>NG</v>
      </c>
      <c r="DH205" s="141"/>
      <c r="DI205" s="276" t="str">
        <f>IF(OR(DE$8="判定対象外",DH$8="判定対象外",DH205="-"),"-",IF(DE205=DH205,"OK","NG"))</f>
        <v>OK</v>
      </c>
      <c r="DJ205" s="160"/>
      <c r="DK205" s="141"/>
      <c r="DL205" s="203" t="str">
        <f t="shared" si="396"/>
        <v xml:space="preserve">                                                                                                                                </v>
      </c>
      <c r="DM205" s="174" t="str">
        <f t="shared" si="437"/>
        <v>NG</v>
      </c>
      <c r="DN205" s="141"/>
      <c r="DO205" s="276" t="str">
        <f>IF(OR(DK$8="判定対象外",DN$8="判定対象外",DN205="-"),"-",IF(DK205=DN205,"OK","NG"))</f>
        <v>OK</v>
      </c>
      <c r="DP205" s="160"/>
      <c r="DQ205" s="141"/>
      <c r="DR205" s="203" t="str">
        <f t="shared" si="397"/>
        <v xml:space="preserve">                                                                                                                                </v>
      </c>
      <c r="DS205" s="174" t="str">
        <f t="shared" si="413"/>
        <v>NG</v>
      </c>
      <c r="DT205" s="141"/>
      <c r="DU205" s="276" t="str">
        <f>IF(OR(DQ$8="判定対象外",DT$8="判定対象外",DT205="-"),"-",IF(DQ205=DT205,"OK","NG"))</f>
        <v>OK</v>
      </c>
      <c r="DV205" s="160"/>
      <c r="DW205" s="141"/>
      <c r="DX205" s="203" t="str">
        <f t="shared" si="398"/>
        <v xml:space="preserve">                                                                                                                                </v>
      </c>
      <c r="DY205" s="174" t="str">
        <f t="shared" si="414"/>
        <v>NG</v>
      </c>
      <c r="DZ205" s="141"/>
      <c r="EA205" s="276" t="str">
        <f>IF(OR(DW$8="判定対象外",DZ$8="判定対象外",DZ205="-"),"-",IF(DW205=DZ205,"OK","NG"))</f>
        <v>OK</v>
      </c>
      <c r="EB205" s="160"/>
      <c r="EC205" s="141"/>
      <c r="ED205" s="203" t="str">
        <f t="shared" si="399"/>
        <v xml:space="preserve">                                                                                                                                </v>
      </c>
      <c r="EE205" s="174" t="str">
        <f t="shared" si="415"/>
        <v>NG</v>
      </c>
      <c r="EF205" s="141"/>
      <c r="EG205" s="276" t="str">
        <f>IF(OR(EC$8="判定対象外",EF$8="判定対象外",EF205="-"),"-",IF(EC205=EF205,"OK","NG"))</f>
        <v>OK</v>
      </c>
      <c r="EH205" s="160"/>
      <c r="EI205" s="141"/>
      <c r="EJ205" s="203" t="str">
        <f t="shared" si="400"/>
        <v xml:space="preserve">                                                                                                                                </v>
      </c>
      <c r="EK205" s="174" t="str">
        <f t="shared" si="416"/>
        <v>NG</v>
      </c>
      <c r="EL205" s="141"/>
      <c r="EM205" s="276" t="str">
        <f>IF(OR(EI$8="判定対象外",EL$8="判定対象外",EL205="-"),"-",IF(EI205=EL205,"OK","NG"))</f>
        <v>OK</v>
      </c>
      <c r="EN205" s="160"/>
      <c r="EO205" s="141"/>
      <c r="EP205" s="203" t="str">
        <f t="shared" si="401"/>
        <v xml:space="preserve">                                                                                                                                </v>
      </c>
      <c r="EQ205" s="174" t="str">
        <f t="shared" si="417"/>
        <v>NG</v>
      </c>
      <c r="ER205" s="141"/>
      <c r="ES205" s="276" t="str">
        <f>IF(OR(EO$8="判定対象外",ER$8="判定対象外",ER205="-"),"-",IF(EO205=ER205,"OK","NG"))</f>
        <v>OK</v>
      </c>
      <c r="ET205" s="160"/>
      <c r="EU205" s="141"/>
      <c r="EV205" s="203" t="str">
        <f t="shared" si="402"/>
        <v xml:space="preserve">                                                                                                                                </v>
      </c>
      <c r="EW205" s="174" t="str">
        <f t="shared" si="418"/>
        <v>NG</v>
      </c>
      <c r="EX205" s="141"/>
      <c r="EY205" s="276" t="str">
        <f>IF(OR(EU$8="判定対象外",EX$8="判定対象外",EX205="-"),"-",IF(EU205=EX205,"OK","NG"))</f>
        <v>OK</v>
      </c>
      <c r="EZ205" s="160"/>
      <c r="FA205" s="141"/>
      <c r="FB205" s="203" t="str">
        <f t="shared" si="403"/>
        <v xml:space="preserve">                                                                                                                                </v>
      </c>
      <c r="FC205" s="174" t="str">
        <f t="shared" si="419"/>
        <v>NG</v>
      </c>
      <c r="FD205" s="141"/>
      <c r="FE205" s="276" t="str">
        <f>IF(OR(FA$8="判定対象外",FD$8="判定対象外",FD205="-"),"-",IF(FA205=FD205,"OK","NG"))</f>
        <v>OK</v>
      </c>
      <c r="FF205" s="160"/>
      <c r="FG205" s="141"/>
      <c r="FH205" s="203" t="str">
        <f t="shared" si="404"/>
        <v xml:space="preserve">                                                                                                                                </v>
      </c>
      <c r="FI205" s="174" t="str">
        <f t="shared" si="420"/>
        <v>NG</v>
      </c>
      <c r="FJ205" s="141"/>
      <c r="FK205" s="276" t="str">
        <f>IF(OR(FG$8="判定対象外",FJ$8="判定対象外",FJ205="-"),"-",IF(FG205=FJ205,"OK","NG"))</f>
        <v>OK</v>
      </c>
      <c r="FL205" s="160"/>
      <c r="FM205" s="141"/>
      <c r="FN205" s="203" t="str">
        <f t="shared" si="405"/>
        <v xml:space="preserve">                                                                                                                                </v>
      </c>
      <c r="FO205" s="174" t="str">
        <f t="shared" si="438"/>
        <v>NG</v>
      </c>
      <c r="FP205" s="141"/>
      <c r="FQ205" s="276" t="str">
        <f>IF(OR(FM$8="判定対象外",FP$8="判定対象外",FP205="-"),"-",IF(FM205=FP205,"OK","NG"))</f>
        <v>OK</v>
      </c>
      <c r="FR205" s="160"/>
      <c r="FS205" s="141"/>
      <c r="FT205" s="203" t="str">
        <f t="shared" si="406"/>
        <v xml:space="preserve">                                                                                                                                </v>
      </c>
      <c r="FU205" s="174" t="str">
        <f t="shared" si="439"/>
        <v>NG</v>
      </c>
      <c r="FV205" s="141"/>
      <c r="FW205" s="276" t="str">
        <f>IF(OR(FS$8="判定対象外",FV$8="判定対象外",FV205="-"),"-",IF(FS205=FV205,"OK","NG"))</f>
        <v>OK</v>
      </c>
      <c r="FX205" s="160"/>
      <c r="FY205" s="141"/>
      <c r="FZ205" s="203" t="str">
        <f t="shared" si="407"/>
        <v xml:space="preserve">                                                                                                                                </v>
      </c>
      <c r="GA205" s="174" t="str">
        <f t="shared" si="440"/>
        <v>NG</v>
      </c>
      <c r="GB205" s="141"/>
      <c r="GC205" s="276" t="str">
        <f>IF(OR(FY$8="判定対象外",GB$8="判定対象外",GB205="-"),"-",IF(FY205=GB205,"OK","NG"))</f>
        <v>OK</v>
      </c>
    </row>
    <row r="206" spans="2:185" s="52" customFormat="1" ht="114.75">
      <c r="B206" s="216">
        <f t="shared" si="408"/>
        <v>199</v>
      </c>
      <c r="C206" s="37"/>
      <c r="D206" s="37"/>
      <c r="E206" s="37"/>
      <c r="F206" s="49" t="s">
        <v>339</v>
      </c>
      <c r="G206" s="39"/>
      <c r="H206" s="40"/>
      <c r="I206" s="42"/>
      <c r="J206" s="42"/>
      <c r="K206" s="42"/>
      <c r="L206" s="42"/>
      <c r="M206" s="63" t="s">
        <v>340</v>
      </c>
      <c r="N206" s="47"/>
      <c r="O206" s="143"/>
      <c r="P206" s="45">
        <f t="shared" si="422"/>
        <v>177</v>
      </c>
      <c r="Q206" s="46">
        <v>1</v>
      </c>
      <c r="R206" s="41" t="str">
        <f t="shared" si="423"/>
        <v>X</v>
      </c>
      <c r="S206" s="185" t="s">
        <v>234</v>
      </c>
      <c r="T206" s="43"/>
      <c r="U206" s="41" t="s">
        <v>80</v>
      </c>
      <c r="V206" s="44"/>
      <c r="W206" s="22">
        <v>3</v>
      </c>
      <c r="X206" s="47" t="s">
        <v>277</v>
      </c>
      <c r="Y206" s="47">
        <v>1</v>
      </c>
      <c r="Z206" s="47">
        <v>1</v>
      </c>
      <c r="AA206" s="42" t="s">
        <v>163</v>
      </c>
      <c r="AB206" s="42" t="s">
        <v>57</v>
      </c>
      <c r="AC206" s="217"/>
      <c r="AD206" s="160"/>
      <c r="AE206" s="162"/>
      <c r="AF206" s="203" t="str">
        <f t="shared" si="383"/>
        <v xml:space="preserve"> </v>
      </c>
      <c r="AG206" s="174" t="str">
        <f t="shared" si="424"/>
        <v>NG</v>
      </c>
      <c r="AH206" s="162"/>
      <c r="AI206" s="172" t="s">
        <v>71</v>
      </c>
      <c r="AJ206" s="160"/>
      <c r="AK206" s="162"/>
      <c r="AL206" s="203" t="str">
        <f t="shared" ref="AL206:AL269" si="441">IF(AN206="-","-",AN206&amp;REPT(IF($R206="N","　",IF($R206="9","0"," ")),$Z206-LENB(AN206)))</f>
        <v xml:space="preserve"> </v>
      </c>
      <c r="AM206" s="174" t="str">
        <f t="shared" si="409"/>
        <v>NG</v>
      </c>
      <c r="AN206" s="162"/>
      <c r="AO206" s="172" t="s">
        <v>71</v>
      </c>
      <c r="AP206" s="160"/>
      <c r="AQ206" s="162"/>
      <c r="AR206" s="203" t="str">
        <f t="shared" si="384"/>
        <v xml:space="preserve"> </v>
      </c>
      <c r="AS206" s="174" t="str">
        <f t="shared" si="425"/>
        <v>NG</v>
      </c>
      <c r="AT206" s="162"/>
      <c r="AU206" s="172" t="s">
        <v>71</v>
      </c>
      <c r="AV206" s="160"/>
      <c r="AW206" s="162"/>
      <c r="AX206" s="203" t="str">
        <f t="shared" si="385"/>
        <v xml:space="preserve"> </v>
      </c>
      <c r="AY206" s="174" t="str">
        <f t="shared" si="426"/>
        <v>NG</v>
      </c>
      <c r="AZ206" s="162"/>
      <c r="BA206" s="172" t="s">
        <v>71</v>
      </c>
      <c r="BB206" s="160"/>
      <c r="BC206" s="162"/>
      <c r="BD206" s="203" t="str">
        <f t="shared" si="386"/>
        <v xml:space="preserve"> </v>
      </c>
      <c r="BE206" s="174" t="str">
        <f t="shared" si="427"/>
        <v>NG</v>
      </c>
      <c r="BF206" s="162"/>
      <c r="BG206" s="172" t="s">
        <v>71</v>
      </c>
      <c r="BH206" s="160"/>
      <c r="BI206" s="162"/>
      <c r="BJ206" s="203" t="str">
        <f t="shared" si="387"/>
        <v xml:space="preserve"> </v>
      </c>
      <c r="BK206" s="174" t="str">
        <f t="shared" si="428"/>
        <v>NG</v>
      </c>
      <c r="BL206" s="162"/>
      <c r="BM206" s="172" t="s">
        <v>71</v>
      </c>
      <c r="BN206" s="160"/>
      <c r="BO206" s="162"/>
      <c r="BP206" s="203" t="str">
        <f t="shared" si="388"/>
        <v xml:space="preserve"> </v>
      </c>
      <c r="BQ206" s="174" t="str">
        <f t="shared" si="429"/>
        <v>NG</v>
      </c>
      <c r="BR206" s="162"/>
      <c r="BS206" s="172" t="s">
        <v>71</v>
      </c>
      <c r="BT206" s="160"/>
      <c r="BU206" s="162"/>
      <c r="BV206" s="203" t="str">
        <f t="shared" si="389"/>
        <v xml:space="preserve"> </v>
      </c>
      <c r="BW206" s="174" t="str">
        <f t="shared" si="430"/>
        <v>NG</v>
      </c>
      <c r="BX206" s="162"/>
      <c r="BY206" s="172" t="s">
        <v>71</v>
      </c>
      <c r="BZ206" s="160"/>
      <c r="CA206" s="162"/>
      <c r="CB206" s="203" t="str">
        <f t="shared" si="390"/>
        <v xml:space="preserve"> </v>
      </c>
      <c r="CC206" s="174" t="str">
        <f t="shared" si="431"/>
        <v>NG</v>
      </c>
      <c r="CD206" s="162"/>
      <c r="CE206" s="172" t="s">
        <v>71</v>
      </c>
      <c r="CF206" s="160"/>
      <c r="CG206" s="162"/>
      <c r="CH206" s="203" t="str">
        <f t="shared" si="391"/>
        <v xml:space="preserve"> </v>
      </c>
      <c r="CI206" s="174" t="str">
        <f t="shared" si="432"/>
        <v>NG</v>
      </c>
      <c r="CJ206" s="162"/>
      <c r="CK206" s="172" t="s">
        <v>71</v>
      </c>
      <c r="CL206" s="160"/>
      <c r="CM206" s="162"/>
      <c r="CN206" s="203" t="str">
        <f t="shared" si="392"/>
        <v xml:space="preserve"> </v>
      </c>
      <c r="CO206" s="174" t="str">
        <f t="shared" si="433"/>
        <v>NG</v>
      </c>
      <c r="CP206" s="162"/>
      <c r="CQ206" s="172" t="s">
        <v>71</v>
      </c>
      <c r="CR206" s="160"/>
      <c r="CS206" s="162"/>
      <c r="CT206" s="203" t="str">
        <f t="shared" si="393"/>
        <v xml:space="preserve"> </v>
      </c>
      <c r="CU206" s="174" t="str">
        <f t="shared" si="434"/>
        <v>NG</v>
      </c>
      <c r="CV206" s="162"/>
      <c r="CW206" s="172" t="s">
        <v>71</v>
      </c>
      <c r="CX206" s="160"/>
      <c r="CY206" s="162"/>
      <c r="CZ206" s="203" t="str">
        <f t="shared" si="394"/>
        <v xml:space="preserve"> </v>
      </c>
      <c r="DA206" s="174" t="str">
        <f t="shared" si="435"/>
        <v>NG</v>
      </c>
      <c r="DB206" s="162"/>
      <c r="DC206" s="172" t="s">
        <v>71</v>
      </c>
      <c r="DD206" s="160"/>
      <c r="DE206" s="162"/>
      <c r="DF206" s="203" t="str">
        <f t="shared" si="395"/>
        <v xml:space="preserve"> </v>
      </c>
      <c r="DG206" s="174" t="str">
        <f t="shared" si="436"/>
        <v>NG</v>
      </c>
      <c r="DH206" s="162"/>
      <c r="DI206" s="172" t="s">
        <v>71</v>
      </c>
      <c r="DJ206" s="160"/>
      <c r="DK206" s="162"/>
      <c r="DL206" s="203" t="str">
        <f t="shared" si="396"/>
        <v xml:space="preserve"> </v>
      </c>
      <c r="DM206" s="174" t="str">
        <f t="shared" si="437"/>
        <v>NG</v>
      </c>
      <c r="DN206" s="162"/>
      <c r="DO206" s="172" t="s">
        <v>71</v>
      </c>
      <c r="DP206" s="160"/>
      <c r="DQ206" s="162"/>
      <c r="DR206" s="203" t="str">
        <f t="shared" si="397"/>
        <v xml:space="preserve"> </v>
      </c>
      <c r="DS206" s="174" t="str">
        <f t="shared" si="413"/>
        <v>NG</v>
      </c>
      <c r="DT206" s="162"/>
      <c r="DU206" s="172" t="s">
        <v>71</v>
      </c>
      <c r="DV206" s="160"/>
      <c r="DW206" s="162"/>
      <c r="DX206" s="203" t="str">
        <f t="shared" si="398"/>
        <v xml:space="preserve"> </v>
      </c>
      <c r="DY206" s="174" t="str">
        <f t="shared" si="414"/>
        <v>NG</v>
      </c>
      <c r="DZ206" s="162"/>
      <c r="EA206" s="172" t="s">
        <v>71</v>
      </c>
      <c r="EB206" s="160"/>
      <c r="EC206" s="162"/>
      <c r="ED206" s="203" t="str">
        <f t="shared" si="399"/>
        <v xml:space="preserve"> </v>
      </c>
      <c r="EE206" s="174" t="str">
        <f t="shared" si="415"/>
        <v>NG</v>
      </c>
      <c r="EF206" s="162"/>
      <c r="EG206" s="172" t="s">
        <v>71</v>
      </c>
      <c r="EH206" s="160"/>
      <c r="EI206" s="162"/>
      <c r="EJ206" s="203" t="str">
        <f t="shared" si="400"/>
        <v xml:space="preserve"> </v>
      </c>
      <c r="EK206" s="174" t="str">
        <f t="shared" si="416"/>
        <v>NG</v>
      </c>
      <c r="EL206" s="162"/>
      <c r="EM206" s="172" t="s">
        <v>71</v>
      </c>
      <c r="EN206" s="160"/>
      <c r="EO206" s="162"/>
      <c r="EP206" s="203" t="str">
        <f t="shared" si="401"/>
        <v xml:space="preserve"> </v>
      </c>
      <c r="EQ206" s="174" t="str">
        <f t="shared" si="417"/>
        <v>NG</v>
      </c>
      <c r="ER206" s="162"/>
      <c r="ES206" s="172" t="s">
        <v>71</v>
      </c>
      <c r="ET206" s="160"/>
      <c r="EU206" s="162"/>
      <c r="EV206" s="203" t="str">
        <f t="shared" si="402"/>
        <v xml:space="preserve"> </v>
      </c>
      <c r="EW206" s="174" t="str">
        <f t="shared" si="418"/>
        <v>NG</v>
      </c>
      <c r="EX206" s="162"/>
      <c r="EY206" s="172" t="s">
        <v>71</v>
      </c>
      <c r="EZ206" s="160"/>
      <c r="FA206" s="162"/>
      <c r="FB206" s="203" t="str">
        <f t="shared" si="403"/>
        <v xml:space="preserve"> </v>
      </c>
      <c r="FC206" s="174" t="str">
        <f t="shared" si="419"/>
        <v>NG</v>
      </c>
      <c r="FD206" s="162"/>
      <c r="FE206" s="172" t="s">
        <v>71</v>
      </c>
      <c r="FF206" s="160"/>
      <c r="FG206" s="162"/>
      <c r="FH206" s="203" t="str">
        <f t="shared" si="404"/>
        <v xml:space="preserve"> </v>
      </c>
      <c r="FI206" s="174" t="str">
        <f t="shared" si="420"/>
        <v>NG</v>
      </c>
      <c r="FJ206" s="162"/>
      <c r="FK206" s="172" t="s">
        <v>71</v>
      </c>
      <c r="FL206" s="160"/>
      <c r="FM206" s="162"/>
      <c r="FN206" s="203" t="str">
        <f t="shared" si="405"/>
        <v xml:space="preserve"> </v>
      </c>
      <c r="FO206" s="174" t="str">
        <f t="shared" si="438"/>
        <v>NG</v>
      </c>
      <c r="FP206" s="162"/>
      <c r="FQ206" s="172" t="s">
        <v>71</v>
      </c>
      <c r="FR206" s="160"/>
      <c r="FS206" s="162"/>
      <c r="FT206" s="203" t="str">
        <f t="shared" si="406"/>
        <v xml:space="preserve"> </v>
      </c>
      <c r="FU206" s="174" t="str">
        <f t="shared" si="439"/>
        <v>NG</v>
      </c>
      <c r="FV206" s="162"/>
      <c r="FW206" s="172" t="s">
        <v>71</v>
      </c>
      <c r="FX206" s="160"/>
      <c r="FY206" s="162"/>
      <c r="FZ206" s="203" t="str">
        <f t="shared" si="407"/>
        <v xml:space="preserve"> </v>
      </c>
      <c r="GA206" s="174" t="str">
        <f t="shared" si="440"/>
        <v>NG</v>
      </c>
      <c r="GB206" s="162"/>
      <c r="GC206" s="172" t="s">
        <v>71</v>
      </c>
    </row>
    <row r="207" spans="2:185" s="52" customFormat="1" ht="127.5">
      <c r="B207" s="216">
        <f t="shared" si="408"/>
        <v>200</v>
      </c>
      <c r="C207" s="37"/>
      <c r="D207" s="37"/>
      <c r="E207" s="37"/>
      <c r="F207" s="49" t="s">
        <v>341</v>
      </c>
      <c r="G207" s="39"/>
      <c r="H207" s="40"/>
      <c r="I207" s="42"/>
      <c r="J207" s="42" t="s">
        <v>316</v>
      </c>
      <c r="K207" s="42"/>
      <c r="L207" s="42"/>
      <c r="M207" s="163" t="s">
        <v>342</v>
      </c>
      <c r="N207" s="47"/>
      <c r="O207" s="143"/>
      <c r="P207" s="45">
        <f t="shared" si="422"/>
        <v>178</v>
      </c>
      <c r="Q207" s="46">
        <v>1</v>
      </c>
      <c r="R207" s="41" t="str">
        <f t="shared" si="423"/>
        <v>X</v>
      </c>
      <c r="S207" s="185" t="s">
        <v>236</v>
      </c>
      <c r="T207" s="43"/>
      <c r="U207" s="41" t="s">
        <v>80</v>
      </c>
      <c r="V207" s="44"/>
      <c r="W207" s="22">
        <v>3</v>
      </c>
      <c r="X207" s="47" t="s">
        <v>278</v>
      </c>
      <c r="Y207" s="47">
        <v>1</v>
      </c>
      <c r="Z207" s="47">
        <v>1</v>
      </c>
      <c r="AA207" s="42" t="s">
        <v>163</v>
      </c>
      <c r="AB207" s="42" t="s">
        <v>57</v>
      </c>
      <c r="AC207" s="217"/>
      <c r="AD207" s="160"/>
      <c r="AE207" s="162"/>
      <c r="AF207" s="203" t="str">
        <f t="shared" si="383"/>
        <v xml:space="preserve"> </v>
      </c>
      <c r="AG207" s="174" t="str">
        <f t="shared" si="424"/>
        <v>NG</v>
      </c>
      <c r="AH207" s="162"/>
      <c r="AI207" s="276" t="str">
        <f>IF(OR(AE$8="判定対象外",AH$8="判定対象外",AH207="-"),"-",IF(AE207=AH207,"OK","NG"))</f>
        <v>OK</v>
      </c>
      <c r="AJ207" s="160"/>
      <c r="AK207" s="162"/>
      <c r="AL207" s="203" t="str">
        <f t="shared" si="441"/>
        <v xml:space="preserve"> </v>
      </c>
      <c r="AM207" s="174" t="str">
        <f t="shared" si="409"/>
        <v>NG</v>
      </c>
      <c r="AN207" s="162"/>
      <c r="AO207" s="276" t="str">
        <f>IF(OR(AK$8="判定対象外",AN$8="判定対象外",AN207="-"),"-",IF(AK207=AN207,"OK","NG"))</f>
        <v>OK</v>
      </c>
      <c r="AP207" s="160"/>
      <c r="AQ207" s="162"/>
      <c r="AR207" s="203" t="str">
        <f t="shared" si="384"/>
        <v xml:space="preserve"> </v>
      </c>
      <c r="AS207" s="174" t="str">
        <f t="shared" si="425"/>
        <v>NG</v>
      </c>
      <c r="AT207" s="162"/>
      <c r="AU207" s="276" t="str">
        <f>IF(OR(AQ$8="判定対象外",AT$8="判定対象外",AT207="-"),"-",IF(AQ207=AT207,"OK","NG"))</f>
        <v>OK</v>
      </c>
      <c r="AV207" s="160"/>
      <c r="AW207" s="162"/>
      <c r="AX207" s="203" t="str">
        <f t="shared" si="385"/>
        <v xml:space="preserve"> </v>
      </c>
      <c r="AY207" s="174" t="str">
        <f t="shared" si="426"/>
        <v>NG</v>
      </c>
      <c r="AZ207" s="162"/>
      <c r="BA207" s="276" t="str">
        <f>IF(OR(AW$8="判定対象外",AZ$8="判定対象外",AZ207="-"),"-",IF(AW207=AZ207,"OK","NG"))</f>
        <v>OK</v>
      </c>
      <c r="BB207" s="160"/>
      <c r="BC207" s="162"/>
      <c r="BD207" s="203" t="str">
        <f t="shared" si="386"/>
        <v xml:space="preserve"> </v>
      </c>
      <c r="BE207" s="174" t="str">
        <f t="shared" si="427"/>
        <v>NG</v>
      </c>
      <c r="BF207" s="162"/>
      <c r="BG207" s="276" t="str">
        <f>IF(OR(BC$8="判定対象外",BF$8="判定対象外",BF207="-"),"-",IF(BC207=BF207,"OK","NG"))</f>
        <v>OK</v>
      </c>
      <c r="BH207" s="160"/>
      <c r="BI207" s="162"/>
      <c r="BJ207" s="203" t="str">
        <f t="shared" si="387"/>
        <v xml:space="preserve"> </v>
      </c>
      <c r="BK207" s="174" t="str">
        <f t="shared" si="428"/>
        <v>NG</v>
      </c>
      <c r="BL207" s="162"/>
      <c r="BM207" s="276" t="str">
        <f>IF(OR(BI$8="判定対象外",BL$8="判定対象外",BL207="-"),"-",IF(BI207=BL207,"OK","NG"))</f>
        <v>OK</v>
      </c>
      <c r="BN207" s="160"/>
      <c r="BO207" s="162"/>
      <c r="BP207" s="203" t="str">
        <f t="shared" si="388"/>
        <v xml:space="preserve"> </v>
      </c>
      <c r="BQ207" s="174" t="str">
        <f t="shared" si="429"/>
        <v>NG</v>
      </c>
      <c r="BR207" s="162"/>
      <c r="BS207" s="276" t="str">
        <f>IF(OR(BO$8="判定対象外",BR$8="判定対象外",BR207="-"),"-",IF(BO207=BR207,"OK","NG"))</f>
        <v>OK</v>
      </c>
      <c r="BT207" s="160"/>
      <c r="BU207" s="162"/>
      <c r="BV207" s="203" t="str">
        <f t="shared" si="389"/>
        <v xml:space="preserve"> </v>
      </c>
      <c r="BW207" s="174" t="str">
        <f t="shared" si="430"/>
        <v>NG</v>
      </c>
      <c r="BX207" s="162"/>
      <c r="BY207" s="276" t="str">
        <f>IF(OR(BU$8="判定対象外",BX$8="判定対象外",BX207="-"),"-",IF(BU207=BX207,"OK","NG"))</f>
        <v>OK</v>
      </c>
      <c r="BZ207" s="160"/>
      <c r="CA207" s="162"/>
      <c r="CB207" s="203" t="str">
        <f t="shared" si="390"/>
        <v xml:space="preserve"> </v>
      </c>
      <c r="CC207" s="174" t="str">
        <f t="shared" si="431"/>
        <v>NG</v>
      </c>
      <c r="CD207" s="162"/>
      <c r="CE207" s="276" t="str">
        <f>IF(OR(CA$8="判定対象外",CD$8="判定対象外",CD207="-"),"-",IF(CA207=CD207,"OK","NG"))</f>
        <v>OK</v>
      </c>
      <c r="CF207" s="160"/>
      <c r="CG207" s="162"/>
      <c r="CH207" s="203" t="str">
        <f t="shared" si="391"/>
        <v xml:space="preserve"> </v>
      </c>
      <c r="CI207" s="174" t="str">
        <f t="shared" si="432"/>
        <v>NG</v>
      </c>
      <c r="CJ207" s="162"/>
      <c r="CK207" s="276" t="str">
        <f>IF(OR(CG$8="判定対象外",CJ$8="判定対象外",CJ207="-"),"-",IF(CG207=CJ207,"OK","NG"))</f>
        <v>OK</v>
      </c>
      <c r="CL207" s="160"/>
      <c r="CM207" s="162"/>
      <c r="CN207" s="203" t="str">
        <f t="shared" si="392"/>
        <v xml:space="preserve"> </v>
      </c>
      <c r="CO207" s="174" t="str">
        <f t="shared" si="433"/>
        <v>NG</v>
      </c>
      <c r="CP207" s="162"/>
      <c r="CQ207" s="276" t="str">
        <f>IF(OR(CM$8="判定対象外",CP$8="判定対象外",CP207="-"),"-",IF(CM207=CP207,"OK","NG"))</f>
        <v>OK</v>
      </c>
      <c r="CR207" s="160"/>
      <c r="CS207" s="162"/>
      <c r="CT207" s="203" t="str">
        <f t="shared" si="393"/>
        <v xml:space="preserve"> </v>
      </c>
      <c r="CU207" s="174" t="str">
        <f t="shared" si="434"/>
        <v>NG</v>
      </c>
      <c r="CV207" s="162"/>
      <c r="CW207" s="276" t="str">
        <f>IF(OR(CS$8="判定対象外",CV$8="判定対象外",CV207="-"),"-",IF(CS207=CV207,"OK","NG"))</f>
        <v>OK</v>
      </c>
      <c r="CX207" s="160"/>
      <c r="CY207" s="162"/>
      <c r="CZ207" s="203" t="str">
        <f t="shared" si="394"/>
        <v xml:space="preserve"> </v>
      </c>
      <c r="DA207" s="174" t="str">
        <f t="shared" si="435"/>
        <v>NG</v>
      </c>
      <c r="DB207" s="162"/>
      <c r="DC207" s="276" t="str">
        <f>IF(OR(CY$8="判定対象外",DB$8="判定対象外",DB207="-"),"-",IF(CY207=DB207,"OK","NG"))</f>
        <v>OK</v>
      </c>
      <c r="DD207" s="160"/>
      <c r="DE207" s="162"/>
      <c r="DF207" s="203" t="str">
        <f t="shared" si="395"/>
        <v xml:space="preserve"> </v>
      </c>
      <c r="DG207" s="174" t="str">
        <f t="shared" si="436"/>
        <v>NG</v>
      </c>
      <c r="DH207" s="162"/>
      <c r="DI207" s="276" t="str">
        <f>IF(OR(DE$8="判定対象外",DH$8="判定対象外",DH207="-"),"-",IF(DE207=DH207,"OK","NG"))</f>
        <v>OK</v>
      </c>
      <c r="DJ207" s="160"/>
      <c r="DK207" s="162"/>
      <c r="DL207" s="203" t="str">
        <f t="shared" si="396"/>
        <v xml:space="preserve"> </v>
      </c>
      <c r="DM207" s="174" t="str">
        <f t="shared" si="437"/>
        <v>NG</v>
      </c>
      <c r="DN207" s="162"/>
      <c r="DO207" s="276" t="str">
        <f>IF(OR(DK$8="判定対象外",DN$8="判定対象外",DN207="-"),"-",IF(DK207=DN207,"OK","NG"))</f>
        <v>OK</v>
      </c>
      <c r="DP207" s="160"/>
      <c r="DQ207" s="162"/>
      <c r="DR207" s="203" t="str">
        <f t="shared" si="397"/>
        <v xml:space="preserve"> </v>
      </c>
      <c r="DS207" s="174" t="str">
        <f t="shared" si="413"/>
        <v>NG</v>
      </c>
      <c r="DT207" s="162"/>
      <c r="DU207" s="276" t="str">
        <f>IF(OR(DQ$8="判定対象外",DT$8="判定対象外",DT207="-"),"-",IF(DQ207=DT207,"OK","NG"))</f>
        <v>OK</v>
      </c>
      <c r="DV207" s="160"/>
      <c r="DW207" s="162"/>
      <c r="DX207" s="203" t="str">
        <f t="shared" si="398"/>
        <v xml:space="preserve"> </v>
      </c>
      <c r="DY207" s="174" t="str">
        <f t="shared" si="414"/>
        <v>NG</v>
      </c>
      <c r="DZ207" s="162"/>
      <c r="EA207" s="276" t="str">
        <f>IF(OR(DW$8="判定対象外",DZ$8="判定対象外",DZ207="-"),"-",IF(DW207=DZ207,"OK","NG"))</f>
        <v>OK</v>
      </c>
      <c r="EB207" s="160"/>
      <c r="EC207" s="162"/>
      <c r="ED207" s="203" t="str">
        <f t="shared" si="399"/>
        <v xml:space="preserve"> </v>
      </c>
      <c r="EE207" s="174" t="str">
        <f t="shared" si="415"/>
        <v>NG</v>
      </c>
      <c r="EF207" s="162"/>
      <c r="EG207" s="276" t="str">
        <f>IF(OR(EC$8="判定対象外",EF$8="判定対象外",EF207="-"),"-",IF(EC207=EF207,"OK","NG"))</f>
        <v>OK</v>
      </c>
      <c r="EH207" s="160"/>
      <c r="EI207" s="162"/>
      <c r="EJ207" s="203" t="str">
        <f t="shared" si="400"/>
        <v xml:space="preserve"> </v>
      </c>
      <c r="EK207" s="174" t="str">
        <f t="shared" si="416"/>
        <v>NG</v>
      </c>
      <c r="EL207" s="162"/>
      <c r="EM207" s="276" t="str">
        <f>IF(OR(EI$8="判定対象外",EL$8="判定対象外",EL207="-"),"-",IF(EI207=EL207,"OK","NG"))</f>
        <v>OK</v>
      </c>
      <c r="EN207" s="160"/>
      <c r="EO207" s="162"/>
      <c r="EP207" s="203" t="str">
        <f t="shared" si="401"/>
        <v xml:space="preserve"> </v>
      </c>
      <c r="EQ207" s="174" t="str">
        <f t="shared" si="417"/>
        <v>NG</v>
      </c>
      <c r="ER207" s="162"/>
      <c r="ES207" s="276" t="str">
        <f>IF(OR(EO$8="判定対象外",ER$8="判定対象外",ER207="-"),"-",IF(EO207=ER207,"OK","NG"))</f>
        <v>OK</v>
      </c>
      <c r="ET207" s="160"/>
      <c r="EU207" s="162"/>
      <c r="EV207" s="203" t="str">
        <f t="shared" si="402"/>
        <v xml:space="preserve"> </v>
      </c>
      <c r="EW207" s="174" t="str">
        <f t="shared" si="418"/>
        <v>NG</v>
      </c>
      <c r="EX207" s="162"/>
      <c r="EY207" s="276" t="str">
        <f>IF(OR(EU$8="判定対象外",EX$8="判定対象外",EX207="-"),"-",IF(EU207=EX207,"OK","NG"))</f>
        <v>OK</v>
      </c>
      <c r="EZ207" s="160"/>
      <c r="FA207" s="162"/>
      <c r="FB207" s="203" t="str">
        <f t="shared" si="403"/>
        <v xml:space="preserve"> </v>
      </c>
      <c r="FC207" s="174" t="str">
        <f t="shared" si="419"/>
        <v>NG</v>
      </c>
      <c r="FD207" s="162"/>
      <c r="FE207" s="276" t="str">
        <f>IF(OR(FA$8="判定対象外",FD$8="判定対象外",FD207="-"),"-",IF(FA207=FD207,"OK","NG"))</f>
        <v>OK</v>
      </c>
      <c r="FF207" s="160"/>
      <c r="FG207" s="162"/>
      <c r="FH207" s="203" t="str">
        <f t="shared" si="404"/>
        <v xml:space="preserve"> </v>
      </c>
      <c r="FI207" s="174" t="str">
        <f t="shared" si="420"/>
        <v>NG</v>
      </c>
      <c r="FJ207" s="162"/>
      <c r="FK207" s="276" t="str">
        <f>IF(OR(FG$8="判定対象外",FJ$8="判定対象外",FJ207="-"),"-",IF(FG207=FJ207,"OK","NG"))</f>
        <v>OK</v>
      </c>
      <c r="FL207" s="160"/>
      <c r="FM207" s="162"/>
      <c r="FN207" s="203" t="str">
        <f t="shared" si="405"/>
        <v xml:space="preserve"> </v>
      </c>
      <c r="FO207" s="174" t="str">
        <f t="shared" si="438"/>
        <v>NG</v>
      </c>
      <c r="FP207" s="162"/>
      <c r="FQ207" s="276" t="str">
        <f>IF(OR(FM$8="判定対象外",FP$8="判定対象外",FP207="-"),"-",IF(FM207=FP207,"OK","NG"))</f>
        <v>OK</v>
      </c>
      <c r="FR207" s="160"/>
      <c r="FS207" s="162"/>
      <c r="FT207" s="203" t="str">
        <f t="shared" si="406"/>
        <v xml:space="preserve"> </v>
      </c>
      <c r="FU207" s="174" t="str">
        <f t="shared" si="439"/>
        <v>NG</v>
      </c>
      <c r="FV207" s="162"/>
      <c r="FW207" s="276" t="str">
        <f>IF(OR(FS$8="判定対象外",FV$8="判定対象外",FV207="-"),"-",IF(FS207=FV207,"OK","NG"))</f>
        <v>OK</v>
      </c>
      <c r="FX207" s="160"/>
      <c r="FY207" s="162"/>
      <c r="FZ207" s="203" t="str">
        <f t="shared" si="407"/>
        <v xml:space="preserve"> </v>
      </c>
      <c r="GA207" s="174" t="str">
        <f t="shared" si="440"/>
        <v>NG</v>
      </c>
      <c r="GB207" s="162"/>
      <c r="GC207" s="276" t="str">
        <f>IF(OR(FY$8="判定対象外",GB$8="判定対象外",GB207="-"),"-",IF(FY207=GB207,"OK","NG"))</f>
        <v>OK</v>
      </c>
    </row>
    <row r="208" spans="2:185" s="52" customFormat="1" ht="319.5" customHeight="1">
      <c r="B208" s="216">
        <f t="shared" si="408"/>
        <v>201</v>
      </c>
      <c r="C208" s="37"/>
      <c r="D208" s="37"/>
      <c r="E208" s="25"/>
      <c r="F208" s="218" t="s">
        <v>288</v>
      </c>
      <c r="G208" s="27"/>
      <c r="H208" s="28"/>
      <c r="I208" s="42"/>
      <c r="J208" s="42" t="s">
        <v>316</v>
      </c>
      <c r="K208" s="42"/>
      <c r="L208" s="42"/>
      <c r="M208" s="161" t="s">
        <v>343</v>
      </c>
      <c r="N208" s="39"/>
      <c r="O208" s="143"/>
      <c r="P208" s="45">
        <f t="shared" si="422"/>
        <v>179</v>
      </c>
      <c r="Q208" s="46">
        <v>2</v>
      </c>
      <c r="R208" s="41" t="str">
        <f t="shared" si="423"/>
        <v>X</v>
      </c>
      <c r="S208" s="185" t="s">
        <v>238</v>
      </c>
      <c r="T208" s="43"/>
      <c r="U208" s="41" t="s">
        <v>80</v>
      </c>
      <c r="V208" s="44"/>
      <c r="W208" s="22">
        <v>3</v>
      </c>
      <c r="X208" s="47" t="s">
        <v>279</v>
      </c>
      <c r="Y208" s="47">
        <v>2</v>
      </c>
      <c r="Z208" s="47">
        <v>2</v>
      </c>
      <c r="AA208" s="42" t="s">
        <v>273</v>
      </c>
      <c r="AB208" s="42" t="s">
        <v>266</v>
      </c>
      <c r="AC208" s="164"/>
      <c r="AD208" s="160"/>
      <c r="AE208" s="162"/>
      <c r="AF208" s="167" t="str">
        <f t="shared" si="383"/>
        <v xml:space="preserve">  </v>
      </c>
      <c r="AG208" s="174" t="str">
        <f t="shared" si="424"/>
        <v>NG</v>
      </c>
      <c r="AH208" s="162"/>
      <c r="AI208" s="276" t="str">
        <f>IF(OR(AE$8="判定対象外",AH$8="判定対象外",AH208="-"),"-",IF(AE208=AH208,"OK","NG"))</f>
        <v>OK</v>
      </c>
      <c r="AJ208" s="160"/>
      <c r="AK208" s="162"/>
      <c r="AL208" s="167" t="str">
        <f t="shared" si="441"/>
        <v xml:space="preserve">  </v>
      </c>
      <c r="AM208" s="174" t="str">
        <f t="shared" si="409"/>
        <v>NG</v>
      </c>
      <c r="AN208" s="162"/>
      <c r="AO208" s="276" t="str">
        <f>IF(OR(AK$8="判定対象外",AN$8="判定対象外",AN208="-"),"-",IF(AK208=AN208,"OK","NG"))</f>
        <v>OK</v>
      </c>
      <c r="AP208" s="160"/>
      <c r="AQ208" s="162"/>
      <c r="AR208" s="167" t="str">
        <f t="shared" si="384"/>
        <v xml:space="preserve">  </v>
      </c>
      <c r="AS208" s="174" t="str">
        <f t="shared" si="425"/>
        <v>NG</v>
      </c>
      <c r="AT208" s="162"/>
      <c r="AU208" s="276" t="str">
        <f>IF(OR(AQ$8="判定対象外",AT$8="判定対象外",AT208="-"),"-",IF(AQ208=AT208,"OK","NG"))</f>
        <v>OK</v>
      </c>
      <c r="AV208" s="160"/>
      <c r="AW208" s="162"/>
      <c r="AX208" s="167" t="str">
        <f t="shared" si="385"/>
        <v xml:space="preserve">  </v>
      </c>
      <c r="AY208" s="174" t="str">
        <f t="shared" si="426"/>
        <v>NG</v>
      </c>
      <c r="AZ208" s="162"/>
      <c r="BA208" s="276" t="str">
        <f>IF(OR(AW$8="判定対象外",AZ$8="判定対象外",AZ208="-"),"-",IF(AW208=AZ208,"OK","NG"))</f>
        <v>OK</v>
      </c>
      <c r="BB208" s="160"/>
      <c r="BC208" s="162"/>
      <c r="BD208" s="167" t="str">
        <f t="shared" si="386"/>
        <v xml:space="preserve">  </v>
      </c>
      <c r="BE208" s="174" t="str">
        <f t="shared" si="427"/>
        <v>NG</v>
      </c>
      <c r="BF208" s="162"/>
      <c r="BG208" s="276" t="str">
        <f>IF(OR(BC$8="判定対象外",BF$8="判定対象外",BF208="-"),"-",IF(BC208=BF208,"OK","NG"))</f>
        <v>OK</v>
      </c>
      <c r="BH208" s="160"/>
      <c r="BI208" s="162"/>
      <c r="BJ208" s="167" t="str">
        <f t="shared" si="387"/>
        <v xml:space="preserve">  </v>
      </c>
      <c r="BK208" s="174" t="str">
        <f t="shared" si="428"/>
        <v>NG</v>
      </c>
      <c r="BL208" s="162"/>
      <c r="BM208" s="276" t="str">
        <f>IF(OR(BI$8="判定対象外",BL$8="判定対象外",BL208="-"),"-",IF(BI208=BL208,"OK","NG"))</f>
        <v>OK</v>
      </c>
      <c r="BN208" s="160"/>
      <c r="BO208" s="162"/>
      <c r="BP208" s="167" t="str">
        <f t="shared" si="388"/>
        <v xml:space="preserve">  </v>
      </c>
      <c r="BQ208" s="174" t="str">
        <f t="shared" si="429"/>
        <v>NG</v>
      </c>
      <c r="BR208" s="162"/>
      <c r="BS208" s="276" t="str">
        <f>IF(OR(BO$8="判定対象外",BR$8="判定対象外",BR208="-"),"-",IF(BO208=BR208,"OK","NG"))</f>
        <v>OK</v>
      </c>
      <c r="BT208" s="160"/>
      <c r="BU208" s="162"/>
      <c r="BV208" s="167" t="str">
        <f t="shared" si="389"/>
        <v xml:space="preserve">  </v>
      </c>
      <c r="BW208" s="174" t="str">
        <f t="shared" si="430"/>
        <v>NG</v>
      </c>
      <c r="BX208" s="162"/>
      <c r="BY208" s="276" t="str">
        <f>IF(OR(BU$8="判定対象外",BX$8="判定対象外",BX208="-"),"-",IF(BU208=BX208,"OK","NG"))</f>
        <v>OK</v>
      </c>
      <c r="BZ208" s="160"/>
      <c r="CA208" s="162"/>
      <c r="CB208" s="167" t="str">
        <f t="shared" si="390"/>
        <v xml:space="preserve">  </v>
      </c>
      <c r="CC208" s="174" t="str">
        <f t="shared" si="431"/>
        <v>NG</v>
      </c>
      <c r="CD208" s="162"/>
      <c r="CE208" s="276" t="str">
        <f>IF(OR(CA$8="判定対象外",CD$8="判定対象外",CD208="-"),"-",IF(CA208=CD208,"OK","NG"))</f>
        <v>OK</v>
      </c>
      <c r="CF208" s="160"/>
      <c r="CG208" s="162"/>
      <c r="CH208" s="167" t="str">
        <f t="shared" si="391"/>
        <v xml:space="preserve">  </v>
      </c>
      <c r="CI208" s="174" t="str">
        <f t="shared" si="432"/>
        <v>NG</v>
      </c>
      <c r="CJ208" s="162"/>
      <c r="CK208" s="276" t="str">
        <f>IF(OR(CG$8="判定対象外",CJ$8="判定対象外",CJ208="-"),"-",IF(CG208=CJ208,"OK","NG"))</f>
        <v>OK</v>
      </c>
      <c r="CL208" s="160"/>
      <c r="CM208" s="162"/>
      <c r="CN208" s="167" t="str">
        <f t="shared" si="392"/>
        <v xml:space="preserve">  </v>
      </c>
      <c r="CO208" s="174" t="str">
        <f t="shared" si="433"/>
        <v>NG</v>
      </c>
      <c r="CP208" s="162"/>
      <c r="CQ208" s="276" t="str">
        <f>IF(OR(CM$8="判定対象外",CP$8="判定対象外",CP208="-"),"-",IF(CM208=CP208,"OK","NG"))</f>
        <v>OK</v>
      </c>
      <c r="CR208" s="160"/>
      <c r="CS208" s="162"/>
      <c r="CT208" s="167" t="str">
        <f t="shared" si="393"/>
        <v xml:space="preserve">  </v>
      </c>
      <c r="CU208" s="174" t="str">
        <f t="shared" si="434"/>
        <v>NG</v>
      </c>
      <c r="CV208" s="162"/>
      <c r="CW208" s="276" t="str">
        <f>IF(OR(CS$8="判定対象外",CV$8="判定対象外",CV208="-"),"-",IF(CS208=CV208,"OK","NG"))</f>
        <v>OK</v>
      </c>
      <c r="CX208" s="160"/>
      <c r="CY208" s="162"/>
      <c r="CZ208" s="167" t="str">
        <f t="shared" si="394"/>
        <v xml:space="preserve">  </v>
      </c>
      <c r="DA208" s="174" t="str">
        <f t="shared" si="435"/>
        <v>NG</v>
      </c>
      <c r="DB208" s="162"/>
      <c r="DC208" s="276" t="str">
        <f>IF(OR(CY$8="判定対象外",DB$8="判定対象外",DB208="-"),"-",IF(CY208=DB208,"OK","NG"))</f>
        <v>OK</v>
      </c>
      <c r="DD208" s="160"/>
      <c r="DE208" s="162"/>
      <c r="DF208" s="167" t="str">
        <f t="shared" si="395"/>
        <v xml:space="preserve">  </v>
      </c>
      <c r="DG208" s="174" t="str">
        <f t="shared" si="436"/>
        <v>NG</v>
      </c>
      <c r="DH208" s="162"/>
      <c r="DI208" s="276" t="str">
        <f>IF(OR(DE$8="判定対象外",DH$8="判定対象外",DH208="-"),"-",IF(DE208=DH208,"OK","NG"))</f>
        <v>OK</v>
      </c>
      <c r="DJ208" s="160"/>
      <c r="DK208" s="162"/>
      <c r="DL208" s="167" t="str">
        <f t="shared" si="396"/>
        <v xml:space="preserve">  </v>
      </c>
      <c r="DM208" s="174" t="str">
        <f t="shared" si="437"/>
        <v>NG</v>
      </c>
      <c r="DN208" s="162"/>
      <c r="DO208" s="276" t="str">
        <f>IF(OR(DK$8="判定対象外",DN$8="判定対象外",DN208="-"),"-",IF(DK208=DN208,"OK","NG"))</f>
        <v>OK</v>
      </c>
      <c r="DP208" s="160"/>
      <c r="DQ208" s="162"/>
      <c r="DR208" s="167" t="str">
        <f t="shared" si="397"/>
        <v xml:space="preserve">  </v>
      </c>
      <c r="DS208" s="174" t="str">
        <f t="shared" si="413"/>
        <v>NG</v>
      </c>
      <c r="DT208" s="162"/>
      <c r="DU208" s="276" t="str">
        <f>IF(OR(DQ$8="判定対象外",DT$8="判定対象外",DT208="-"),"-",IF(DQ208=DT208,"OK","NG"))</f>
        <v>OK</v>
      </c>
      <c r="DV208" s="160"/>
      <c r="DW208" s="162"/>
      <c r="DX208" s="167" t="str">
        <f t="shared" si="398"/>
        <v xml:space="preserve">  </v>
      </c>
      <c r="DY208" s="174" t="str">
        <f t="shared" si="414"/>
        <v>NG</v>
      </c>
      <c r="DZ208" s="162"/>
      <c r="EA208" s="276" t="str">
        <f>IF(OR(DW$8="判定対象外",DZ$8="判定対象外",DZ208="-"),"-",IF(DW208=DZ208,"OK","NG"))</f>
        <v>OK</v>
      </c>
      <c r="EB208" s="160"/>
      <c r="EC208" s="162"/>
      <c r="ED208" s="167" t="str">
        <f t="shared" si="399"/>
        <v xml:space="preserve">  </v>
      </c>
      <c r="EE208" s="174" t="str">
        <f t="shared" si="415"/>
        <v>NG</v>
      </c>
      <c r="EF208" s="162"/>
      <c r="EG208" s="276" t="str">
        <f>IF(OR(EC$8="判定対象外",EF$8="判定対象外",EF208="-"),"-",IF(EC208=EF208,"OK","NG"))</f>
        <v>OK</v>
      </c>
      <c r="EH208" s="160"/>
      <c r="EI208" s="162"/>
      <c r="EJ208" s="167" t="str">
        <f t="shared" si="400"/>
        <v xml:space="preserve">  </v>
      </c>
      <c r="EK208" s="174" t="str">
        <f t="shared" si="416"/>
        <v>NG</v>
      </c>
      <c r="EL208" s="162"/>
      <c r="EM208" s="276" t="str">
        <f>IF(OR(EI$8="判定対象外",EL$8="判定対象外",EL208="-"),"-",IF(EI208=EL208,"OK","NG"))</f>
        <v>OK</v>
      </c>
      <c r="EN208" s="160"/>
      <c r="EO208" s="162"/>
      <c r="EP208" s="167" t="str">
        <f t="shared" si="401"/>
        <v xml:space="preserve">  </v>
      </c>
      <c r="EQ208" s="174" t="str">
        <f t="shared" si="417"/>
        <v>NG</v>
      </c>
      <c r="ER208" s="162"/>
      <c r="ES208" s="276" t="str">
        <f>IF(OR(EO$8="判定対象外",ER$8="判定対象外",ER208="-"),"-",IF(EO208=ER208,"OK","NG"))</f>
        <v>OK</v>
      </c>
      <c r="ET208" s="160"/>
      <c r="EU208" s="162"/>
      <c r="EV208" s="167" t="str">
        <f t="shared" si="402"/>
        <v xml:space="preserve">  </v>
      </c>
      <c r="EW208" s="174" t="str">
        <f t="shared" si="418"/>
        <v>NG</v>
      </c>
      <c r="EX208" s="162"/>
      <c r="EY208" s="276" t="str">
        <f>IF(OR(EU$8="判定対象外",EX$8="判定対象外",EX208="-"),"-",IF(EU208=EX208,"OK","NG"))</f>
        <v>OK</v>
      </c>
      <c r="EZ208" s="160"/>
      <c r="FA208" s="162"/>
      <c r="FB208" s="167" t="str">
        <f t="shared" si="403"/>
        <v xml:space="preserve">  </v>
      </c>
      <c r="FC208" s="174" t="str">
        <f t="shared" si="419"/>
        <v>NG</v>
      </c>
      <c r="FD208" s="162"/>
      <c r="FE208" s="276" t="str">
        <f>IF(OR(FA$8="判定対象外",FD$8="判定対象外",FD208="-"),"-",IF(FA208=FD208,"OK","NG"))</f>
        <v>OK</v>
      </c>
      <c r="FF208" s="160"/>
      <c r="FG208" s="162"/>
      <c r="FH208" s="167" t="str">
        <f t="shared" si="404"/>
        <v xml:space="preserve">  </v>
      </c>
      <c r="FI208" s="174" t="str">
        <f t="shared" si="420"/>
        <v>NG</v>
      </c>
      <c r="FJ208" s="162"/>
      <c r="FK208" s="276" t="str">
        <f>IF(OR(FG$8="判定対象外",FJ$8="判定対象外",FJ208="-"),"-",IF(FG208=FJ208,"OK","NG"))</f>
        <v>OK</v>
      </c>
      <c r="FL208" s="160"/>
      <c r="FM208" s="162"/>
      <c r="FN208" s="167" t="str">
        <f t="shared" si="405"/>
        <v xml:space="preserve">  </v>
      </c>
      <c r="FO208" s="174" t="str">
        <f t="shared" si="438"/>
        <v>NG</v>
      </c>
      <c r="FP208" s="162"/>
      <c r="FQ208" s="276" t="str">
        <f>IF(OR(FM$8="判定対象外",FP$8="判定対象外",FP208="-"),"-",IF(FM208=FP208,"OK","NG"))</f>
        <v>OK</v>
      </c>
      <c r="FR208" s="160"/>
      <c r="FS208" s="162"/>
      <c r="FT208" s="167" t="str">
        <f t="shared" si="406"/>
        <v xml:space="preserve">  </v>
      </c>
      <c r="FU208" s="174" t="str">
        <f t="shared" si="439"/>
        <v>NG</v>
      </c>
      <c r="FV208" s="162"/>
      <c r="FW208" s="276" t="str">
        <f>IF(OR(FS$8="判定対象外",FV$8="判定対象外",FV208="-"),"-",IF(FS208=FV208,"OK","NG"))</f>
        <v>OK</v>
      </c>
      <c r="FX208" s="160"/>
      <c r="FY208" s="162"/>
      <c r="FZ208" s="167" t="str">
        <f t="shared" si="407"/>
        <v xml:space="preserve">  </v>
      </c>
      <c r="GA208" s="174" t="str">
        <f t="shared" si="440"/>
        <v>NG</v>
      </c>
      <c r="GB208" s="162"/>
      <c r="GC208" s="276" t="str">
        <f>IF(OR(FY$8="判定対象外",GB$8="判定対象外",GB208="-"),"-",IF(FY208=GB208,"OK","NG"))</f>
        <v>OK</v>
      </c>
    </row>
    <row r="209" spans="1:185" s="52" customFormat="1" ht="25.5">
      <c r="B209" s="216">
        <f t="shared" si="408"/>
        <v>202</v>
      </c>
      <c r="C209" s="37"/>
      <c r="D209" s="37"/>
      <c r="E209" s="25"/>
      <c r="F209" s="184" t="s">
        <v>344</v>
      </c>
      <c r="G209" s="27"/>
      <c r="H209" s="28"/>
      <c r="I209" s="42"/>
      <c r="J209" s="42"/>
      <c r="K209" s="42"/>
      <c r="L209" s="42"/>
      <c r="M209" s="63" t="s">
        <v>345</v>
      </c>
      <c r="N209" s="39"/>
      <c r="O209" s="143"/>
      <c r="P209" s="45">
        <f t="shared" si="422"/>
        <v>180</v>
      </c>
      <c r="Q209" s="46">
        <v>7</v>
      </c>
      <c r="R209" s="41" t="str">
        <f t="shared" si="423"/>
        <v>X</v>
      </c>
      <c r="S209" s="185" t="s">
        <v>240</v>
      </c>
      <c r="T209" s="43"/>
      <c r="U209" s="41" t="s">
        <v>80</v>
      </c>
      <c r="V209" s="44"/>
      <c r="W209" s="22">
        <v>3</v>
      </c>
      <c r="X209" s="47" t="s">
        <v>280</v>
      </c>
      <c r="Y209" s="47">
        <v>7</v>
      </c>
      <c r="Z209" s="47">
        <v>7</v>
      </c>
      <c r="AA209" s="42" t="s">
        <v>273</v>
      </c>
      <c r="AB209" s="42" t="s">
        <v>266</v>
      </c>
      <c r="AC209" s="219"/>
      <c r="AD209" s="160"/>
      <c r="AE209" s="141"/>
      <c r="AF209" s="203" t="str">
        <f t="shared" si="383"/>
        <v xml:space="preserve">       </v>
      </c>
      <c r="AG209" s="174" t="str">
        <f t="shared" si="424"/>
        <v>NG</v>
      </c>
      <c r="AH209" s="141"/>
      <c r="AI209" s="172" t="s">
        <v>71</v>
      </c>
      <c r="AJ209" s="160"/>
      <c r="AK209" s="141"/>
      <c r="AL209" s="203" t="str">
        <f t="shared" si="441"/>
        <v xml:space="preserve">       </v>
      </c>
      <c r="AM209" s="174" t="str">
        <f t="shared" si="409"/>
        <v>NG</v>
      </c>
      <c r="AN209" s="141"/>
      <c r="AO209" s="172" t="s">
        <v>71</v>
      </c>
      <c r="AP209" s="160"/>
      <c r="AQ209" s="141"/>
      <c r="AR209" s="203" t="str">
        <f t="shared" si="384"/>
        <v xml:space="preserve">       </v>
      </c>
      <c r="AS209" s="174" t="str">
        <f t="shared" si="425"/>
        <v>NG</v>
      </c>
      <c r="AT209" s="141"/>
      <c r="AU209" s="172" t="s">
        <v>71</v>
      </c>
      <c r="AV209" s="160"/>
      <c r="AW209" s="141"/>
      <c r="AX209" s="203" t="str">
        <f t="shared" si="385"/>
        <v xml:space="preserve">       </v>
      </c>
      <c r="AY209" s="174" t="str">
        <f t="shared" si="426"/>
        <v>NG</v>
      </c>
      <c r="AZ209" s="141"/>
      <c r="BA209" s="172" t="s">
        <v>71</v>
      </c>
      <c r="BB209" s="160"/>
      <c r="BC209" s="141"/>
      <c r="BD209" s="203" t="str">
        <f t="shared" si="386"/>
        <v xml:space="preserve">       </v>
      </c>
      <c r="BE209" s="174" t="str">
        <f t="shared" si="427"/>
        <v>NG</v>
      </c>
      <c r="BF209" s="141"/>
      <c r="BG209" s="172" t="s">
        <v>71</v>
      </c>
      <c r="BH209" s="160"/>
      <c r="BI209" s="141"/>
      <c r="BJ209" s="203" t="str">
        <f t="shared" si="387"/>
        <v xml:space="preserve">       </v>
      </c>
      <c r="BK209" s="174" t="str">
        <f t="shared" si="428"/>
        <v>NG</v>
      </c>
      <c r="BL209" s="141"/>
      <c r="BM209" s="172" t="s">
        <v>71</v>
      </c>
      <c r="BN209" s="160"/>
      <c r="BO209" s="141"/>
      <c r="BP209" s="203" t="str">
        <f t="shared" si="388"/>
        <v xml:space="preserve">       </v>
      </c>
      <c r="BQ209" s="174" t="str">
        <f t="shared" si="429"/>
        <v>NG</v>
      </c>
      <c r="BR209" s="141"/>
      <c r="BS209" s="172" t="s">
        <v>71</v>
      </c>
      <c r="BT209" s="160"/>
      <c r="BU209" s="141"/>
      <c r="BV209" s="203" t="str">
        <f t="shared" si="389"/>
        <v xml:space="preserve">       </v>
      </c>
      <c r="BW209" s="174" t="str">
        <f t="shared" si="430"/>
        <v>NG</v>
      </c>
      <c r="BX209" s="141"/>
      <c r="BY209" s="172" t="s">
        <v>71</v>
      </c>
      <c r="BZ209" s="160"/>
      <c r="CA209" s="141"/>
      <c r="CB209" s="203" t="str">
        <f t="shared" si="390"/>
        <v xml:space="preserve">       </v>
      </c>
      <c r="CC209" s="174" t="str">
        <f t="shared" si="431"/>
        <v>NG</v>
      </c>
      <c r="CD209" s="141"/>
      <c r="CE209" s="172" t="s">
        <v>71</v>
      </c>
      <c r="CF209" s="160"/>
      <c r="CG209" s="141"/>
      <c r="CH209" s="203" t="str">
        <f t="shared" si="391"/>
        <v xml:space="preserve">       </v>
      </c>
      <c r="CI209" s="174" t="str">
        <f t="shared" si="432"/>
        <v>NG</v>
      </c>
      <c r="CJ209" s="141"/>
      <c r="CK209" s="172" t="s">
        <v>71</v>
      </c>
      <c r="CL209" s="160"/>
      <c r="CM209" s="141"/>
      <c r="CN209" s="203" t="str">
        <f t="shared" si="392"/>
        <v xml:space="preserve">       </v>
      </c>
      <c r="CO209" s="174" t="str">
        <f t="shared" si="433"/>
        <v>NG</v>
      </c>
      <c r="CP209" s="141"/>
      <c r="CQ209" s="172" t="s">
        <v>71</v>
      </c>
      <c r="CR209" s="160"/>
      <c r="CS209" s="141"/>
      <c r="CT209" s="203" t="str">
        <f t="shared" si="393"/>
        <v xml:space="preserve">       </v>
      </c>
      <c r="CU209" s="174" t="str">
        <f t="shared" si="434"/>
        <v>NG</v>
      </c>
      <c r="CV209" s="141"/>
      <c r="CW209" s="172" t="s">
        <v>71</v>
      </c>
      <c r="CX209" s="160"/>
      <c r="CY209" s="141"/>
      <c r="CZ209" s="203" t="str">
        <f t="shared" si="394"/>
        <v xml:space="preserve">       </v>
      </c>
      <c r="DA209" s="174" t="str">
        <f t="shared" si="435"/>
        <v>NG</v>
      </c>
      <c r="DB209" s="141"/>
      <c r="DC209" s="172" t="s">
        <v>71</v>
      </c>
      <c r="DD209" s="160"/>
      <c r="DE209" s="141"/>
      <c r="DF209" s="203" t="str">
        <f t="shared" si="395"/>
        <v xml:space="preserve">       </v>
      </c>
      <c r="DG209" s="174" t="str">
        <f t="shared" si="436"/>
        <v>NG</v>
      </c>
      <c r="DH209" s="141"/>
      <c r="DI209" s="172" t="s">
        <v>71</v>
      </c>
      <c r="DJ209" s="160"/>
      <c r="DK209" s="141"/>
      <c r="DL209" s="203" t="str">
        <f t="shared" si="396"/>
        <v xml:space="preserve">       </v>
      </c>
      <c r="DM209" s="174" t="str">
        <f t="shared" si="437"/>
        <v>NG</v>
      </c>
      <c r="DN209" s="141"/>
      <c r="DO209" s="172" t="s">
        <v>71</v>
      </c>
      <c r="DP209" s="160"/>
      <c r="DQ209" s="141"/>
      <c r="DR209" s="203" t="str">
        <f t="shared" si="397"/>
        <v xml:space="preserve">       </v>
      </c>
      <c r="DS209" s="174" t="str">
        <f t="shared" si="413"/>
        <v>NG</v>
      </c>
      <c r="DT209" s="141"/>
      <c r="DU209" s="172" t="s">
        <v>71</v>
      </c>
      <c r="DV209" s="160"/>
      <c r="DW209" s="141"/>
      <c r="DX209" s="203" t="str">
        <f t="shared" si="398"/>
        <v xml:space="preserve">       </v>
      </c>
      <c r="DY209" s="174" t="str">
        <f t="shared" si="414"/>
        <v>NG</v>
      </c>
      <c r="DZ209" s="141"/>
      <c r="EA209" s="172" t="s">
        <v>71</v>
      </c>
      <c r="EB209" s="160"/>
      <c r="EC209" s="141"/>
      <c r="ED209" s="203" t="str">
        <f t="shared" si="399"/>
        <v xml:space="preserve">       </v>
      </c>
      <c r="EE209" s="174" t="str">
        <f t="shared" si="415"/>
        <v>NG</v>
      </c>
      <c r="EF209" s="141"/>
      <c r="EG209" s="172" t="s">
        <v>71</v>
      </c>
      <c r="EH209" s="160"/>
      <c r="EI209" s="141"/>
      <c r="EJ209" s="203" t="str">
        <f t="shared" si="400"/>
        <v xml:space="preserve">       </v>
      </c>
      <c r="EK209" s="174" t="str">
        <f t="shared" si="416"/>
        <v>NG</v>
      </c>
      <c r="EL209" s="141"/>
      <c r="EM209" s="172" t="s">
        <v>71</v>
      </c>
      <c r="EN209" s="160"/>
      <c r="EO209" s="141"/>
      <c r="EP209" s="203" t="str">
        <f t="shared" si="401"/>
        <v xml:space="preserve">       </v>
      </c>
      <c r="EQ209" s="174" t="str">
        <f t="shared" si="417"/>
        <v>NG</v>
      </c>
      <c r="ER209" s="141"/>
      <c r="ES209" s="172" t="s">
        <v>71</v>
      </c>
      <c r="ET209" s="160"/>
      <c r="EU209" s="141"/>
      <c r="EV209" s="203" t="str">
        <f t="shared" si="402"/>
        <v xml:space="preserve">       </v>
      </c>
      <c r="EW209" s="174" t="str">
        <f t="shared" si="418"/>
        <v>NG</v>
      </c>
      <c r="EX209" s="141"/>
      <c r="EY209" s="172" t="s">
        <v>71</v>
      </c>
      <c r="EZ209" s="160"/>
      <c r="FA209" s="141"/>
      <c r="FB209" s="203" t="str">
        <f t="shared" si="403"/>
        <v xml:space="preserve">       </v>
      </c>
      <c r="FC209" s="174" t="str">
        <f t="shared" si="419"/>
        <v>NG</v>
      </c>
      <c r="FD209" s="141"/>
      <c r="FE209" s="172" t="s">
        <v>71</v>
      </c>
      <c r="FF209" s="160"/>
      <c r="FG209" s="141"/>
      <c r="FH209" s="203" t="str">
        <f t="shared" si="404"/>
        <v xml:space="preserve">       </v>
      </c>
      <c r="FI209" s="174" t="str">
        <f t="shared" si="420"/>
        <v>NG</v>
      </c>
      <c r="FJ209" s="141"/>
      <c r="FK209" s="172" t="s">
        <v>71</v>
      </c>
      <c r="FL209" s="160"/>
      <c r="FM209" s="141"/>
      <c r="FN209" s="203" t="str">
        <f t="shared" si="405"/>
        <v xml:space="preserve">       </v>
      </c>
      <c r="FO209" s="174" t="str">
        <f t="shared" si="438"/>
        <v>NG</v>
      </c>
      <c r="FP209" s="141"/>
      <c r="FQ209" s="172" t="s">
        <v>71</v>
      </c>
      <c r="FR209" s="160"/>
      <c r="FS209" s="141"/>
      <c r="FT209" s="203" t="str">
        <f t="shared" si="406"/>
        <v xml:space="preserve">       </v>
      </c>
      <c r="FU209" s="174" t="str">
        <f t="shared" si="439"/>
        <v>NG</v>
      </c>
      <c r="FV209" s="141"/>
      <c r="FW209" s="172" t="s">
        <v>71</v>
      </c>
      <c r="FX209" s="160"/>
      <c r="FY209" s="141"/>
      <c r="FZ209" s="203" t="str">
        <f t="shared" si="407"/>
        <v xml:space="preserve">       </v>
      </c>
      <c r="GA209" s="174" t="str">
        <f t="shared" si="440"/>
        <v>NG</v>
      </c>
      <c r="GB209" s="141"/>
      <c r="GC209" s="172" t="s">
        <v>71</v>
      </c>
    </row>
    <row r="210" spans="1:185" s="237" customFormat="1" ht="25.5">
      <c r="B210" s="216">
        <f t="shared" si="408"/>
        <v>203</v>
      </c>
      <c r="C210" s="220"/>
      <c r="D210" s="220"/>
      <c r="E210" s="221"/>
      <c r="F210" s="222" t="s">
        <v>346</v>
      </c>
      <c r="G210" s="223"/>
      <c r="H210" s="224"/>
      <c r="I210" s="225"/>
      <c r="J210" s="225"/>
      <c r="K210" s="226"/>
      <c r="L210" s="226"/>
      <c r="M210" s="227" t="s">
        <v>345</v>
      </c>
      <c r="N210" s="228"/>
      <c r="O210" s="229"/>
      <c r="P210" s="45">
        <f t="shared" si="422"/>
        <v>181</v>
      </c>
      <c r="Q210" s="230">
        <v>10</v>
      </c>
      <c r="R210" s="41" t="str">
        <f t="shared" si="423"/>
        <v>X</v>
      </c>
      <c r="S210" s="185" t="s">
        <v>242</v>
      </c>
      <c r="T210" s="231"/>
      <c r="U210" s="41" t="s">
        <v>80</v>
      </c>
      <c r="V210" s="229"/>
      <c r="W210" s="232">
        <v>3</v>
      </c>
      <c r="X210" s="194" t="s">
        <v>243</v>
      </c>
      <c r="Y210" s="194">
        <v>10</v>
      </c>
      <c r="Z210" s="194">
        <v>10</v>
      </c>
      <c r="AA210" s="225" t="s">
        <v>163</v>
      </c>
      <c r="AB210" s="225" t="s">
        <v>57</v>
      </c>
      <c r="AC210" s="219"/>
      <c r="AD210" s="233"/>
      <c r="AE210" s="268"/>
      <c r="AF210" s="235" t="str">
        <f t="shared" si="383"/>
        <v xml:space="preserve">          </v>
      </c>
      <c r="AG210" s="174" t="str">
        <f t="shared" si="424"/>
        <v>NG</v>
      </c>
      <c r="AH210" s="268"/>
      <c r="AI210" s="172" t="s">
        <v>71</v>
      </c>
      <c r="AJ210" s="233"/>
      <c r="AK210" s="234"/>
      <c r="AL210" s="235" t="str">
        <f t="shared" si="441"/>
        <v xml:space="preserve">          </v>
      </c>
      <c r="AM210" s="174" t="str">
        <f t="shared" si="409"/>
        <v>NG</v>
      </c>
      <c r="AN210" s="268"/>
      <c r="AO210" s="172" t="s">
        <v>71</v>
      </c>
      <c r="AP210" s="233"/>
      <c r="AQ210" s="268"/>
      <c r="AR210" s="235" t="str">
        <f t="shared" si="384"/>
        <v xml:space="preserve">          </v>
      </c>
      <c r="AS210" s="174" t="str">
        <f t="shared" si="425"/>
        <v>NG</v>
      </c>
      <c r="AT210" s="268"/>
      <c r="AU210" s="172" t="s">
        <v>71</v>
      </c>
      <c r="AV210" s="233"/>
      <c r="AW210" s="268"/>
      <c r="AX210" s="235" t="str">
        <f t="shared" si="385"/>
        <v xml:space="preserve">          </v>
      </c>
      <c r="AY210" s="174" t="str">
        <f t="shared" si="426"/>
        <v>NG</v>
      </c>
      <c r="AZ210" s="268"/>
      <c r="BA210" s="172" t="s">
        <v>71</v>
      </c>
      <c r="BB210" s="233"/>
      <c r="BC210" s="268"/>
      <c r="BD210" s="235" t="str">
        <f t="shared" si="386"/>
        <v xml:space="preserve">          </v>
      </c>
      <c r="BE210" s="174" t="str">
        <f t="shared" si="427"/>
        <v>NG</v>
      </c>
      <c r="BF210" s="268"/>
      <c r="BG210" s="172" t="s">
        <v>71</v>
      </c>
      <c r="BH210" s="233"/>
      <c r="BI210" s="268"/>
      <c r="BJ210" s="235" t="str">
        <f t="shared" si="387"/>
        <v xml:space="preserve">          </v>
      </c>
      <c r="BK210" s="174" t="str">
        <f t="shared" si="428"/>
        <v>NG</v>
      </c>
      <c r="BL210" s="268"/>
      <c r="BM210" s="172" t="s">
        <v>71</v>
      </c>
      <c r="BN210" s="233"/>
      <c r="BO210" s="268"/>
      <c r="BP210" s="235" t="str">
        <f t="shared" si="388"/>
        <v xml:space="preserve">          </v>
      </c>
      <c r="BQ210" s="174" t="str">
        <f t="shared" si="429"/>
        <v>NG</v>
      </c>
      <c r="BR210" s="268"/>
      <c r="BS210" s="172" t="s">
        <v>71</v>
      </c>
      <c r="BT210" s="233"/>
      <c r="BU210" s="268"/>
      <c r="BV210" s="235" t="str">
        <f t="shared" si="389"/>
        <v xml:space="preserve">          </v>
      </c>
      <c r="BW210" s="174" t="str">
        <f t="shared" si="430"/>
        <v>NG</v>
      </c>
      <c r="BX210" s="268"/>
      <c r="BY210" s="172" t="s">
        <v>71</v>
      </c>
      <c r="BZ210" s="233"/>
      <c r="CA210" s="268"/>
      <c r="CB210" s="235" t="str">
        <f t="shared" si="390"/>
        <v xml:space="preserve">          </v>
      </c>
      <c r="CC210" s="174" t="str">
        <f t="shared" si="431"/>
        <v>NG</v>
      </c>
      <c r="CD210" s="268"/>
      <c r="CE210" s="172" t="s">
        <v>71</v>
      </c>
      <c r="CF210" s="233"/>
      <c r="CG210" s="268"/>
      <c r="CH210" s="235" t="str">
        <f t="shared" si="391"/>
        <v xml:space="preserve">          </v>
      </c>
      <c r="CI210" s="174" t="str">
        <f t="shared" si="432"/>
        <v>NG</v>
      </c>
      <c r="CJ210" s="268"/>
      <c r="CK210" s="172" t="s">
        <v>71</v>
      </c>
      <c r="CL210" s="233"/>
      <c r="CM210" s="268"/>
      <c r="CN210" s="235" t="str">
        <f t="shared" si="392"/>
        <v xml:space="preserve">          </v>
      </c>
      <c r="CO210" s="174" t="str">
        <f t="shared" si="433"/>
        <v>NG</v>
      </c>
      <c r="CP210" s="268"/>
      <c r="CQ210" s="172" t="s">
        <v>71</v>
      </c>
      <c r="CR210" s="233"/>
      <c r="CS210" s="268"/>
      <c r="CT210" s="235" t="str">
        <f t="shared" si="393"/>
        <v xml:space="preserve">          </v>
      </c>
      <c r="CU210" s="174" t="str">
        <f t="shared" si="434"/>
        <v>NG</v>
      </c>
      <c r="CV210" s="268"/>
      <c r="CW210" s="172" t="s">
        <v>71</v>
      </c>
      <c r="CX210" s="233"/>
      <c r="CY210" s="268"/>
      <c r="CZ210" s="235" t="str">
        <f t="shared" si="394"/>
        <v xml:space="preserve">          </v>
      </c>
      <c r="DA210" s="174" t="str">
        <f t="shared" si="435"/>
        <v>NG</v>
      </c>
      <c r="DB210" s="268"/>
      <c r="DC210" s="172" t="s">
        <v>71</v>
      </c>
      <c r="DD210" s="233"/>
      <c r="DE210" s="268"/>
      <c r="DF210" s="235" t="str">
        <f t="shared" si="395"/>
        <v xml:space="preserve">          </v>
      </c>
      <c r="DG210" s="174" t="str">
        <f t="shared" si="436"/>
        <v>NG</v>
      </c>
      <c r="DH210" s="268"/>
      <c r="DI210" s="172" t="s">
        <v>71</v>
      </c>
      <c r="DJ210" s="233"/>
      <c r="DK210" s="268"/>
      <c r="DL210" s="235" t="str">
        <f t="shared" si="396"/>
        <v xml:space="preserve">          </v>
      </c>
      <c r="DM210" s="174" t="str">
        <f t="shared" si="437"/>
        <v>NG</v>
      </c>
      <c r="DN210" s="268"/>
      <c r="DO210" s="172" t="s">
        <v>71</v>
      </c>
      <c r="DP210" s="233"/>
      <c r="DQ210" s="268"/>
      <c r="DR210" s="235" t="str">
        <f t="shared" si="397"/>
        <v xml:space="preserve">          </v>
      </c>
      <c r="DS210" s="174" t="str">
        <f t="shared" si="413"/>
        <v>NG</v>
      </c>
      <c r="DT210" s="268"/>
      <c r="DU210" s="172" t="s">
        <v>71</v>
      </c>
      <c r="DV210" s="233"/>
      <c r="DW210" s="268"/>
      <c r="DX210" s="235" t="str">
        <f t="shared" si="398"/>
        <v xml:space="preserve">          </v>
      </c>
      <c r="DY210" s="174" t="str">
        <f t="shared" si="414"/>
        <v>NG</v>
      </c>
      <c r="DZ210" s="268"/>
      <c r="EA210" s="172" t="s">
        <v>71</v>
      </c>
      <c r="EB210" s="233"/>
      <c r="EC210" s="268"/>
      <c r="ED210" s="235" t="str">
        <f t="shared" si="399"/>
        <v xml:space="preserve">          </v>
      </c>
      <c r="EE210" s="174" t="str">
        <f t="shared" si="415"/>
        <v>NG</v>
      </c>
      <c r="EF210" s="268"/>
      <c r="EG210" s="172" t="s">
        <v>71</v>
      </c>
      <c r="EH210" s="233"/>
      <c r="EI210" s="268"/>
      <c r="EJ210" s="235" t="str">
        <f t="shared" si="400"/>
        <v xml:space="preserve">          </v>
      </c>
      <c r="EK210" s="174" t="str">
        <f t="shared" si="416"/>
        <v>NG</v>
      </c>
      <c r="EL210" s="268"/>
      <c r="EM210" s="172" t="s">
        <v>71</v>
      </c>
      <c r="EN210" s="233"/>
      <c r="EO210" s="268"/>
      <c r="EP210" s="235" t="str">
        <f t="shared" si="401"/>
        <v xml:space="preserve">          </v>
      </c>
      <c r="EQ210" s="174" t="str">
        <f t="shared" si="417"/>
        <v>NG</v>
      </c>
      <c r="ER210" s="268"/>
      <c r="ES210" s="172" t="s">
        <v>71</v>
      </c>
      <c r="ET210" s="233"/>
      <c r="EU210" s="268"/>
      <c r="EV210" s="235" t="str">
        <f t="shared" si="402"/>
        <v xml:space="preserve">          </v>
      </c>
      <c r="EW210" s="174" t="str">
        <f t="shared" si="418"/>
        <v>NG</v>
      </c>
      <c r="EX210" s="268"/>
      <c r="EY210" s="172" t="s">
        <v>71</v>
      </c>
      <c r="EZ210" s="233"/>
      <c r="FA210" s="268"/>
      <c r="FB210" s="235" t="str">
        <f t="shared" si="403"/>
        <v xml:space="preserve">          </v>
      </c>
      <c r="FC210" s="174" t="str">
        <f t="shared" si="419"/>
        <v>NG</v>
      </c>
      <c r="FD210" s="268"/>
      <c r="FE210" s="172" t="s">
        <v>71</v>
      </c>
      <c r="FF210" s="233"/>
      <c r="FG210" s="268"/>
      <c r="FH210" s="235" t="str">
        <f t="shared" si="404"/>
        <v xml:space="preserve">          </v>
      </c>
      <c r="FI210" s="174" t="str">
        <f t="shared" si="420"/>
        <v>NG</v>
      </c>
      <c r="FJ210" s="268"/>
      <c r="FK210" s="172" t="s">
        <v>71</v>
      </c>
      <c r="FL210" s="233"/>
      <c r="FM210" s="268"/>
      <c r="FN210" s="235" t="str">
        <f t="shared" si="405"/>
        <v xml:space="preserve">          </v>
      </c>
      <c r="FO210" s="174" t="str">
        <f t="shared" si="438"/>
        <v>NG</v>
      </c>
      <c r="FP210" s="268"/>
      <c r="FQ210" s="172" t="s">
        <v>71</v>
      </c>
      <c r="FR210" s="233"/>
      <c r="FS210" s="268"/>
      <c r="FT210" s="235" t="str">
        <f t="shared" si="406"/>
        <v xml:space="preserve">          </v>
      </c>
      <c r="FU210" s="174" t="str">
        <f t="shared" si="439"/>
        <v>NG</v>
      </c>
      <c r="FV210" s="268"/>
      <c r="FW210" s="172" t="s">
        <v>71</v>
      </c>
      <c r="FX210" s="233"/>
      <c r="FY210" s="268"/>
      <c r="FZ210" s="235" t="str">
        <f t="shared" si="407"/>
        <v xml:space="preserve">          </v>
      </c>
      <c r="GA210" s="174" t="str">
        <f t="shared" si="440"/>
        <v>NG</v>
      </c>
      <c r="GB210" s="268"/>
      <c r="GC210" s="172" t="s">
        <v>71</v>
      </c>
    </row>
    <row r="211" spans="1:185" s="237" customFormat="1" ht="25.5">
      <c r="B211" s="216">
        <f t="shared" si="408"/>
        <v>204</v>
      </c>
      <c r="C211" s="220"/>
      <c r="D211" s="220"/>
      <c r="E211" s="220"/>
      <c r="F211" s="238" t="s">
        <v>244</v>
      </c>
      <c r="G211" s="168"/>
      <c r="H211" s="239"/>
      <c r="I211" s="225"/>
      <c r="J211" s="225"/>
      <c r="K211" s="226"/>
      <c r="L211" s="226"/>
      <c r="M211" s="227" t="s">
        <v>345</v>
      </c>
      <c r="N211" s="228"/>
      <c r="O211" s="229"/>
      <c r="P211" s="45">
        <f t="shared" si="422"/>
        <v>182</v>
      </c>
      <c r="Q211" s="230">
        <v>3</v>
      </c>
      <c r="R211" s="41" t="str">
        <f t="shared" si="423"/>
        <v>X</v>
      </c>
      <c r="S211" s="185" t="s">
        <v>245</v>
      </c>
      <c r="T211" s="231"/>
      <c r="U211" s="41" t="s">
        <v>80</v>
      </c>
      <c r="V211" s="229"/>
      <c r="W211" s="232">
        <v>3</v>
      </c>
      <c r="X211" s="194" t="s">
        <v>246</v>
      </c>
      <c r="Y211" s="194">
        <v>3</v>
      </c>
      <c r="Z211" s="194">
        <v>3</v>
      </c>
      <c r="AA211" s="225" t="s">
        <v>163</v>
      </c>
      <c r="AB211" s="225" t="s">
        <v>57</v>
      </c>
      <c r="AC211" s="219"/>
      <c r="AD211" s="233"/>
      <c r="AE211" s="268"/>
      <c r="AF211" s="235" t="str">
        <f t="shared" si="383"/>
        <v xml:space="preserve">   </v>
      </c>
      <c r="AG211" s="174" t="str">
        <f t="shared" si="424"/>
        <v>NG</v>
      </c>
      <c r="AH211" s="268"/>
      <c r="AI211" s="172" t="s">
        <v>71</v>
      </c>
      <c r="AJ211" s="233"/>
      <c r="AK211" s="234"/>
      <c r="AL211" s="235" t="str">
        <f t="shared" si="441"/>
        <v xml:space="preserve">   </v>
      </c>
      <c r="AM211" s="174" t="str">
        <f t="shared" si="409"/>
        <v>NG</v>
      </c>
      <c r="AN211" s="268"/>
      <c r="AO211" s="172" t="s">
        <v>71</v>
      </c>
      <c r="AP211" s="233"/>
      <c r="AQ211" s="268"/>
      <c r="AR211" s="235" t="str">
        <f t="shared" si="384"/>
        <v xml:space="preserve">   </v>
      </c>
      <c r="AS211" s="174" t="str">
        <f t="shared" si="425"/>
        <v>NG</v>
      </c>
      <c r="AT211" s="268"/>
      <c r="AU211" s="172" t="s">
        <v>71</v>
      </c>
      <c r="AV211" s="233"/>
      <c r="AW211" s="268"/>
      <c r="AX211" s="235" t="str">
        <f t="shared" si="385"/>
        <v xml:space="preserve">   </v>
      </c>
      <c r="AY211" s="174" t="str">
        <f t="shared" si="426"/>
        <v>NG</v>
      </c>
      <c r="AZ211" s="268"/>
      <c r="BA211" s="172" t="s">
        <v>71</v>
      </c>
      <c r="BB211" s="233"/>
      <c r="BC211" s="268"/>
      <c r="BD211" s="235" t="str">
        <f t="shared" si="386"/>
        <v xml:space="preserve">   </v>
      </c>
      <c r="BE211" s="174" t="str">
        <f t="shared" si="427"/>
        <v>NG</v>
      </c>
      <c r="BF211" s="268"/>
      <c r="BG211" s="172" t="s">
        <v>71</v>
      </c>
      <c r="BH211" s="233"/>
      <c r="BI211" s="268"/>
      <c r="BJ211" s="235" t="str">
        <f t="shared" si="387"/>
        <v xml:space="preserve">   </v>
      </c>
      <c r="BK211" s="174" t="str">
        <f t="shared" si="428"/>
        <v>NG</v>
      </c>
      <c r="BL211" s="268"/>
      <c r="BM211" s="172" t="s">
        <v>71</v>
      </c>
      <c r="BN211" s="233"/>
      <c r="BO211" s="268"/>
      <c r="BP211" s="235" t="str">
        <f t="shared" si="388"/>
        <v xml:space="preserve">   </v>
      </c>
      <c r="BQ211" s="174" t="str">
        <f t="shared" si="429"/>
        <v>NG</v>
      </c>
      <c r="BR211" s="268"/>
      <c r="BS211" s="172" t="s">
        <v>71</v>
      </c>
      <c r="BT211" s="233"/>
      <c r="BU211" s="268"/>
      <c r="BV211" s="235" t="str">
        <f t="shared" si="389"/>
        <v xml:space="preserve">   </v>
      </c>
      <c r="BW211" s="174" t="str">
        <f t="shared" si="430"/>
        <v>NG</v>
      </c>
      <c r="BX211" s="268"/>
      <c r="BY211" s="172" t="s">
        <v>71</v>
      </c>
      <c r="BZ211" s="233"/>
      <c r="CA211" s="268"/>
      <c r="CB211" s="235" t="str">
        <f t="shared" si="390"/>
        <v xml:space="preserve">   </v>
      </c>
      <c r="CC211" s="174" t="str">
        <f t="shared" si="431"/>
        <v>NG</v>
      </c>
      <c r="CD211" s="268"/>
      <c r="CE211" s="172" t="s">
        <v>71</v>
      </c>
      <c r="CF211" s="233"/>
      <c r="CG211" s="268"/>
      <c r="CH211" s="235" t="str">
        <f t="shared" si="391"/>
        <v xml:space="preserve">   </v>
      </c>
      <c r="CI211" s="174" t="str">
        <f t="shared" si="432"/>
        <v>NG</v>
      </c>
      <c r="CJ211" s="268"/>
      <c r="CK211" s="172" t="s">
        <v>71</v>
      </c>
      <c r="CL211" s="233"/>
      <c r="CM211" s="268"/>
      <c r="CN211" s="235" t="str">
        <f t="shared" si="392"/>
        <v xml:space="preserve">   </v>
      </c>
      <c r="CO211" s="174" t="str">
        <f t="shared" si="433"/>
        <v>NG</v>
      </c>
      <c r="CP211" s="268"/>
      <c r="CQ211" s="172" t="s">
        <v>71</v>
      </c>
      <c r="CR211" s="233"/>
      <c r="CS211" s="268"/>
      <c r="CT211" s="235" t="str">
        <f t="shared" si="393"/>
        <v xml:space="preserve">   </v>
      </c>
      <c r="CU211" s="174" t="str">
        <f t="shared" si="434"/>
        <v>NG</v>
      </c>
      <c r="CV211" s="268"/>
      <c r="CW211" s="172" t="s">
        <v>71</v>
      </c>
      <c r="CX211" s="233"/>
      <c r="CY211" s="268"/>
      <c r="CZ211" s="235" t="str">
        <f t="shared" si="394"/>
        <v xml:space="preserve">   </v>
      </c>
      <c r="DA211" s="174" t="str">
        <f t="shared" si="435"/>
        <v>NG</v>
      </c>
      <c r="DB211" s="268"/>
      <c r="DC211" s="172" t="s">
        <v>71</v>
      </c>
      <c r="DD211" s="233"/>
      <c r="DE211" s="268"/>
      <c r="DF211" s="235" t="str">
        <f t="shared" si="395"/>
        <v xml:space="preserve">   </v>
      </c>
      <c r="DG211" s="174" t="str">
        <f t="shared" si="436"/>
        <v>NG</v>
      </c>
      <c r="DH211" s="268"/>
      <c r="DI211" s="172" t="s">
        <v>71</v>
      </c>
      <c r="DJ211" s="233"/>
      <c r="DK211" s="268"/>
      <c r="DL211" s="235" t="str">
        <f t="shared" si="396"/>
        <v xml:space="preserve">   </v>
      </c>
      <c r="DM211" s="174" t="str">
        <f t="shared" si="437"/>
        <v>NG</v>
      </c>
      <c r="DN211" s="268"/>
      <c r="DO211" s="172" t="s">
        <v>71</v>
      </c>
      <c r="DP211" s="233"/>
      <c r="DQ211" s="268"/>
      <c r="DR211" s="235" t="str">
        <f t="shared" si="397"/>
        <v xml:space="preserve">   </v>
      </c>
      <c r="DS211" s="174" t="str">
        <f t="shared" si="413"/>
        <v>NG</v>
      </c>
      <c r="DT211" s="268"/>
      <c r="DU211" s="172" t="s">
        <v>71</v>
      </c>
      <c r="DV211" s="233"/>
      <c r="DW211" s="268"/>
      <c r="DX211" s="235" t="str">
        <f t="shared" si="398"/>
        <v xml:space="preserve">   </v>
      </c>
      <c r="DY211" s="174" t="str">
        <f t="shared" si="414"/>
        <v>NG</v>
      </c>
      <c r="DZ211" s="268"/>
      <c r="EA211" s="172" t="s">
        <v>71</v>
      </c>
      <c r="EB211" s="233"/>
      <c r="EC211" s="268"/>
      <c r="ED211" s="235" t="str">
        <f t="shared" si="399"/>
        <v xml:space="preserve">   </v>
      </c>
      <c r="EE211" s="174" t="str">
        <f t="shared" si="415"/>
        <v>NG</v>
      </c>
      <c r="EF211" s="268"/>
      <c r="EG211" s="172" t="s">
        <v>71</v>
      </c>
      <c r="EH211" s="233"/>
      <c r="EI211" s="268"/>
      <c r="EJ211" s="235" t="str">
        <f t="shared" si="400"/>
        <v xml:space="preserve">   </v>
      </c>
      <c r="EK211" s="174" t="str">
        <f t="shared" si="416"/>
        <v>NG</v>
      </c>
      <c r="EL211" s="268"/>
      <c r="EM211" s="172" t="s">
        <v>71</v>
      </c>
      <c r="EN211" s="233"/>
      <c r="EO211" s="268"/>
      <c r="EP211" s="235" t="str">
        <f t="shared" si="401"/>
        <v xml:space="preserve">   </v>
      </c>
      <c r="EQ211" s="174" t="str">
        <f t="shared" si="417"/>
        <v>NG</v>
      </c>
      <c r="ER211" s="268"/>
      <c r="ES211" s="172" t="s">
        <v>71</v>
      </c>
      <c r="ET211" s="233"/>
      <c r="EU211" s="268"/>
      <c r="EV211" s="235" t="str">
        <f t="shared" si="402"/>
        <v xml:space="preserve">   </v>
      </c>
      <c r="EW211" s="174" t="str">
        <f t="shared" si="418"/>
        <v>NG</v>
      </c>
      <c r="EX211" s="268"/>
      <c r="EY211" s="172" t="s">
        <v>71</v>
      </c>
      <c r="EZ211" s="233"/>
      <c r="FA211" s="268"/>
      <c r="FB211" s="235" t="str">
        <f t="shared" si="403"/>
        <v xml:space="preserve">   </v>
      </c>
      <c r="FC211" s="174" t="str">
        <f t="shared" si="419"/>
        <v>NG</v>
      </c>
      <c r="FD211" s="268"/>
      <c r="FE211" s="172" t="s">
        <v>71</v>
      </c>
      <c r="FF211" s="233"/>
      <c r="FG211" s="268"/>
      <c r="FH211" s="235" t="str">
        <f t="shared" si="404"/>
        <v xml:space="preserve">   </v>
      </c>
      <c r="FI211" s="174" t="str">
        <f t="shared" si="420"/>
        <v>NG</v>
      </c>
      <c r="FJ211" s="268"/>
      <c r="FK211" s="172" t="s">
        <v>71</v>
      </c>
      <c r="FL211" s="233"/>
      <c r="FM211" s="268"/>
      <c r="FN211" s="235" t="str">
        <f t="shared" si="405"/>
        <v xml:space="preserve">   </v>
      </c>
      <c r="FO211" s="174" t="str">
        <f t="shared" si="438"/>
        <v>NG</v>
      </c>
      <c r="FP211" s="268"/>
      <c r="FQ211" s="172" t="s">
        <v>71</v>
      </c>
      <c r="FR211" s="233"/>
      <c r="FS211" s="268"/>
      <c r="FT211" s="235" t="str">
        <f t="shared" si="406"/>
        <v xml:space="preserve">   </v>
      </c>
      <c r="FU211" s="174" t="str">
        <f t="shared" si="439"/>
        <v>NG</v>
      </c>
      <c r="FV211" s="268"/>
      <c r="FW211" s="172" t="s">
        <v>71</v>
      </c>
      <c r="FX211" s="233"/>
      <c r="FY211" s="268"/>
      <c r="FZ211" s="235" t="str">
        <f t="shared" si="407"/>
        <v xml:space="preserve">   </v>
      </c>
      <c r="GA211" s="174" t="str">
        <f t="shared" si="440"/>
        <v>NG</v>
      </c>
      <c r="GB211" s="268"/>
      <c r="GC211" s="172" t="s">
        <v>71</v>
      </c>
    </row>
    <row r="212" spans="1:185" s="237" customFormat="1" ht="25.5">
      <c r="B212" s="216">
        <f t="shared" si="408"/>
        <v>205</v>
      </c>
      <c r="C212" s="220"/>
      <c r="D212" s="220"/>
      <c r="E212" s="220"/>
      <c r="F212" s="238" t="s">
        <v>347</v>
      </c>
      <c r="G212" s="168"/>
      <c r="H212" s="239"/>
      <c r="I212" s="225"/>
      <c r="J212" s="225"/>
      <c r="K212" s="226"/>
      <c r="L212" s="226"/>
      <c r="M212" s="227" t="s">
        <v>345</v>
      </c>
      <c r="N212" s="228"/>
      <c r="O212" s="229"/>
      <c r="P212" s="45">
        <f t="shared" si="422"/>
        <v>183</v>
      </c>
      <c r="Q212" s="230">
        <v>2</v>
      </c>
      <c r="R212" s="41" t="str">
        <f t="shared" si="423"/>
        <v>X</v>
      </c>
      <c r="S212" s="185" t="s">
        <v>247</v>
      </c>
      <c r="T212" s="231"/>
      <c r="U212" s="41" t="s">
        <v>80</v>
      </c>
      <c r="V212" s="229"/>
      <c r="W212" s="232">
        <v>3</v>
      </c>
      <c r="X212" s="194" t="s">
        <v>248</v>
      </c>
      <c r="Y212" s="194">
        <v>2</v>
      </c>
      <c r="Z212" s="194">
        <v>2</v>
      </c>
      <c r="AA212" s="225" t="s">
        <v>163</v>
      </c>
      <c r="AB212" s="225" t="s">
        <v>57</v>
      </c>
      <c r="AC212" s="219"/>
      <c r="AD212" s="233"/>
      <c r="AE212" s="268"/>
      <c r="AF212" s="235" t="str">
        <f t="shared" si="383"/>
        <v xml:space="preserve">  </v>
      </c>
      <c r="AG212" s="174" t="str">
        <f t="shared" si="424"/>
        <v>NG</v>
      </c>
      <c r="AH212" s="268"/>
      <c r="AI212" s="172" t="s">
        <v>71</v>
      </c>
      <c r="AJ212" s="233"/>
      <c r="AK212" s="234"/>
      <c r="AL212" s="235" t="str">
        <f t="shared" si="441"/>
        <v xml:space="preserve">  </v>
      </c>
      <c r="AM212" s="174" t="str">
        <f t="shared" si="409"/>
        <v>NG</v>
      </c>
      <c r="AN212" s="268"/>
      <c r="AO212" s="172" t="s">
        <v>71</v>
      </c>
      <c r="AP212" s="233"/>
      <c r="AQ212" s="268"/>
      <c r="AR212" s="235" t="str">
        <f t="shared" si="384"/>
        <v xml:space="preserve">  </v>
      </c>
      <c r="AS212" s="174" t="str">
        <f t="shared" si="425"/>
        <v>NG</v>
      </c>
      <c r="AT212" s="268"/>
      <c r="AU212" s="172" t="s">
        <v>71</v>
      </c>
      <c r="AV212" s="233"/>
      <c r="AW212" s="268"/>
      <c r="AX212" s="235" t="str">
        <f t="shared" si="385"/>
        <v xml:space="preserve">  </v>
      </c>
      <c r="AY212" s="174" t="str">
        <f t="shared" si="426"/>
        <v>NG</v>
      </c>
      <c r="AZ212" s="268"/>
      <c r="BA212" s="172" t="s">
        <v>71</v>
      </c>
      <c r="BB212" s="233"/>
      <c r="BC212" s="268"/>
      <c r="BD212" s="235" t="str">
        <f t="shared" si="386"/>
        <v xml:space="preserve">  </v>
      </c>
      <c r="BE212" s="174" t="str">
        <f t="shared" si="427"/>
        <v>NG</v>
      </c>
      <c r="BF212" s="268"/>
      <c r="BG212" s="172" t="s">
        <v>71</v>
      </c>
      <c r="BH212" s="233"/>
      <c r="BI212" s="268"/>
      <c r="BJ212" s="235" t="str">
        <f t="shared" si="387"/>
        <v xml:space="preserve">  </v>
      </c>
      <c r="BK212" s="174" t="str">
        <f t="shared" si="428"/>
        <v>NG</v>
      </c>
      <c r="BL212" s="268"/>
      <c r="BM212" s="172" t="s">
        <v>71</v>
      </c>
      <c r="BN212" s="233"/>
      <c r="BO212" s="268"/>
      <c r="BP212" s="235" t="str">
        <f t="shared" si="388"/>
        <v xml:space="preserve">  </v>
      </c>
      <c r="BQ212" s="174" t="str">
        <f t="shared" si="429"/>
        <v>NG</v>
      </c>
      <c r="BR212" s="268"/>
      <c r="BS212" s="172" t="s">
        <v>71</v>
      </c>
      <c r="BT212" s="233"/>
      <c r="BU212" s="268"/>
      <c r="BV212" s="235" t="str">
        <f t="shared" si="389"/>
        <v xml:space="preserve">  </v>
      </c>
      <c r="BW212" s="174" t="str">
        <f t="shared" si="430"/>
        <v>NG</v>
      </c>
      <c r="BX212" s="268"/>
      <c r="BY212" s="172" t="s">
        <v>71</v>
      </c>
      <c r="BZ212" s="233"/>
      <c r="CA212" s="268"/>
      <c r="CB212" s="235" t="str">
        <f t="shared" si="390"/>
        <v xml:space="preserve">  </v>
      </c>
      <c r="CC212" s="174" t="str">
        <f t="shared" si="431"/>
        <v>NG</v>
      </c>
      <c r="CD212" s="268"/>
      <c r="CE212" s="172" t="s">
        <v>71</v>
      </c>
      <c r="CF212" s="233"/>
      <c r="CG212" s="268"/>
      <c r="CH212" s="235" t="str">
        <f t="shared" si="391"/>
        <v xml:space="preserve">  </v>
      </c>
      <c r="CI212" s="174" t="str">
        <f t="shared" si="432"/>
        <v>NG</v>
      </c>
      <c r="CJ212" s="268"/>
      <c r="CK212" s="172" t="s">
        <v>71</v>
      </c>
      <c r="CL212" s="233"/>
      <c r="CM212" s="268"/>
      <c r="CN212" s="235" t="str">
        <f t="shared" si="392"/>
        <v xml:space="preserve">  </v>
      </c>
      <c r="CO212" s="174" t="str">
        <f t="shared" si="433"/>
        <v>NG</v>
      </c>
      <c r="CP212" s="268"/>
      <c r="CQ212" s="172" t="s">
        <v>71</v>
      </c>
      <c r="CR212" s="233"/>
      <c r="CS212" s="268"/>
      <c r="CT212" s="235" t="str">
        <f t="shared" si="393"/>
        <v xml:space="preserve">  </v>
      </c>
      <c r="CU212" s="174" t="str">
        <f t="shared" si="434"/>
        <v>NG</v>
      </c>
      <c r="CV212" s="268"/>
      <c r="CW212" s="172" t="s">
        <v>71</v>
      </c>
      <c r="CX212" s="233"/>
      <c r="CY212" s="268"/>
      <c r="CZ212" s="235" t="str">
        <f t="shared" si="394"/>
        <v xml:space="preserve">  </v>
      </c>
      <c r="DA212" s="174" t="str">
        <f t="shared" si="435"/>
        <v>NG</v>
      </c>
      <c r="DB212" s="268"/>
      <c r="DC212" s="172" t="s">
        <v>71</v>
      </c>
      <c r="DD212" s="233"/>
      <c r="DE212" s="268"/>
      <c r="DF212" s="235" t="str">
        <f t="shared" si="395"/>
        <v xml:space="preserve">  </v>
      </c>
      <c r="DG212" s="174" t="str">
        <f t="shared" si="436"/>
        <v>NG</v>
      </c>
      <c r="DH212" s="268"/>
      <c r="DI212" s="172" t="s">
        <v>71</v>
      </c>
      <c r="DJ212" s="233"/>
      <c r="DK212" s="268"/>
      <c r="DL212" s="235" t="str">
        <f t="shared" si="396"/>
        <v xml:space="preserve">  </v>
      </c>
      <c r="DM212" s="174" t="str">
        <f t="shared" si="437"/>
        <v>NG</v>
      </c>
      <c r="DN212" s="268"/>
      <c r="DO212" s="172" t="s">
        <v>71</v>
      </c>
      <c r="DP212" s="233"/>
      <c r="DQ212" s="268"/>
      <c r="DR212" s="235" t="str">
        <f t="shared" si="397"/>
        <v xml:space="preserve">  </v>
      </c>
      <c r="DS212" s="174" t="str">
        <f t="shared" si="413"/>
        <v>NG</v>
      </c>
      <c r="DT212" s="268"/>
      <c r="DU212" s="172" t="s">
        <v>71</v>
      </c>
      <c r="DV212" s="233"/>
      <c r="DW212" s="268"/>
      <c r="DX212" s="235" t="str">
        <f t="shared" si="398"/>
        <v xml:space="preserve">  </v>
      </c>
      <c r="DY212" s="174" t="str">
        <f t="shared" si="414"/>
        <v>NG</v>
      </c>
      <c r="DZ212" s="268"/>
      <c r="EA212" s="172" t="s">
        <v>71</v>
      </c>
      <c r="EB212" s="233"/>
      <c r="EC212" s="268"/>
      <c r="ED212" s="235" t="str">
        <f t="shared" si="399"/>
        <v xml:space="preserve">  </v>
      </c>
      <c r="EE212" s="174" t="str">
        <f t="shared" si="415"/>
        <v>NG</v>
      </c>
      <c r="EF212" s="268"/>
      <c r="EG212" s="172" t="s">
        <v>71</v>
      </c>
      <c r="EH212" s="233"/>
      <c r="EI212" s="268"/>
      <c r="EJ212" s="235" t="str">
        <f t="shared" si="400"/>
        <v xml:space="preserve">  </v>
      </c>
      <c r="EK212" s="174" t="str">
        <f t="shared" si="416"/>
        <v>NG</v>
      </c>
      <c r="EL212" s="268"/>
      <c r="EM212" s="172" t="s">
        <v>71</v>
      </c>
      <c r="EN212" s="233"/>
      <c r="EO212" s="268"/>
      <c r="EP212" s="235" t="str">
        <f t="shared" si="401"/>
        <v xml:space="preserve">  </v>
      </c>
      <c r="EQ212" s="174" t="str">
        <f t="shared" si="417"/>
        <v>NG</v>
      </c>
      <c r="ER212" s="268"/>
      <c r="ES212" s="172" t="s">
        <v>71</v>
      </c>
      <c r="ET212" s="233"/>
      <c r="EU212" s="268"/>
      <c r="EV212" s="235" t="str">
        <f t="shared" si="402"/>
        <v xml:space="preserve">  </v>
      </c>
      <c r="EW212" s="174" t="str">
        <f t="shared" si="418"/>
        <v>NG</v>
      </c>
      <c r="EX212" s="268"/>
      <c r="EY212" s="172" t="s">
        <v>71</v>
      </c>
      <c r="EZ212" s="233"/>
      <c r="FA212" s="268"/>
      <c r="FB212" s="235" t="str">
        <f t="shared" si="403"/>
        <v xml:space="preserve">  </v>
      </c>
      <c r="FC212" s="174" t="str">
        <f t="shared" si="419"/>
        <v>NG</v>
      </c>
      <c r="FD212" s="268"/>
      <c r="FE212" s="172" t="s">
        <v>71</v>
      </c>
      <c r="FF212" s="233"/>
      <c r="FG212" s="268"/>
      <c r="FH212" s="235" t="str">
        <f t="shared" si="404"/>
        <v xml:space="preserve">  </v>
      </c>
      <c r="FI212" s="174" t="str">
        <f t="shared" si="420"/>
        <v>NG</v>
      </c>
      <c r="FJ212" s="268"/>
      <c r="FK212" s="172" t="s">
        <v>71</v>
      </c>
      <c r="FL212" s="233"/>
      <c r="FM212" s="268"/>
      <c r="FN212" s="235" t="str">
        <f t="shared" si="405"/>
        <v xml:space="preserve">  </v>
      </c>
      <c r="FO212" s="174" t="str">
        <f t="shared" si="438"/>
        <v>NG</v>
      </c>
      <c r="FP212" s="268"/>
      <c r="FQ212" s="172" t="s">
        <v>71</v>
      </c>
      <c r="FR212" s="233"/>
      <c r="FS212" s="268"/>
      <c r="FT212" s="235" t="str">
        <f t="shared" si="406"/>
        <v xml:space="preserve">  </v>
      </c>
      <c r="FU212" s="174" t="str">
        <f t="shared" si="439"/>
        <v>NG</v>
      </c>
      <c r="FV212" s="268"/>
      <c r="FW212" s="172" t="s">
        <v>71</v>
      </c>
      <c r="FX212" s="233"/>
      <c r="FY212" s="268"/>
      <c r="FZ212" s="235" t="str">
        <f t="shared" si="407"/>
        <v xml:space="preserve">  </v>
      </c>
      <c r="GA212" s="174" t="str">
        <f t="shared" si="440"/>
        <v>NG</v>
      </c>
      <c r="GB212" s="268"/>
      <c r="GC212" s="172" t="s">
        <v>71</v>
      </c>
    </row>
    <row r="213" spans="1:185" s="237" customFormat="1" ht="51.75" customHeight="1">
      <c r="B213" s="216">
        <f t="shared" si="408"/>
        <v>206</v>
      </c>
      <c r="C213" s="220"/>
      <c r="D213" s="220"/>
      <c r="E213" s="220"/>
      <c r="F213" s="240" t="s">
        <v>348</v>
      </c>
      <c r="G213" s="241"/>
      <c r="H213" s="242"/>
      <c r="I213" s="225"/>
      <c r="J213" s="225"/>
      <c r="K213" s="226"/>
      <c r="L213" s="226"/>
      <c r="M213" s="227" t="s">
        <v>349</v>
      </c>
      <c r="N213" s="228"/>
      <c r="O213" s="229"/>
      <c r="P213" s="45">
        <f t="shared" si="422"/>
        <v>184</v>
      </c>
      <c r="Q213" s="230">
        <v>5</v>
      </c>
      <c r="R213" s="41" t="str">
        <f t="shared" si="423"/>
        <v>X</v>
      </c>
      <c r="S213" s="185" t="s">
        <v>249</v>
      </c>
      <c r="T213" s="231"/>
      <c r="U213" s="41" t="s">
        <v>80</v>
      </c>
      <c r="V213" s="229"/>
      <c r="W213" s="232">
        <v>3</v>
      </c>
      <c r="X213" s="194" t="s">
        <v>250</v>
      </c>
      <c r="Y213" s="194">
        <v>5</v>
      </c>
      <c r="Z213" s="194">
        <v>5</v>
      </c>
      <c r="AA213" s="225" t="s">
        <v>163</v>
      </c>
      <c r="AB213" s="225" t="s">
        <v>57</v>
      </c>
      <c r="AC213" s="243"/>
      <c r="AD213" s="233"/>
      <c r="AE213" s="297"/>
      <c r="AF213" s="235" t="str">
        <f t="shared" ref="AF213:AF276" si="442">IF(AH213="-","-",AH213&amp;REPT(IF($R213="N","　",IF($R213="9","0"," ")),$Z213-LENB(AH213)))</f>
        <v xml:space="preserve">     </v>
      </c>
      <c r="AG213" s="174" t="str">
        <f t="shared" si="424"/>
        <v>NG</v>
      </c>
      <c r="AH213" s="297"/>
      <c r="AI213" s="276" t="str">
        <f>IF(OR(AE$8="判定対象外",AH$8="判定対象外",AH213="-"),"-",IF(AE213=AH213,"OK","NG"))</f>
        <v>OK</v>
      </c>
      <c r="AJ213" s="233"/>
      <c r="AK213" s="269"/>
      <c r="AL213" s="235" t="str">
        <f t="shared" si="441"/>
        <v xml:space="preserve">     </v>
      </c>
      <c r="AM213" s="174" t="str">
        <f t="shared" si="409"/>
        <v>NG</v>
      </c>
      <c r="AN213" s="297"/>
      <c r="AO213" s="276" t="str">
        <f>IF(OR(AK$8="判定対象外",AN$8="判定対象外",AN213="-"),"-",IF(AK213=AN213,"OK","NG"))</f>
        <v>OK</v>
      </c>
      <c r="AP213" s="233"/>
      <c r="AQ213" s="297"/>
      <c r="AR213" s="235" t="str">
        <f t="shared" ref="AR213:AR276" si="443">IF(AT213="-","-",AT213&amp;REPT(IF($R213="N","　",IF($R213="9","0"," ")),$Z213-LENB(AT213)))</f>
        <v xml:space="preserve">     </v>
      </c>
      <c r="AS213" s="174" t="str">
        <f t="shared" si="425"/>
        <v>NG</v>
      </c>
      <c r="AT213" s="297"/>
      <c r="AU213" s="276" t="str">
        <f>IF(OR(AQ$8="判定対象外",AT$8="判定対象外",AT213="-"),"-",IF(AQ213=AT213,"OK","NG"))</f>
        <v>OK</v>
      </c>
      <c r="AV213" s="233"/>
      <c r="AW213" s="297"/>
      <c r="AX213" s="235" t="str">
        <f t="shared" ref="AX213:AX276" si="444">IF(AZ213="-","-",AZ213&amp;REPT(IF($R213="N","　",IF($R213="9","0"," ")),$Z213-LENB(AZ213)))</f>
        <v xml:space="preserve">     </v>
      </c>
      <c r="AY213" s="174" t="str">
        <f t="shared" si="426"/>
        <v>NG</v>
      </c>
      <c r="AZ213" s="297"/>
      <c r="BA213" s="276" t="str">
        <f>IF(OR(AW$8="判定対象外",AZ$8="判定対象外",AZ213="-"),"-",IF(AW213=AZ213,"OK","NG"))</f>
        <v>OK</v>
      </c>
      <c r="BB213" s="233"/>
      <c r="BC213" s="297"/>
      <c r="BD213" s="235" t="str">
        <f t="shared" ref="BD213:BD276" si="445">IF(BF213="-","-",BF213&amp;REPT(IF($R213="N","　",IF($R213="9","0"," ")),$Z213-LENB(BF213)))</f>
        <v xml:space="preserve">     </v>
      </c>
      <c r="BE213" s="174" t="str">
        <f t="shared" si="427"/>
        <v>NG</v>
      </c>
      <c r="BF213" s="297"/>
      <c r="BG213" s="276" t="str">
        <f>IF(OR(BC$8="判定対象外",BF$8="判定対象外",BF213="-"),"-",IF(BC213=BF213,"OK","NG"))</f>
        <v>OK</v>
      </c>
      <c r="BH213" s="233"/>
      <c r="BI213" s="297"/>
      <c r="BJ213" s="235" t="str">
        <f t="shared" ref="BJ213:BJ276" si="446">IF(BL213="-","-",BL213&amp;REPT(IF($R213="N","　",IF($R213="9","0"," ")),$Z213-LENB(BL213)))</f>
        <v xml:space="preserve">     </v>
      </c>
      <c r="BK213" s="174" t="str">
        <f t="shared" si="428"/>
        <v>NG</v>
      </c>
      <c r="BL213" s="297"/>
      <c r="BM213" s="276" t="str">
        <f>IF(OR(BI$8="判定対象外",BL$8="判定対象外",BL213="-"),"-",IF(BI213=BL213,"OK","NG"))</f>
        <v>OK</v>
      </c>
      <c r="BN213" s="233"/>
      <c r="BO213" s="297"/>
      <c r="BP213" s="235" t="str">
        <f t="shared" ref="BP213:BP276" si="447">IF(BR213="-","-",BR213&amp;REPT(IF($R213="N","　",IF($R213="9","0"," ")),$Z213-LENB(BR213)))</f>
        <v xml:space="preserve">     </v>
      </c>
      <c r="BQ213" s="174" t="str">
        <f t="shared" si="429"/>
        <v>NG</v>
      </c>
      <c r="BR213" s="297"/>
      <c r="BS213" s="276" t="str">
        <f>IF(OR(BO$8="判定対象外",BR$8="判定対象外",BR213="-"),"-",IF(BO213=BR213,"OK","NG"))</f>
        <v>OK</v>
      </c>
      <c r="BT213" s="233"/>
      <c r="BU213" s="297"/>
      <c r="BV213" s="235" t="str">
        <f t="shared" ref="BV213:BV276" si="448">IF(BX213="-","-",BX213&amp;REPT(IF($R213="N","　",IF($R213="9","0"," ")),$Z213-LENB(BX213)))</f>
        <v xml:space="preserve">     </v>
      </c>
      <c r="BW213" s="174" t="str">
        <f t="shared" si="430"/>
        <v>NG</v>
      </c>
      <c r="BX213" s="297"/>
      <c r="BY213" s="276" t="str">
        <f>IF(OR(BU$8="判定対象外",BX$8="判定対象外",BX213="-"),"-",IF(BU213=BX213,"OK","NG"))</f>
        <v>OK</v>
      </c>
      <c r="BZ213" s="233"/>
      <c r="CA213" s="297"/>
      <c r="CB213" s="235" t="str">
        <f t="shared" ref="CB213:CB276" si="449">IF(CD213="-","-",CD213&amp;REPT(IF($R213="N","　",IF($R213="9","0"," ")),$Z213-LENB(CD213)))</f>
        <v xml:space="preserve">     </v>
      </c>
      <c r="CC213" s="174" t="str">
        <f t="shared" si="431"/>
        <v>NG</v>
      </c>
      <c r="CD213" s="297"/>
      <c r="CE213" s="276" t="str">
        <f>IF(OR(CA$8="判定対象外",CD$8="判定対象外",CD213="-"),"-",IF(CA213=CD213,"OK","NG"))</f>
        <v>OK</v>
      </c>
      <c r="CF213" s="233"/>
      <c r="CG213" s="297"/>
      <c r="CH213" s="235" t="str">
        <f t="shared" ref="CH213:CH276" si="450">IF(CJ213="-","-",CJ213&amp;REPT(IF($R213="N","　",IF($R213="9","0"," ")),$Z213-LENB(CJ213)))</f>
        <v xml:space="preserve">     </v>
      </c>
      <c r="CI213" s="174" t="str">
        <f t="shared" si="432"/>
        <v>NG</v>
      </c>
      <c r="CJ213" s="297"/>
      <c r="CK213" s="276" t="str">
        <f>IF(OR(CG$8="判定対象外",CJ$8="判定対象外",CJ213="-"),"-",IF(CG213=CJ213,"OK","NG"))</f>
        <v>OK</v>
      </c>
      <c r="CL213" s="233"/>
      <c r="CM213" s="297"/>
      <c r="CN213" s="235" t="str">
        <f t="shared" ref="CN213:CN276" si="451">IF(CP213="-","-",CP213&amp;REPT(IF($R213="N","　",IF($R213="9","0"," ")),$Z213-LENB(CP213)))</f>
        <v xml:space="preserve">     </v>
      </c>
      <c r="CO213" s="174" t="str">
        <f t="shared" si="433"/>
        <v>NG</v>
      </c>
      <c r="CP213" s="297"/>
      <c r="CQ213" s="276" t="str">
        <f>IF(OR(CM$8="判定対象外",CP$8="判定対象外",CP213="-"),"-",IF(CM213=CP213,"OK","NG"))</f>
        <v>OK</v>
      </c>
      <c r="CR213" s="233"/>
      <c r="CS213" s="297"/>
      <c r="CT213" s="235" t="str">
        <f t="shared" ref="CT213:CT276" si="452">IF(CV213="-","-",CV213&amp;REPT(IF($R213="N","　",IF($R213="9","0"," ")),$Z213-LENB(CV213)))</f>
        <v xml:space="preserve">     </v>
      </c>
      <c r="CU213" s="174" t="str">
        <f t="shared" si="434"/>
        <v>NG</v>
      </c>
      <c r="CV213" s="297"/>
      <c r="CW213" s="276" t="str">
        <f>IF(OR(CS$8="判定対象外",CV$8="判定対象外",CV213="-"),"-",IF(CS213=CV213,"OK","NG"))</f>
        <v>OK</v>
      </c>
      <c r="CX213" s="233"/>
      <c r="CY213" s="297"/>
      <c r="CZ213" s="235" t="str">
        <f t="shared" ref="CZ213:CZ276" si="453">IF(DB213="-","-",DB213&amp;REPT(IF($R213="N","　",IF($R213="9","0"," ")),$Z213-LENB(DB213)))</f>
        <v xml:space="preserve">     </v>
      </c>
      <c r="DA213" s="174" t="str">
        <f t="shared" si="435"/>
        <v>NG</v>
      </c>
      <c r="DB213" s="297"/>
      <c r="DC213" s="276" t="str">
        <f>IF(OR(CY$8="判定対象外",DB$8="判定対象外",DB213="-"),"-",IF(CY213=DB213,"OK","NG"))</f>
        <v>OK</v>
      </c>
      <c r="DD213" s="233"/>
      <c r="DE213" s="297"/>
      <c r="DF213" s="235" t="str">
        <f t="shared" ref="DF213:DF276" si="454">IF(DH213="-","-",DH213&amp;REPT(IF($R213="N","　",IF($R213="9","0"," ")),$Z213-LENB(DH213)))</f>
        <v xml:space="preserve">     </v>
      </c>
      <c r="DG213" s="174" t="str">
        <f t="shared" si="436"/>
        <v>NG</v>
      </c>
      <c r="DH213" s="297"/>
      <c r="DI213" s="276" t="str">
        <f>IF(OR(DE$8="判定対象外",DH$8="判定対象外",DH213="-"),"-",IF(DE213=DH213,"OK","NG"))</f>
        <v>OK</v>
      </c>
      <c r="DJ213" s="233"/>
      <c r="DK213" s="297"/>
      <c r="DL213" s="235" t="str">
        <f t="shared" ref="DL213:DL276" si="455">IF(DN213="-","-",DN213&amp;REPT(IF($R213="N","　",IF($R213="9","0"," ")),$Z213-LENB(DN213)))</f>
        <v xml:space="preserve">     </v>
      </c>
      <c r="DM213" s="174" t="str">
        <f t="shared" si="437"/>
        <v>NG</v>
      </c>
      <c r="DN213" s="297"/>
      <c r="DO213" s="276" t="str">
        <f>IF(OR(DK$8="判定対象外",DN$8="判定対象外",DN213="-"),"-",IF(DK213=DN213,"OK","NG"))</f>
        <v>OK</v>
      </c>
      <c r="DP213" s="233"/>
      <c r="DQ213" s="297"/>
      <c r="DR213" s="235" t="str">
        <f t="shared" ref="DR213:DR276" si="456">IF(DT213="-","-",DT213&amp;REPT(IF($R213="N","　",IF($R213="9","0"," ")),$Z213-LENB(DT213)))</f>
        <v xml:space="preserve">     </v>
      </c>
      <c r="DS213" s="174" t="str">
        <f t="shared" si="413"/>
        <v>NG</v>
      </c>
      <c r="DT213" s="297"/>
      <c r="DU213" s="276" t="str">
        <f>IF(OR(DQ$8="判定対象外",DT$8="判定対象外",DT213="-"),"-",IF(DQ213=DT213,"OK","NG"))</f>
        <v>OK</v>
      </c>
      <c r="DV213" s="233"/>
      <c r="DW213" s="297"/>
      <c r="DX213" s="235" t="str">
        <f t="shared" ref="DX213:DX276" si="457">IF(DZ213="-","-",DZ213&amp;REPT(IF($R213="N","　",IF($R213="9","0"," ")),$Z213-LENB(DZ213)))</f>
        <v xml:space="preserve">     </v>
      </c>
      <c r="DY213" s="174" t="str">
        <f t="shared" si="414"/>
        <v>NG</v>
      </c>
      <c r="DZ213" s="297"/>
      <c r="EA213" s="276" t="str">
        <f>IF(OR(DW$8="判定対象外",DZ$8="判定対象外",DZ213="-"),"-",IF(DW213=DZ213,"OK","NG"))</f>
        <v>OK</v>
      </c>
      <c r="EB213" s="233"/>
      <c r="EC213" s="297"/>
      <c r="ED213" s="235" t="str">
        <f t="shared" ref="ED213:ED276" si="458">IF(EF213="-","-",EF213&amp;REPT(IF($R213="N","　",IF($R213="9","0"," ")),$Z213-LENB(EF213)))</f>
        <v xml:space="preserve">     </v>
      </c>
      <c r="EE213" s="174" t="str">
        <f t="shared" si="415"/>
        <v>NG</v>
      </c>
      <c r="EF213" s="297"/>
      <c r="EG213" s="276" t="str">
        <f>IF(OR(EC$8="判定対象外",EF$8="判定対象外",EF213="-"),"-",IF(EC213=EF213,"OK","NG"))</f>
        <v>OK</v>
      </c>
      <c r="EH213" s="233"/>
      <c r="EI213" s="297"/>
      <c r="EJ213" s="235" t="str">
        <f t="shared" ref="EJ213:EJ276" si="459">IF(EL213="-","-",EL213&amp;REPT(IF($R213="N","　",IF($R213="9","0"," ")),$Z213-LENB(EL213)))</f>
        <v xml:space="preserve">     </v>
      </c>
      <c r="EK213" s="174" t="str">
        <f t="shared" si="416"/>
        <v>NG</v>
      </c>
      <c r="EL213" s="297"/>
      <c r="EM213" s="276" t="str">
        <f>IF(OR(EI$8="判定対象外",EL$8="判定対象外",EL213="-"),"-",IF(EI213=EL213,"OK","NG"))</f>
        <v>OK</v>
      </c>
      <c r="EN213" s="233"/>
      <c r="EO213" s="297"/>
      <c r="EP213" s="235" t="str">
        <f t="shared" ref="EP213:EP276" si="460">IF(ER213="-","-",ER213&amp;REPT(IF($R213="N","　",IF($R213="9","0"," ")),$Z213-LENB(ER213)))</f>
        <v xml:space="preserve">     </v>
      </c>
      <c r="EQ213" s="174" t="str">
        <f t="shared" si="417"/>
        <v>NG</v>
      </c>
      <c r="ER213" s="297"/>
      <c r="ES213" s="276" t="str">
        <f>IF(OR(EO$8="判定対象外",ER$8="判定対象外",ER213="-"),"-",IF(EO213=ER213,"OK","NG"))</f>
        <v>OK</v>
      </c>
      <c r="ET213" s="233"/>
      <c r="EU213" s="297"/>
      <c r="EV213" s="235" t="str">
        <f t="shared" ref="EV213:EV276" si="461">IF(EX213="-","-",EX213&amp;REPT(IF($R213="N","　",IF($R213="9","0"," ")),$Z213-LENB(EX213)))</f>
        <v xml:space="preserve">     </v>
      </c>
      <c r="EW213" s="174" t="str">
        <f t="shared" si="418"/>
        <v>NG</v>
      </c>
      <c r="EX213" s="297"/>
      <c r="EY213" s="276" t="str">
        <f>IF(OR(EU$8="判定対象外",EX$8="判定対象外",EX213="-"),"-",IF(EU213=EX213,"OK","NG"))</f>
        <v>OK</v>
      </c>
      <c r="EZ213" s="233"/>
      <c r="FA213" s="297"/>
      <c r="FB213" s="235" t="str">
        <f t="shared" ref="FB213:FB276" si="462">IF(FD213="-","-",FD213&amp;REPT(IF($R213="N","　",IF($R213="9","0"," ")),$Z213-LENB(FD213)))</f>
        <v xml:space="preserve">     </v>
      </c>
      <c r="FC213" s="174" t="str">
        <f t="shared" si="419"/>
        <v>NG</v>
      </c>
      <c r="FD213" s="297"/>
      <c r="FE213" s="276" t="str">
        <f>IF(OR(FA$8="判定対象外",FD$8="判定対象外",FD213="-"),"-",IF(FA213=FD213,"OK","NG"))</f>
        <v>OK</v>
      </c>
      <c r="FF213" s="233"/>
      <c r="FG213" s="297"/>
      <c r="FH213" s="235" t="str">
        <f t="shared" ref="FH213:FH276" si="463">IF(FJ213="-","-",FJ213&amp;REPT(IF($R213="N","　",IF($R213="9","0"," ")),$Z213-LENB(FJ213)))</f>
        <v xml:space="preserve">     </v>
      </c>
      <c r="FI213" s="174" t="str">
        <f t="shared" si="420"/>
        <v>NG</v>
      </c>
      <c r="FJ213" s="297"/>
      <c r="FK213" s="276" t="str">
        <f>IF(OR(FG$8="判定対象外",FJ$8="判定対象外",FJ213="-"),"-",IF(FG213=FJ213,"OK","NG"))</f>
        <v>OK</v>
      </c>
      <c r="FL213" s="233"/>
      <c r="FM213" s="297"/>
      <c r="FN213" s="235" t="str">
        <f t="shared" ref="FN213:FN276" si="464">IF(FP213="-","-",FP213&amp;REPT(IF($R213="N","　",IF($R213="9","0"," ")),$Z213-LENB(FP213)))</f>
        <v xml:space="preserve">     </v>
      </c>
      <c r="FO213" s="174" t="str">
        <f t="shared" si="438"/>
        <v>NG</v>
      </c>
      <c r="FP213" s="297"/>
      <c r="FQ213" s="276" t="str">
        <f>IF(OR(FM$8="判定対象外",FP$8="判定対象外",FP213="-"),"-",IF(FM213=FP213,"OK","NG"))</f>
        <v>OK</v>
      </c>
      <c r="FR213" s="233"/>
      <c r="FS213" s="297"/>
      <c r="FT213" s="235" t="str">
        <f t="shared" ref="FT213:FT276" si="465">IF(FV213="-","-",FV213&amp;REPT(IF($R213="N","　",IF($R213="9","0"," ")),$Z213-LENB(FV213)))</f>
        <v xml:space="preserve">     </v>
      </c>
      <c r="FU213" s="174" t="str">
        <f t="shared" si="439"/>
        <v>NG</v>
      </c>
      <c r="FV213" s="297"/>
      <c r="FW213" s="276" t="str">
        <f>IF(OR(FS$8="判定対象外",FV$8="判定対象外",FV213="-"),"-",IF(FS213=FV213,"OK","NG"))</f>
        <v>OK</v>
      </c>
      <c r="FX213" s="233"/>
      <c r="FY213" s="297"/>
      <c r="FZ213" s="235" t="str">
        <f t="shared" ref="FZ213:FZ276" si="466">IF(GB213="-","-",GB213&amp;REPT(IF($R213="N","　",IF($R213="9","0"," ")),$Z213-LENB(GB213)))</f>
        <v xml:space="preserve">     </v>
      </c>
      <c r="GA213" s="174" t="str">
        <f t="shared" si="440"/>
        <v>NG</v>
      </c>
      <c r="GB213" s="297"/>
      <c r="GC213" s="276" t="str">
        <f>IF(OR(FY$8="判定対象外",GB$8="判定対象外",GB213="-"),"-",IF(FY213=GB213,"OK","NG"))</f>
        <v>OK</v>
      </c>
    </row>
    <row r="214" spans="1:185" s="237" customFormat="1" ht="51.75" customHeight="1">
      <c r="B214" s="216">
        <f t="shared" si="408"/>
        <v>207</v>
      </c>
      <c r="C214" s="220"/>
      <c r="D214" s="220"/>
      <c r="E214" s="220"/>
      <c r="F214" s="240" t="s">
        <v>350</v>
      </c>
      <c r="G214" s="241"/>
      <c r="H214" s="242"/>
      <c r="I214" s="225"/>
      <c r="J214" s="225"/>
      <c r="K214" s="226"/>
      <c r="L214" s="226"/>
      <c r="M214" s="227" t="s">
        <v>351</v>
      </c>
      <c r="N214" s="228"/>
      <c r="O214" s="229"/>
      <c r="P214" s="45">
        <f t="shared" si="422"/>
        <v>185</v>
      </c>
      <c r="Q214" s="230">
        <v>64</v>
      </c>
      <c r="R214" s="41" t="str">
        <f t="shared" si="423"/>
        <v>NX</v>
      </c>
      <c r="S214" s="185" t="s">
        <v>251</v>
      </c>
      <c r="T214" s="231"/>
      <c r="U214" s="41" t="s">
        <v>80</v>
      </c>
      <c r="V214" s="229" t="s">
        <v>252</v>
      </c>
      <c r="W214" s="232">
        <v>3</v>
      </c>
      <c r="X214" s="194" t="s">
        <v>282</v>
      </c>
      <c r="Y214" s="194">
        <v>1</v>
      </c>
      <c r="Z214" s="194">
        <v>64</v>
      </c>
      <c r="AA214" s="225" t="s">
        <v>283</v>
      </c>
      <c r="AB214" s="225" t="s">
        <v>57</v>
      </c>
      <c r="AC214" s="243" t="s">
        <v>281</v>
      </c>
      <c r="AD214" s="233"/>
      <c r="AE214" s="297"/>
      <c r="AF214" s="235" t="str">
        <f t="shared" si="442"/>
        <v xml:space="preserve">                                                                </v>
      </c>
      <c r="AG214" s="174" t="str">
        <f t="shared" si="424"/>
        <v>NG</v>
      </c>
      <c r="AH214" s="297"/>
      <c r="AI214" s="276" t="str">
        <f>IF(OR(AE$8="判定対象外",AH$8="判定対象外",AH214="-"),"-",IF(AE214=AH214,"OK","NG"))</f>
        <v>OK</v>
      </c>
      <c r="AJ214" s="233"/>
      <c r="AK214" s="269"/>
      <c r="AL214" s="235" t="str">
        <f t="shared" si="441"/>
        <v xml:space="preserve">                                                                </v>
      </c>
      <c r="AM214" s="174" t="str">
        <f t="shared" si="409"/>
        <v>NG</v>
      </c>
      <c r="AN214" s="269"/>
      <c r="AO214" s="276" t="str">
        <f>IF(OR(AK$8="判定対象外",AN$8="判定対象外",AN214="-"),"-",IF(AK214=AN214,"OK","NG"))</f>
        <v>OK</v>
      </c>
      <c r="AP214" s="233"/>
      <c r="AQ214" s="297"/>
      <c r="AR214" s="235" t="str">
        <f t="shared" si="443"/>
        <v xml:space="preserve">                                                                </v>
      </c>
      <c r="AS214" s="174" t="str">
        <f t="shared" si="425"/>
        <v>NG</v>
      </c>
      <c r="AT214" s="297"/>
      <c r="AU214" s="276" t="str">
        <f>IF(OR(AQ$8="判定対象外",AT$8="判定対象外",AT214="-"),"-",IF(AQ214=AT214,"OK","NG"))</f>
        <v>OK</v>
      </c>
      <c r="AV214" s="233"/>
      <c r="AW214" s="297"/>
      <c r="AX214" s="235" t="str">
        <f t="shared" si="444"/>
        <v xml:space="preserve">                                                                </v>
      </c>
      <c r="AY214" s="174" t="str">
        <f t="shared" si="426"/>
        <v>NG</v>
      </c>
      <c r="AZ214" s="297"/>
      <c r="BA214" s="276" t="str">
        <f>IF(OR(AW$8="判定対象外",AZ$8="判定対象外",AZ214="-"),"-",IF(AW214=AZ214,"OK","NG"))</f>
        <v>OK</v>
      </c>
      <c r="BB214" s="233"/>
      <c r="BC214" s="297"/>
      <c r="BD214" s="235" t="str">
        <f t="shared" si="445"/>
        <v xml:space="preserve">                                                                </v>
      </c>
      <c r="BE214" s="174" t="str">
        <f t="shared" si="427"/>
        <v>NG</v>
      </c>
      <c r="BF214" s="297"/>
      <c r="BG214" s="276" t="str">
        <f>IF(OR(BC$8="判定対象外",BF$8="判定対象外",BF214="-"),"-",IF(BC214=BF214,"OK","NG"))</f>
        <v>OK</v>
      </c>
      <c r="BH214" s="233"/>
      <c r="BI214" s="297"/>
      <c r="BJ214" s="235" t="str">
        <f t="shared" si="446"/>
        <v xml:space="preserve">                                                                </v>
      </c>
      <c r="BK214" s="174" t="str">
        <f t="shared" si="428"/>
        <v>NG</v>
      </c>
      <c r="BL214" s="297"/>
      <c r="BM214" s="276" t="str">
        <f>IF(OR(BI$8="判定対象外",BL$8="判定対象外",BL214="-"),"-",IF(BI214=BL214,"OK","NG"))</f>
        <v>OK</v>
      </c>
      <c r="BN214" s="233"/>
      <c r="BO214" s="297"/>
      <c r="BP214" s="235" t="str">
        <f t="shared" si="447"/>
        <v xml:space="preserve">                                                                </v>
      </c>
      <c r="BQ214" s="174" t="str">
        <f t="shared" si="429"/>
        <v>NG</v>
      </c>
      <c r="BR214" s="297"/>
      <c r="BS214" s="276" t="str">
        <f>IF(OR(BO$8="判定対象外",BR$8="判定対象外",BR214="-"),"-",IF(BO214=BR214,"OK","NG"))</f>
        <v>OK</v>
      </c>
      <c r="BT214" s="233"/>
      <c r="BU214" s="297"/>
      <c r="BV214" s="235" t="str">
        <f t="shared" si="448"/>
        <v xml:space="preserve">                                                                </v>
      </c>
      <c r="BW214" s="174" t="str">
        <f t="shared" si="430"/>
        <v>NG</v>
      </c>
      <c r="BX214" s="297"/>
      <c r="BY214" s="276" t="str">
        <f>IF(OR(BU$8="判定対象外",BX$8="判定対象外",BX214="-"),"-",IF(BU214=BX214,"OK","NG"))</f>
        <v>OK</v>
      </c>
      <c r="BZ214" s="233"/>
      <c r="CA214" s="297"/>
      <c r="CB214" s="235" t="str">
        <f t="shared" si="449"/>
        <v xml:space="preserve">                                                                </v>
      </c>
      <c r="CC214" s="174" t="str">
        <f t="shared" si="431"/>
        <v>NG</v>
      </c>
      <c r="CD214" s="297"/>
      <c r="CE214" s="276" t="str">
        <f>IF(OR(CA$8="判定対象外",CD$8="判定対象外",CD214="-"),"-",IF(CA214=CD214,"OK","NG"))</f>
        <v>OK</v>
      </c>
      <c r="CF214" s="233"/>
      <c r="CG214" s="297"/>
      <c r="CH214" s="235" t="str">
        <f t="shared" si="450"/>
        <v xml:space="preserve">                                                                </v>
      </c>
      <c r="CI214" s="174" t="str">
        <f t="shared" si="432"/>
        <v>NG</v>
      </c>
      <c r="CJ214" s="297"/>
      <c r="CK214" s="276" t="str">
        <f>IF(OR(CG$8="判定対象外",CJ$8="判定対象外",CJ214="-"),"-",IF(CG214=CJ214,"OK","NG"))</f>
        <v>OK</v>
      </c>
      <c r="CL214" s="233"/>
      <c r="CM214" s="297"/>
      <c r="CN214" s="235" t="str">
        <f t="shared" si="451"/>
        <v xml:space="preserve">                                                                </v>
      </c>
      <c r="CO214" s="174" t="str">
        <f t="shared" si="433"/>
        <v>NG</v>
      </c>
      <c r="CP214" s="297"/>
      <c r="CQ214" s="276" t="str">
        <f>IF(OR(CM$8="判定対象外",CP$8="判定対象外",CP214="-"),"-",IF(CM214=CP214,"OK","NG"))</f>
        <v>OK</v>
      </c>
      <c r="CR214" s="233"/>
      <c r="CS214" s="297"/>
      <c r="CT214" s="235" t="str">
        <f t="shared" si="452"/>
        <v xml:space="preserve">                                                                </v>
      </c>
      <c r="CU214" s="174" t="str">
        <f t="shared" si="434"/>
        <v>NG</v>
      </c>
      <c r="CV214" s="297"/>
      <c r="CW214" s="276" t="str">
        <f>IF(OR(CS$8="判定対象外",CV$8="判定対象外",CV214="-"),"-",IF(CS214=CV214,"OK","NG"))</f>
        <v>OK</v>
      </c>
      <c r="CX214" s="233"/>
      <c r="CY214" s="297"/>
      <c r="CZ214" s="235" t="str">
        <f t="shared" si="453"/>
        <v xml:space="preserve">                                                                </v>
      </c>
      <c r="DA214" s="174" t="str">
        <f t="shared" si="435"/>
        <v>NG</v>
      </c>
      <c r="DB214" s="297"/>
      <c r="DC214" s="276" t="str">
        <f>IF(OR(CY$8="判定対象外",DB$8="判定対象外",DB214="-"),"-",IF(CY214=DB214,"OK","NG"))</f>
        <v>OK</v>
      </c>
      <c r="DD214" s="233"/>
      <c r="DE214" s="297"/>
      <c r="DF214" s="235" t="str">
        <f t="shared" si="454"/>
        <v xml:space="preserve">                                                                </v>
      </c>
      <c r="DG214" s="174" t="str">
        <f t="shared" si="436"/>
        <v>NG</v>
      </c>
      <c r="DH214" s="297"/>
      <c r="DI214" s="276" t="str">
        <f>IF(OR(DE$8="判定対象外",DH$8="判定対象外",DH214="-"),"-",IF(DE214=DH214,"OK","NG"))</f>
        <v>OK</v>
      </c>
      <c r="DJ214" s="233"/>
      <c r="DK214" s="297"/>
      <c r="DL214" s="235" t="str">
        <f t="shared" si="455"/>
        <v xml:space="preserve">                                                                </v>
      </c>
      <c r="DM214" s="174" t="str">
        <f t="shared" si="437"/>
        <v>NG</v>
      </c>
      <c r="DN214" s="297"/>
      <c r="DO214" s="276" t="str">
        <f>IF(OR(DK$8="判定対象外",DN$8="判定対象外",DN214="-"),"-",IF(DK214=DN214,"OK","NG"))</f>
        <v>OK</v>
      </c>
      <c r="DP214" s="233"/>
      <c r="DQ214" s="297"/>
      <c r="DR214" s="235" t="str">
        <f t="shared" si="456"/>
        <v xml:space="preserve">                                                                </v>
      </c>
      <c r="DS214" s="174" t="str">
        <f t="shared" si="413"/>
        <v>NG</v>
      </c>
      <c r="DT214" s="297"/>
      <c r="DU214" s="276" t="str">
        <f>IF(OR(DQ$8="判定対象外",DT$8="判定対象外",DT214="-"),"-",IF(DQ214=DT214,"OK","NG"))</f>
        <v>OK</v>
      </c>
      <c r="DV214" s="233"/>
      <c r="DW214" s="297"/>
      <c r="DX214" s="235" t="str">
        <f t="shared" si="457"/>
        <v xml:space="preserve">                                                                </v>
      </c>
      <c r="DY214" s="174" t="str">
        <f t="shared" si="414"/>
        <v>NG</v>
      </c>
      <c r="DZ214" s="297"/>
      <c r="EA214" s="276" t="str">
        <f>IF(OR(DW$8="判定対象外",DZ$8="判定対象外",DZ214="-"),"-",IF(DW214=DZ214,"OK","NG"))</f>
        <v>OK</v>
      </c>
      <c r="EB214" s="233"/>
      <c r="EC214" s="297"/>
      <c r="ED214" s="235" t="str">
        <f t="shared" si="458"/>
        <v xml:space="preserve">                                                                </v>
      </c>
      <c r="EE214" s="174" t="str">
        <f t="shared" si="415"/>
        <v>NG</v>
      </c>
      <c r="EF214" s="297"/>
      <c r="EG214" s="276" t="str">
        <f>IF(OR(EC$8="判定対象外",EF$8="判定対象外",EF214="-"),"-",IF(EC214=EF214,"OK","NG"))</f>
        <v>OK</v>
      </c>
      <c r="EH214" s="233"/>
      <c r="EI214" s="297"/>
      <c r="EJ214" s="235" t="str">
        <f t="shared" si="459"/>
        <v xml:space="preserve">                                                                </v>
      </c>
      <c r="EK214" s="174" t="str">
        <f t="shared" si="416"/>
        <v>NG</v>
      </c>
      <c r="EL214" s="297"/>
      <c r="EM214" s="276" t="str">
        <f>IF(OR(EI$8="判定対象外",EL$8="判定対象外",EL214="-"),"-",IF(EI214=EL214,"OK","NG"))</f>
        <v>OK</v>
      </c>
      <c r="EN214" s="233"/>
      <c r="EO214" s="297"/>
      <c r="EP214" s="235" t="str">
        <f t="shared" si="460"/>
        <v xml:space="preserve">                                                                </v>
      </c>
      <c r="EQ214" s="174" t="str">
        <f t="shared" si="417"/>
        <v>NG</v>
      </c>
      <c r="ER214" s="297"/>
      <c r="ES214" s="276" t="str">
        <f>IF(OR(EO$8="判定対象外",ER$8="判定対象外",ER214="-"),"-",IF(EO214=ER214,"OK","NG"))</f>
        <v>OK</v>
      </c>
      <c r="ET214" s="233"/>
      <c r="EU214" s="297"/>
      <c r="EV214" s="235" t="str">
        <f t="shared" si="461"/>
        <v xml:space="preserve">                                                                </v>
      </c>
      <c r="EW214" s="174" t="str">
        <f t="shared" si="418"/>
        <v>NG</v>
      </c>
      <c r="EX214" s="297"/>
      <c r="EY214" s="276" t="str">
        <f>IF(OR(EU$8="判定対象外",EX$8="判定対象外",EX214="-"),"-",IF(EU214=EX214,"OK","NG"))</f>
        <v>OK</v>
      </c>
      <c r="EZ214" s="233"/>
      <c r="FA214" s="297"/>
      <c r="FB214" s="235" t="str">
        <f t="shared" si="462"/>
        <v xml:space="preserve">                                                                </v>
      </c>
      <c r="FC214" s="174" t="str">
        <f t="shared" si="419"/>
        <v>NG</v>
      </c>
      <c r="FD214" s="297"/>
      <c r="FE214" s="276" t="str">
        <f>IF(OR(FA$8="判定対象外",FD$8="判定対象外",FD214="-"),"-",IF(FA214=FD214,"OK","NG"))</f>
        <v>OK</v>
      </c>
      <c r="FF214" s="233"/>
      <c r="FG214" s="297"/>
      <c r="FH214" s="235" t="str">
        <f t="shared" si="463"/>
        <v xml:space="preserve">                                                                </v>
      </c>
      <c r="FI214" s="174" t="str">
        <f t="shared" si="420"/>
        <v>NG</v>
      </c>
      <c r="FJ214" s="297"/>
      <c r="FK214" s="276" t="str">
        <f>IF(OR(FG$8="判定対象外",FJ$8="判定対象外",FJ214="-"),"-",IF(FG214=FJ214,"OK","NG"))</f>
        <v>OK</v>
      </c>
      <c r="FL214" s="233"/>
      <c r="FM214" s="297"/>
      <c r="FN214" s="235" t="str">
        <f t="shared" si="464"/>
        <v xml:space="preserve">                                                                </v>
      </c>
      <c r="FO214" s="174" t="str">
        <f t="shared" si="438"/>
        <v>NG</v>
      </c>
      <c r="FP214" s="297"/>
      <c r="FQ214" s="276" t="str">
        <f>IF(OR(FM$8="判定対象外",FP$8="判定対象外",FP214="-"),"-",IF(FM214=FP214,"OK","NG"))</f>
        <v>OK</v>
      </c>
      <c r="FR214" s="233"/>
      <c r="FS214" s="297"/>
      <c r="FT214" s="235" t="str">
        <f t="shared" si="465"/>
        <v xml:space="preserve">                                                                </v>
      </c>
      <c r="FU214" s="174" t="str">
        <f t="shared" si="439"/>
        <v>NG</v>
      </c>
      <c r="FV214" s="297"/>
      <c r="FW214" s="276" t="str">
        <f>IF(OR(FS$8="判定対象外",FV$8="判定対象外",FV214="-"),"-",IF(FS214=FV214,"OK","NG"))</f>
        <v>OK</v>
      </c>
      <c r="FX214" s="233"/>
      <c r="FY214" s="297"/>
      <c r="FZ214" s="235" t="str">
        <f t="shared" si="466"/>
        <v xml:space="preserve">                                                                </v>
      </c>
      <c r="GA214" s="174" t="str">
        <f t="shared" si="440"/>
        <v>NG</v>
      </c>
      <c r="GB214" s="297"/>
      <c r="GC214" s="276" t="str">
        <f>IF(OR(FY$8="判定対象外",GB$8="判定対象外",GB214="-"),"-",IF(FY214=GB214,"OK","NG"))</f>
        <v>OK</v>
      </c>
    </row>
    <row r="215" spans="1:185" s="237" customFormat="1" ht="92.25" customHeight="1">
      <c r="B215" s="216">
        <f t="shared" ref="B215:B278" si="467">ROW()-7</f>
        <v>208</v>
      </c>
      <c r="C215" s="220"/>
      <c r="D215" s="220"/>
      <c r="E215" s="220"/>
      <c r="F215" s="238" t="s">
        <v>352</v>
      </c>
      <c r="G215" s="168"/>
      <c r="H215" s="239"/>
      <c r="I215" s="225"/>
      <c r="J215" s="225"/>
      <c r="K215" s="226"/>
      <c r="L215" s="226"/>
      <c r="M215" s="279" t="s">
        <v>353</v>
      </c>
      <c r="N215" s="228"/>
      <c r="O215" s="229"/>
      <c r="P215" s="45">
        <f t="shared" si="422"/>
        <v>186</v>
      </c>
      <c r="Q215" s="230">
        <v>7</v>
      </c>
      <c r="R215" s="41" t="s">
        <v>81</v>
      </c>
      <c r="S215" s="185" t="s">
        <v>254</v>
      </c>
      <c r="T215" s="231"/>
      <c r="U215" s="41" t="s">
        <v>80</v>
      </c>
      <c r="V215" s="229"/>
      <c r="W215" s="232">
        <v>3</v>
      </c>
      <c r="X215" s="194" t="s">
        <v>255</v>
      </c>
      <c r="Y215" s="194">
        <v>7</v>
      </c>
      <c r="Z215" s="194">
        <v>7</v>
      </c>
      <c r="AA215" s="225" t="s">
        <v>81</v>
      </c>
      <c r="AB215" s="225" t="s">
        <v>57</v>
      </c>
      <c r="AC215" s="243"/>
      <c r="AD215" s="233"/>
      <c r="AE215" s="268"/>
      <c r="AF215" s="235" t="str">
        <f t="shared" si="442"/>
        <v xml:space="preserve">       </v>
      </c>
      <c r="AG215" s="174" t="str">
        <f t="shared" si="424"/>
        <v>NG</v>
      </c>
      <c r="AH215" s="268"/>
      <c r="AI215" s="276" t="str">
        <f>IF(OR(AE$8="判定対象外",AH$8="判定対象外",AH215="-"),"-",IF(AE215=AH215,"OK","NG"))</f>
        <v>OK</v>
      </c>
      <c r="AJ215" s="233"/>
      <c r="AK215" s="234"/>
      <c r="AL215" s="235" t="str">
        <f t="shared" si="441"/>
        <v xml:space="preserve">       </v>
      </c>
      <c r="AM215" s="174" t="str">
        <f t="shared" ref="AM215:AM278" si="468">IF(OR(AK$8="判定対象外",AL$8="判定対象外",AL215="-"),"-",IF(AK215=AL215,"OK","NG"))</f>
        <v>NG</v>
      </c>
      <c r="AN215" s="268"/>
      <c r="AO215" s="276" t="str">
        <f>IF(OR(AK$8="判定対象外",AN$8="判定対象外",AN215="-"),"-",IF(AK215=AN215,"OK","NG"))</f>
        <v>OK</v>
      </c>
      <c r="AP215" s="233"/>
      <c r="AQ215" s="268"/>
      <c r="AR215" s="235" t="str">
        <f t="shared" si="443"/>
        <v xml:space="preserve">       </v>
      </c>
      <c r="AS215" s="174" t="str">
        <f t="shared" si="425"/>
        <v>NG</v>
      </c>
      <c r="AT215" s="268"/>
      <c r="AU215" s="276" t="str">
        <f>IF(OR(AQ$8="判定対象外",AT$8="判定対象外",AT215="-"),"-",IF(AQ215=AT215,"OK","NG"))</f>
        <v>OK</v>
      </c>
      <c r="AV215" s="233"/>
      <c r="AW215" s="268"/>
      <c r="AX215" s="235" t="str">
        <f t="shared" si="444"/>
        <v xml:space="preserve">       </v>
      </c>
      <c r="AY215" s="174" t="str">
        <f t="shared" si="426"/>
        <v>NG</v>
      </c>
      <c r="AZ215" s="268"/>
      <c r="BA215" s="276" t="str">
        <f>IF(OR(AW$8="判定対象外",AZ$8="判定対象外",AZ215="-"),"-",IF(AW215=AZ215,"OK","NG"))</f>
        <v>OK</v>
      </c>
      <c r="BB215" s="233"/>
      <c r="BC215" s="268"/>
      <c r="BD215" s="235" t="str">
        <f t="shared" si="445"/>
        <v xml:space="preserve">       </v>
      </c>
      <c r="BE215" s="174" t="str">
        <f t="shared" si="427"/>
        <v>NG</v>
      </c>
      <c r="BF215" s="268"/>
      <c r="BG215" s="276" t="str">
        <f>IF(OR(BC$8="判定対象外",BF$8="判定対象外",BF215="-"),"-",IF(BC215=BF215,"OK","NG"))</f>
        <v>OK</v>
      </c>
      <c r="BH215" s="233"/>
      <c r="BI215" s="268"/>
      <c r="BJ215" s="235" t="str">
        <f t="shared" si="446"/>
        <v xml:space="preserve">       </v>
      </c>
      <c r="BK215" s="174" t="str">
        <f t="shared" si="428"/>
        <v>NG</v>
      </c>
      <c r="BL215" s="268"/>
      <c r="BM215" s="276" t="str">
        <f>IF(OR(BI$8="判定対象外",BL$8="判定対象外",BL215="-"),"-",IF(BI215=BL215,"OK","NG"))</f>
        <v>OK</v>
      </c>
      <c r="BN215" s="233"/>
      <c r="BO215" s="268"/>
      <c r="BP215" s="235" t="str">
        <f t="shared" si="447"/>
        <v xml:space="preserve">       </v>
      </c>
      <c r="BQ215" s="174" t="str">
        <f t="shared" si="429"/>
        <v>NG</v>
      </c>
      <c r="BR215" s="268"/>
      <c r="BS215" s="276" t="str">
        <f>IF(OR(BO$8="判定対象外",BR$8="判定対象外",BR215="-"),"-",IF(BO215=BR215,"OK","NG"))</f>
        <v>OK</v>
      </c>
      <c r="BT215" s="233"/>
      <c r="BU215" s="268"/>
      <c r="BV215" s="235" t="str">
        <f t="shared" si="448"/>
        <v xml:space="preserve">       </v>
      </c>
      <c r="BW215" s="174" t="str">
        <f t="shared" si="430"/>
        <v>NG</v>
      </c>
      <c r="BX215" s="268"/>
      <c r="BY215" s="276" t="str">
        <f>IF(OR(BU$8="判定対象外",BX$8="判定対象外",BX215="-"),"-",IF(BU215=BX215,"OK","NG"))</f>
        <v>OK</v>
      </c>
      <c r="BZ215" s="233"/>
      <c r="CA215" s="268"/>
      <c r="CB215" s="235" t="str">
        <f t="shared" si="449"/>
        <v xml:space="preserve">       </v>
      </c>
      <c r="CC215" s="174" t="str">
        <f t="shared" si="431"/>
        <v>NG</v>
      </c>
      <c r="CD215" s="268"/>
      <c r="CE215" s="276" t="str">
        <f>IF(OR(CA$8="判定対象外",CD$8="判定対象外",CD215="-"),"-",IF(CA215=CD215,"OK","NG"))</f>
        <v>OK</v>
      </c>
      <c r="CF215" s="233"/>
      <c r="CG215" s="268"/>
      <c r="CH215" s="235" t="str">
        <f t="shared" si="450"/>
        <v xml:space="preserve">       </v>
      </c>
      <c r="CI215" s="174" t="str">
        <f t="shared" si="432"/>
        <v>NG</v>
      </c>
      <c r="CJ215" s="268"/>
      <c r="CK215" s="276" t="str">
        <f>IF(OR(CG$8="判定対象外",CJ$8="判定対象外",CJ215="-"),"-",IF(CG215=CJ215,"OK","NG"))</f>
        <v>OK</v>
      </c>
      <c r="CL215" s="233"/>
      <c r="CM215" s="268"/>
      <c r="CN215" s="235" t="str">
        <f t="shared" si="451"/>
        <v xml:space="preserve">       </v>
      </c>
      <c r="CO215" s="174" t="str">
        <f t="shared" si="433"/>
        <v>NG</v>
      </c>
      <c r="CP215" s="268"/>
      <c r="CQ215" s="276" t="str">
        <f>IF(OR(CM$8="判定対象外",CP$8="判定対象外",CP215="-"),"-",IF(CM215=CP215,"OK","NG"))</f>
        <v>OK</v>
      </c>
      <c r="CR215" s="233"/>
      <c r="CS215" s="268"/>
      <c r="CT215" s="235" t="str">
        <f t="shared" si="452"/>
        <v xml:space="preserve">       </v>
      </c>
      <c r="CU215" s="174" t="str">
        <f t="shared" si="434"/>
        <v>NG</v>
      </c>
      <c r="CV215" s="268"/>
      <c r="CW215" s="276" t="str">
        <f>IF(OR(CS$8="判定対象外",CV$8="判定対象外",CV215="-"),"-",IF(CS215=CV215,"OK","NG"))</f>
        <v>OK</v>
      </c>
      <c r="CX215" s="233"/>
      <c r="CY215" s="268"/>
      <c r="CZ215" s="235" t="str">
        <f t="shared" si="453"/>
        <v xml:space="preserve">       </v>
      </c>
      <c r="DA215" s="174" t="str">
        <f t="shared" si="435"/>
        <v>NG</v>
      </c>
      <c r="DB215" s="268"/>
      <c r="DC215" s="276" t="str">
        <f>IF(OR(CY$8="判定対象外",DB$8="判定対象外",DB215="-"),"-",IF(CY215=DB215,"OK","NG"))</f>
        <v>OK</v>
      </c>
      <c r="DD215" s="233"/>
      <c r="DE215" s="268"/>
      <c r="DF215" s="235" t="str">
        <f t="shared" si="454"/>
        <v xml:space="preserve">       </v>
      </c>
      <c r="DG215" s="174" t="str">
        <f t="shared" si="436"/>
        <v>NG</v>
      </c>
      <c r="DH215" s="268"/>
      <c r="DI215" s="276" t="str">
        <f>IF(OR(DE$8="判定対象外",DH$8="判定対象外",DH215="-"),"-",IF(DE215=DH215,"OK","NG"))</f>
        <v>OK</v>
      </c>
      <c r="DJ215" s="233"/>
      <c r="DK215" s="268"/>
      <c r="DL215" s="235" t="str">
        <f t="shared" si="455"/>
        <v xml:space="preserve">       </v>
      </c>
      <c r="DM215" s="174" t="str">
        <f t="shared" si="437"/>
        <v>NG</v>
      </c>
      <c r="DN215" s="268"/>
      <c r="DO215" s="276" t="str">
        <f>IF(OR(DK$8="判定対象外",DN$8="判定対象外",DN215="-"),"-",IF(DK215=DN215,"OK","NG"))</f>
        <v>OK</v>
      </c>
      <c r="DP215" s="233"/>
      <c r="DQ215" s="268"/>
      <c r="DR215" s="235" t="str">
        <f t="shared" si="456"/>
        <v xml:space="preserve">       </v>
      </c>
      <c r="DS215" s="174" t="str">
        <f t="shared" si="413"/>
        <v>NG</v>
      </c>
      <c r="DT215" s="268"/>
      <c r="DU215" s="276" t="str">
        <f>IF(OR(DQ$8="判定対象外",DT$8="判定対象外",DT215="-"),"-",IF(DQ215=DT215,"OK","NG"))</f>
        <v>OK</v>
      </c>
      <c r="DV215" s="233"/>
      <c r="DW215" s="268"/>
      <c r="DX215" s="235" t="str">
        <f t="shared" si="457"/>
        <v xml:space="preserve">       </v>
      </c>
      <c r="DY215" s="174" t="str">
        <f t="shared" si="414"/>
        <v>NG</v>
      </c>
      <c r="DZ215" s="268"/>
      <c r="EA215" s="276" t="str">
        <f>IF(OR(DW$8="判定対象外",DZ$8="判定対象外",DZ215="-"),"-",IF(DW215=DZ215,"OK","NG"))</f>
        <v>OK</v>
      </c>
      <c r="EB215" s="233"/>
      <c r="EC215" s="268"/>
      <c r="ED215" s="235" t="str">
        <f t="shared" si="458"/>
        <v xml:space="preserve">       </v>
      </c>
      <c r="EE215" s="174" t="str">
        <f t="shared" si="415"/>
        <v>NG</v>
      </c>
      <c r="EF215" s="268"/>
      <c r="EG215" s="276" t="str">
        <f>IF(OR(EC$8="判定対象外",EF$8="判定対象外",EF215="-"),"-",IF(EC215=EF215,"OK","NG"))</f>
        <v>OK</v>
      </c>
      <c r="EH215" s="233"/>
      <c r="EI215" s="268"/>
      <c r="EJ215" s="235" t="str">
        <f t="shared" si="459"/>
        <v xml:space="preserve">       </v>
      </c>
      <c r="EK215" s="174" t="str">
        <f t="shared" si="416"/>
        <v>NG</v>
      </c>
      <c r="EL215" s="268"/>
      <c r="EM215" s="276" t="str">
        <f>IF(OR(EI$8="判定対象外",EL$8="判定対象外",EL215="-"),"-",IF(EI215=EL215,"OK","NG"))</f>
        <v>OK</v>
      </c>
      <c r="EN215" s="233"/>
      <c r="EO215" s="268"/>
      <c r="EP215" s="235" t="str">
        <f t="shared" si="460"/>
        <v xml:space="preserve">       </v>
      </c>
      <c r="EQ215" s="174" t="str">
        <f t="shared" si="417"/>
        <v>NG</v>
      </c>
      <c r="ER215" s="268"/>
      <c r="ES215" s="276" t="str">
        <f>IF(OR(EO$8="判定対象外",ER$8="判定対象外",ER215="-"),"-",IF(EO215=ER215,"OK","NG"))</f>
        <v>OK</v>
      </c>
      <c r="ET215" s="233"/>
      <c r="EU215" s="268"/>
      <c r="EV215" s="235" t="str">
        <f t="shared" si="461"/>
        <v xml:space="preserve">       </v>
      </c>
      <c r="EW215" s="174" t="str">
        <f t="shared" si="418"/>
        <v>NG</v>
      </c>
      <c r="EX215" s="268"/>
      <c r="EY215" s="276" t="str">
        <f>IF(OR(EU$8="判定対象外",EX$8="判定対象外",EX215="-"),"-",IF(EU215=EX215,"OK","NG"))</f>
        <v>OK</v>
      </c>
      <c r="EZ215" s="233"/>
      <c r="FA215" s="268"/>
      <c r="FB215" s="235" t="str">
        <f t="shared" si="462"/>
        <v xml:space="preserve">       </v>
      </c>
      <c r="FC215" s="174" t="str">
        <f t="shared" si="419"/>
        <v>NG</v>
      </c>
      <c r="FD215" s="268"/>
      <c r="FE215" s="276" t="str">
        <f>IF(OR(FA$8="判定対象外",FD$8="判定対象外",FD215="-"),"-",IF(FA215=FD215,"OK","NG"))</f>
        <v>OK</v>
      </c>
      <c r="FF215" s="233"/>
      <c r="FG215" s="268"/>
      <c r="FH215" s="235" t="str">
        <f t="shared" si="463"/>
        <v xml:space="preserve">       </v>
      </c>
      <c r="FI215" s="174" t="str">
        <f t="shared" si="420"/>
        <v>NG</v>
      </c>
      <c r="FJ215" s="268"/>
      <c r="FK215" s="276" t="str">
        <f>IF(OR(FG$8="判定対象外",FJ$8="判定対象外",FJ215="-"),"-",IF(FG215=FJ215,"OK","NG"))</f>
        <v>OK</v>
      </c>
      <c r="FL215" s="233"/>
      <c r="FM215" s="268"/>
      <c r="FN215" s="235" t="str">
        <f t="shared" si="464"/>
        <v xml:space="preserve">       </v>
      </c>
      <c r="FO215" s="174" t="str">
        <f t="shared" si="438"/>
        <v>NG</v>
      </c>
      <c r="FP215" s="268"/>
      <c r="FQ215" s="276" t="str">
        <f>IF(OR(FM$8="判定対象外",FP$8="判定対象外",FP215="-"),"-",IF(FM215=FP215,"OK","NG"))</f>
        <v>OK</v>
      </c>
      <c r="FR215" s="233"/>
      <c r="FS215" s="268"/>
      <c r="FT215" s="235" t="str">
        <f t="shared" si="465"/>
        <v xml:space="preserve">       </v>
      </c>
      <c r="FU215" s="174" t="str">
        <f t="shared" si="439"/>
        <v>NG</v>
      </c>
      <c r="FV215" s="268"/>
      <c r="FW215" s="276" t="str">
        <f>IF(OR(FS$8="判定対象外",FV$8="判定対象外",FV215="-"),"-",IF(FS215=FV215,"OK","NG"))</f>
        <v>OK</v>
      </c>
      <c r="FX215" s="233"/>
      <c r="FY215" s="268"/>
      <c r="FZ215" s="235" t="str">
        <f t="shared" si="466"/>
        <v xml:space="preserve">       </v>
      </c>
      <c r="GA215" s="174" t="str">
        <f t="shared" si="440"/>
        <v>NG</v>
      </c>
      <c r="GB215" s="268"/>
      <c r="GC215" s="276" t="str">
        <f>IF(OR(FY$8="判定対象外",GB$8="判定対象外",GB215="-"),"-",IF(FY215=GB215,"OK","NG"))</f>
        <v>OK</v>
      </c>
    </row>
    <row r="216" spans="1:185" s="237" customFormat="1" ht="127.9" thickBot="1">
      <c r="A216" s="244"/>
      <c r="B216" s="286">
        <f t="shared" si="467"/>
        <v>209</v>
      </c>
      <c r="C216" s="245"/>
      <c r="D216" s="245"/>
      <c r="E216" s="245"/>
      <c r="F216" s="287" t="s">
        <v>354</v>
      </c>
      <c r="G216" s="288"/>
      <c r="H216" s="289"/>
      <c r="I216" s="290"/>
      <c r="J216" s="290"/>
      <c r="K216" s="290"/>
      <c r="L216" s="290"/>
      <c r="M216" s="291" t="s">
        <v>355</v>
      </c>
      <c r="N216" s="280"/>
      <c r="O216" s="284"/>
      <c r="P216" s="71">
        <f t="shared" si="422"/>
        <v>187</v>
      </c>
      <c r="Q216" s="74">
        <v>1</v>
      </c>
      <c r="R216" s="73">
        <v>9</v>
      </c>
      <c r="S216" s="74" t="s">
        <v>256</v>
      </c>
      <c r="T216" s="74"/>
      <c r="U216" s="73" t="s">
        <v>80</v>
      </c>
      <c r="V216" s="246"/>
      <c r="W216" s="76" t="str">
        <f>IF(C216&lt;&gt;"","0",IF(D216&lt;&gt;"","1",IF(E216&lt;&gt;"","2",IF(F216&lt;&gt;"","3",IF(G216&lt;&gt;"","4",IF(H216&lt;&gt;"","5"))))))</f>
        <v>3</v>
      </c>
      <c r="X216" s="77" t="s">
        <v>258</v>
      </c>
      <c r="Y216" s="77">
        <v>1</v>
      </c>
      <c r="Z216" s="77">
        <v>1</v>
      </c>
      <c r="AA216" s="247">
        <v>9</v>
      </c>
      <c r="AB216" s="68" t="s">
        <v>80</v>
      </c>
      <c r="AC216" s="248"/>
      <c r="AD216" s="249"/>
      <c r="AE216" s="300"/>
      <c r="AF216" s="253" t="str">
        <f t="shared" si="442"/>
        <v xml:space="preserve"> </v>
      </c>
      <c r="AG216" s="177" t="str">
        <f t="shared" si="424"/>
        <v>NG</v>
      </c>
      <c r="AH216" s="300"/>
      <c r="AI216" s="270" t="str">
        <f>IF(OR(AE$8="判定対象外",AH$8="判定対象外",AH216="-"),"-",IF(AE216=AH216,"OK","NG"))</f>
        <v>OK</v>
      </c>
      <c r="AJ216" s="249"/>
      <c r="AK216" s="250"/>
      <c r="AL216" s="253" t="str">
        <f t="shared" si="441"/>
        <v xml:space="preserve"> </v>
      </c>
      <c r="AM216" s="177" t="str">
        <f t="shared" si="468"/>
        <v>NG</v>
      </c>
      <c r="AN216" s="250"/>
      <c r="AO216" s="270" t="str">
        <f>IF(OR(AK$8="判定対象外",AN$8="判定対象外",AN216="-"),"-",IF(AK216=AN216,"OK","NG"))</f>
        <v>OK</v>
      </c>
      <c r="AP216" s="249"/>
      <c r="AQ216" s="300"/>
      <c r="AR216" s="253" t="str">
        <f t="shared" si="443"/>
        <v xml:space="preserve"> </v>
      </c>
      <c r="AS216" s="177" t="str">
        <f t="shared" si="425"/>
        <v>NG</v>
      </c>
      <c r="AT216" s="300"/>
      <c r="AU216" s="270" t="str">
        <f>IF(OR(AQ$8="判定対象外",AT$8="判定対象外",AT216="-"),"-",IF(AQ216=AT216,"OK","NG"))</f>
        <v>OK</v>
      </c>
      <c r="AV216" s="249"/>
      <c r="AW216" s="300"/>
      <c r="AX216" s="253" t="str">
        <f t="shared" si="444"/>
        <v xml:space="preserve"> </v>
      </c>
      <c r="AY216" s="177" t="str">
        <f t="shared" si="426"/>
        <v>NG</v>
      </c>
      <c r="AZ216" s="300"/>
      <c r="BA216" s="270" t="str">
        <f>IF(OR(AW$8="判定対象外",AZ$8="判定対象外",AZ216="-"),"-",IF(AW216=AZ216,"OK","NG"))</f>
        <v>OK</v>
      </c>
      <c r="BB216" s="249"/>
      <c r="BC216" s="300"/>
      <c r="BD216" s="253" t="str">
        <f t="shared" si="445"/>
        <v xml:space="preserve"> </v>
      </c>
      <c r="BE216" s="177" t="str">
        <f t="shared" si="427"/>
        <v>NG</v>
      </c>
      <c r="BF216" s="300"/>
      <c r="BG216" s="270" t="str">
        <f>IF(OR(BC$8="判定対象外",BF$8="判定対象外",BF216="-"),"-",IF(BC216=BF216,"OK","NG"))</f>
        <v>OK</v>
      </c>
      <c r="BH216" s="249"/>
      <c r="BI216" s="300"/>
      <c r="BJ216" s="253" t="str">
        <f t="shared" si="446"/>
        <v xml:space="preserve"> </v>
      </c>
      <c r="BK216" s="177" t="str">
        <f t="shared" si="428"/>
        <v>NG</v>
      </c>
      <c r="BL216" s="300"/>
      <c r="BM216" s="270" t="str">
        <f>IF(OR(BI$8="判定対象外",BL$8="判定対象外",BL216="-"),"-",IF(BI216=BL216,"OK","NG"))</f>
        <v>OK</v>
      </c>
      <c r="BN216" s="249"/>
      <c r="BO216" s="300"/>
      <c r="BP216" s="253" t="str">
        <f t="shared" si="447"/>
        <v xml:space="preserve"> </v>
      </c>
      <c r="BQ216" s="177" t="str">
        <f t="shared" si="429"/>
        <v>NG</v>
      </c>
      <c r="BR216" s="300"/>
      <c r="BS216" s="270" t="str">
        <f>IF(OR(BO$8="判定対象外",BR$8="判定対象外",BR216="-"),"-",IF(BO216=BR216,"OK","NG"))</f>
        <v>OK</v>
      </c>
      <c r="BT216" s="249"/>
      <c r="BU216" s="300"/>
      <c r="BV216" s="253" t="str">
        <f t="shared" si="448"/>
        <v xml:space="preserve"> </v>
      </c>
      <c r="BW216" s="177" t="str">
        <f t="shared" si="430"/>
        <v>NG</v>
      </c>
      <c r="BX216" s="300"/>
      <c r="BY216" s="270" t="str">
        <f>IF(OR(BU$8="判定対象外",BX$8="判定対象外",BX216="-"),"-",IF(BU216=BX216,"OK","NG"))</f>
        <v>OK</v>
      </c>
      <c r="BZ216" s="249"/>
      <c r="CA216" s="300"/>
      <c r="CB216" s="253" t="str">
        <f t="shared" si="449"/>
        <v xml:space="preserve"> </v>
      </c>
      <c r="CC216" s="177" t="str">
        <f t="shared" si="431"/>
        <v>NG</v>
      </c>
      <c r="CD216" s="300"/>
      <c r="CE216" s="270" t="str">
        <f>IF(OR(CA$8="判定対象外",CD$8="判定対象外",CD216="-"),"-",IF(CA216=CD216,"OK","NG"))</f>
        <v>OK</v>
      </c>
      <c r="CF216" s="249"/>
      <c r="CG216" s="300"/>
      <c r="CH216" s="253" t="str">
        <f t="shared" si="450"/>
        <v xml:space="preserve"> </v>
      </c>
      <c r="CI216" s="177" t="str">
        <f t="shared" si="432"/>
        <v>NG</v>
      </c>
      <c r="CJ216" s="300"/>
      <c r="CK216" s="270" t="str">
        <f>IF(OR(CG$8="判定対象外",CJ$8="判定対象外",CJ216="-"),"-",IF(CG216=CJ216,"OK","NG"))</f>
        <v>OK</v>
      </c>
      <c r="CL216" s="249"/>
      <c r="CM216" s="300"/>
      <c r="CN216" s="253" t="str">
        <f t="shared" si="451"/>
        <v xml:space="preserve"> </v>
      </c>
      <c r="CO216" s="177" t="str">
        <f t="shared" si="433"/>
        <v>NG</v>
      </c>
      <c r="CP216" s="300"/>
      <c r="CQ216" s="270" t="str">
        <f>IF(OR(CM$8="判定対象外",CP$8="判定対象外",CP216="-"),"-",IF(CM216=CP216,"OK","NG"))</f>
        <v>OK</v>
      </c>
      <c r="CR216" s="249"/>
      <c r="CS216" s="300"/>
      <c r="CT216" s="253" t="str">
        <f t="shared" si="452"/>
        <v xml:space="preserve"> </v>
      </c>
      <c r="CU216" s="177" t="str">
        <f t="shared" si="434"/>
        <v>NG</v>
      </c>
      <c r="CV216" s="300"/>
      <c r="CW216" s="270" t="str">
        <f>IF(OR(CS$8="判定対象外",CV$8="判定対象外",CV216="-"),"-",IF(CS216=CV216,"OK","NG"))</f>
        <v>OK</v>
      </c>
      <c r="CX216" s="249"/>
      <c r="CY216" s="300"/>
      <c r="CZ216" s="253" t="str">
        <f t="shared" si="453"/>
        <v xml:space="preserve"> </v>
      </c>
      <c r="DA216" s="177" t="str">
        <f t="shared" si="435"/>
        <v>NG</v>
      </c>
      <c r="DB216" s="300"/>
      <c r="DC216" s="270" t="str">
        <f>IF(OR(CY$8="判定対象外",DB$8="判定対象外",DB216="-"),"-",IF(CY216=DB216,"OK","NG"))</f>
        <v>OK</v>
      </c>
      <c r="DD216" s="249"/>
      <c r="DE216" s="300"/>
      <c r="DF216" s="253" t="str">
        <f t="shared" si="454"/>
        <v xml:space="preserve"> </v>
      </c>
      <c r="DG216" s="177" t="str">
        <f t="shared" si="436"/>
        <v>NG</v>
      </c>
      <c r="DH216" s="300"/>
      <c r="DI216" s="270" t="str">
        <f>IF(OR(DE$8="判定対象外",DH$8="判定対象外",DH216="-"),"-",IF(DE216=DH216,"OK","NG"))</f>
        <v>OK</v>
      </c>
      <c r="DJ216" s="249"/>
      <c r="DK216" s="300"/>
      <c r="DL216" s="253" t="str">
        <f t="shared" si="455"/>
        <v xml:space="preserve"> </v>
      </c>
      <c r="DM216" s="177" t="str">
        <f t="shared" si="437"/>
        <v>NG</v>
      </c>
      <c r="DN216" s="300"/>
      <c r="DO216" s="270" t="str">
        <f>IF(OR(DK$8="判定対象外",DN$8="判定対象外",DN216="-"),"-",IF(DK216=DN216,"OK","NG"))</f>
        <v>OK</v>
      </c>
      <c r="DP216" s="249"/>
      <c r="DQ216" s="300"/>
      <c r="DR216" s="253" t="str">
        <f t="shared" si="456"/>
        <v xml:space="preserve"> </v>
      </c>
      <c r="DS216" s="177" t="str">
        <f t="shared" si="413"/>
        <v>NG</v>
      </c>
      <c r="DT216" s="300"/>
      <c r="DU216" s="270" t="str">
        <f>IF(OR(DQ$8="判定対象外",DT$8="判定対象外",DT216="-"),"-",IF(DQ216=DT216,"OK","NG"))</f>
        <v>OK</v>
      </c>
      <c r="DV216" s="249"/>
      <c r="DW216" s="300"/>
      <c r="DX216" s="253" t="str">
        <f t="shared" si="457"/>
        <v xml:space="preserve"> </v>
      </c>
      <c r="DY216" s="177" t="str">
        <f t="shared" si="414"/>
        <v>NG</v>
      </c>
      <c r="DZ216" s="300"/>
      <c r="EA216" s="270" t="str">
        <f>IF(OR(DW$8="判定対象外",DZ$8="判定対象外",DZ216="-"),"-",IF(DW216=DZ216,"OK","NG"))</f>
        <v>OK</v>
      </c>
      <c r="EB216" s="249"/>
      <c r="EC216" s="300"/>
      <c r="ED216" s="253" t="str">
        <f t="shared" si="458"/>
        <v xml:space="preserve"> </v>
      </c>
      <c r="EE216" s="177" t="str">
        <f t="shared" si="415"/>
        <v>NG</v>
      </c>
      <c r="EF216" s="300"/>
      <c r="EG216" s="270" t="str">
        <f>IF(OR(EC$8="判定対象外",EF$8="判定対象外",EF216="-"),"-",IF(EC216=EF216,"OK","NG"))</f>
        <v>OK</v>
      </c>
      <c r="EH216" s="249"/>
      <c r="EI216" s="300"/>
      <c r="EJ216" s="253" t="str">
        <f t="shared" si="459"/>
        <v xml:space="preserve"> </v>
      </c>
      <c r="EK216" s="177" t="str">
        <f t="shared" si="416"/>
        <v>NG</v>
      </c>
      <c r="EL216" s="300"/>
      <c r="EM216" s="270" t="str">
        <f>IF(OR(EI$8="判定対象外",EL$8="判定対象外",EL216="-"),"-",IF(EI216=EL216,"OK","NG"))</f>
        <v>OK</v>
      </c>
      <c r="EN216" s="249"/>
      <c r="EO216" s="300"/>
      <c r="EP216" s="253" t="str">
        <f t="shared" si="460"/>
        <v xml:space="preserve"> </v>
      </c>
      <c r="EQ216" s="177" t="str">
        <f t="shared" si="417"/>
        <v>NG</v>
      </c>
      <c r="ER216" s="300"/>
      <c r="ES216" s="270" t="str">
        <f>IF(OR(EO$8="判定対象外",ER$8="判定対象外",ER216="-"),"-",IF(EO216=ER216,"OK","NG"))</f>
        <v>OK</v>
      </c>
      <c r="ET216" s="249"/>
      <c r="EU216" s="300"/>
      <c r="EV216" s="253" t="str">
        <f t="shared" si="461"/>
        <v xml:space="preserve"> </v>
      </c>
      <c r="EW216" s="177" t="str">
        <f t="shared" si="418"/>
        <v>NG</v>
      </c>
      <c r="EX216" s="300"/>
      <c r="EY216" s="270" t="str">
        <f>IF(OR(EU$8="判定対象外",EX$8="判定対象外",EX216="-"),"-",IF(EU216=EX216,"OK","NG"))</f>
        <v>OK</v>
      </c>
      <c r="EZ216" s="249"/>
      <c r="FA216" s="300"/>
      <c r="FB216" s="253" t="str">
        <f t="shared" si="462"/>
        <v xml:space="preserve"> </v>
      </c>
      <c r="FC216" s="177" t="str">
        <f t="shared" si="419"/>
        <v>NG</v>
      </c>
      <c r="FD216" s="300"/>
      <c r="FE216" s="270" t="str">
        <f>IF(OR(FA$8="判定対象外",FD$8="判定対象外",FD216="-"),"-",IF(FA216=FD216,"OK","NG"))</f>
        <v>OK</v>
      </c>
      <c r="FF216" s="249"/>
      <c r="FG216" s="300"/>
      <c r="FH216" s="253" t="str">
        <f t="shared" si="463"/>
        <v xml:space="preserve"> </v>
      </c>
      <c r="FI216" s="177" t="str">
        <f t="shared" si="420"/>
        <v>NG</v>
      </c>
      <c r="FJ216" s="300"/>
      <c r="FK216" s="270" t="str">
        <f>IF(OR(FG$8="判定対象外",FJ$8="判定対象外",FJ216="-"),"-",IF(FG216=FJ216,"OK","NG"))</f>
        <v>OK</v>
      </c>
      <c r="FL216" s="249"/>
      <c r="FM216" s="300"/>
      <c r="FN216" s="253" t="str">
        <f t="shared" si="464"/>
        <v xml:space="preserve"> </v>
      </c>
      <c r="FO216" s="177" t="str">
        <f t="shared" si="438"/>
        <v>NG</v>
      </c>
      <c r="FP216" s="300"/>
      <c r="FQ216" s="270" t="str">
        <f>IF(OR(FM$8="判定対象外",FP$8="判定対象外",FP216="-"),"-",IF(FM216=FP216,"OK","NG"))</f>
        <v>OK</v>
      </c>
      <c r="FR216" s="249"/>
      <c r="FS216" s="300"/>
      <c r="FT216" s="253" t="str">
        <f t="shared" si="465"/>
        <v xml:space="preserve"> </v>
      </c>
      <c r="FU216" s="177" t="str">
        <f t="shared" si="439"/>
        <v>NG</v>
      </c>
      <c r="FV216" s="300"/>
      <c r="FW216" s="270" t="str">
        <f>IF(OR(FS$8="判定対象外",FV$8="判定対象外",FV216="-"),"-",IF(FS216=FV216,"OK","NG"))</f>
        <v>OK</v>
      </c>
      <c r="FX216" s="249"/>
      <c r="FY216" s="300"/>
      <c r="FZ216" s="253" t="str">
        <f t="shared" si="466"/>
        <v xml:space="preserve"> </v>
      </c>
      <c r="GA216" s="177" t="str">
        <f t="shared" si="440"/>
        <v>NG</v>
      </c>
      <c r="GB216" s="300"/>
      <c r="GC216" s="270" t="str">
        <f>IF(OR(FY$8="判定対象外",GB$8="判定対象外",GB216="-"),"-",IF(FY216=GB216,"OK","NG"))</f>
        <v>OK</v>
      </c>
    </row>
    <row r="217" spans="1:185" s="52" customFormat="1" ht="18.75" customHeight="1" thickTop="1">
      <c r="B217" s="48">
        <f t="shared" si="467"/>
        <v>210</v>
      </c>
      <c r="C217" s="37"/>
      <c r="D217" s="37"/>
      <c r="E217" s="26" t="s">
        <v>315</v>
      </c>
      <c r="F217" s="254"/>
      <c r="G217" s="254"/>
      <c r="H217" s="28"/>
      <c r="I217" s="42" t="s">
        <v>1</v>
      </c>
      <c r="J217" s="42" t="s">
        <v>316</v>
      </c>
      <c r="K217" s="42"/>
      <c r="L217" s="42"/>
      <c r="M217" s="47" t="s">
        <v>317</v>
      </c>
      <c r="N217" s="281"/>
      <c r="O217" s="282"/>
      <c r="P217" s="20"/>
      <c r="Q217" s="21"/>
      <c r="R217" s="16"/>
      <c r="S217" s="283"/>
      <c r="T217" s="281"/>
      <c r="U217" s="16"/>
      <c r="V217" s="207"/>
      <c r="W217" s="22" t="str">
        <f>IF(C217&lt;&gt;"","0",IF(D217&lt;&gt;"","1",IF(E217&lt;&gt;"","2",IF(F217&lt;&gt;"","3",IF(G217&lt;&gt;"","4",IF(H217&lt;&gt;"","5"))))))</f>
        <v>2</v>
      </c>
      <c r="X217" s="47" t="s">
        <v>187</v>
      </c>
      <c r="Y217" s="47"/>
      <c r="Z217" s="47"/>
      <c r="AA217" s="42"/>
      <c r="AB217" s="42" t="s">
        <v>80</v>
      </c>
      <c r="AC217" s="251"/>
      <c r="AD217" s="160"/>
      <c r="AE217" s="141"/>
      <c r="AF217" s="203" t="str">
        <f t="shared" si="442"/>
        <v/>
      </c>
      <c r="AG217" s="174" t="str">
        <f t="shared" si="424"/>
        <v>OK</v>
      </c>
      <c r="AH217" s="203"/>
      <c r="AI217" s="276" t="s">
        <v>71</v>
      </c>
      <c r="AJ217" s="160"/>
      <c r="AK217" s="141"/>
      <c r="AL217" s="203" t="str">
        <f t="shared" si="441"/>
        <v/>
      </c>
      <c r="AM217" s="174" t="str">
        <f t="shared" si="468"/>
        <v>OK</v>
      </c>
      <c r="AN217" s="203"/>
      <c r="AO217" s="276" t="s">
        <v>71</v>
      </c>
      <c r="AP217" s="160"/>
      <c r="AQ217" s="141"/>
      <c r="AR217" s="203" t="str">
        <f t="shared" si="443"/>
        <v/>
      </c>
      <c r="AS217" s="174" t="str">
        <f t="shared" si="425"/>
        <v>OK</v>
      </c>
      <c r="AT217" s="203"/>
      <c r="AU217" s="276" t="s">
        <v>71</v>
      </c>
      <c r="AV217" s="160"/>
      <c r="AW217" s="141"/>
      <c r="AX217" s="203" t="str">
        <f t="shared" si="444"/>
        <v/>
      </c>
      <c r="AY217" s="174" t="str">
        <f t="shared" si="426"/>
        <v>OK</v>
      </c>
      <c r="AZ217" s="203"/>
      <c r="BA217" s="276" t="s">
        <v>71</v>
      </c>
      <c r="BB217" s="160"/>
      <c r="BC217" s="141"/>
      <c r="BD217" s="203" t="str">
        <f t="shared" si="445"/>
        <v/>
      </c>
      <c r="BE217" s="174" t="str">
        <f t="shared" si="427"/>
        <v>OK</v>
      </c>
      <c r="BF217" s="203"/>
      <c r="BG217" s="276" t="s">
        <v>71</v>
      </c>
      <c r="BH217" s="160"/>
      <c r="BI217" s="141"/>
      <c r="BJ217" s="203" t="str">
        <f t="shared" si="446"/>
        <v/>
      </c>
      <c r="BK217" s="174" t="str">
        <f t="shared" si="428"/>
        <v>OK</v>
      </c>
      <c r="BL217" s="203"/>
      <c r="BM217" s="276" t="s">
        <v>71</v>
      </c>
      <c r="BN217" s="160"/>
      <c r="BO217" s="141"/>
      <c r="BP217" s="203" t="str">
        <f t="shared" si="447"/>
        <v/>
      </c>
      <c r="BQ217" s="174" t="str">
        <f t="shared" si="429"/>
        <v>OK</v>
      </c>
      <c r="BR217" s="203"/>
      <c r="BS217" s="276" t="s">
        <v>71</v>
      </c>
      <c r="BT217" s="160"/>
      <c r="BU217" s="141"/>
      <c r="BV217" s="203" t="str">
        <f t="shared" si="448"/>
        <v/>
      </c>
      <c r="BW217" s="174" t="str">
        <f t="shared" si="430"/>
        <v>OK</v>
      </c>
      <c r="BX217" s="203"/>
      <c r="BY217" s="276" t="s">
        <v>71</v>
      </c>
      <c r="BZ217" s="160"/>
      <c r="CA217" s="141"/>
      <c r="CB217" s="203" t="str">
        <f t="shared" si="449"/>
        <v/>
      </c>
      <c r="CC217" s="174" t="str">
        <f t="shared" si="431"/>
        <v>OK</v>
      </c>
      <c r="CD217" s="203"/>
      <c r="CE217" s="276" t="s">
        <v>71</v>
      </c>
      <c r="CF217" s="160"/>
      <c r="CG217" s="141"/>
      <c r="CH217" s="203" t="str">
        <f t="shared" si="450"/>
        <v/>
      </c>
      <c r="CI217" s="174" t="str">
        <f t="shared" si="432"/>
        <v>OK</v>
      </c>
      <c r="CJ217" s="203"/>
      <c r="CK217" s="276" t="s">
        <v>71</v>
      </c>
      <c r="CL217" s="160"/>
      <c r="CM217" s="141"/>
      <c r="CN217" s="203" t="str">
        <f t="shared" si="451"/>
        <v/>
      </c>
      <c r="CO217" s="174" t="str">
        <f t="shared" si="433"/>
        <v>OK</v>
      </c>
      <c r="CP217" s="203"/>
      <c r="CQ217" s="276" t="s">
        <v>71</v>
      </c>
      <c r="CR217" s="160"/>
      <c r="CS217" s="141"/>
      <c r="CT217" s="203" t="str">
        <f t="shared" si="452"/>
        <v/>
      </c>
      <c r="CU217" s="174" t="str">
        <f t="shared" si="434"/>
        <v>OK</v>
      </c>
      <c r="CV217" s="203"/>
      <c r="CW217" s="276" t="s">
        <v>71</v>
      </c>
      <c r="CX217" s="160"/>
      <c r="CY217" s="141"/>
      <c r="CZ217" s="203" t="str">
        <f t="shared" si="453"/>
        <v/>
      </c>
      <c r="DA217" s="174" t="str">
        <f t="shared" si="435"/>
        <v>OK</v>
      </c>
      <c r="DB217" s="203"/>
      <c r="DC217" s="276" t="s">
        <v>71</v>
      </c>
      <c r="DD217" s="160"/>
      <c r="DE217" s="141"/>
      <c r="DF217" s="203" t="str">
        <f t="shared" si="454"/>
        <v/>
      </c>
      <c r="DG217" s="174" t="str">
        <f t="shared" si="436"/>
        <v>OK</v>
      </c>
      <c r="DH217" s="203"/>
      <c r="DI217" s="276" t="s">
        <v>71</v>
      </c>
      <c r="DJ217" s="160"/>
      <c r="DK217" s="141"/>
      <c r="DL217" s="203" t="str">
        <f t="shared" si="455"/>
        <v/>
      </c>
      <c r="DM217" s="174" t="str">
        <f t="shared" si="437"/>
        <v>OK</v>
      </c>
      <c r="DN217" s="203"/>
      <c r="DO217" s="276" t="s">
        <v>71</v>
      </c>
      <c r="DP217" s="160"/>
      <c r="DQ217" s="141"/>
      <c r="DR217" s="203" t="str">
        <f t="shared" si="456"/>
        <v/>
      </c>
      <c r="DS217" s="174" t="str">
        <f t="shared" si="413"/>
        <v>OK</v>
      </c>
      <c r="DT217" s="203"/>
      <c r="DU217" s="276" t="s">
        <v>71</v>
      </c>
      <c r="DV217" s="160"/>
      <c r="DW217" s="141"/>
      <c r="DX217" s="203" t="str">
        <f t="shared" si="457"/>
        <v/>
      </c>
      <c r="DY217" s="174" t="str">
        <f t="shared" si="414"/>
        <v>OK</v>
      </c>
      <c r="DZ217" s="203"/>
      <c r="EA217" s="276" t="s">
        <v>71</v>
      </c>
      <c r="EB217" s="160"/>
      <c r="EC217" s="141"/>
      <c r="ED217" s="203" t="str">
        <f t="shared" si="458"/>
        <v/>
      </c>
      <c r="EE217" s="174" t="str">
        <f t="shared" si="415"/>
        <v>OK</v>
      </c>
      <c r="EF217" s="203"/>
      <c r="EG217" s="276" t="s">
        <v>71</v>
      </c>
      <c r="EH217" s="160"/>
      <c r="EI217" s="141"/>
      <c r="EJ217" s="203" t="str">
        <f t="shared" si="459"/>
        <v/>
      </c>
      <c r="EK217" s="174" t="str">
        <f t="shared" si="416"/>
        <v>OK</v>
      </c>
      <c r="EL217" s="203"/>
      <c r="EM217" s="276" t="s">
        <v>71</v>
      </c>
      <c r="EN217" s="160"/>
      <c r="EO217" s="141"/>
      <c r="EP217" s="203" t="str">
        <f t="shared" si="460"/>
        <v/>
      </c>
      <c r="EQ217" s="174" t="str">
        <f t="shared" si="417"/>
        <v>OK</v>
      </c>
      <c r="ER217" s="203"/>
      <c r="ES217" s="276" t="s">
        <v>71</v>
      </c>
      <c r="ET217" s="160"/>
      <c r="EU217" s="141"/>
      <c r="EV217" s="203" t="str">
        <f t="shared" si="461"/>
        <v/>
      </c>
      <c r="EW217" s="174" t="str">
        <f t="shared" si="418"/>
        <v>OK</v>
      </c>
      <c r="EX217" s="203"/>
      <c r="EY217" s="276" t="s">
        <v>71</v>
      </c>
      <c r="EZ217" s="160"/>
      <c r="FA217" s="141"/>
      <c r="FB217" s="203" t="str">
        <f t="shared" si="462"/>
        <v/>
      </c>
      <c r="FC217" s="174" t="str">
        <f t="shared" si="419"/>
        <v>OK</v>
      </c>
      <c r="FD217" s="203"/>
      <c r="FE217" s="276" t="s">
        <v>71</v>
      </c>
      <c r="FF217" s="160"/>
      <c r="FG217" s="141"/>
      <c r="FH217" s="203" t="str">
        <f t="shared" si="463"/>
        <v/>
      </c>
      <c r="FI217" s="174" t="str">
        <f t="shared" si="420"/>
        <v>OK</v>
      </c>
      <c r="FJ217" s="203"/>
      <c r="FK217" s="276" t="s">
        <v>71</v>
      </c>
      <c r="FL217" s="160"/>
      <c r="FM217" s="141"/>
      <c r="FN217" s="203" t="str">
        <f t="shared" si="464"/>
        <v/>
      </c>
      <c r="FO217" s="174" t="str">
        <f t="shared" si="438"/>
        <v>OK</v>
      </c>
      <c r="FP217" s="203"/>
      <c r="FQ217" s="276" t="s">
        <v>71</v>
      </c>
      <c r="FR217" s="160"/>
      <c r="FS217" s="141"/>
      <c r="FT217" s="203" t="str">
        <f t="shared" si="465"/>
        <v/>
      </c>
      <c r="FU217" s="174" t="str">
        <f t="shared" si="439"/>
        <v>OK</v>
      </c>
      <c r="FV217" s="203"/>
      <c r="FW217" s="276" t="s">
        <v>71</v>
      </c>
      <c r="FX217" s="160"/>
      <c r="FY217" s="141"/>
      <c r="FZ217" s="203" t="str">
        <f t="shared" si="466"/>
        <v/>
      </c>
      <c r="GA217" s="174" t="str">
        <f t="shared" si="440"/>
        <v>OK</v>
      </c>
      <c r="GB217" s="203"/>
      <c r="GC217" s="276" t="s">
        <v>71</v>
      </c>
    </row>
    <row r="218" spans="1:185" s="52" customFormat="1" ht="63.75">
      <c r="B218" s="48">
        <f t="shared" si="467"/>
        <v>211</v>
      </c>
      <c r="C218" s="187"/>
      <c r="D218" s="37"/>
      <c r="E218" s="37"/>
      <c r="F218" s="188" t="s">
        <v>318</v>
      </c>
      <c r="G218" s="39"/>
      <c r="H218" s="40"/>
      <c r="I218" s="57"/>
      <c r="J218" s="57"/>
      <c r="K218" s="57"/>
      <c r="L218" s="42"/>
      <c r="M218" s="58" t="s">
        <v>319</v>
      </c>
      <c r="N218" s="47"/>
      <c r="O218" s="143"/>
      <c r="P218" s="45">
        <f>P216+1</f>
        <v>188</v>
      </c>
      <c r="Q218" s="200">
        <v>2</v>
      </c>
      <c r="R218" s="41" t="str">
        <f t="shared" ref="R218:R224" si="469">IF(AA218="M","NX",AA218)</f>
        <v>X</v>
      </c>
      <c r="S218" s="185" t="s">
        <v>99</v>
      </c>
      <c r="T218" s="43"/>
      <c r="U218" s="41" t="s">
        <v>80</v>
      </c>
      <c r="V218" s="212" t="s">
        <v>188</v>
      </c>
      <c r="W218" s="22" t="str">
        <f>IF(C218&lt;&gt;"","0",IF(D218&lt;&gt;"","1",IF(E218&lt;&gt;"","2",IF(F218&lt;&gt;"","3",IF(G218&lt;&gt;"","4",IF(H218&lt;&gt;"","5"))))))</f>
        <v>3</v>
      </c>
      <c r="X218" s="62" t="s">
        <v>189</v>
      </c>
      <c r="Y218" s="201">
        <v>2</v>
      </c>
      <c r="Z218" s="201">
        <v>2</v>
      </c>
      <c r="AA218" s="202" t="s">
        <v>163</v>
      </c>
      <c r="AB218" s="202" t="s">
        <v>57</v>
      </c>
      <c r="AC218" s="166"/>
      <c r="AD218" s="160"/>
      <c r="AE218" s="162"/>
      <c r="AF218" s="167" t="str">
        <f t="shared" si="442"/>
        <v xml:space="preserve">  </v>
      </c>
      <c r="AG218" s="174" t="str">
        <f t="shared" si="424"/>
        <v>NG</v>
      </c>
      <c r="AH218" s="204"/>
      <c r="AI218" s="276" t="str">
        <f>IF(OR(AE$8="判定対象外",AH$8="判定対象外",AH218="-"),"-",IF(AE218=AH218,"OK","NG"))</f>
        <v>OK</v>
      </c>
      <c r="AJ218" s="160"/>
      <c r="AK218" s="162"/>
      <c r="AL218" s="167" t="str">
        <f t="shared" si="441"/>
        <v xml:space="preserve">  </v>
      </c>
      <c r="AM218" s="174" t="str">
        <f t="shared" si="468"/>
        <v>NG</v>
      </c>
      <c r="AN218" s="204"/>
      <c r="AO218" s="276" t="str">
        <f>IF(OR(AK$8="判定対象外",AN$8="判定対象外",AN218="-"),"-",IF(AK218=AN218,"OK","NG"))</f>
        <v>OK</v>
      </c>
      <c r="AP218" s="160"/>
      <c r="AQ218" s="162"/>
      <c r="AR218" s="167" t="str">
        <f t="shared" si="443"/>
        <v xml:space="preserve">  </v>
      </c>
      <c r="AS218" s="174" t="str">
        <f t="shared" si="425"/>
        <v>NG</v>
      </c>
      <c r="AT218" s="204"/>
      <c r="AU218" s="276" t="str">
        <f>IF(OR(AQ$8="判定対象外",AT$8="判定対象外",AT218="-"),"-",IF(AQ218=AT218,"OK","NG"))</f>
        <v>OK</v>
      </c>
      <c r="AV218" s="160"/>
      <c r="AW218" s="162"/>
      <c r="AX218" s="167" t="str">
        <f t="shared" si="444"/>
        <v xml:space="preserve">  </v>
      </c>
      <c r="AY218" s="174" t="str">
        <f t="shared" si="426"/>
        <v>NG</v>
      </c>
      <c r="AZ218" s="204"/>
      <c r="BA218" s="276" t="str">
        <f>IF(OR(AW$8="判定対象外",AZ$8="判定対象外",AZ218="-"),"-",IF(AW218=AZ218,"OK","NG"))</f>
        <v>OK</v>
      </c>
      <c r="BB218" s="160"/>
      <c r="BC218" s="162"/>
      <c r="BD218" s="167" t="str">
        <f t="shared" si="445"/>
        <v xml:space="preserve">  </v>
      </c>
      <c r="BE218" s="174" t="str">
        <f t="shared" si="427"/>
        <v>NG</v>
      </c>
      <c r="BF218" s="204"/>
      <c r="BG218" s="276" t="str">
        <f>IF(OR(BC$8="判定対象外",BF$8="判定対象外",BF218="-"),"-",IF(BC218=BF218,"OK","NG"))</f>
        <v>OK</v>
      </c>
      <c r="BH218" s="160"/>
      <c r="BI218" s="162"/>
      <c r="BJ218" s="167" t="str">
        <f t="shared" si="446"/>
        <v xml:space="preserve">  </v>
      </c>
      <c r="BK218" s="174" t="str">
        <f t="shared" si="428"/>
        <v>NG</v>
      </c>
      <c r="BL218" s="204"/>
      <c r="BM218" s="276" t="str">
        <f>IF(OR(BI$8="判定対象外",BL$8="判定対象外",BL218="-"),"-",IF(BI218=BL218,"OK","NG"))</f>
        <v>OK</v>
      </c>
      <c r="BN218" s="160"/>
      <c r="BO218" s="162"/>
      <c r="BP218" s="167" t="str">
        <f t="shared" si="447"/>
        <v xml:space="preserve">  </v>
      </c>
      <c r="BQ218" s="174" t="str">
        <f t="shared" si="429"/>
        <v>NG</v>
      </c>
      <c r="BR218" s="204"/>
      <c r="BS218" s="276" t="str">
        <f>IF(OR(BO$8="判定対象外",BR$8="判定対象外",BR218="-"),"-",IF(BO218=BR218,"OK","NG"))</f>
        <v>OK</v>
      </c>
      <c r="BT218" s="160"/>
      <c r="BU218" s="162"/>
      <c r="BV218" s="167" t="str">
        <f t="shared" si="448"/>
        <v xml:space="preserve">  </v>
      </c>
      <c r="BW218" s="174" t="str">
        <f t="shared" si="430"/>
        <v>NG</v>
      </c>
      <c r="BX218" s="204"/>
      <c r="BY218" s="276" t="str">
        <f>IF(OR(BU$8="判定対象外",BX$8="判定対象外",BX218="-"),"-",IF(BU218=BX218,"OK","NG"))</f>
        <v>OK</v>
      </c>
      <c r="BZ218" s="160"/>
      <c r="CA218" s="162"/>
      <c r="CB218" s="167" t="str">
        <f t="shared" si="449"/>
        <v xml:space="preserve">  </v>
      </c>
      <c r="CC218" s="174" t="str">
        <f t="shared" si="431"/>
        <v>NG</v>
      </c>
      <c r="CD218" s="204"/>
      <c r="CE218" s="276" t="str">
        <f>IF(OR(CA$8="判定対象外",CD$8="判定対象外",CD218="-"),"-",IF(CA218=CD218,"OK","NG"))</f>
        <v>OK</v>
      </c>
      <c r="CF218" s="160"/>
      <c r="CG218" s="162"/>
      <c r="CH218" s="167" t="str">
        <f t="shared" si="450"/>
        <v xml:space="preserve">  </v>
      </c>
      <c r="CI218" s="174" t="str">
        <f t="shared" si="432"/>
        <v>NG</v>
      </c>
      <c r="CJ218" s="204"/>
      <c r="CK218" s="276" t="str">
        <f>IF(OR(CG$8="判定対象外",CJ$8="判定対象外",CJ218="-"),"-",IF(CG218=CJ218,"OK","NG"))</f>
        <v>OK</v>
      </c>
      <c r="CL218" s="160"/>
      <c r="CM218" s="162"/>
      <c r="CN218" s="167" t="str">
        <f t="shared" si="451"/>
        <v xml:space="preserve">  </v>
      </c>
      <c r="CO218" s="174" t="str">
        <f t="shared" si="433"/>
        <v>NG</v>
      </c>
      <c r="CP218" s="204"/>
      <c r="CQ218" s="276" t="str">
        <f>IF(OR(CM$8="判定対象外",CP$8="判定対象外",CP218="-"),"-",IF(CM218=CP218,"OK","NG"))</f>
        <v>OK</v>
      </c>
      <c r="CR218" s="160"/>
      <c r="CS218" s="162"/>
      <c r="CT218" s="167" t="str">
        <f t="shared" si="452"/>
        <v xml:space="preserve">  </v>
      </c>
      <c r="CU218" s="174" t="str">
        <f t="shared" si="434"/>
        <v>NG</v>
      </c>
      <c r="CV218" s="204"/>
      <c r="CW218" s="276" t="str">
        <f>IF(OR(CS$8="判定対象外",CV$8="判定対象外",CV218="-"),"-",IF(CS218=CV218,"OK","NG"))</f>
        <v>OK</v>
      </c>
      <c r="CX218" s="160"/>
      <c r="CY218" s="162"/>
      <c r="CZ218" s="167" t="str">
        <f t="shared" si="453"/>
        <v xml:space="preserve">  </v>
      </c>
      <c r="DA218" s="174" t="str">
        <f t="shared" si="435"/>
        <v>NG</v>
      </c>
      <c r="DB218" s="204"/>
      <c r="DC218" s="276" t="str">
        <f>IF(OR(CY$8="判定対象外",DB$8="判定対象外",DB218="-"),"-",IF(CY218=DB218,"OK","NG"))</f>
        <v>OK</v>
      </c>
      <c r="DD218" s="160"/>
      <c r="DE218" s="162"/>
      <c r="DF218" s="167" t="str">
        <f t="shared" si="454"/>
        <v xml:space="preserve">  </v>
      </c>
      <c r="DG218" s="174" t="str">
        <f t="shared" si="436"/>
        <v>NG</v>
      </c>
      <c r="DH218" s="204"/>
      <c r="DI218" s="276" t="str">
        <f>IF(OR(DE$8="判定対象外",DH$8="判定対象外",DH218="-"),"-",IF(DE218=DH218,"OK","NG"))</f>
        <v>OK</v>
      </c>
      <c r="DJ218" s="160"/>
      <c r="DK218" s="162"/>
      <c r="DL218" s="167" t="str">
        <f t="shared" si="455"/>
        <v xml:space="preserve">  </v>
      </c>
      <c r="DM218" s="174" t="str">
        <f t="shared" si="437"/>
        <v>NG</v>
      </c>
      <c r="DN218" s="204"/>
      <c r="DO218" s="276" t="str">
        <f>IF(OR(DK$8="判定対象外",DN$8="判定対象外",DN218="-"),"-",IF(DK218=DN218,"OK","NG"))</f>
        <v>OK</v>
      </c>
      <c r="DP218" s="160"/>
      <c r="DQ218" s="162"/>
      <c r="DR218" s="167" t="str">
        <f t="shared" si="456"/>
        <v xml:space="preserve">  </v>
      </c>
      <c r="DS218" s="174" t="str">
        <f t="shared" si="413"/>
        <v>NG</v>
      </c>
      <c r="DT218" s="204"/>
      <c r="DU218" s="276" t="str">
        <f>IF(OR(DQ$8="判定対象外",DT$8="判定対象外",DT218="-"),"-",IF(DQ218=DT218,"OK","NG"))</f>
        <v>OK</v>
      </c>
      <c r="DV218" s="160"/>
      <c r="DW218" s="162"/>
      <c r="DX218" s="167" t="str">
        <f t="shared" si="457"/>
        <v xml:space="preserve">  </v>
      </c>
      <c r="DY218" s="174" t="str">
        <f t="shared" si="414"/>
        <v>NG</v>
      </c>
      <c r="DZ218" s="204"/>
      <c r="EA218" s="276" t="str">
        <f>IF(OR(DW$8="判定対象外",DZ$8="判定対象外",DZ218="-"),"-",IF(DW218=DZ218,"OK","NG"))</f>
        <v>OK</v>
      </c>
      <c r="EB218" s="160"/>
      <c r="EC218" s="162"/>
      <c r="ED218" s="167" t="str">
        <f t="shared" si="458"/>
        <v xml:space="preserve">  </v>
      </c>
      <c r="EE218" s="174" t="str">
        <f t="shared" si="415"/>
        <v>NG</v>
      </c>
      <c r="EF218" s="204"/>
      <c r="EG218" s="276" t="str">
        <f>IF(OR(EC$8="判定対象外",EF$8="判定対象外",EF218="-"),"-",IF(EC218=EF218,"OK","NG"))</f>
        <v>OK</v>
      </c>
      <c r="EH218" s="160"/>
      <c r="EI218" s="162"/>
      <c r="EJ218" s="167" t="str">
        <f t="shared" si="459"/>
        <v xml:space="preserve">  </v>
      </c>
      <c r="EK218" s="174" t="str">
        <f t="shared" si="416"/>
        <v>NG</v>
      </c>
      <c r="EL218" s="204"/>
      <c r="EM218" s="276" t="str">
        <f>IF(OR(EI$8="判定対象外",EL$8="判定対象外",EL218="-"),"-",IF(EI218=EL218,"OK","NG"))</f>
        <v>OK</v>
      </c>
      <c r="EN218" s="160"/>
      <c r="EO218" s="162"/>
      <c r="EP218" s="167" t="str">
        <f t="shared" si="460"/>
        <v xml:space="preserve">  </v>
      </c>
      <c r="EQ218" s="174" t="str">
        <f t="shared" si="417"/>
        <v>NG</v>
      </c>
      <c r="ER218" s="204"/>
      <c r="ES218" s="276" t="str">
        <f>IF(OR(EO$8="判定対象外",ER$8="判定対象外",ER218="-"),"-",IF(EO218=ER218,"OK","NG"))</f>
        <v>OK</v>
      </c>
      <c r="ET218" s="160"/>
      <c r="EU218" s="162"/>
      <c r="EV218" s="167" t="str">
        <f t="shared" si="461"/>
        <v xml:space="preserve">  </v>
      </c>
      <c r="EW218" s="174" t="str">
        <f t="shared" si="418"/>
        <v>NG</v>
      </c>
      <c r="EX218" s="204"/>
      <c r="EY218" s="276" t="str">
        <f>IF(OR(EU$8="判定対象外",EX$8="判定対象外",EX218="-"),"-",IF(EU218=EX218,"OK","NG"))</f>
        <v>OK</v>
      </c>
      <c r="EZ218" s="160"/>
      <c r="FA218" s="162"/>
      <c r="FB218" s="167" t="str">
        <f t="shared" si="462"/>
        <v xml:space="preserve">  </v>
      </c>
      <c r="FC218" s="174" t="str">
        <f t="shared" si="419"/>
        <v>NG</v>
      </c>
      <c r="FD218" s="204"/>
      <c r="FE218" s="276" t="str">
        <f>IF(OR(FA$8="判定対象外",FD$8="判定対象外",FD218="-"),"-",IF(FA218=FD218,"OK","NG"))</f>
        <v>OK</v>
      </c>
      <c r="FF218" s="160"/>
      <c r="FG218" s="162"/>
      <c r="FH218" s="167" t="str">
        <f t="shared" si="463"/>
        <v xml:space="preserve">  </v>
      </c>
      <c r="FI218" s="174" t="str">
        <f t="shared" si="420"/>
        <v>NG</v>
      </c>
      <c r="FJ218" s="204"/>
      <c r="FK218" s="276" t="str">
        <f>IF(OR(FG$8="判定対象外",FJ$8="判定対象外",FJ218="-"),"-",IF(FG218=FJ218,"OK","NG"))</f>
        <v>OK</v>
      </c>
      <c r="FL218" s="160"/>
      <c r="FM218" s="162"/>
      <c r="FN218" s="167" t="str">
        <f t="shared" si="464"/>
        <v xml:space="preserve">  </v>
      </c>
      <c r="FO218" s="174" t="str">
        <f t="shared" si="438"/>
        <v>NG</v>
      </c>
      <c r="FP218" s="204"/>
      <c r="FQ218" s="276" t="str">
        <f>IF(OR(FM$8="判定対象外",FP$8="判定対象外",FP218="-"),"-",IF(FM218=FP218,"OK","NG"))</f>
        <v>OK</v>
      </c>
      <c r="FR218" s="160"/>
      <c r="FS218" s="162"/>
      <c r="FT218" s="167" t="str">
        <f t="shared" si="465"/>
        <v xml:space="preserve">  </v>
      </c>
      <c r="FU218" s="174" t="str">
        <f t="shared" si="439"/>
        <v>NG</v>
      </c>
      <c r="FV218" s="204"/>
      <c r="FW218" s="276" t="str">
        <f>IF(OR(FS$8="判定対象外",FV$8="判定対象外",FV218="-"),"-",IF(FS218=FV218,"OK","NG"))</f>
        <v>OK</v>
      </c>
      <c r="FX218" s="160"/>
      <c r="FY218" s="162"/>
      <c r="FZ218" s="167" t="str">
        <f t="shared" si="466"/>
        <v xml:space="preserve">  </v>
      </c>
      <c r="GA218" s="174" t="str">
        <f t="shared" si="440"/>
        <v>NG</v>
      </c>
      <c r="GB218" s="204"/>
      <c r="GC218" s="276" t="str">
        <f>IF(OR(FY$8="判定対象外",GB$8="判定対象外",GB218="-"),"-",IF(FY218=GB218,"OK","NG"))</f>
        <v>OK</v>
      </c>
    </row>
    <row r="219" spans="1:185" s="52" customFormat="1" ht="344.25">
      <c r="B219" s="48">
        <f t="shared" si="467"/>
        <v>212</v>
      </c>
      <c r="C219" s="37"/>
      <c r="D219" s="37"/>
      <c r="E219" s="37"/>
      <c r="F219" s="188" t="s">
        <v>320</v>
      </c>
      <c r="G219" s="39"/>
      <c r="H219" s="40"/>
      <c r="I219" s="42"/>
      <c r="J219" s="42" t="s">
        <v>316</v>
      </c>
      <c r="K219" s="42"/>
      <c r="L219" s="42"/>
      <c r="M219" s="189" t="s">
        <v>321</v>
      </c>
      <c r="N219" s="63"/>
      <c r="O219" s="143"/>
      <c r="P219" s="45">
        <f>P218+1</f>
        <v>189</v>
      </c>
      <c r="Q219" s="46">
        <v>2</v>
      </c>
      <c r="R219" s="41" t="str">
        <f t="shared" si="469"/>
        <v>X</v>
      </c>
      <c r="S219" s="185" t="s">
        <v>100</v>
      </c>
      <c r="T219" s="43"/>
      <c r="U219" s="41" t="s">
        <v>80</v>
      </c>
      <c r="V219" s="44"/>
      <c r="W219" s="22">
        <v>3</v>
      </c>
      <c r="X219" s="47" t="s">
        <v>162</v>
      </c>
      <c r="Y219" s="47">
        <v>2</v>
      </c>
      <c r="Z219" s="47">
        <v>2</v>
      </c>
      <c r="AA219" s="42" t="s">
        <v>163</v>
      </c>
      <c r="AB219" s="42" t="s">
        <v>57</v>
      </c>
      <c r="AC219" s="166"/>
      <c r="AD219" s="160"/>
      <c r="AE219" s="162"/>
      <c r="AF219" s="167" t="str">
        <f t="shared" si="442"/>
        <v xml:space="preserve">  </v>
      </c>
      <c r="AG219" s="174" t="str">
        <f t="shared" si="424"/>
        <v>NG</v>
      </c>
      <c r="AH219" s="204"/>
      <c r="AI219" s="276" t="str">
        <f>IF(OR(AE$8="判定対象外",AH$8="判定対象外",AH219="-"),"-",IF(AE219=AH219,"OK","NG"))</f>
        <v>OK</v>
      </c>
      <c r="AJ219" s="160"/>
      <c r="AK219" s="162"/>
      <c r="AL219" s="167" t="str">
        <f t="shared" si="441"/>
        <v xml:space="preserve">  </v>
      </c>
      <c r="AM219" s="174" t="str">
        <f t="shared" si="468"/>
        <v>NG</v>
      </c>
      <c r="AN219" s="204"/>
      <c r="AO219" s="276" t="str">
        <f>IF(OR(AK$8="判定対象外",AN$8="判定対象外",AN219="-"),"-",IF(AK219=AN219,"OK","NG"))</f>
        <v>OK</v>
      </c>
      <c r="AP219" s="160"/>
      <c r="AQ219" s="162"/>
      <c r="AR219" s="167" t="str">
        <f t="shared" si="443"/>
        <v xml:space="preserve">  </v>
      </c>
      <c r="AS219" s="174" t="str">
        <f t="shared" si="425"/>
        <v>NG</v>
      </c>
      <c r="AT219" s="204"/>
      <c r="AU219" s="276" t="str">
        <f>IF(OR(AQ$8="判定対象外",AT$8="判定対象外",AT219="-"),"-",IF(AQ219=AT219,"OK","NG"))</f>
        <v>OK</v>
      </c>
      <c r="AV219" s="160"/>
      <c r="AW219" s="162"/>
      <c r="AX219" s="167" t="str">
        <f t="shared" si="444"/>
        <v xml:space="preserve">  </v>
      </c>
      <c r="AY219" s="174" t="str">
        <f t="shared" si="426"/>
        <v>NG</v>
      </c>
      <c r="AZ219" s="204"/>
      <c r="BA219" s="276" t="str">
        <f>IF(OR(AW$8="判定対象外",AZ$8="判定対象外",AZ219="-"),"-",IF(AW219=AZ219,"OK","NG"))</f>
        <v>OK</v>
      </c>
      <c r="BB219" s="160"/>
      <c r="BC219" s="162"/>
      <c r="BD219" s="167" t="str">
        <f t="shared" si="445"/>
        <v xml:space="preserve">  </v>
      </c>
      <c r="BE219" s="174" t="str">
        <f t="shared" si="427"/>
        <v>NG</v>
      </c>
      <c r="BF219" s="204"/>
      <c r="BG219" s="276" t="str">
        <f>IF(OR(BC$8="判定対象外",BF$8="判定対象外",BF219="-"),"-",IF(BC219=BF219,"OK","NG"))</f>
        <v>OK</v>
      </c>
      <c r="BH219" s="160"/>
      <c r="BI219" s="162"/>
      <c r="BJ219" s="167" t="str">
        <f t="shared" si="446"/>
        <v xml:space="preserve">  </v>
      </c>
      <c r="BK219" s="174" t="str">
        <f t="shared" si="428"/>
        <v>NG</v>
      </c>
      <c r="BL219" s="204"/>
      <c r="BM219" s="276" t="str">
        <f>IF(OR(BI$8="判定対象外",BL$8="判定対象外",BL219="-"),"-",IF(BI219=BL219,"OK","NG"))</f>
        <v>OK</v>
      </c>
      <c r="BN219" s="160"/>
      <c r="BO219" s="162"/>
      <c r="BP219" s="167" t="str">
        <f t="shared" si="447"/>
        <v xml:space="preserve">  </v>
      </c>
      <c r="BQ219" s="174" t="str">
        <f t="shared" si="429"/>
        <v>NG</v>
      </c>
      <c r="BR219" s="204"/>
      <c r="BS219" s="276" t="str">
        <f>IF(OR(BO$8="判定対象外",BR$8="判定対象外",BR219="-"),"-",IF(BO219=BR219,"OK","NG"))</f>
        <v>OK</v>
      </c>
      <c r="BT219" s="160"/>
      <c r="BU219" s="162"/>
      <c r="BV219" s="167" t="str">
        <f t="shared" si="448"/>
        <v xml:space="preserve">  </v>
      </c>
      <c r="BW219" s="174" t="str">
        <f t="shared" si="430"/>
        <v>NG</v>
      </c>
      <c r="BX219" s="204"/>
      <c r="BY219" s="276" t="str">
        <f>IF(OR(BU$8="判定対象外",BX$8="判定対象外",BX219="-"),"-",IF(BU219=BX219,"OK","NG"))</f>
        <v>OK</v>
      </c>
      <c r="BZ219" s="160"/>
      <c r="CA219" s="162"/>
      <c r="CB219" s="167" t="str">
        <f t="shared" si="449"/>
        <v xml:space="preserve">  </v>
      </c>
      <c r="CC219" s="174" t="str">
        <f t="shared" si="431"/>
        <v>NG</v>
      </c>
      <c r="CD219" s="204"/>
      <c r="CE219" s="276" t="str">
        <f>IF(OR(CA$8="判定対象外",CD$8="判定対象外",CD219="-"),"-",IF(CA219=CD219,"OK","NG"))</f>
        <v>OK</v>
      </c>
      <c r="CF219" s="160"/>
      <c r="CG219" s="162"/>
      <c r="CH219" s="167" t="str">
        <f t="shared" si="450"/>
        <v xml:space="preserve">  </v>
      </c>
      <c r="CI219" s="174" t="str">
        <f t="shared" si="432"/>
        <v>NG</v>
      </c>
      <c r="CJ219" s="204"/>
      <c r="CK219" s="276" t="str">
        <f>IF(OR(CG$8="判定対象外",CJ$8="判定対象外",CJ219="-"),"-",IF(CG219=CJ219,"OK","NG"))</f>
        <v>OK</v>
      </c>
      <c r="CL219" s="160"/>
      <c r="CM219" s="162"/>
      <c r="CN219" s="167" t="str">
        <f t="shared" si="451"/>
        <v xml:space="preserve">  </v>
      </c>
      <c r="CO219" s="174" t="str">
        <f t="shared" si="433"/>
        <v>NG</v>
      </c>
      <c r="CP219" s="204"/>
      <c r="CQ219" s="276" t="str">
        <f>IF(OR(CM$8="判定対象外",CP$8="判定対象外",CP219="-"),"-",IF(CM219=CP219,"OK","NG"))</f>
        <v>OK</v>
      </c>
      <c r="CR219" s="160"/>
      <c r="CS219" s="162"/>
      <c r="CT219" s="167" t="str">
        <f t="shared" si="452"/>
        <v xml:space="preserve">  </v>
      </c>
      <c r="CU219" s="174" t="str">
        <f t="shared" si="434"/>
        <v>NG</v>
      </c>
      <c r="CV219" s="204"/>
      <c r="CW219" s="276" t="str">
        <f>IF(OR(CS$8="判定対象外",CV$8="判定対象外",CV219="-"),"-",IF(CS219=CV219,"OK","NG"))</f>
        <v>OK</v>
      </c>
      <c r="CX219" s="160"/>
      <c r="CY219" s="162"/>
      <c r="CZ219" s="167" t="str">
        <f t="shared" si="453"/>
        <v xml:space="preserve">  </v>
      </c>
      <c r="DA219" s="174" t="str">
        <f t="shared" si="435"/>
        <v>NG</v>
      </c>
      <c r="DB219" s="204"/>
      <c r="DC219" s="276" t="str">
        <f>IF(OR(CY$8="判定対象外",DB$8="判定対象外",DB219="-"),"-",IF(CY219=DB219,"OK","NG"))</f>
        <v>OK</v>
      </c>
      <c r="DD219" s="160"/>
      <c r="DE219" s="162"/>
      <c r="DF219" s="167" t="str">
        <f t="shared" si="454"/>
        <v xml:space="preserve">  </v>
      </c>
      <c r="DG219" s="174" t="str">
        <f t="shared" si="436"/>
        <v>NG</v>
      </c>
      <c r="DH219" s="204"/>
      <c r="DI219" s="276" t="str">
        <f>IF(OR(DE$8="判定対象外",DH$8="判定対象外",DH219="-"),"-",IF(DE219=DH219,"OK","NG"))</f>
        <v>OK</v>
      </c>
      <c r="DJ219" s="160"/>
      <c r="DK219" s="162"/>
      <c r="DL219" s="167" t="str">
        <f t="shared" si="455"/>
        <v xml:space="preserve">  </v>
      </c>
      <c r="DM219" s="174" t="str">
        <f t="shared" si="437"/>
        <v>NG</v>
      </c>
      <c r="DN219" s="204"/>
      <c r="DO219" s="276" t="str">
        <f>IF(OR(DK$8="判定対象外",DN$8="判定対象外",DN219="-"),"-",IF(DK219=DN219,"OK","NG"))</f>
        <v>OK</v>
      </c>
      <c r="DP219" s="160"/>
      <c r="DQ219" s="162"/>
      <c r="DR219" s="167" t="str">
        <f t="shared" si="456"/>
        <v xml:space="preserve">  </v>
      </c>
      <c r="DS219" s="174" t="str">
        <f t="shared" si="413"/>
        <v>NG</v>
      </c>
      <c r="DT219" s="204"/>
      <c r="DU219" s="276" t="str">
        <f>IF(OR(DQ$8="判定対象外",DT$8="判定対象外",DT219="-"),"-",IF(DQ219=DT219,"OK","NG"))</f>
        <v>OK</v>
      </c>
      <c r="DV219" s="160"/>
      <c r="DW219" s="162"/>
      <c r="DX219" s="167" t="str">
        <f t="shared" si="457"/>
        <v xml:space="preserve">  </v>
      </c>
      <c r="DY219" s="174" t="str">
        <f t="shared" si="414"/>
        <v>NG</v>
      </c>
      <c r="DZ219" s="204"/>
      <c r="EA219" s="276" t="str">
        <f>IF(OR(DW$8="判定対象外",DZ$8="判定対象外",DZ219="-"),"-",IF(DW219=DZ219,"OK","NG"))</f>
        <v>OK</v>
      </c>
      <c r="EB219" s="160"/>
      <c r="EC219" s="162"/>
      <c r="ED219" s="167" t="str">
        <f t="shared" si="458"/>
        <v xml:space="preserve">  </v>
      </c>
      <c r="EE219" s="174" t="str">
        <f t="shared" si="415"/>
        <v>NG</v>
      </c>
      <c r="EF219" s="204"/>
      <c r="EG219" s="276" t="str">
        <f>IF(OR(EC$8="判定対象外",EF$8="判定対象外",EF219="-"),"-",IF(EC219=EF219,"OK","NG"))</f>
        <v>OK</v>
      </c>
      <c r="EH219" s="160"/>
      <c r="EI219" s="162"/>
      <c r="EJ219" s="167" t="str">
        <f t="shared" si="459"/>
        <v xml:space="preserve">  </v>
      </c>
      <c r="EK219" s="174" t="str">
        <f t="shared" si="416"/>
        <v>NG</v>
      </c>
      <c r="EL219" s="204"/>
      <c r="EM219" s="276" t="str">
        <f>IF(OR(EI$8="判定対象外",EL$8="判定対象外",EL219="-"),"-",IF(EI219=EL219,"OK","NG"))</f>
        <v>OK</v>
      </c>
      <c r="EN219" s="160"/>
      <c r="EO219" s="162"/>
      <c r="EP219" s="167" t="str">
        <f t="shared" si="460"/>
        <v xml:space="preserve">  </v>
      </c>
      <c r="EQ219" s="174" t="str">
        <f t="shared" si="417"/>
        <v>NG</v>
      </c>
      <c r="ER219" s="204"/>
      <c r="ES219" s="276" t="str">
        <f>IF(OR(EO$8="判定対象外",ER$8="判定対象外",ER219="-"),"-",IF(EO219=ER219,"OK","NG"))</f>
        <v>OK</v>
      </c>
      <c r="ET219" s="160"/>
      <c r="EU219" s="162"/>
      <c r="EV219" s="167" t="str">
        <f t="shared" si="461"/>
        <v xml:space="preserve">  </v>
      </c>
      <c r="EW219" s="174" t="str">
        <f t="shared" si="418"/>
        <v>NG</v>
      </c>
      <c r="EX219" s="204"/>
      <c r="EY219" s="276" t="str">
        <f>IF(OR(EU$8="判定対象外",EX$8="判定対象外",EX219="-"),"-",IF(EU219=EX219,"OK","NG"))</f>
        <v>OK</v>
      </c>
      <c r="EZ219" s="160"/>
      <c r="FA219" s="162"/>
      <c r="FB219" s="167" t="str">
        <f t="shared" si="462"/>
        <v xml:space="preserve">  </v>
      </c>
      <c r="FC219" s="174" t="str">
        <f t="shared" si="419"/>
        <v>NG</v>
      </c>
      <c r="FD219" s="204"/>
      <c r="FE219" s="276" t="str">
        <f>IF(OR(FA$8="判定対象外",FD$8="判定対象外",FD219="-"),"-",IF(FA219=FD219,"OK","NG"))</f>
        <v>OK</v>
      </c>
      <c r="FF219" s="160"/>
      <c r="FG219" s="162"/>
      <c r="FH219" s="167" t="str">
        <f t="shared" si="463"/>
        <v xml:space="preserve">  </v>
      </c>
      <c r="FI219" s="174" t="str">
        <f t="shared" si="420"/>
        <v>NG</v>
      </c>
      <c r="FJ219" s="204"/>
      <c r="FK219" s="276" t="str">
        <f>IF(OR(FG$8="判定対象外",FJ$8="判定対象外",FJ219="-"),"-",IF(FG219=FJ219,"OK","NG"))</f>
        <v>OK</v>
      </c>
      <c r="FL219" s="160"/>
      <c r="FM219" s="162"/>
      <c r="FN219" s="167" t="str">
        <f t="shared" si="464"/>
        <v xml:space="preserve">  </v>
      </c>
      <c r="FO219" s="174" t="str">
        <f t="shared" si="438"/>
        <v>NG</v>
      </c>
      <c r="FP219" s="204"/>
      <c r="FQ219" s="276" t="str">
        <f>IF(OR(FM$8="判定対象外",FP$8="判定対象外",FP219="-"),"-",IF(FM219=FP219,"OK","NG"))</f>
        <v>OK</v>
      </c>
      <c r="FR219" s="160"/>
      <c r="FS219" s="162"/>
      <c r="FT219" s="167" t="str">
        <f t="shared" si="465"/>
        <v xml:space="preserve">  </v>
      </c>
      <c r="FU219" s="174" t="str">
        <f t="shared" si="439"/>
        <v>NG</v>
      </c>
      <c r="FV219" s="204"/>
      <c r="FW219" s="276" t="str">
        <f>IF(OR(FS$8="判定対象外",FV$8="判定対象外",FV219="-"),"-",IF(FS219=FV219,"OK","NG"))</f>
        <v>OK</v>
      </c>
      <c r="FX219" s="160"/>
      <c r="FY219" s="162"/>
      <c r="FZ219" s="167" t="str">
        <f t="shared" si="466"/>
        <v xml:space="preserve">  </v>
      </c>
      <c r="GA219" s="174" t="str">
        <f t="shared" si="440"/>
        <v>NG</v>
      </c>
      <c r="GB219" s="204"/>
      <c r="GC219" s="276" t="str">
        <f>IF(OR(FY$8="判定対象外",GB$8="判定対象外",GB219="-"),"-",IF(FY219=GB219,"OK","NG"))</f>
        <v>OK</v>
      </c>
    </row>
    <row r="220" spans="1:185" s="52" customFormat="1">
      <c r="B220" s="48">
        <f t="shared" si="467"/>
        <v>213</v>
      </c>
      <c r="C220" s="37"/>
      <c r="D220" s="37"/>
      <c r="E220" s="37"/>
      <c r="F220" s="49" t="s">
        <v>322</v>
      </c>
      <c r="G220" s="39"/>
      <c r="H220" s="40"/>
      <c r="I220" s="42"/>
      <c r="J220" s="42"/>
      <c r="K220" s="42"/>
      <c r="L220" s="42"/>
      <c r="M220" s="213" t="s">
        <v>323</v>
      </c>
      <c r="N220" s="63"/>
      <c r="O220" s="143"/>
      <c r="P220" s="45">
        <f t="shared" ref="P220:P246" si="470">P219+1</f>
        <v>190</v>
      </c>
      <c r="Q220" s="46">
        <v>2</v>
      </c>
      <c r="R220" s="41" t="str">
        <f t="shared" si="469"/>
        <v>X</v>
      </c>
      <c r="S220" s="185" t="s">
        <v>190</v>
      </c>
      <c r="T220" s="43"/>
      <c r="U220" s="41" t="s">
        <v>80</v>
      </c>
      <c r="V220" s="44"/>
      <c r="W220" s="22">
        <v>3</v>
      </c>
      <c r="X220" s="47" t="s">
        <v>191</v>
      </c>
      <c r="Y220" s="47">
        <v>2</v>
      </c>
      <c r="Z220" s="47">
        <v>2</v>
      </c>
      <c r="AA220" s="42" t="s">
        <v>163</v>
      </c>
      <c r="AB220" s="42" t="s">
        <v>57</v>
      </c>
      <c r="AC220" s="166"/>
      <c r="AD220" s="160"/>
      <c r="AE220" s="141"/>
      <c r="AF220" s="203" t="str">
        <f t="shared" si="442"/>
        <v xml:space="preserve">  </v>
      </c>
      <c r="AG220" s="174" t="str">
        <f t="shared" si="424"/>
        <v>NG</v>
      </c>
      <c r="AH220" s="203"/>
      <c r="AI220" s="172" t="s">
        <v>71</v>
      </c>
      <c r="AJ220" s="160"/>
      <c r="AK220" s="141"/>
      <c r="AL220" s="203" t="str">
        <f t="shared" si="441"/>
        <v xml:space="preserve">  </v>
      </c>
      <c r="AM220" s="174" t="str">
        <f t="shared" si="468"/>
        <v>NG</v>
      </c>
      <c r="AN220" s="203"/>
      <c r="AO220" s="172" t="s">
        <v>71</v>
      </c>
      <c r="AP220" s="160"/>
      <c r="AQ220" s="141"/>
      <c r="AR220" s="203" t="str">
        <f t="shared" si="443"/>
        <v xml:space="preserve">  </v>
      </c>
      <c r="AS220" s="174" t="str">
        <f t="shared" si="425"/>
        <v>NG</v>
      </c>
      <c r="AT220" s="203"/>
      <c r="AU220" s="172" t="s">
        <v>71</v>
      </c>
      <c r="AV220" s="160"/>
      <c r="AW220" s="141"/>
      <c r="AX220" s="203" t="str">
        <f t="shared" si="444"/>
        <v xml:space="preserve">  </v>
      </c>
      <c r="AY220" s="174" t="str">
        <f t="shared" si="426"/>
        <v>NG</v>
      </c>
      <c r="AZ220" s="203"/>
      <c r="BA220" s="172" t="s">
        <v>71</v>
      </c>
      <c r="BB220" s="160"/>
      <c r="BC220" s="141"/>
      <c r="BD220" s="203" t="str">
        <f t="shared" si="445"/>
        <v xml:space="preserve">  </v>
      </c>
      <c r="BE220" s="174" t="str">
        <f t="shared" si="427"/>
        <v>NG</v>
      </c>
      <c r="BF220" s="203"/>
      <c r="BG220" s="172" t="s">
        <v>71</v>
      </c>
      <c r="BH220" s="160"/>
      <c r="BI220" s="141"/>
      <c r="BJ220" s="203" t="str">
        <f t="shared" si="446"/>
        <v xml:space="preserve">  </v>
      </c>
      <c r="BK220" s="174" t="str">
        <f t="shared" si="428"/>
        <v>NG</v>
      </c>
      <c r="BL220" s="203"/>
      <c r="BM220" s="172" t="s">
        <v>71</v>
      </c>
      <c r="BN220" s="160"/>
      <c r="BO220" s="141"/>
      <c r="BP220" s="203" t="str">
        <f t="shared" si="447"/>
        <v xml:space="preserve">  </v>
      </c>
      <c r="BQ220" s="174" t="str">
        <f t="shared" si="429"/>
        <v>NG</v>
      </c>
      <c r="BR220" s="203"/>
      <c r="BS220" s="172" t="s">
        <v>71</v>
      </c>
      <c r="BT220" s="160"/>
      <c r="BU220" s="141"/>
      <c r="BV220" s="203" t="str">
        <f t="shared" si="448"/>
        <v xml:space="preserve">  </v>
      </c>
      <c r="BW220" s="174" t="str">
        <f t="shared" si="430"/>
        <v>NG</v>
      </c>
      <c r="BX220" s="203"/>
      <c r="BY220" s="172" t="s">
        <v>71</v>
      </c>
      <c r="BZ220" s="160"/>
      <c r="CA220" s="141"/>
      <c r="CB220" s="203" t="str">
        <f t="shared" si="449"/>
        <v xml:space="preserve">  </v>
      </c>
      <c r="CC220" s="174" t="str">
        <f t="shared" si="431"/>
        <v>NG</v>
      </c>
      <c r="CD220" s="203"/>
      <c r="CE220" s="172" t="s">
        <v>71</v>
      </c>
      <c r="CF220" s="160"/>
      <c r="CG220" s="141"/>
      <c r="CH220" s="203" t="str">
        <f t="shared" si="450"/>
        <v xml:space="preserve">  </v>
      </c>
      <c r="CI220" s="174" t="str">
        <f t="shared" si="432"/>
        <v>NG</v>
      </c>
      <c r="CJ220" s="203"/>
      <c r="CK220" s="172" t="s">
        <v>71</v>
      </c>
      <c r="CL220" s="160"/>
      <c r="CM220" s="141"/>
      <c r="CN220" s="203" t="str">
        <f t="shared" si="451"/>
        <v xml:space="preserve">  </v>
      </c>
      <c r="CO220" s="174" t="str">
        <f t="shared" si="433"/>
        <v>NG</v>
      </c>
      <c r="CP220" s="203"/>
      <c r="CQ220" s="172" t="s">
        <v>71</v>
      </c>
      <c r="CR220" s="160"/>
      <c r="CS220" s="141"/>
      <c r="CT220" s="203" t="str">
        <f t="shared" si="452"/>
        <v xml:space="preserve">  </v>
      </c>
      <c r="CU220" s="174" t="str">
        <f t="shared" si="434"/>
        <v>NG</v>
      </c>
      <c r="CV220" s="203"/>
      <c r="CW220" s="172" t="s">
        <v>71</v>
      </c>
      <c r="CX220" s="160"/>
      <c r="CY220" s="141"/>
      <c r="CZ220" s="203" t="str">
        <f t="shared" si="453"/>
        <v xml:space="preserve">  </v>
      </c>
      <c r="DA220" s="174" t="str">
        <f t="shared" si="435"/>
        <v>NG</v>
      </c>
      <c r="DB220" s="203"/>
      <c r="DC220" s="172" t="s">
        <v>71</v>
      </c>
      <c r="DD220" s="160"/>
      <c r="DE220" s="141"/>
      <c r="DF220" s="203" t="str">
        <f t="shared" si="454"/>
        <v xml:space="preserve">  </v>
      </c>
      <c r="DG220" s="174" t="str">
        <f t="shared" si="436"/>
        <v>NG</v>
      </c>
      <c r="DH220" s="203"/>
      <c r="DI220" s="172" t="s">
        <v>71</v>
      </c>
      <c r="DJ220" s="160"/>
      <c r="DK220" s="141"/>
      <c r="DL220" s="203" t="str">
        <f t="shared" si="455"/>
        <v xml:space="preserve">  </v>
      </c>
      <c r="DM220" s="174" t="str">
        <f t="shared" si="437"/>
        <v>NG</v>
      </c>
      <c r="DN220" s="203"/>
      <c r="DO220" s="172" t="s">
        <v>71</v>
      </c>
      <c r="DP220" s="160"/>
      <c r="DQ220" s="141"/>
      <c r="DR220" s="203" t="str">
        <f t="shared" si="456"/>
        <v xml:space="preserve">  </v>
      </c>
      <c r="DS220" s="174" t="str">
        <f t="shared" si="413"/>
        <v>NG</v>
      </c>
      <c r="DT220" s="203"/>
      <c r="DU220" s="172" t="s">
        <v>71</v>
      </c>
      <c r="DV220" s="160"/>
      <c r="DW220" s="141"/>
      <c r="DX220" s="203" t="str">
        <f t="shared" si="457"/>
        <v xml:space="preserve">  </v>
      </c>
      <c r="DY220" s="174" t="str">
        <f t="shared" si="414"/>
        <v>NG</v>
      </c>
      <c r="DZ220" s="203"/>
      <c r="EA220" s="172" t="s">
        <v>71</v>
      </c>
      <c r="EB220" s="160"/>
      <c r="EC220" s="141"/>
      <c r="ED220" s="203" t="str">
        <f t="shared" si="458"/>
        <v xml:space="preserve">  </v>
      </c>
      <c r="EE220" s="174" t="str">
        <f t="shared" si="415"/>
        <v>NG</v>
      </c>
      <c r="EF220" s="203"/>
      <c r="EG220" s="172" t="s">
        <v>71</v>
      </c>
      <c r="EH220" s="160"/>
      <c r="EI220" s="141"/>
      <c r="EJ220" s="203" t="str">
        <f t="shared" si="459"/>
        <v xml:space="preserve">  </v>
      </c>
      <c r="EK220" s="174" t="str">
        <f t="shared" si="416"/>
        <v>NG</v>
      </c>
      <c r="EL220" s="203"/>
      <c r="EM220" s="172" t="s">
        <v>71</v>
      </c>
      <c r="EN220" s="160"/>
      <c r="EO220" s="141"/>
      <c r="EP220" s="203" t="str">
        <f t="shared" si="460"/>
        <v xml:space="preserve">  </v>
      </c>
      <c r="EQ220" s="174" t="str">
        <f t="shared" si="417"/>
        <v>NG</v>
      </c>
      <c r="ER220" s="203"/>
      <c r="ES220" s="172" t="s">
        <v>71</v>
      </c>
      <c r="ET220" s="160"/>
      <c r="EU220" s="141"/>
      <c r="EV220" s="203" t="str">
        <f t="shared" si="461"/>
        <v xml:space="preserve">  </v>
      </c>
      <c r="EW220" s="174" t="str">
        <f t="shared" si="418"/>
        <v>NG</v>
      </c>
      <c r="EX220" s="203"/>
      <c r="EY220" s="172" t="s">
        <v>71</v>
      </c>
      <c r="EZ220" s="160"/>
      <c r="FA220" s="141"/>
      <c r="FB220" s="203" t="str">
        <f t="shared" si="462"/>
        <v xml:space="preserve">  </v>
      </c>
      <c r="FC220" s="174" t="str">
        <f t="shared" si="419"/>
        <v>NG</v>
      </c>
      <c r="FD220" s="203"/>
      <c r="FE220" s="172" t="s">
        <v>71</v>
      </c>
      <c r="FF220" s="160"/>
      <c r="FG220" s="141"/>
      <c r="FH220" s="203" t="str">
        <f t="shared" si="463"/>
        <v xml:space="preserve">  </v>
      </c>
      <c r="FI220" s="174" t="str">
        <f t="shared" si="420"/>
        <v>NG</v>
      </c>
      <c r="FJ220" s="203"/>
      <c r="FK220" s="172" t="s">
        <v>71</v>
      </c>
      <c r="FL220" s="160"/>
      <c r="FM220" s="141"/>
      <c r="FN220" s="203" t="str">
        <f t="shared" si="464"/>
        <v xml:space="preserve">  </v>
      </c>
      <c r="FO220" s="174" t="str">
        <f t="shared" si="438"/>
        <v>NG</v>
      </c>
      <c r="FP220" s="203"/>
      <c r="FQ220" s="172" t="s">
        <v>71</v>
      </c>
      <c r="FR220" s="160"/>
      <c r="FS220" s="141"/>
      <c r="FT220" s="203" t="str">
        <f t="shared" si="465"/>
        <v xml:space="preserve">  </v>
      </c>
      <c r="FU220" s="174" t="str">
        <f t="shared" si="439"/>
        <v>NG</v>
      </c>
      <c r="FV220" s="203"/>
      <c r="FW220" s="172" t="s">
        <v>71</v>
      </c>
      <c r="FX220" s="160"/>
      <c r="FY220" s="141"/>
      <c r="FZ220" s="203" t="str">
        <f t="shared" si="466"/>
        <v xml:space="preserve">  </v>
      </c>
      <c r="GA220" s="174" t="str">
        <f t="shared" si="440"/>
        <v>NG</v>
      </c>
      <c r="GB220" s="203"/>
      <c r="GC220" s="172" t="s">
        <v>71</v>
      </c>
    </row>
    <row r="221" spans="1:185" s="52" customFormat="1">
      <c r="B221" s="48">
        <f t="shared" si="467"/>
        <v>214</v>
      </c>
      <c r="C221" s="37"/>
      <c r="D221" s="37"/>
      <c r="E221" s="37"/>
      <c r="F221" s="49" t="s">
        <v>192</v>
      </c>
      <c r="G221" s="39"/>
      <c r="H221" s="40"/>
      <c r="I221" s="42"/>
      <c r="J221" s="42" t="s">
        <v>316</v>
      </c>
      <c r="K221" s="42"/>
      <c r="L221" s="42"/>
      <c r="M221" s="47" t="s">
        <v>324</v>
      </c>
      <c r="N221" s="47"/>
      <c r="O221" s="143"/>
      <c r="P221" s="45">
        <f t="shared" si="470"/>
        <v>191</v>
      </c>
      <c r="Q221" s="46">
        <v>255</v>
      </c>
      <c r="R221" s="41" t="str">
        <f t="shared" si="469"/>
        <v>NX</v>
      </c>
      <c r="S221" s="185" t="s">
        <v>193</v>
      </c>
      <c r="T221" s="43"/>
      <c r="U221" s="41" t="s">
        <v>80</v>
      </c>
      <c r="V221" s="44"/>
      <c r="W221" s="22">
        <v>3</v>
      </c>
      <c r="X221" s="47" t="s">
        <v>194</v>
      </c>
      <c r="Y221" s="47">
        <v>1</v>
      </c>
      <c r="Z221" s="47">
        <v>255</v>
      </c>
      <c r="AA221" s="42" t="s">
        <v>195</v>
      </c>
      <c r="AB221" s="42" t="s">
        <v>57</v>
      </c>
      <c r="AC221" s="166"/>
      <c r="AD221" s="160"/>
      <c r="AE221" s="162"/>
      <c r="AF221" s="204" t="str">
        <f t="shared" si="442"/>
        <v xml:space="preserve">                                                                                                                                                                                                                                                               </v>
      </c>
      <c r="AG221" s="174" t="str">
        <f t="shared" si="424"/>
        <v>NG</v>
      </c>
      <c r="AH221" s="204"/>
      <c r="AI221" s="276" t="str">
        <f>IF(OR(AE$8="判定対象外",AH$8="判定対象外",AH221="-"),"-",IF(AE221=AH221,"OK","NG"))</f>
        <v>OK</v>
      </c>
      <c r="AJ221" s="160"/>
      <c r="AK221" s="162"/>
      <c r="AL221" s="204" t="str">
        <f t="shared" si="441"/>
        <v xml:space="preserve">                                                                                                                                                                                                                                                               </v>
      </c>
      <c r="AM221" s="174" t="str">
        <f t="shared" si="468"/>
        <v>NG</v>
      </c>
      <c r="AN221" s="204"/>
      <c r="AO221" s="276" t="str">
        <f>IF(OR(AK$8="判定対象外",AN$8="判定対象外",AN221="-"),"-",IF(AK221=AN221,"OK","NG"))</f>
        <v>OK</v>
      </c>
      <c r="AP221" s="160"/>
      <c r="AQ221" s="162"/>
      <c r="AR221" s="204" t="str">
        <f t="shared" si="443"/>
        <v xml:space="preserve">                                                                                                                                                                                                                                                               </v>
      </c>
      <c r="AS221" s="174" t="str">
        <f t="shared" si="425"/>
        <v>NG</v>
      </c>
      <c r="AT221" s="204"/>
      <c r="AU221" s="276" t="str">
        <f>IF(OR(AQ$8="判定対象外",AT$8="判定対象外",AT221="-"),"-",IF(AQ221=AT221,"OK","NG"))</f>
        <v>OK</v>
      </c>
      <c r="AV221" s="160"/>
      <c r="AW221" s="162"/>
      <c r="AX221" s="204" t="str">
        <f t="shared" si="444"/>
        <v xml:space="preserve">                                                                                                                                                                                                                                                               </v>
      </c>
      <c r="AY221" s="174" t="str">
        <f t="shared" si="426"/>
        <v>NG</v>
      </c>
      <c r="AZ221" s="204"/>
      <c r="BA221" s="276" t="str">
        <f>IF(OR(AW$8="判定対象外",AZ$8="判定対象外",AZ221="-"),"-",IF(AW221=AZ221,"OK","NG"))</f>
        <v>OK</v>
      </c>
      <c r="BB221" s="160"/>
      <c r="BC221" s="162"/>
      <c r="BD221" s="204" t="str">
        <f t="shared" si="445"/>
        <v xml:space="preserve">                                                                                                                                                                                                                                                               </v>
      </c>
      <c r="BE221" s="174" t="str">
        <f t="shared" si="427"/>
        <v>NG</v>
      </c>
      <c r="BF221" s="204"/>
      <c r="BG221" s="276" t="str">
        <f>IF(OR(BC$8="判定対象外",BF$8="判定対象外",BF221="-"),"-",IF(BC221=BF221,"OK","NG"))</f>
        <v>OK</v>
      </c>
      <c r="BH221" s="160"/>
      <c r="BI221" s="162"/>
      <c r="BJ221" s="204" t="str">
        <f t="shared" si="446"/>
        <v xml:space="preserve">                                                                                                                                                                                                                                                               </v>
      </c>
      <c r="BK221" s="174" t="str">
        <f t="shared" si="428"/>
        <v>NG</v>
      </c>
      <c r="BL221" s="204"/>
      <c r="BM221" s="276" t="str">
        <f>IF(OR(BI$8="判定対象外",BL$8="判定対象外",BL221="-"),"-",IF(BI221=BL221,"OK","NG"))</f>
        <v>OK</v>
      </c>
      <c r="BN221" s="160"/>
      <c r="BO221" s="162"/>
      <c r="BP221" s="204" t="str">
        <f t="shared" si="447"/>
        <v xml:space="preserve">                                                                                                                                                                                                                                                               </v>
      </c>
      <c r="BQ221" s="174" t="str">
        <f t="shared" si="429"/>
        <v>NG</v>
      </c>
      <c r="BR221" s="204"/>
      <c r="BS221" s="276" t="str">
        <f>IF(OR(BO$8="判定対象外",BR$8="判定対象外",BR221="-"),"-",IF(BO221=BR221,"OK","NG"))</f>
        <v>OK</v>
      </c>
      <c r="BT221" s="160"/>
      <c r="BU221" s="162"/>
      <c r="BV221" s="204" t="str">
        <f t="shared" si="448"/>
        <v xml:space="preserve">                                                                                                                                                                                                                                                               </v>
      </c>
      <c r="BW221" s="174" t="str">
        <f t="shared" si="430"/>
        <v>NG</v>
      </c>
      <c r="BX221" s="204"/>
      <c r="BY221" s="276" t="str">
        <f>IF(OR(BU$8="判定対象外",BX$8="判定対象外",BX221="-"),"-",IF(BU221=BX221,"OK","NG"))</f>
        <v>OK</v>
      </c>
      <c r="BZ221" s="160"/>
      <c r="CA221" s="162"/>
      <c r="CB221" s="204" t="str">
        <f t="shared" si="449"/>
        <v xml:space="preserve">                                                                                                                                                                                                                                                               </v>
      </c>
      <c r="CC221" s="174" t="str">
        <f t="shared" si="431"/>
        <v>NG</v>
      </c>
      <c r="CD221" s="204"/>
      <c r="CE221" s="276" t="str">
        <f>IF(OR(CA$8="判定対象外",CD$8="判定対象外",CD221="-"),"-",IF(CA221=CD221,"OK","NG"))</f>
        <v>OK</v>
      </c>
      <c r="CF221" s="160"/>
      <c r="CG221" s="162"/>
      <c r="CH221" s="204" t="str">
        <f t="shared" si="450"/>
        <v xml:space="preserve">                                                                                                                                                                                                                                                               </v>
      </c>
      <c r="CI221" s="174" t="str">
        <f t="shared" si="432"/>
        <v>NG</v>
      </c>
      <c r="CJ221" s="204"/>
      <c r="CK221" s="276" t="str">
        <f>IF(OR(CG$8="判定対象外",CJ$8="判定対象外",CJ221="-"),"-",IF(CG221=CJ221,"OK","NG"))</f>
        <v>OK</v>
      </c>
      <c r="CL221" s="160"/>
      <c r="CM221" s="162"/>
      <c r="CN221" s="204" t="str">
        <f t="shared" si="451"/>
        <v xml:space="preserve">                                                                                                                                                                                                                                                               </v>
      </c>
      <c r="CO221" s="174" t="str">
        <f t="shared" si="433"/>
        <v>NG</v>
      </c>
      <c r="CP221" s="204"/>
      <c r="CQ221" s="276" t="str">
        <f>IF(OR(CM$8="判定対象外",CP$8="判定対象外",CP221="-"),"-",IF(CM221=CP221,"OK","NG"))</f>
        <v>OK</v>
      </c>
      <c r="CR221" s="160"/>
      <c r="CS221" s="162"/>
      <c r="CT221" s="204" t="str">
        <f t="shared" si="452"/>
        <v xml:space="preserve">                                                                                                                                                                                                                                                               </v>
      </c>
      <c r="CU221" s="174" t="str">
        <f t="shared" si="434"/>
        <v>NG</v>
      </c>
      <c r="CV221" s="204"/>
      <c r="CW221" s="276" t="str">
        <f>IF(OR(CS$8="判定対象外",CV$8="判定対象外",CV221="-"),"-",IF(CS221=CV221,"OK","NG"))</f>
        <v>OK</v>
      </c>
      <c r="CX221" s="160"/>
      <c r="CY221" s="162"/>
      <c r="CZ221" s="204" t="str">
        <f t="shared" si="453"/>
        <v xml:space="preserve">                                                                                                                                                                                                                                                               </v>
      </c>
      <c r="DA221" s="174" t="str">
        <f t="shared" si="435"/>
        <v>NG</v>
      </c>
      <c r="DB221" s="204"/>
      <c r="DC221" s="276" t="str">
        <f>IF(OR(CY$8="判定対象外",DB$8="判定対象外",DB221="-"),"-",IF(CY221=DB221,"OK","NG"))</f>
        <v>OK</v>
      </c>
      <c r="DD221" s="160"/>
      <c r="DE221" s="162"/>
      <c r="DF221" s="204" t="str">
        <f t="shared" si="454"/>
        <v xml:space="preserve">                                                                                                                                                                                                                                                               </v>
      </c>
      <c r="DG221" s="174" t="str">
        <f t="shared" si="436"/>
        <v>NG</v>
      </c>
      <c r="DH221" s="204"/>
      <c r="DI221" s="276" t="str">
        <f>IF(OR(DE$8="判定対象外",DH$8="判定対象外",DH221="-"),"-",IF(DE221=DH221,"OK","NG"))</f>
        <v>OK</v>
      </c>
      <c r="DJ221" s="160"/>
      <c r="DK221" s="162"/>
      <c r="DL221" s="204" t="str">
        <f t="shared" si="455"/>
        <v xml:space="preserve">                                                                                                                                                                                                                                                               </v>
      </c>
      <c r="DM221" s="174" t="str">
        <f t="shared" si="437"/>
        <v>NG</v>
      </c>
      <c r="DN221" s="204"/>
      <c r="DO221" s="276" t="str">
        <f>IF(OR(DK$8="判定対象外",DN$8="判定対象外",DN221="-"),"-",IF(DK221=DN221,"OK","NG"))</f>
        <v>OK</v>
      </c>
      <c r="DP221" s="160"/>
      <c r="DQ221" s="162"/>
      <c r="DR221" s="204" t="str">
        <f t="shared" si="456"/>
        <v xml:space="preserve">                                                                                                                                                                                                                                                               </v>
      </c>
      <c r="DS221" s="174" t="str">
        <f t="shared" si="413"/>
        <v>NG</v>
      </c>
      <c r="DT221" s="204"/>
      <c r="DU221" s="276" t="str">
        <f>IF(OR(DQ$8="判定対象外",DT$8="判定対象外",DT221="-"),"-",IF(DQ221=DT221,"OK","NG"))</f>
        <v>OK</v>
      </c>
      <c r="DV221" s="160"/>
      <c r="DW221" s="162"/>
      <c r="DX221" s="204" t="str">
        <f t="shared" si="457"/>
        <v xml:space="preserve">                                                                                                                                                                                                                                                               </v>
      </c>
      <c r="DY221" s="174" t="str">
        <f t="shared" si="414"/>
        <v>NG</v>
      </c>
      <c r="DZ221" s="204"/>
      <c r="EA221" s="276" t="str">
        <f>IF(OR(DW$8="判定対象外",DZ$8="判定対象外",DZ221="-"),"-",IF(DW221=DZ221,"OK","NG"))</f>
        <v>OK</v>
      </c>
      <c r="EB221" s="160"/>
      <c r="EC221" s="162"/>
      <c r="ED221" s="204" t="str">
        <f t="shared" si="458"/>
        <v xml:space="preserve">                                                                                                                                                                                                                                                               </v>
      </c>
      <c r="EE221" s="174" t="str">
        <f t="shared" si="415"/>
        <v>NG</v>
      </c>
      <c r="EF221" s="204"/>
      <c r="EG221" s="276" t="str">
        <f>IF(OR(EC$8="判定対象外",EF$8="判定対象外",EF221="-"),"-",IF(EC221=EF221,"OK","NG"))</f>
        <v>OK</v>
      </c>
      <c r="EH221" s="160"/>
      <c r="EI221" s="162"/>
      <c r="EJ221" s="204" t="str">
        <f t="shared" si="459"/>
        <v xml:space="preserve">                                                                                                                                                                                                                                                               </v>
      </c>
      <c r="EK221" s="174" t="str">
        <f t="shared" si="416"/>
        <v>NG</v>
      </c>
      <c r="EL221" s="204"/>
      <c r="EM221" s="276" t="str">
        <f>IF(OR(EI$8="判定対象外",EL$8="判定対象外",EL221="-"),"-",IF(EI221=EL221,"OK","NG"))</f>
        <v>OK</v>
      </c>
      <c r="EN221" s="160"/>
      <c r="EO221" s="162"/>
      <c r="EP221" s="204" t="str">
        <f t="shared" si="460"/>
        <v xml:space="preserve">                                                                                                                                                                                                                                                               </v>
      </c>
      <c r="EQ221" s="174" t="str">
        <f t="shared" si="417"/>
        <v>NG</v>
      </c>
      <c r="ER221" s="204"/>
      <c r="ES221" s="276" t="str">
        <f>IF(OR(EO$8="判定対象外",ER$8="判定対象外",ER221="-"),"-",IF(EO221=ER221,"OK","NG"))</f>
        <v>OK</v>
      </c>
      <c r="ET221" s="160"/>
      <c r="EU221" s="162"/>
      <c r="EV221" s="204" t="str">
        <f t="shared" si="461"/>
        <v xml:space="preserve">                                                                                                                                                                                                                                                               </v>
      </c>
      <c r="EW221" s="174" t="str">
        <f t="shared" si="418"/>
        <v>NG</v>
      </c>
      <c r="EX221" s="204"/>
      <c r="EY221" s="276" t="str">
        <f>IF(OR(EU$8="判定対象外",EX$8="判定対象外",EX221="-"),"-",IF(EU221=EX221,"OK","NG"))</f>
        <v>OK</v>
      </c>
      <c r="EZ221" s="160"/>
      <c r="FA221" s="162"/>
      <c r="FB221" s="204" t="str">
        <f t="shared" si="462"/>
        <v xml:space="preserve">                                                                                                                                                                                                                                                               </v>
      </c>
      <c r="FC221" s="174" t="str">
        <f t="shared" si="419"/>
        <v>NG</v>
      </c>
      <c r="FD221" s="204"/>
      <c r="FE221" s="276" t="str">
        <f>IF(OR(FA$8="判定対象外",FD$8="判定対象外",FD221="-"),"-",IF(FA221=FD221,"OK","NG"))</f>
        <v>OK</v>
      </c>
      <c r="FF221" s="160"/>
      <c r="FG221" s="162"/>
      <c r="FH221" s="204" t="str">
        <f t="shared" si="463"/>
        <v xml:space="preserve">                                                                                                                                                                                                                                                               </v>
      </c>
      <c r="FI221" s="174" t="str">
        <f t="shared" si="420"/>
        <v>NG</v>
      </c>
      <c r="FJ221" s="204"/>
      <c r="FK221" s="276" t="str">
        <f>IF(OR(FG$8="判定対象外",FJ$8="判定対象外",FJ221="-"),"-",IF(FG221=FJ221,"OK","NG"))</f>
        <v>OK</v>
      </c>
      <c r="FL221" s="160"/>
      <c r="FM221" s="162"/>
      <c r="FN221" s="204" t="str">
        <f t="shared" si="464"/>
        <v xml:space="preserve">                                                                                                                                                                                                                                                               </v>
      </c>
      <c r="FO221" s="174" t="str">
        <f t="shared" si="438"/>
        <v>NG</v>
      </c>
      <c r="FP221" s="204"/>
      <c r="FQ221" s="276" t="str">
        <f>IF(OR(FM$8="判定対象外",FP$8="判定対象外",FP221="-"),"-",IF(FM221=FP221,"OK","NG"))</f>
        <v>OK</v>
      </c>
      <c r="FR221" s="160"/>
      <c r="FS221" s="162"/>
      <c r="FT221" s="204" t="str">
        <f t="shared" si="465"/>
        <v xml:space="preserve">                                                                                                                                                                                                                                                               </v>
      </c>
      <c r="FU221" s="174" t="str">
        <f t="shared" si="439"/>
        <v>NG</v>
      </c>
      <c r="FV221" s="204"/>
      <c r="FW221" s="276" t="str">
        <f>IF(OR(FS$8="判定対象外",FV$8="判定対象外",FV221="-"),"-",IF(FS221=FV221,"OK","NG"))</f>
        <v>OK</v>
      </c>
      <c r="FX221" s="160"/>
      <c r="FY221" s="162"/>
      <c r="FZ221" s="204" t="str">
        <f t="shared" si="466"/>
        <v xml:space="preserve">                                                                                                                                                                                                                                                               </v>
      </c>
      <c r="GA221" s="174" t="str">
        <f t="shared" si="440"/>
        <v>NG</v>
      </c>
      <c r="GB221" s="204"/>
      <c r="GC221" s="276" t="str">
        <f>IF(OR(FY$8="判定対象外",GB$8="判定対象外",GB221="-"),"-",IF(FY221=GB221,"OK","NG"))</f>
        <v>OK</v>
      </c>
    </row>
    <row r="222" spans="1:185" s="52" customFormat="1">
      <c r="B222" s="53">
        <f t="shared" si="467"/>
        <v>215</v>
      </c>
      <c r="C222" s="37"/>
      <c r="D222" s="37"/>
      <c r="E222" s="37"/>
      <c r="F222" s="54" t="s">
        <v>325</v>
      </c>
      <c r="G222" s="54"/>
      <c r="H222" s="55"/>
      <c r="I222" s="57"/>
      <c r="J222" s="57"/>
      <c r="K222" s="57"/>
      <c r="L222" s="57"/>
      <c r="M222" s="58" t="s">
        <v>326</v>
      </c>
      <c r="N222" s="62"/>
      <c r="O222" s="150"/>
      <c r="P222" s="45">
        <f t="shared" si="470"/>
        <v>192</v>
      </c>
      <c r="Q222" s="60">
        <v>256</v>
      </c>
      <c r="R222" s="41" t="str">
        <f t="shared" si="469"/>
        <v>NX</v>
      </c>
      <c r="S222" s="185" t="s">
        <v>196</v>
      </c>
      <c r="T222" s="43"/>
      <c r="U222" s="41" t="s">
        <v>80</v>
      </c>
      <c r="V222" s="44"/>
      <c r="W222" s="61">
        <v>3</v>
      </c>
      <c r="X222" s="62" t="s">
        <v>197</v>
      </c>
      <c r="Y222" s="62">
        <v>1</v>
      </c>
      <c r="Z222" s="62">
        <v>256</v>
      </c>
      <c r="AA222" s="57" t="s">
        <v>101</v>
      </c>
      <c r="AB222" s="57" t="s">
        <v>80</v>
      </c>
      <c r="AC222" s="214"/>
      <c r="AD222" s="160"/>
      <c r="AE222" s="141"/>
      <c r="AF222" s="203" t="str">
        <f t="shared" si="442"/>
        <v xml:space="preserve">                                                                                                                                                                                                                                                                </v>
      </c>
      <c r="AG222" s="174" t="str">
        <f t="shared" si="424"/>
        <v>NG</v>
      </c>
      <c r="AH222" s="203"/>
      <c r="AI222" s="172" t="s">
        <v>71</v>
      </c>
      <c r="AJ222" s="160"/>
      <c r="AK222" s="141"/>
      <c r="AL222" s="203" t="str">
        <f t="shared" si="441"/>
        <v xml:space="preserve">                                                                                                                                                                                                                                                                </v>
      </c>
      <c r="AM222" s="174" t="str">
        <f t="shared" si="468"/>
        <v>NG</v>
      </c>
      <c r="AN222" s="203"/>
      <c r="AO222" s="172" t="s">
        <v>71</v>
      </c>
      <c r="AP222" s="160"/>
      <c r="AQ222" s="141"/>
      <c r="AR222" s="203" t="str">
        <f t="shared" si="443"/>
        <v xml:space="preserve">                                                                                                                                                                                                                                                                </v>
      </c>
      <c r="AS222" s="174" t="str">
        <f t="shared" si="425"/>
        <v>NG</v>
      </c>
      <c r="AT222" s="203"/>
      <c r="AU222" s="172" t="s">
        <v>71</v>
      </c>
      <c r="AV222" s="160"/>
      <c r="AW222" s="141"/>
      <c r="AX222" s="203" t="str">
        <f t="shared" si="444"/>
        <v xml:space="preserve">                                                                                                                                                                                                                                                                </v>
      </c>
      <c r="AY222" s="174" t="str">
        <f t="shared" si="426"/>
        <v>NG</v>
      </c>
      <c r="AZ222" s="203"/>
      <c r="BA222" s="172" t="s">
        <v>71</v>
      </c>
      <c r="BB222" s="160"/>
      <c r="BC222" s="141"/>
      <c r="BD222" s="203" t="str">
        <f t="shared" si="445"/>
        <v xml:space="preserve">                                                                                                                                                                                                                                                                </v>
      </c>
      <c r="BE222" s="174" t="str">
        <f t="shared" si="427"/>
        <v>NG</v>
      </c>
      <c r="BF222" s="203"/>
      <c r="BG222" s="172" t="s">
        <v>71</v>
      </c>
      <c r="BH222" s="160"/>
      <c r="BI222" s="141"/>
      <c r="BJ222" s="203" t="str">
        <f t="shared" si="446"/>
        <v xml:space="preserve">                                                                                                                                                                                                                                                                </v>
      </c>
      <c r="BK222" s="174" t="str">
        <f t="shared" si="428"/>
        <v>NG</v>
      </c>
      <c r="BL222" s="203"/>
      <c r="BM222" s="172" t="s">
        <v>71</v>
      </c>
      <c r="BN222" s="160"/>
      <c r="BO222" s="141"/>
      <c r="BP222" s="203" t="str">
        <f t="shared" si="447"/>
        <v xml:space="preserve">                                                                                                                                                                                                                                                                </v>
      </c>
      <c r="BQ222" s="174" t="str">
        <f t="shared" si="429"/>
        <v>NG</v>
      </c>
      <c r="BR222" s="203"/>
      <c r="BS222" s="172" t="s">
        <v>71</v>
      </c>
      <c r="BT222" s="160"/>
      <c r="BU222" s="141"/>
      <c r="BV222" s="203" t="str">
        <f t="shared" si="448"/>
        <v xml:space="preserve">                                                                                                                                                                                                                                                                </v>
      </c>
      <c r="BW222" s="174" t="str">
        <f t="shared" si="430"/>
        <v>NG</v>
      </c>
      <c r="BX222" s="203"/>
      <c r="BY222" s="172" t="s">
        <v>71</v>
      </c>
      <c r="BZ222" s="160"/>
      <c r="CA222" s="141"/>
      <c r="CB222" s="203" t="str">
        <f t="shared" si="449"/>
        <v xml:space="preserve">                                                                                                                                                                                                                                                                </v>
      </c>
      <c r="CC222" s="174" t="str">
        <f t="shared" si="431"/>
        <v>NG</v>
      </c>
      <c r="CD222" s="203"/>
      <c r="CE222" s="172" t="s">
        <v>71</v>
      </c>
      <c r="CF222" s="160"/>
      <c r="CG222" s="141"/>
      <c r="CH222" s="203" t="str">
        <f t="shared" si="450"/>
        <v xml:space="preserve">                                                                                                                                                                                                                                                                </v>
      </c>
      <c r="CI222" s="174" t="str">
        <f t="shared" si="432"/>
        <v>NG</v>
      </c>
      <c r="CJ222" s="203"/>
      <c r="CK222" s="172" t="s">
        <v>71</v>
      </c>
      <c r="CL222" s="160"/>
      <c r="CM222" s="141"/>
      <c r="CN222" s="203" t="str">
        <f t="shared" si="451"/>
        <v xml:space="preserve">                                                                                                                                                                                                                                                                </v>
      </c>
      <c r="CO222" s="174" t="str">
        <f t="shared" si="433"/>
        <v>NG</v>
      </c>
      <c r="CP222" s="203"/>
      <c r="CQ222" s="172" t="s">
        <v>71</v>
      </c>
      <c r="CR222" s="160"/>
      <c r="CS222" s="141"/>
      <c r="CT222" s="203" t="str">
        <f t="shared" si="452"/>
        <v xml:space="preserve">                                                                                                                                                                                                                                                                </v>
      </c>
      <c r="CU222" s="174" t="str">
        <f t="shared" si="434"/>
        <v>NG</v>
      </c>
      <c r="CV222" s="203"/>
      <c r="CW222" s="172" t="s">
        <v>71</v>
      </c>
      <c r="CX222" s="160"/>
      <c r="CY222" s="141"/>
      <c r="CZ222" s="203" t="str">
        <f t="shared" si="453"/>
        <v xml:space="preserve">                                                                                                                                                                                                                                                                </v>
      </c>
      <c r="DA222" s="174" t="str">
        <f t="shared" si="435"/>
        <v>NG</v>
      </c>
      <c r="DB222" s="203"/>
      <c r="DC222" s="172" t="s">
        <v>71</v>
      </c>
      <c r="DD222" s="160"/>
      <c r="DE222" s="141"/>
      <c r="DF222" s="203" t="str">
        <f t="shared" si="454"/>
        <v xml:space="preserve">                                                                                                                                                                                                                                                                </v>
      </c>
      <c r="DG222" s="174" t="str">
        <f t="shared" si="436"/>
        <v>NG</v>
      </c>
      <c r="DH222" s="203"/>
      <c r="DI222" s="172" t="s">
        <v>71</v>
      </c>
      <c r="DJ222" s="160"/>
      <c r="DK222" s="141"/>
      <c r="DL222" s="203" t="str">
        <f t="shared" si="455"/>
        <v xml:space="preserve">                                                                                                                                                                                                                                                                </v>
      </c>
      <c r="DM222" s="174" t="str">
        <f t="shared" si="437"/>
        <v>NG</v>
      </c>
      <c r="DN222" s="203"/>
      <c r="DO222" s="172" t="s">
        <v>71</v>
      </c>
      <c r="DP222" s="160"/>
      <c r="DQ222" s="141"/>
      <c r="DR222" s="203" t="str">
        <f t="shared" si="456"/>
        <v xml:space="preserve">                                                                                                                                                                                                                                                                </v>
      </c>
      <c r="DS222" s="174" t="str">
        <f t="shared" si="413"/>
        <v>NG</v>
      </c>
      <c r="DT222" s="203"/>
      <c r="DU222" s="172" t="s">
        <v>71</v>
      </c>
      <c r="DV222" s="160"/>
      <c r="DW222" s="141"/>
      <c r="DX222" s="203" t="str">
        <f t="shared" si="457"/>
        <v xml:space="preserve">                                                                                                                                                                                                                                                                </v>
      </c>
      <c r="DY222" s="174" t="str">
        <f t="shared" si="414"/>
        <v>NG</v>
      </c>
      <c r="DZ222" s="203"/>
      <c r="EA222" s="172" t="s">
        <v>71</v>
      </c>
      <c r="EB222" s="160"/>
      <c r="EC222" s="141"/>
      <c r="ED222" s="203" t="str">
        <f t="shared" si="458"/>
        <v xml:space="preserve">                                                                                                                                                                                                                                                                </v>
      </c>
      <c r="EE222" s="174" t="str">
        <f t="shared" si="415"/>
        <v>NG</v>
      </c>
      <c r="EF222" s="203"/>
      <c r="EG222" s="172" t="s">
        <v>71</v>
      </c>
      <c r="EH222" s="160"/>
      <c r="EI222" s="141"/>
      <c r="EJ222" s="203" t="str">
        <f t="shared" si="459"/>
        <v xml:space="preserve">                                                                                                                                                                                                                                                                </v>
      </c>
      <c r="EK222" s="174" t="str">
        <f t="shared" si="416"/>
        <v>NG</v>
      </c>
      <c r="EL222" s="203"/>
      <c r="EM222" s="172" t="s">
        <v>71</v>
      </c>
      <c r="EN222" s="160"/>
      <c r="EO222" s="141"/>
      <c r="EP222" s="203" t="str">
        <f t="shared" si="460"/>
        <v xml:space="preserve">                                                                                                                                                                                                                                                                </v>
      </c>
      <c r="EQ222" s="174" t="str">
        <f t="shared" si="417"/>
        <v>NG</v>
      </c>
      <c r="ER222" s="203"/>
      <c r="ES222" s="172" t="s">
        <v>71</v>
      </c>
      <c r="ET222" s="160"/>
      <c r="EU222" s="141"/>
      <c r="EV222" s="203" t="str">
        <f t="shared" si="461"/>
        <v xml:space="preserve">                                                                                                                                                                                                                                                                </v>
      </c>
      <c r="EW222" s="174" t="str">
        <f t="shared" si="418"/>
        <v>NG</v>
      </c>
      <c r="EX222" s="203"/>
      <c r="EY222" s="172" t="s">
        <v>71</v>
      </c>
      <c r="EZ222" s="160"/>
      <c r="FA222" s="141"/>
      <c r="FB222" s="203" t="str">
        <f t="shared" si="462"/>
        <v xml:space="preserve">                                                                                                                                                                                                                                                                </v>
      </c>
      <c r="FC222" s="174" t="str">
        <f t="shared" si="419"/>
        <v>NG</v>
      </c>
      <c r="FD222" s="203"/>
      <c r="FE222" s="172" t="s">
        <v>71</v>
      </c>
      <c r="FF222" s="160"/>
      <c r="FG222" s="141"/>
      <c r="FH222" s="203" t="str">
        <f t="shared" si="463"/>
        <v xml:space="preserve">                                                                                                                                                                                                                                                                </v>
      </c>
      <c r="FI222" s="174" t="str">
        <f t="shared" si="420"/>
        <v>NG</v>
      </c>
      <c r="FJ222" s="203"/>
      <c r="FK222" s="172" t="s">
        <v>71</v>
      </c>
      <c r="FL222" s="160"/>
      <c r="FM222" s="141"/>
      <c r="FN222" s="203" t="str">
        <f t="shared" si="464"/>
        <v xml:space="preserve">                                                                                                                                                                                                                                                                </v>
      </c>
      <c r="FO222" s="174" t="str">
        <f t="shared" si="438"/>
        <v>NG</v>
      </c>
      <c r="FP222" s="203"/>
      <c r="FQ222" s="172" t="s">
        <v>71</v>
      </c>
      <c r="FR222" s="160"/>
      <c r="FS222" s="141"/>
      <c r="FT222" s="203" t="str">
        <f t="shared" si="465"/>
        <v xml:space="preserve">                                                                                                                                                                                                                                                                </v>
      </c>
      <c r="FU222" s="174" t="str">
        <f t="shared" si="439"/>
        <v>NG</v>
      </c>
      <c r="FV222" s="203"/>
      <c r="FW222" s="172" t="s">
        <v>71</v>
      </c>
      <c r="FX222" s="160"/>
      <c r="FY222" s="141"/>
      <c r="FZ222" s="203" t="str">
        <f t="shared" si="466"/>
        <v xml:space="preserve">                                                                                                                                                                                                                                                                </v>
      </c>
      <c r="GA222" s="174" t="str">
        <f t="shared" si="440"/>
        <v>NG</v>
      </c>
      <c r="GB222" s="203"/>
      <c r="GC222" s="172" t="s">
        <v>71</v>
      </c>
    </row>
    <row r="223" spans="1:185" s="52" customFormat="1" ht="63.75">
      <c r="B223" s="48">
        <f t="shared" si="467"/>
        <v>216</v>
      </c>
      <c r="C223" s="37"/>
      <c r="D223" s="37"/>
      <c r="E223" s="37"/>
      <c r="F223" s="49" t="s">
        <v>198</v>
      </c>
      <c r="G223" s="39"/>
      <c r="H223" s="40"/>
      <c r="I223" s="42"/>
      <c r="J223" s="42"/>
      <c r="K223" s="42"/>
      <c r="L223" s="42"/>
      <c r="M223" s="63" t="s">
        <v>327</v>
      </c>
      <c r="N223" s="47"/>
      <c r="O223" s="143"/>
      <c r="P223" s="45">
        <f t="shared" si="470"/>
        <v>193</v>
      </c>
      <c r="Q223" s="46">
        <v>256</v>
      </c>
      <c r="R223" s="41" t="str">
        <f t="shared" si="469"/>
        <v>NX</v>
      </c>
      <c r="S223" s="185" t="s">
        <v>199</v>
      </c>
      <c r="T223" s="43"/>
      <c r="U223" s="41" t="s">
        <v>80</v>
      </c>
      <c r="V223" s="44"/>
      <c r="W223" s="22">
        <v>3</v>
      </c>
      <c r="X223" s="47" t="s">
        <v>200</v>
      </c>
      <c r="Y223" s="47">
        <v>1</v>
      </c>
      <c r="Z223" s="47">
        <v>256</v>
      </c>
      <c r="AA223" s="42" t="s">
        <v>195</v>
      </c>
      <c r="AB223" s="42" t="s">
        <v>80</v>
      </c>
      <c r="AC223" s="166"/>
      <c r="AD223" s="160"/>
      <c r="AE223" s="162"/>
      <c r="AF223" s="167" t="str">
        <f t="shared" si="442"/>
        <v xml:space="preserve">                                                                                                                                                                                                                                                                </v>
      </c>
      <c r="AG223" s="174" t="str">
        <f t="shared" si="424"/>
        <v>NG</v>
      </c>
      <c r="AH223" s="204"/>
      <c r="AI223" s="172" t="s">
        <v>71</v>
      </c>
      <c r="AJ223" s="160"/>
      <c r="AK223" s="162"/>
      <c r="AL223" s="167" t="str">
        <f t="shared" si="441"/>
        <v xml:space="preserve">                                                                                                                                                                                                                                                                </v>
      </c>
      <c r="AM223" s="174" t="str">
        <f t="shared" si="468"/>
        <v>NG</v>
      </c>
      <c r="AN223" s="204"/>
      <c r="AO223" s="172" t="s">
        <v>71</v>
      </c>
      <c r="AP223" s="160"/>
      <c r="AQ223" s="162"/>
      <c r="AR223" s="167" t="str">
        <f t="shared" si="443"/>
        <v xml:space="preserve">                                                                                                                                                                                                                                                                </v>
      </c>
      <c r="AS223" s="174" t="str">
        <f t="shared" si="425"/>
        <v>NG</v>
      </c>
      <c r="AT223" s="204"/>
      <c r="AU223" s="172" t="s">
        <v>71</v>
      </c>
      <c r="AV223" s="160"/>
      <c r="AW223" s="162"/>
      <c r="AX223" s="167" t="str">
        <f t="shared" si="444"/>
        <v xml:space="preserve">                                                                                                                                                                                                                                                                </v>
      </c>
      <c r="AY223" s="174" t="str">
        <f t="shared" si="426"/>
        <v>NG</v>
      </c>
      <c r="AZ223" s="204"/>
      <c r="BA223" s="172" t="s">
        <v>71</v>
      </c>
      <c r="BB223" s="160"/>
      <c r="BC223" s="162"/>
      <c r="BD223" s="167" t="str">
        <f t="shared" si="445"/>
        <v xml:space="preserve">                                                                                                                                                                                                                                                                </v>
      </c>
      <c r="BE223" s="174" t="str">
        <f t="shared" si="427"/>
        <v>NG</v>
      </c>
      <c r="BF223" s="204"/>
      <c r="BG223" s="172" t="s">
        <v>71</v>
      </c>
      <c r="BH223" s="160"/>
      <c r="BI223" s="162"/>
      <c r="BJ223" s="167" t="str">
        <f t="shared" si="446"/>
        <v xml:space="preserve">                                                                                                                                                                                                                                                                </v>
      </c>
      <c r="BK223" s="174" t="str">
        <f t="shared" si="428"/>
        <v>NG</v>
      </c>
      <c r="BL223" s="204"/>
      <c r="BM223" s="172" t="s">
        <v>71</v>
      </c>
      <c r="BN223" s="160"/>
      <c r="BO223" s="162"/>
      <c r="BP223" s="167" t="str">
        <f t="shared" si="447"/>
        <v xml:space="preserve">                                                                                                                                                                                                                                                                </v>
      </c>
      <c r="BQ223" s="174" t="str">
        <f t="shared" si="429"/>
        <v>NG</v>
      </c>
      <c r="BR223" s="204"/>
      <c r="BS223" s="172" t="s">
        <v>71</v>
      </c>
      <c r="BT223" s="160"/>
      <c r="BU223" s="162"/>
      <c r="BV223" s="167" t="str">
        <f t="shared" si="448"/>
        <v xml:space="preserve">                                                                                                                                                                                                                                                                </v>
      </c>
      <c r="BW223" s="174" t="str">
        <f t="shared" si="430"/>
        <v>NG</v>
      </c>
      <c r="BX223" s="204"/>
      <c r="BY223" s="172" t="s">
        <v>71</v>
      </c>
      <c r="BZ223" s="160"/>
      <c r="CA223" s="162"/>
      <c r="CB223" s="167" t="str">
        <f t="shared" si="449"/>
        <v xml:space="preserve">                                                                                                                                                                                                                                                                </v>
      </c>
      <c r="CC223" s="174" t="str">
        <f t="shared" si="431"/>
        <v>NG</v>
      </c>
      <c r="CD223" s="204"/>
      <c r="CE223" s="172" t="s">
        <v>71</v>
      </c>
      <c r="CF223" s="160"/>
      <c r="CG223" s="162"/>
      <c r="CH223" s="167" t="str">
        <f t="shared" si="450"/>
        <v xml:space="preserve">                                                                                                                                                                                                                                                                </v>
      </c>
      <c r="CI223" s="174" t="str">
        <f t="shared" si="432"/>
        <v>NG</v>
      </c>
      <c r="CJ223" s="204"/>
      <c r="CK223" s="172" t="s">
        <v>71</v>
      </c>
      <c r="CL223" s="160"/>
      <c r="CM223" s="162"/>
      <c r="CN223" s="167" t="str">
        <f t="shared" si="451"/>
        <v xml:space="preserve">                                                                                                                                                                                                                                                                </v>
      </c>
      <c r="CO223" s="174" t="str">
        <f t="shared" si="433"/>
        <v>NG</v>
      </c>
      <c r="CP223" s="204"/>
      <c r="CQ223" s="172" t="s">
        <v>71</v>
      </c>
      <c r="CR223" s="160"/>
      <c r="CS223" s="162"/>
      <c r="CT223" s="167" t="str">
        <f t="shared" si="452"/>
        <v xml:space="preserve">                                                                                                                                                                                                                                                                </v>
      </c>
      <c r="CU223" s="174" t="str">
        <f t="shared" si="434"/>
        <v>NG</v>
      </c>
      <c r="CV223" s="204"/>
      <c r="CW223" s="172" t="s">
        <v>71</v>
      </c>
      <c r="CX223" s="160"/>
      <c r="CY223" s="162"/>
      <c r="CZ223" s="167" t="str">
        <f t="shared" si="453"/>
        <v xml:space="preserve">                                                                                                                                                                                                                                                                </v>
      </c>
      <c r="DA223" s="174" t="str">
        <f t="shared" si="435"/>
        <v>NG</v>
      </c>
      <c r="DB223" s="204"/>
      <c r="DC223" s="172" t="s">
        <v>71</v>
      </c>
      <c r="DD223" s="160"/>
      <c r="DE223" s="162"/>
      <c r="DF223" s="167" t="str">
        <f t="shared" si="454"/>
        <v xml:space="preserve">                                                                                                                                                                                                                                                                </v>
      </c>
      <c r="DG223" s="174" t="str">
        <f t="shared" si="436"/>
        <v>NG</v>
      </c>
      <c r="DH223" s="204"/>
      <c r="DI223" s="172" t="s">
        <v>71</v>
      </c>
      <c r="DJ223" s="160"/>
      <c r="DK223" s="162"/>
      <c r="DL223" s="167" t="str">
        <f t="shared" si="455"/>
        <v xml:space="preserve">                                                                                                                                                                                                                                                                </v>
      </c>
      <c r="DM223" s="174" t="str">
        <f t="shared" si="437"/>
        <v>NG</v>
      </c>
      <c r="DN223" s="204"/>
      <c r="DO223" s="172" t="s">
        <v>71</v>
      </c>
      <c r="DP223" s="160"/>
      <c r="DQ223" s="162"/>
      <c r="DR223" s="167" t="str">
        <f t="shared" si="456"/>
        <v xml:space="preserve">                                                                                                                                                                                                                                                                </v>
      </c>
      <c r="DS223" s="174" t="str">
        <f t="shared" si="413"/>
        <v>NG</v>
      </c>
      <c r="DT223" s="204"/>
      <c r="DU223" s="172" t="s">
        <v>71</v>
      </c>
      <c r="DV223" s="160"/>
      <c r="DW223" s="162"/>
      <c r="DX223" s="167" t="str">
        <f t="shared" si="457"/>
        <v xml:space="preserve">                                                                                                                                                                                                                                                                </v>
      </c>
      <c r="DY223" s="174" t="str">
        <f t="shared" si="414"/>
        <v>NG</v>
      </c>
      <c r="DZ223" s="204"/>
      <c r="EA223" s="172" t="s">
        <v>71</v>
      </c>
      <c r="EB223" s="160"/>
      <c r="EC223" s="162"/>
      <c r="ED223" s="167" t="str">
        <f t="shared" si="458"/>
        <v xml:space="preserve">                                                                                                                                                                                                                                                                </v>
      </c>
      <c r="EE223" s="174" t="str">
        <f t="shared" si="415"/>
        <v>NG</v>
      </c>
      <c r="EF223" s="204"/>
      <c r="EG223" s="172" t="s">
        <v>71</v>
      </c>
      <c r="EH223" s="160"/>
      <c r="EI223" s="162"/>
      <c r="EJ223" s="167" t="str">
        <f t="shared" si="459"/>
        <v xml:space="preserve">                                                                                                                                                                                                                                                                </v>
      </c>
      <c r="EK223" s="174" t="str">
        <f t="shared" si="416"/>
        <v>NG</v>
      </c>
      <c r="EL223" s="204"/>
      <c r="EM223" s="172" t="s">
        <v>71</v>
      </c>
      <c r="EN223" s="160"/>
      <c r="EO223" s="162"/>
      <c r="EP223" s="167" t="str">
        <f t="shared" si="460"/>
        <v xml:space="preserve">                                                                                                                                                                                                                                                                </v>
      </c>
      <c r="EQ223" s="174" t="str">
        <f t="shared" si="417"/>
        <v>NG</v>
      </c>
      <c r="ER223" s="204"/>
      <c r="ES223" s="172" t="s">
        <v>71</v>
      </c>
      <c r="ET223" s="160"/>
      <c r="EU223" s="162"/>
      <c r="EV223" s="167" t="str">
        <f t="shared" si="461"/>
        <v xml:space="preserve">                                                                                                                                                                                                                                                                </v>
      </c>
      <c r="EW223" s="174" t="str">
        <f t="shared" si="418"/>
        <v>NG</v>
      </c>
      <c r="EX223" s="204"/>
      <c r="EY223" s="172" t="s">
        <v>71</v>
      </c>
      <c r="EZ223" s="160"/>
      <c r="FA223" s="162"/>
      <c r="FB223" s="167" t="str">
        <f t="shared" si="462"/>
        <v xml:space="preserve">                                                                                                                                                                                                                                                                </v>
      </c>
      <c r="FC223" s="174" t="str">
        <f t="shared" si="419"/>
        <v>NG</v>
      </c>
      <c r="FD223" s="204"/>
      <c r="FE223" s="172" t="s">
        <v>71</v>
      </c>
      <c r="FF223" s="160"/>
      <c r="FG223" s="162"/>
      <c r="FH223" s="167" t="str">
        <f t="shared" si="463"/>
        <v xml:space="preserve">                                                                                                                                                                                                                                                                </v>
      </c>
      <c r="FI223" s="174" t="str">
        <f t="shared" si="420"/>
        <v>NG</v>
      </c>
      <c r="FJ223" s="204"/>
      <c r="FK223" s="172" t="s">
        <v>71</v>
      </c>
      <c r="FL223" s="160"/>
      <c r="FM223" s="162"/>
      <c r="FN223" s="167" t="str">
        <f t="shared" si="464"/>
        <v xml:space="preserve">                                                                                                                                                                                                                                                                </v>
      </c>
      <c r="FO223" s="174" t="str">
        <f t="shared" si="438"/>
        <v>NG</v>
      </c>
      <c r="FP223" s="204"/>
      <c r="FQ223" s="172" t="s">
        <v>71</v>
      </c>
      <c r="FR223" s="160"/>
      <c r="FS223" s="162"/>
      <c r="FT223" s="167" t="str">
        <f t="shared" si="465"/>
        <v xml:space="preserve">                                                                                                                                                                                                                                                                </v>
      </c>
      <c r="FU223" s="174" t="str">
        <f t="shared" si="439"/>
        <v>NG</v>
      </c>
      <c r="FV223" s="204"/>
      <c r="FW223" s="172" t="s">
        <v>71</v>
      </c>
      <c r="FX223" s="160"/>
      <c r="FY223" s="162"/>
      <c r="FZ223" s="167" t="str">
        <f t="shared" si="466"/>
        <v xml:space="preserve">                                                                                                                                                                                                                                                                </v>
      </c>
      <c r="GA223" s="174" t="str">
        <f t="shared" si="440"/>
        <v>NG</v>
      </c>
      <c r="GB223" s="204"/>
      <c r="GC223" s="172" t="s">
        <v>71</v>
      </c>
    </row>
    <row r="224" spans="1:185" s="52" customFormat="1" ht="63.75">
      <c r="B224" s="48">
        <f t="shared" si="467"/>
        <v>217</v>
      </c>
      <c r="C224" s="37"/>
      <c r="D224" s="37"/>
      <c r="E224" s="37"/>
      <c r="F224" s="49" t="s">
        <v>201</v>
      </c>
      <c r="G224" s="39"/>
      <c r="H224" s="40"/>
      <c r="I224" s="42"/>
      <c r="J224" s="42"/>
      <c r="K224" s="42"/>
      <c r="L224" s="42"/>
      <c r="M224" s="63" t="s">
        <v>328</v>
      </c>
      <c r="N224" s="47"/>
      <c r="O224" s="143"/>
      <c r="P224" s="45">
        <f t="shared" si="470"/>
        <v>194</v>
      </c>
      <c r="Q224" s="46">
        <v>256</v>
      </c>
      <c r="R224" s="41" t="str">
        <f t="shared" si="469"/>
        <v>NX</v>
      </c>
      <c r="S224" s="185" t="s">
        <v>202</v>
      </c>
      <c r="T224" s="43"/>
      <c r="U224" s="41" t="s">
        <v>80</v>
      </c>
      <c r="V224" s="44"/>
      <c r="W224" s="22">
        <v>3</v>
      </c>
      <c r="X224" s="47" t="s">
        <v>203</v>
      </c>
      <c r="Y224" s="47">
        <v>1</v>
      </c>
      <c r="Z224" s="47">
        <v>256</v>
      </c>
      <c r="AA224" s="42" t="s">
        <v>195</v>
      </c>
      <c r="AB224" s="42" t="s">
        <v>80</v>
      </c>
      <c r="AC224" s="166"/>
      <c r="AD224" s="160"/>
      <c r="AE224" s="162"/>
      <c r="AF224" s="167" t="str">
        <f t="shared" si="442"/>
        <v xml:space="preserve">                                                                                                                                                                                                                                                                </v>
      </c>
      <c r="AG224" s="174" t="str">
        <f t="shared" si="424"/>
        <v>NG</v>
      </c>
      <c r="AH224" s="204"/>
      <c r="AI224" s="172" t="s">
        <v>71</v>
      </c>
      <c r="AJ224" s="160"/>
      <c r="AK224" s="162"/>
      <c r="AL224" s="167" t="str">
        <f t="shared" si="441"/>
        <v xml:space="preserve">                                                                                                                                                                                                                                                                </v>
      </c>
      <c r="AM224" s="174" t="str">
        <f t="shared" si="468"/>
        <v>NG</v>
      </c>
      <c r="AN224" s="204"/>
      <c r="AO224" s="172" t="s">
        <v>71</v>
      </c>
      <c r="AP224" s="160"/>
      <c r="AQ224" s="162"/>
      <c r="AR224" s="167" t="str">
        <f t="shared" si="443"/>
        <v xml:space="preserve">                                                                                                                                                                                                                                                                </v>
      </c>
      <c r="AS224" s="174" t="str">
        <f t="shared" si="425"/>
        <v>NG</v>
      </c>
      <c r="AT224" s="204"/>
      <c r="AU224" s="172" t="s">
        <v>71</v>
      </c>
      <c r="AV224" s="160"/>
      <c r="AW224" s="162"/>
      <c r="AX224" s="167" t="str">
        <f t="shared" si="444"/>
        <v xml:space="preserve">                                                                                                                                                                                                                                                                </v>
      </c>
      <c r="AY224" s="174" t="str">
        <f t="shared" si="426"/>
        <v>NG</v>
      </c>
      <c r="AZ224" s="204"/>
      <c r="BA224" s="172" t="s">
        <v>71</v>
      </c>
      <c r="BB224" s="160"/>
      <c r="BC224" s="162"/>
      <c r="BD224" s="167" t="str">
        <f t="shared" si="445"/>
        <v xml:space="preserve">                                                                                                                                                                                                                                                                </v>
      </c>
      <c r="BE224" s="174" t="str">
        <f t="shared" si="427"/>
        <v>NG</v>
      </c>
      <c r="BF224" s="204"/>
      <c r="BG224" s="172" t="s">
        <v>71</v>
      </c>
      <c r="BH224" s="160"/>
      <c r="BI224" s="162"/>
      <c r="BJ224" s="167" t="str">
        <f t="shared" si="446"/>
        <v xml:space="preserve">                                                                                                                                                                                                                                                                </v>
      </c>
      <c r="BK224" s="174" t="str">
        <f t="shared" si="428"/>
        <v>NG</v>
      </c>
      <c r="BL224" s="204"/>
      <c r="BM224" s="172" t="s">
        <v>71</v>
      </c>
      <c r="BN224" s="160"/>
      <c r="BO224" s="162"/>
      <c r="BP224" s="167" t="str">
        <f t="shared" si="447"/>
        <v xml:space="preserve">                                                                                                                                                                                                                                                                </v>
      </c>
      <c r="BQ224" s="174" t="str">
        <f t="shared" si="429"/>
        <v>NG</v>
      </c>
      <c r="BR224" s="204"/>
      <c r="BS224" s="172" t="s">
        <v>71</v>
      </c>
      <c r="BT224" s="160"/>
      <c r="BU224" s="162"/>
      <c r="BV224" s="167" t="str">
        <f t="shared" si="448"/>
        <v xml:space="preserve">                                                                                                                                                                                                                                                                </v>
      </c>
      <c r="BW224" s="174" t="str">
        <f t="shared" si="430"/>
        <v>NG</v>
      </c>
      <c r="BX224" s="204"/>
      <c r="BY224" s="172" t="s">
        <v>71</v>
      </c>
      <c r="BZ224" s="160"/>
      <c r="CA224" s="162"/>
      <c r="CB224" s="167" t="str">
        <f t="shared" si="449"/>
        <v xml:space="preserve">                                                                                                                                                                                                                                                                </v>
      </c>
      <c r="CC224" s="174" t="str">
        <f t="shared" si="431"/>
        <v>NG</v>
      </c>
      <c r="CD224" s="204"/>
      <c r="CE224" s="172" t="s">
        <v>71</v>
      </c>
      <c r="CF224" s="160"/>
      <c r="CG224" s="162"/>
      <c r="CH224" s="167" t="str">
        <f t="shared" si="450"/>
        <v xml:space="preserve">                                                                                                                                                                                                                                                                </v>
      </c>
      <c r="CI224" s="174" t="str">
        <f t="shared" si="432"/>
        <v>NG</v>
      </c>
      <c r="CJ224" s="204"/>
      <c r="CK224" s="172" t="s">
        <v>71</v>
      </c>
      <c r="CL224" s="160"/>
      <c r="CM224" s="162"/>
      <c r="CN224" s="167" t="str">
        <f t="shared" si="451"/>
        <v xml:space="preserve">                                                                                                                                                                                                                                                                </v>
      </c>
      <c r="CO224" s="174" t="str">
        <f t="shared" si="433"/>
        <v>NG</v>
      </c>
      <c r="CP224" s="204"/>
      <c r="CQ224" s="172" t="s">
        <v>71</v>
      </c>
      <c r="CR224" s="160"/>
      <c r="CS224" s="162"/>
      <c r="CT224" s="167" t="str">
        <f t="shared" si="452"/>
        <v xml:space="preserve">                                                                                                                                                                                                                                                                </v>
      </c>
      <c r="CU224" s="174" t="str">
        <f t="shared" si="434"/>
        <v>NG</v>
      </c>
      <c r="CV224" s="204"/>
      <c r="CW224" s="172" t="s">
        <v>71</v>
      </c>
      <c r="CX224" s="160"/>
      <c r="CY224" s="162"/>
      <c r="CZ224" s="167" t="str">
        <f t="shared" si="453"/>
        <v xml:space="preserve">                                                                                                                                                                                                                                                                </v>
      </c>
      <c r="DA224" s="174" t="str">
        <f t="shared" si="435"/>
        <v>NG</v>
      </c>
      <c r="DB224" s="204"/>
      <c r="DC224" s="172" t="s">
        <v>71</v>
      </c>
      <c r="DD224" s="160"/>
      <c r="DE224" s="162"/>
      <c r="DF224" s="167" t="str">
        <f t="shared" si="454"/>
        <v xml:space="preserve">                                                                                                                                                                                                                                                                </v>
      </c>
      <c r="DG224" s="174" t="str">
        <f t="shared" si="436"/>
        <v>NG</v>
      </c>
      <c r="DH224" s="204"/>
      <c r="DI224" s="172" t="s">
        <v>71</v>
      </c>
      <c r="DJ224" s="160"/>
      <c r="DK224" s="162"/>
      <c r="DL224" s="167" t="str">
        <f t="shared" si="455"/>
        <v xml:space="preserve">                                                                                                                                                                                                                                                                </v>
      </c>
      <c r="DM224" s="174" t="str">
        <f t="shared" si="437"/>
        <v>NG</v>
      </c>
      <c r="DN224" s="204"/>
      <c r="DO224" s="172" t="s">
        <v>71</v>
      </c>
      <c r="DP224" s="160"/>
      <c r="DQ224" s="162"/>
      <c r="DR224" s="167" t="str">
        <f t="shared" si="456"/>
        <v xml:space="preserve">                                                                                                                                                                                                                                                                </v>
      </c>
      <c r="DS224" s="174" t="str">
        <f t="shared" si="413"/>
        <v>NG</v>
      </c>
      <c r="DT224" s="204"/>
      <c r="DU224" s="172" t="s">
        <v>71</v>
      </c>
      <c r="DV224" s="160"/>
      <c r="DW224" s="162"/>
      <c r="DX224" s="167" t="str">
        <f t="shared" si="457"/>
        <v xml:space="preserve">                                                                                                                                                                                                                                                                </v>
      </c>
      <c r="DY224" s="174" t="str">
        <f t="shared" si="414"/>
        <v>NG</v>
      </c>
      <c r="DZ224" s="204"/>
      <c r="EA224" s="172" t="s">
        <v>71</v>
      </c>
      <c r="EB224" s="160"/>
      <c r="EC224" s="162"/>
      <c r="ED224" s="167" t="str">
        <f t="shared" si="458"/>
        <v xml:space="preserve">                                                                                                                                                                                                                                                                </v>
      </c>
      <c r="EE224" s="174" t="str">
        <f t="shared" si="415"/>
        <v>NG</v>
      </c>
      <c r="EF224" s="204"/>
      <c r="EG224" s="172" t="s">
        <v>71</v>
      </c>
      <c r="EH224" s="160"/>
      <c r="EI224" s="162"/>
      <c r="EJ224" s="167" t="str">
        <f t="shared" si="459"/>
        <v xml:space="preserve">                                                                                                                                                                                                                                                                </v>
      </c>
      <c r="EK224" s="174" t="str">
        <f t="shared" si="416"/>
        <v>NG</v>
      </c>
      <c r="EL224" s="204"/>
      <c r="EM224" s="172" t="s">
        <v>71</v>
      </c>
      <c r="EN224" s="160"/>
      <c r="EO224" s="162"/>
      <c r="EP224" s="167" t="str">
        <f t="shared" si="460"/>
        <v xml:space="preserve">                                                                                                                                                                                                                                                                </v>
      </c>
      <c r="EQ224" s="174" t="str">
        <f t="shared" si="417"/>
        <v>NG</v>
      </c>
      <c r="ER224" s="204"/>
      <c r="ES224" s="172" t="s">
        <v>71</v>
      </c>
      <c r="ET224" s="160"/>
      <c r="EU224" s="162"/>
      <c r="EV224" s="167" t="str">
        <f t="shared" si="461"/>
        <v xml:space="preserve">                                                                                                                                                                                                                                                                </v>
      </c>
      <c r="EW224" s="174" t="str">
        <f t="shared" si="418"/>
        <v>NG</v>
      </c>
      <c r="EX224" s="204"/>
      <c r="EY224" s="172" t="s">
        <v>71</v>
      </c>
      <c r="EZ224" s="160"/>
      <c r="FA224" s="162"/>
      <c r="FB224" s="167" t="str">
        <f t="shared" si="462"/>
        <v xml:space="preserve">                                                                                                                                                                                                                                                                </v>
      </c>
      <c r="FC224" s="174" t="str">
        <f t="shared" si="419"/>
        <v>NG</v>
      </c>
      <c r="FD224" s="204"/>
      <c r="FE224" s="172" t="s">
        <v>71</v>
      </c>
      <c r="FF224" s="160"/>
      <c r="FG224" s="162"/>
      <c r="FH224" s="167" t="str">
        <f t="shared" si="463"/>
        <v xml:space="preserve">                                                                                                                                                                                                                                                                </v>
      </c>
      <c r="FI224" s="174" t="str">
        <f t="shared" si="420"/>
        <v>NG</v>
      </c>
      <c r="FJ224" s="204"/>
      <c r="FK224" s="172" t="s">
        <v>71</v>
      </c>
      <c r="FL224" s="160"/>
      <c r="FM224" s="162"/>
      <c r="FN224" s="167" t="str">
        <f t="shared" si="464"/>
        <v xml:space="preserve">                                                                                                                                                                                                                                                                </v>
      </c>
      <c r="FO224" s="174" t="str">
        <f t="shared" si="438"/>
        <v>NG</v>
      </c>
      <c r="FP224" s="204"/>
      <c r="FQ224" s="172" t="s">
        <v>71</v>
      </c>
      <c r="FR224" s="160"/>
      <c r="FS224" s="162"/>
      <c r="FT224" s="167" t="str">
        <f t="shared" si="465"/>
        <v xml:space="preserve">                                                                                                                                                                                                                                                                </v>
      </c>
      <c r="FU224" s="174" t="str">
        <f t="shared" si="439"/>
        <v>NG</v>
      </c>
      <c r="FV224" s="204"/>
      <c r="FW224" s="172" t="s">
        <v>71</v>
      </c>
      <c r="FX224" s="160"/>
      <c r="FY224" s="162"/>
      <c r="FZ224" s="167" t="str">
        <f t="shared" si="466"/>
        <v xml:space="preserve">                                                                                                                                                                                                                                                                </v>
      </c>
      <c r="GA224" s="174" t="str">
        <f t="shared" si="440"/>
        <v>NG</v>
      </c>
      <c r="GB224" s="204"/>
      <c r="GC224" s="172" t="s">
        <v>71</v>
      </c>
    </row>
    <row r="225" spans="2:185" s="52" customFormat="1" ht="69" customHeight="1">
      <c r="B225" s="53">
        <f t="shared" si="467"/>
        <v>218</v>
      </c>
      <c r="C225" s="37"/>
      <c r="D225" s="37"/>
      <c r="E225" s="37"/>
      <c r="F225" s="188" t="s">
        <v>329</v>
      </c>
      <c r="G225" s="39"/>
      <c r="H225" s="40"/>
      <c r="I225" s="42"/>
      <c r="J225" s="42" t="s">
        <v>316</v>
      </c>
      <c r="K225" s="42"/>
      <c r="L225" s="42"/>
      <c r="M225" s="63" t="s">
        <v>330</v>
      </c>
      <c r="N225" s="47"/>
      <c r="O225" s="143"/>
      <c r="P225" s="45">
        <f t="shared" si="470"/>
        <v>195</v>
      </c>
      <c r="Q225" s="46">
        <v>1</v>
      </c>
      <c r="R225" s="41" t="s">
        <v>81</v>
      </c>
      <c r="S225" s="185" t="s">
        <v>204</v>
      </c>
      <c r="T225" s="43"/>
      <c r="U225" s="41" t="s">
        <v>80</v>
      </c>
      <c r="V225" s="44"/>
      <c r="W225" s="22">
        <v>3</v>
      </c>
      <c r="X225" s="47" t="s">
        <v>205</v>
      </c>
      <c r="Y225" s="47">
        <v>1</v>
      </c>
      <c r="Z225" s="47">
        <v>1</v>
      </c>
      <c r="AA225" s="42">
        <v>9</v>
      </c>
      <c r="AB225" s="42" t="s">
        <v>57</v>
      </c>
      <c r="AC225" s="166"/>
      <c r="AD225" s="160"/>
      <c r="AE225" s="162"/>
      <c r="AF225" s="203" t="str">
        <f t="shared" si="442"/>
        <v xml:space="preserve"> </v>
      </c>
      <c r="AG225" s="174" t="str">
        <f t="shared" si="424"/>
        <v>NG</v>
      </c>
      <c r="AH225" s="204"/>
      <c r="AI225" s="276" t="str">
        <f>IF(OR(AE$8="判定対象外",AH$8="判定対象外",AH225="-"),"-",IF(AE225=AH225,"OK","NG"))</f>
        <v>OK</v>
      </c>
      <c r="AJ225" s="160"/>
      <c r="AK225" s="162"/>
      <c r="AL225" s="203" t="str">
        <f t="shared" si="441"/>
        <v xml:space="preserve"> </v>
      </c>
      <c r="AM225" s="174" t="str">
        <f t="shared" si="468"/>
        <v>NG</v>
      </c>
      <c r="AN225" s="204"/>
      <c r="AO225" s="276" t="str">
        <f>IF(OR(AK$8="判定対象外",AN$8="判定対象外",AN225="-"),"-",IF(AK225=AN225,"OK","NG"))</f>
        <v>OK</v>
      </c>
      <c r="AP225" s="160"/>
      <c r="AQ225" s="162"/>
      <c r="AR225" s="203" t="str">
        <f t="shared" si="443"/>
        <v xml:space="preserve"> </v>
      </c>
      <c r="AS225" s="174" t="str">
        <f t="shared" si="425"/>
        <v>NG</v>
      </c>
      <c r="AT225" s="204"/>
      <c r="AU225" s="276" t="str">
        <f>IF(OR(AQ$8="判定対象外",AT$8="判定対象外",AT225="-"),"-",IF(AQ225=AT225,"OK","NG"))</f>
        <v>OK</v>
      </c>
      <c r="AV225" s="160"/>
      <c r="AW225" s="162"/>
      <c r="AX225" s="203" t="str">
        <f t="shared" si="444"/>
        <v xml:space="preserve"> </v>
      </c>
      <c r="AY225" s="174" t="str">
        <f t="shared" si="426"/>
        <v>NG</v>
      </c>
      <c r="AZ225" s="204"/>
      <c r="BA225" s="276" t="str">
        <f>IF(OR(AW$8="判定対象外",AZ$8="判定対象外",AZ225="-"),"-",IF(AW225=AZ225,"OK","NG"))</f>
        <v>OK</v>
      </c>
      <c r="BB225" s="160"/>
      <c r="BC225" s="162"/>
      <c r="BD225" s="203" t="str">
        <f t="shared" si="445"/>
        <v xml:space="preserve"> </v>
      </c>
      <c r="BE225" s="174" t="str">
        <f t="shared" si="427"/>
        <v>NG</v>
      </c>
      <c r="BF225" s="204"/>
      <c r="BG225" s="276" t="str">
        <f>IF(OR(BC$8="判定対象外",BF$8="判定対象外",BF225="-"),"-",IF(BC225=BF225,"OK","NG"))</f>
        <v>OK</v>
      </c>
      <c r="BH225" s="160"/>
      <c r="BI225" s="162"/>
      <c r="BJ225" s="203" t="str">
        <f t="shared" si="446"/>
        <v xml:space="preserve"> </v>
      </c>
      <c r="BK225" s="174" t="str">
        <f t="shared" si="428"/>
        <v>NG</v>
      </c>
      <c r="BL225" s="204"/>
      <c r="BM225" s="276" t="str">
        <f>IF(OR(BI$8="判定対象外",BL$8="判定対象外",BL225="-"),"-",IF(BI225=BL225,"OK","NG"))</f>
        <v>OK</v>
      </c>
      <c r="BN225" s="160"/>
      <c r="BO225" s="162"/>
      <c r="BP225" s="203" t="str">
        <f t="shared" si="447"/>
        <v xml:space="preserve"> </v>
      </c>
      <c r="BQ225" s="174" t="str">
        <f t="shared" si="429"/>
        <v>NG</v>
      </c>
      <c r="BR225" s="204"/>
      <c r="BS225" s="276" t="str">
        <f>IF(OR(BO$8="判定対象外",BR$8="判定対象外",BR225="-"),"-",IF(BO225=BR225,"OK","NG"))</f>
        <v>OK</v>
      </c>
      <c r="BT225" s="160"/>
      <c r="BU225" s="162"/>
      <c r="BV225" s="203" t="str">
        <f t="shared" si="448"/>
        <v xml:space="preserve"> </v>
      </c>
      <c r="BW225" s="174" t="str">
        <f t="shared" si="430"/>
        <v>NG</v>
      </c>
      <c r="BX225" s="204"/>
      <c r="BY225" s="276" t="str">
        <f>IF(OR(BU$8="判定対象外",BX$8="判定対象外",BX225="-"),"-",IF(BU225=BX225,"OK","NG"))</f>
        <v>OK</v>
      </c>
      <c r="BZ225" s="160"/>
      <c r="CA225" s="162"/>
      <c r="CB225" s="203" t="str">
        <f t="shared" si="449"/>
        <v xml:space="preserve"> </v>
      </c>
      <c r="CC225" s="174" t="str">
        <f t="shared" si="431"/>
        <v>NG</v>
      </c>
      <c r="CD225" s="204"/>
      <c r="CE225" s="276" t="str">
        <f>IF(OR(CA$8="判定対象外",CD$8="判定対象外",CD225="-"),"-",IF(CA225=CD225,"OK","NG"))</f>
        <v>OK</v>
      </c>
      <c r="CF225" s="160"/>
      <c r="CG225" s="162"/>
      <c r="CH225" s="203" t="str">
        <f t="shared" si="450"/>
        <v xml:space="preserve"> </v>
      </c>
      <c r="CI225" s="174" t="str">
        <f t="shared" si="432"/>
        <v>NG</v>
      </c>
      <c r="CJ225" s="204"/>
      <c r="CK225" s="276" t="str">
        <f>IF(OR(CG$8="判定対象外",CJ$8="判定対象外",CJ225="-"),"-",IF(CG225=CJ225,"OK","NG"))</f>
        <v>OK</v>
      </c>
      <c r="CL225" s="160"/>
      <c r="CM225" s="162"/>
      <c r="CN225" s="203" t="str">
        <f t="shared" si="451"/>
        <v xml:space="preserve"> </v>
      </c>
      <c r="CO225" s="174" t="str">
        <f t="shared" si="433"/>
        <v>NG</v>
      </c>
      <c r="CP225" s="204"/>
      <c r="CQ225" s="276" t="str">
        <f>IF(OR(CM$8="判定対象外",CP$8="判定対象外",CP225="-"),"-",IF(CM225=CP225,"OK","NG"))</f>
        <v>OK</v>
      </c>
      <c r="CR225" s="160"/>
      <c r="CS225" s="162"/>
      <c r="CT225" s="203" t="str">
        <f t="shared" si="452"/>
        <v xml:space="preserve"> </v>
      </c>
      <c r="CU225" s="174" t="str">
        <f t="shared" si="434"/>
        <v>NG</v>
      </c>
      <c r="CV225" s="204"/>
      <c r="CW225" s="276" t="str">
        <f>IF(OR(CS$8="判定対象外",CV$8="判定対象外",CV225="-"),"-",IF(CS225=CV225,"OK","NG"))</f>
        <v>OK</v>
      </c>
      <c r="CX225" s="160"/>
      <c r="CY225" s="162"/>
      <c r="CZ225" s="203" t="str">
        <f t="shared" si="453"/>
        <v xml:space="preserve"> </v>
      </c>
      <c r="DA225" s="174" t="str">
        <f t="shared" si="435"/>
        <v>NG</v>
      </c>
      <c r="DB225" s="204"/>
      <c r="DC225" s="276" t="str">
        <f>IF(OR(CY$8="判定対象外",DB$8="判定対象外",DB225="-"),"-",IF(CY225=DB225,"OK","NG"))</f>
        <v>OK</v>
      </c>
      <c r="DD225" s="160"/>
      <c r="DE225" s="162"/>
      <c r="DF225" s="203" t="str">
        <f t="shared" si="454"/>
        <v xml:space="preserve"> </v>
      </c>
      <c r="DG225" s="174" t="str">
        <f t="shared" si="436"/>
        <v>NG</v>
      </c>
      <c r="DH225" s="204"/>
      <c r="DI225" s="276" t="str">
        <f>IF(OR(DE$8="判定対象外",DH$8="判定対象外",DH225="-"),"-",IF(DE225=DH225,"OK","NG"))</f>
        <v>OK</v>
      </c>
      <c r="DJ225" s="160"/>
      <c r="DK225" s="162"/>
      <c r="DL225" s="203" t="str">
        <f t="shared" si="455"/>
        <v xml:space="preserve"> </v>
      </c>
      <c r="DM225" s="174" t="str">
        <f t="shared" si="437"/>
        <v>NG</v>
      </c>
      <c r="DN225" s="204"/>
      <c r="DO225" s="276" t="str">
        <f>IF(OR(DK$8="判定対象外",DN$8="判定対象外",DN225="-"),"-",IF(DK225=DN225,"OK","NG"))</f>
        <v>OK</v>
      </c>
      <c r="DP225" s="160"/>
      <c r="DQ225" s="162"/>
      <c r="DR225" s="203" t="str">
        <f t="shared" si="456"/>
        <v xml:space="preserve"> </v>
      </c>
      <c r="DS225" s="174" t="str">
        <f t="shared" si="413"/>
        <v>NG</v>
      </c>
      <c r="DT225" s="204"/>
      <c r="DU225" s="276" t="str">
        <f>IF(OR(DQ$8="判定対象外",DT$8="判定対象外",DT225="-"),"-",IF(DQ225=DT225,"OK","NG"))</f>
        <v>OK</v>
      </c>
      <c r="DV225" s="160"/>
      <c r="DW225" s="162"/>
      <c r="DX225" s="203" t="str">
        <f t="shared" si="457"/>
        <v xml:space="preserve"> </v>
      </c>
      <c r="DY225" s="174" t="str">
        <f t="shared" si="414"/>
        <v>NG</v>
      </c>
      <c r="DZ225" s="204"/>
      <c r="EA225" s="276" t="str">
        <f>IF(OR(DW$8="判定対象外",DZ$8="判定対象外",DZ225="-"),"-",IF(DW225=DZ225,"OK","NG"))</f>
        <v>OK</v>
      </c>
      <c r="EB225" s="160"/>
      <c r="EC225" s="162"/>
      <c r="ED225" s="203" t="str">
        <f t="shared" si="458"/>
        <v xml:space="preserve"> </v>
      </c>
      <c r="EE225" s="174" t="str">
        <f t="shared" si="415"/>
        <v>NG</v>
      </c>
      <c r="EF225" s="204"/>
      <c r="EG225" s="276" t="str">
        <f>IF(OR(EC$8="判定対象外",EF$8="判定対象外",EF225="-"),"-",IF(EC225=EF225,"OK","NG"))</f>
        <v>OK</v>
      </c>
      <c r="EH225" s="160"/>
      <c r="EI225" s="162"/>
      <c r="EJ225" s="203" t="str">
        <f t="shared" si="459"/>
        <v xml:space="preserve"> </v>
      </c>
      <c r="EK225" s="174" t="str">
        <f t="shared" si="416"/>
        <v>NG</v>
      </c>
      <c r="EL225" s="204"/>
      <c r="EM225" s="276" t="str">
        <f>IF(OR(EI$8="判定対象外",EL$8="判定対象外",EL225="-"),"-",IF(EI225=EL225,"OK","NG"))</f>
        <v>OK</v>
      </c>
      <c r="EN225" s="160"/>
      <c r="EO225" s="162"/>
      <c r="EP225" s="203" t="str">
        <f t="shared" si="460"/>
        <v xml:space="preserve"> </v>
      </c>
      <c r="EQ225" s="174" t="str">
        <f t="shared" si="417"/>
        <v>NG</v>
      </c>
      <c r="ER225" s="204"/>
      <c r="ES225" s="276" t="str">
        <f>IF(OR(EO$8="判定対象外",ER$8="判定対象外",ER225="-"),"-",IF(EO225=ER225,"OK","NG"))</f>
        <v>OK</v>
      </c>
      <c r="ET225" s="160"/>
      <c r="EU225" s="162"/>
      <c r="EV225" s="203" t="str">
        <f t="shared" si="461"/>
        <v xml:space="preserve"> </v>
      </c>
      <c r="EW225" s="174" t="str">
        <f t="shared" si="418"/>
        <v>NG</v>
      </c>
      <c r="EX225" s="204"/>
      <c r="EY225" s="276" t="str">
        <f>IF(OR(EU$8="判定対象外",EX$8="判定対象外",EX225="-"),"-",IF(EU225=EX225,"OK","NG"))</f>
        <v>OK</v>
      </c>
      <c r="EZ225" s="160"/>
      <c r="FA225" s="162"/>
      <c r="FB225" s="203" t="str">
        <f t="shared" si="462"/>
        <v xml:space="preserve"> </v>
      </c>
      <c r="FC225" s="174" t="str">
        <f t="shared" si="419"/>
        <v>NG</v>
      </c>
      <c r="FD225" s="204"/>
      <c r="FE225" s="276" t="str">
        <f>IF(OR(FA$8="判定対象外",FD$8="判定対象外",FD225="-"),"-",IF(FA225=FD225,"OK","NG"))</f>
        <v>OK</v>
      </c>
      <c r="FF225" s="160"/>
      <c r="FG225" s="162"/>
      <c r="FH225" s="203" t="str">
        <f t="shared" si="463"/>
        <v xml:space="preserve"> </v>
      </c>
      <c r="FI225" s="174" t="str">
        <f t="shared" si="420"/>
        <v>NG</v>
      </c>
      <c r="FJ225" s="204"/>
      <c r="FK225" s="276" t="str">
        <f>IF(OR(FG$8="判定対象外",FJ$8="判定対象外",FJ225="-"),"-",IF(FG225=FJ225,"OK","NG"))</f>
        <v>OK</v>
      </c>
      <c r="FL225" s="160"/>
      <c r="FM225" s="162"/>
      <c r="FN225" s="203" t="str">
        <f t="shared" si="464"/>
        <v xml:space="preserve"> </v>
      </c>
      <c r="FO225" s="174" t="str">
        <f t="shared" si="438"/>
        <v>NG</v>
      </c>
      <c r="FP225" s="204"/>
      <c r="FQ225" s="276" t="str">
        <f>IF(OR(FM$8="判定対象外",FP$8="判定対象外",FP225="-"),"-",IF(FM225=FP225,"OK","NG"))</f>
        <v>OK</v>
      </c>
      <c r="FR225" s="160"/>
      <c r="FS225" s="162"/>
      <c r="FT225" s="203" t="str">
        <f t="shared" si="465"/>
        <v xml:space="preserve"> </v>
      </c>
      <c r="FU225" s="174" t="str">
        <f t="shared" si="439"/>
        <v>NG</v>
      </c>
      <c r="FV225" s="204"/>
      <c r="FW225" s="276" t="str">
        <f>IF(OR(FS$8="判定対象外",FV$8="判定対象外",FV225="-"),"-",IF(FS225=FV225,"OK","NG"))</f>
        <v>OK</v>
      </c>
      <c r="FX225" s="160"/>
      <c r="FY225" s="162"/>
      <c r="FZ225" s="203" t="str">
        <f t="shared" si="466"/>
        <v xml:space="preserve"> </v>
      </c>
      <c r="GA225" s="174" t="str">
        <f t="shared" si="440"/>
        <v>NG</v>
      </c>
      <c r="GB225" s="204"/>
      <c r="GC225" s="276" t="str">
        <f>IF(OR(FY$8="判定対象外",GB$8="判定対象外",GB225="-"),"-",IF(FY225=GB225,"OK","NG"))</f>
        <v>OK</v>
      </c>
    </row>
    <row r="226" spans="2:185" s="52" customFormat="1" ht="114.75">
      <c r="B226" s="48">
        <f t="shared" si="467"/>
        <v>219</v>
      </c>
      <c r="C226" s="37"/>
      <c r="D226" s="37"/>
      <c r="E226" s="37"/>
      <c r="F226" s="49" t="s">
        <v>206</v>
      </c>
      <c r="G226" s="39"/>
      <c r="H226" s="40"/>
      <c r="I226" s="42"/>
      <c r="J226" s="42"/>
      <c r="K226" s="42"/>
      <c r="L226" s="42"/>
      <c r="M226" s="163" t="s">
        <v>331</v>
      </c>
      <c r="N226" s="47"/>
      <c r="O226" s="143"/>
      <c r="P226" s="45">
        <f t="shared" si="470"/>
        <v>196</v>
      </c>
      <c r="Q226" s="46">
        <v>1</v>
      </c>
      <c r="R226" s="41" t="s">
        <v>81</v>
      </c>
      <c r="S226" s="185" t="s">
        <v>207</v>
      </c>
      <c r="T226" s="43"/>
      <c r="U226" s="41" t="s">
        <v>80</v>
      </c>
      <c r="V226" s="44"/>
      <c r="W226" s="22">
        <v>3</v>
      </c>
      <c r="X226" s="47" t="s">
        <v>98</v>
      </c>
      <c r="Y226" s="47">
        <v>1</v>
      </c>
      <c r="Z226" s="47">
        <v>1</v>
      </c>
      <c r="AA226" s="42">
        <v>9</v>
      </c>
      <c r="AB226" s="42" t="s">
        <v>57</v>
      </c>
      <c r="AC226" s="215"/>
      <c r="AD226" s="160"/>
      <c r="AE226" s="162"/>
      <c r="AF226" s="203" t="str">
        <f t="shared" si="442"/>
        <v xml:space="preserve"> </v>
      </c>
      <c r="AG226" s="174" t="str">
        <f t="shared" si="424"/>
        <v>NG</v>
      </c>
      <c r="AH226" s="204"/>
      <c r="AI226" s="172" t="s">
        <v>71</v>
      </c>
      <c r="AJ226" s="160"/>
      <c r="AK226" s="162"/>
      <c r="AL226" s="203" t="str">
        <f t="shared" si="441"/>
        <v xml:space="preserve"> </v>
      </c>
      <c r="AM226" s="174" t="str">
        <f t="shared" si="468"/>
        <v>NG</v>
      </c>
      <c r="AN226" s="204"/>
      <c r="AO226" s="172" t="s">
        <v>71</v>
      </c>
      <c r="AP226" s="160"/>
      <c r="AQ226" s="162"/>
      <c r="AR226" s="203" t="str">
        <f t="shared" si="443"/>
        <v xml:space="preserve"> </v>
      </c>
      <c r="AS226" s="174" t="str">
        <f t="shared" si="425"/>
        <v>NG</v>
      </c>
      <c r="AT226" s="204"/>
      <c r="AU226" s="172" t="s">
        <v>71</v>
      </c>
      <c r="AV226" s="160"/>
      <c r="AW226" s="162"/>
      <c r="AX226" s="203" t="str">
        <f t="shared" si="444"/>
        <v xml:space="preserve"> </v>
      </c>
      <c r="AY226" s="174" t="str">
        <f t="shared" si="426"/>
        <v>NG</v>
      </c>
      <c r="AZ226" s="204"/>
      <c r="BA226" s="172" t="s">
        <v>71</v>
      </c>
      <c r="BB226" s="160"/>
      <c r="BC226" s="162"/>
      <c r="BD226" s="203" t="str">
        <f t="shared" si="445"/>
        <v xml:space="preserve"> </v>
      </c>
      <c r="BE226" s="174" t="str">
        <f t="shared" si="427"/>
        <v>NG</v>
      </c>
      <c r="BF226" s="204"/>
      <c r="BG226" s="172" t="s">
        <v>71</v>
      </c>
      <c r="BH226" s="160"/>
      <c r="BI226" s="162"/>
      <c r="BJ226" s="203" t="str">
        <f t="shared" si="446"/>
        <v xml:space="preserve"> </v>
      </c>
      <c r="BK226" s="174" t="str">
        <f t="shared" si="428"/>
        <v>NG</v>
      </c>
      <c r="BL226" s="204"/>
      <c r="BM226" s="172" t="s">
        <v>71</v>
      </c>
      <c r="BN226" s="160"/>
      <c r="BO226" s="162"/>
      <c r="BP226" s="203" t="str">
        <f t="shared" si="447"/>
        <v xml:space="preserve"> </v>
      </c>
      <c r="BQ226" s="174" t="str">
        <f t="shared" si="429"/>
        <v>NG</v>
      </c>
      <c r="BR226" s="204"/>
      <c r="BS226" s="172" t="s">
        <v>71</v>
      </c>
      <c r="BT226" s="160"/>
      <c r="BU226" s="162"/>
      <c r="BV226" s="203" t="str">
        <f t="shared" si="448"/>
        <v xml:space="preserve"> </v>
      </c>
      <c r="BW226" s="174" t="str">
        <f t="shared" si="430"/>
        <v>NG</v>
      </c>
      <c r="BX226" s="204"/>
      <c r="BY226" s="172" t="s">
        <v>71</v>
      </c>
      <c r="BZ226" s="160"/>
      <c r="CA226" s="162"/>
      <c r="CB226" s="203" t="str">
        <f t="shared" si="449"/>
        <v xml:space="preserve"> </v>
      </c>
      <c r="CC226" s="174" t="str">
        <f t="shared" si="431"/>
        <v>NG</v>
      </c>
      <c r="CD226" s="204"/>
      <c r="CE226" s="172" t="s">
        <v>71</v>
      </c>
      <c r="CF226" s="160"/>
      <c r="CG226" s="162"/>
      <c r="CH226" s="203" t="str">
        <f t="shared" si="450"/>
        <v xml:space="preserve"> </v>
      </c>
      <c r="CI226" s="174" t="str">
        <f t="shared" si="432"/>
        <v>NG</v>
      </c>
      <c r="CJ226" s="204"/>
      <c r="CK226" s="172" t="s">
        <v>71</v>
      </c>
      <c r="CL226" s="160"/>
      <c r="CM226" s="162"/>
      <c r="CN226" s="203" t="str">
        <f t="shared" si="451"/>
        <v xml:space="preserve"> </v>
      </c>
      <c r="CO226" s="174" t="str">
        <f t="shared" si="433"/>
        <v>NG</v>
      </c>
      <c r="CP226" s="204"/>
      <c r="CQ226" s="172" t="s">
        <v>71</v>
      </c>
      <c r="CR226" s="160"/>
      <c r="CS226" s="162"/>
      <c r="CT226" s="203" t="str">
        <f t="shared" si="452"/>
        <v xml:space="preserve"> </v>
      </c>
      <c r="CU226" s="174" t="str">
        <f t="shared" si="434"/>
        <v>NG</v>
      </c>
      <c r="CV226" s="204"/>
      <c r="CW226" s="172" t="s">
        <v>71</v>
      </c>
      <c r="CX226" s="160"/>
      <c r="CY226" s="162"/>
      <c r="CZ226" s="203" t="str">
        <f t="shared" si="453"/>
        <v xml:space="preserve"> </v>
      </c>
      <c r="DA226" s="174" t="str">
        <f t="shared" si="435"/>
        <v>NG</v>
      </c>
      <c r="DB226" s="204"/>
      <c r="DC226" s="172" t="s">
        <v>71</v>
      </c>
      <c r="DD226" s="160"/>
      <c r="DE226" s="162"/>
      <c r="DF226" s="203" t="str">
        <f t="shared" si="454"/>
        <v xml:space="preserve"> </v>
      </c>
      <c r="DG226" s="174" t="str">
        <f t="shared" si="436"/>
        <v>NG</v>
      </c>
      <c r="DH226" s="204"/>
      <c r="DI226" s="172" t="s">
        <v>71</v>
      </c>
      <c r="DJ226" s="160"/>
      <c r="DK226" s="162"/>
      <c r="DL226" s="203" t="str">
        <f t="shared" si="455"/>
        <v xml:space="preserve"> </v>
      </c>
      <c r="DM226" s="174" t="str">
        <f t="shared" si="437"/>
        <v>NG</v>
      </c>
      <c r="DN226" s="204"/>
      <c r="DO226" s="172" t="s">
        <v>71</v>
      </c>
      <c r="DP226" s="160"/>
      <c r="DQ226" s="162"/>
      <c r="DR226" s="203" t="str">
        <f t="shared" si="456"/>
        <v xml:space="preserve"> </v>
      </c>
      <c r="DS226" s="174" t="str">
        <f t="shared" si="413"/>
        <v>NG</v>
      </c>
      <c r="DT226" s="204"/>
      <c r="DU226" s="172" t="s">
        <v>71</v>
      </c>
      <c r="DV226" s="160"/>
      <c r="DW226" s="162"/>
      <c r="DX226" s="203" t="str">
        <f t="shared" si="457"/>
        <v xml:space="preserve"> </v>
      </c>
      <c r="DY226" s="174" t="str">
        <f t="shared" si="414"/>
        <v>NG</v>
      </c>
      <c r="DZ226" s="204"/>
      <c r="EA226" s="172" t="s">
        <v>71</v>
      </c>
      <c r="EB226" s="160"/>
      <c r="EC226" s="162"/>
      <c r="ED226" s="203" t="str">
        <f t="shared" si="458"/>
        <v xml:space="preserve"> </v>
      </c>
      <c r="EE226" s="174" t="str">
        <f t="shared" si="415"/>
        <v>NG</v>
      </c>
      <c r="EF226" s="204"/>
      <c r="EG226" s="172" t="s">
        <v>71</v>
      </c>
      <c r="EH226" s="160"/>
      <c r="EI226" s="162"/>
      <c r="EJ226" s="203" t="str">
        <f t="shared" si="459"/>
        <v xml:space="preserve"> </v>
      </c>
      <c r="EK226" s="174" t="str">
        <f t="shared" si="416"/>
        <v>NG</v>
      </c>
      <c r="EL226" s="204"/>
      <c r="EM226" s="172" t="s">
        <v>71</v>
      </c>
      <c r="EN226" s="160"/>
      <c r="EO226" s="162"/>
      <c r="EP226" s="203" t="str">
        <f t="shared" si="460"/>
        <v xml:space="preserve"> </v>
      </c>
      <c r="EQ226" s="174" t="str">
        <f t="shared" si="417"/>
        <v>NG</v>
      </c>
      <c r="ER226" s="204"/>
      <c r="ES226" s="172" t="s">
        <v>71</v>
      </c>
      <c r="ET226" s="160"/>
      <c r="EU226" s="162"/>
      <c r="EV226" s="203" t="str">
        <f t="shared" si="461"/>
        <v xml:space="preserve"> </v>
      </c>
      <c r="EW226" s="174" t="str">
        <f t="shared" si="418"/>
        <v>NG</v>
      </c>
      <c r="EX226" s="204"/>
      <c r="EY226" s="172" t="s">
        <v>71</v>
      </c>
      <c r="EZ226" s="160"/>
      <c r="FA226" s="162"/>
      <c r="FB226" s="203" t="str">
        <f t="shared" si="462"/>
        <v xml:space="preserve"> </v>
      </c>
      <c r="FC226" s="174" t="str">
        <f t="shared" si="419"/>
        <v>NG</v>
      </c>
      <c r="FD226" s="204"/>
      <c r="FE226" s="172" t="s">
        <v>71</v>
      </c>
      <c r="FF226" s="160"/>
      <c r="FG226" s="162"/>
      <c r="FH226" s="203" t="str">
        <f t="shared" si="463"/>
        <v xml:space="preserve"> </v>
      </c>
      <c r="FI226" s="174" t="str">
        <f t="shared" si="420"/>
        <v>NG</v>
      </c>
      <c r="FJ226" s="204"/>
      <c r="FK226" s="172" t="s">
        <v>71</v>
      </c>
      <c r="FL226" s="160"/>
      <c r="FM226" s="162"/>
      <c r="FN226" s="203" t="str">
        <f t="shared" si="464"/>
        <v xml:space="preserve"> </v>
      </c>
      <c r="FO226" s="174" t="str">
        <f t="shared" si="438"/>
        <v>NG</v>
      </c>
      <c r="FP226" s="204"/>
      <c r="FQ226" s="172" t="s">
        <v>71</v>
      </c>
      <c r="FR226" s="160"/>
      <c r="FS226" s="162"/>
      <c r="FT226" s="203" t="str">
        <f t="shared" si="465"/>
        <v xml:space="preserve"> </v>
      </c>
      <c r="FU226" s="174" t="str">
        <f t="shared" si="439"/>
        <v>NG</v>
      </c>
      <c r="FV226" s="204"/>
      <c r="FW226" s="172" t="s">
        <v>71</v>
      </c>
      <c r="FX226" s="160"/>
      <c r="FY226" s="162"/>
      <c r="FZ226" s="203" t="str">
        <f t="shared" si="466"/>
        <v xml:space="preserve"> </v>
      </c>
      <c r="GA226" s="174" t="str">
        <f t="shared" si="440"/>
        <v>NG</v>
      </c>
      <c r="GB226" s="204"/>
      <c r="GC226" s="172" t="s">
        <v>71</v>
      </c>
    </row>
    <row r="227" spans="2:185" s="52" customFormat="1" ht="126.75" customHeight="1">
      <c r="B227" s="216">
        <f t="shared" si="467"/>
        <v>220</v>
      </c>
      <c r="C227" s="37"/>
      <c r="D227" s="37"/>
      <c r="E227" s="37"/>
      <c r="F227" s="188" t="s">
        <v>332</v>
      </c>
      <c r="G227" s="39"/>
      <c r="H227" s="40"/>
      <c r="I227" s="42"/>
      <c r="J227" s="42"/>
      <c r="K227" s="42"/>
      <c r="L227" s="42"/>
      <c r="M227" s="63" t="s">
        <v>333</v>
      </c>
      <c r="N227" s="47"/>
      <c r="O227" s="143"/>
      <c r="P227" s="45">
        <f t="shared" si="470"/>
        <v>197</v>
      </c>
      <c r="Q227" s="46">
        <v>1</v>
      </c>
      <c r="R227" s="41" t="str">
        <f t="shared" ref="R227:R244" si="471">IF(AA227="M","NX",AA227)</f>
        <v>X</v>
      </c>
      <c r="S227" s="185" t="s">
        <v>208</v>
      </c>
      <c r="T227" s="43"/>
      <c r="U227" s="41" t="s">
        <v>80</v>
      </c>
      <c r="V227" s="44"/>
      <c r="W227" s="22">
        <v>3</v>
      </c>
      <c r="X227" s="47" t="s">
        <v>209</v>
      </c>
      <c r="Y227" s="47">
        <v>1</v>
      </c>
      <c r="Z227" s="47">
        <v>1</v>
      </c>
      <c r="AA227" s="42" t="s">
        <v>81</v>
      </c>
      <c r="AB227" s="42" t="s">
        <v>80</v>
      </c>
      <c r="AC227" s="166"/>
      <c r="AD227" s="160"/>
      <c r="AE227" s="162"/>
      <c r="AF227" s="203" t="str">
        <f t="shared" si="442"/>
        <v xml:space="preserve"> </v>
      </c>
      <c r="AG227" s="174" t="str">
        <f t="shared" si="424"/>
        <v>NG</v>
      </c>
      <c r="AH227" s="204"/>
      <c r="AI227" s="276" t="str">
        <f>IF(OR(AE$8="判定対象外",AH$8="判定対象外",AH227="-"),"-",IF(AE227=AH227,"OK","NG"))</f>
        <v>OK</v>
      </c>
      <c r="AJ227" s="160"/>
      <c r="AK227" s="162"/>
      <c r="AL227" s="203" t="str">
        <f t="shared" si="441"/>
        <v xml:space="preserve"> </v>
      </c>
      <c r="AM227" s="174" t="str">
        <f t="shared" si="468"/>
        <v>NG</v>
      </c>
      <c r="AN227" s="204"/>
      <c r="AO227" s="276" t="str">
        <f>IF(OR(AK$8="判定対象外",AN$8="判定対象外",AN227="-"),"-",IF(AK227=AN227,"OK","NG"))</f>
        <v>OK</v>
      </c>
      <c r="AP227" s="160"/>
      <c r="AQ227" s="162"/>
      <c r="AR227" s="203" t="str">
        <f t="shared" si="443"/>
        <v xml:space="preserve"> </v>
      </c>
      <c r="AS227" s="174" t="str">
        <f t="shared" si="425"/>
        <v>NG</v>
      </c>
      <c r="AT227" s="204"/>
      <c r="AU227" s="276" t="str">
        <f>IF(OR(AQ$8="判定対象外",AT$8="判定対象外",AT227="-"),"-",IF(AQ227=AT227,"OK","NG"))</f>
        <v>OK</v>
      </c>
      <c r="AV227" s="160"/>
      <c r="AW227" s="162"/>
      <c r="AX227" s="203" t="str">
        <f t="shared" si="444"/>
        <v xml:space="preserve"> </v>
      </c>
      <c r="AY227" s="174" t="str">
        <f t="shared" si="426"/>
        <v>NG</v>
      </c>
      <c r="AZ227" s="204"/>
      <c r="BA227" s="276" t="str">
        <f>IF(OR(AW$8="判定対象外",AZ$8="判定対象外",AZ227="-"),"-",IF(AW227=AZ227,"OK","NG"))</f>
        <v>OK</v>
      </c>
      <c r="BB227" s="160"/>
      <c r="BC227" s="162"/>
      <c r="BD227" s="203" t="str">
        <f t="shared" si="445"/>
        <v xml:space="preserve"> </v>
      </c>
      <c r="BE227" s="174" t="str">
        <f t="shared" si="427"/>
        <v>NG</v>
      </c>
      <c r="BF227" s="204"/>
      <c r="BG227" s="276" t="str">
        <f>IF(OR(BC$8="判定対象外",BF$8="判定対象外",BF227="-"),"-",IF(BC227=BF227,"OK","NG"))</f>
        <v>OK</v>
      </c>
      <c r="BH227" s="160"/>
      <c r="BI227" s="162"/>
      <c r="BJ227" s="203" t="str">
        <f t="shared" si="446"/>
        <v xml:space="preserve"> </v>
      </c>
      <c r="BK227" s="174" t="str">
        <f t="shared" si="428"/>
        <v>NG</v>
      </c>
      <c r="BL227" s="204"/>
      <c r="BM227" s="276" t="str">
        <f>IF(OR(BI$8="判定対象外",BL$8="判定対象外",BL227="-"),"-",IF(BI227=BL227,"OK","NG"))</f>
        <v>OK</v>
      </c>
      <c r="BN227" s="160"/>
      <c r="BO227" s="162"/>
      <c r="BP227" s="203" t="str">
        <f t="shared" si="447"/>
        <v xml:space="preserve"> </v>
      </c>
      <c r="BQ227" s="174" t="str">
        <f t="shared" si="429"/>
        <v>NG</v>
      </c>
      <c r="BR227" s="204"/>
      <c r="BS227" s="276" t="str">
        <f>IF(OR(BO$8="判定対象外",BR$8="判定対象外",BR227="-"),"-",IF(BO227=BR227,"OK","NG"))</f>
        <v>OK</v>
      </c>
      <c r="BT227" s="160"/>
      <c r="BU227" s="162"/>
      <c r="BV227" s="203" t="str">
        <f t="shared" si="448"/>
        <v xml:space="preserve"> </v>
      </c>
      <c r="BW227" s="174" t="str">
        <f t="shared" si="430"/>
        <v>NG</v>
      </c>
      <c r="BX227" s="204"/>
      <c r="BY227" s="276" t="str">
        <f>IF(OR(BU$8="判定対象外",BX$8="判定対象外",BX227="-"),"-",IF(BU227=BX227,"OK","NG"))</f>
        <v>OK</v>
      </c>
      <c r="BZ227" s="160"/>
      <c r="CA227" s="162"/>
      <c r="CB227" s="203" t="str">
        <f t="shared" si="449"/>
        <v xml:space="preserve"> </v>
      </c>
      <c r="CC227" s="174" t="str">
        <f t="shared" si="431"/>
        <v>NG</v>
      </c>
      <c r="CD227" s="204"/>
      <c r="CE227" s="276" t="str">
        <f>IF(OR(CA$8="判定対象外",CD$8="判定対象外",CD227="-"),"-",IF(CA227=CD227,"OK","NG"))</f>
        <v>OK</v>
      </c>
      <c r="CF227" s="160"/>
      <c r="CG227" s="162"/>
      <c r="CH227" s="203" t="str">
        <f t="shared" si="450"/>
        <v xml:space="preserve"> </v>
      </c>
      <c r="CI227" s="174" t="str">
        <f t="shared" si="432"/>
        <v>NG</v>
      </c>
      <c r="CJ227" s="204"/>
      <c r="CK227" s="276" t="str">
        <f>IF(OR(CG$8="判定対象外",CJ$8="判定対象外",CJ227="-"),"-",IF(CG227=CJ227,"OK","NG"))</f>
        <v>OK</v>
      </c>
      <c r="CL227" s="160"/>
      <c r="CM227" s="162"/>
      <c r="CN227" s="203" t="str">
        <f t="shared" si="451"/>
        <v xml:space="preserve"> </v>
      </c>
      <c r="CO227" s="174" t="str">
        <f t="shared" si="433"/>
        <v>NG</v>
      </c>
      <c r="CP227" s="204"/>
      <c r="CQ227" s="276" t="str">
        <f>IF(OR(CM$8="判定対象外",CP$8="判定対象外",CP227="-"),"-",IF(CM227=CP227,"OK","NG"))</f>
        <v>OK</v>
      </c>
      <c r="CR227" s="160"/>
      <c r="CS227" s="162"/>
      <c r="CT227" s="203" t="str">
        <f t="shared" si="452"/>
        <v xml:space="preserve"> </v>
      </c>
      <c r="CU227" s="174" t="str">
        <f t="shared" si="434"/>
        <v>NG</v>
      </c>
      <c r="CV227" s="204"/>
      <c r="CW227" s="276" t="str">
        <f>IF(OR(CS$8="判定対象外",CV$8="判定対象外",CV227="-"),"-",IF(CS227=CV227,"OK","NG"))</f>
        <v>OK</v>
      </c>
      <c r="CX227" s="160"/>
      <c r="CY227" s="162"/>
      <c r="CZ227" s="203" t="str">
        <f t="shared" si="453"/>
        <v xml:space="preserve"> </v>
      </c>
      <c r="DA227" s="174" t="str">
        <f t="shared" si="435"/>
        <v>NG</v>
      </c>
      <c r="DB227" s="204"/>
      <c r="DC227" s="276" t="str">
        <f>IF(OR(CY$8="判定対象外",DB$8="判定対象外",DB227="-"),"-",IF(CY227=DB227,"OK","NG"))</f>
        <v>OK</v>
      </c>
      <c r="DD227" s="160"/>
      <c r="DE227" s="162"/>
      <c r="DF227" s="203" t="str">
        <f t="shared" si="454"/>
        <v xml:space="preserve"> </v>
      </c>
      <c r="DG227" s="174" t="str">
        <f t="shared" si="436"/>
        <v>NG</v>
      </c>
      <c r="DH227" s="204"/>
      <c r="DI227" s="276" t="str">
        <f>IF(OR(DE$8="判定対象外",DH$8="判定対象外",DH227="-"),"-",IF(DE227=DH227,"OK","NG"))</f>
        <v>OK</v>
      </c>
      <c r="DJ227" s="160"/>
      <c r="DK227" s="162"/>
      <c r="DL227" s="203" t="str">
        <f t="shared" si="455"/>
        <v xml:space="preserve"> </v>
      </c>
      <c r="DM227" s="174" t="str">
        <f t="shared" si="437"/>
        <v>NG</v>
      </c>
      <c r="DN227" s="204"/>
      <c r="DO227" s="276" t="str">
        <f>IF(OR(DK$8="判定対象外",DN$8="判定対象外",DN227="-"),"-",IF(DK227=DN227,"OK","NG"))</f>
        <v>OK</v>
      </c>
      <c r="DP227" s="160"/>
      <c r="DQ227" s="162"/>
      <c r="DR227" s="203" t="str">
        <f t="shared" si="456"/>
        <v xml:space="preserve"> </v>
      </c>
      <c r="DS227" s="174" t="str">
        <f t="shared" si="413"/>
        <v>NG</v>
      </c>
      <c r="DT227" s="204"/>
      <c r="DU227" s="276" t="str">
        <f>IF(OR(DQ$8="判定対象外",DT$8="判定対象外",DT227="-"),"-",IF(DQ227=DT227,"OK","NG"))</f>
        <v>OK</v>
      </c>
      <c r="DV227" s="160"/>
      <c r="DW227" s="162"/>
      <c r="DX227" s="203" t="str">
        <f t="shared" si="457"/>
        <v xml:space="preserve"> </v>
      </c>
      <c r="DY227" s="174" t="str">
        <f t="shared" si="414"/>
        <v>NG</v>
      </c>
      <c r="DZ227" s="204"/>
      <c r="EA227" s="276" t="str">
        <f>IF(OR(DW$8="判定対象外",DZ$8="判定対象外",DZ227="-"),"-",IF(DW227=DZ227,"OK","NG"))</f>
        <v>OK</v>
      </c>
      <c r="EB227" s="160"/>
      <c r="EC227" s="162"/>
      <c r="ED227" s="203" t="str">
        <f t="shared" si="458"/>
        <v xml:space="preserve"> </v>
      </c>
      <c r="EE227" s="174" t="str">
        <f t="shared" si="415"/>
        <v>NG</v>
      </c>
      <c r="EF227" s="204"/>
      <c r="EG227" s="276" t="str">
        <f>IF(OR(EC$8="判定対象外",EF$8="判定対象外",EF227="-"),"-",IF(EC227=EF227,"OK","NG"))</f>
        <v>OK</v>
      </c>
      <c r="EH227" s="160"/>
      <c r="EI227" s="162"/>
      <c r="EJ227" s="203" t="str">
        <f t="shared" si="459"/>
        <v xml:space="preserve"> </v>
      </c>
      <c r="EK227" s="174" t="str">
        <f t="shared" si="416"/>
        <v>NG</v>
      </c>
      <c r="EL227" s="204"/>
      <c r="EM227" s="276" t="str">
        <f>IF(OR(EI$8="判定対象外",EL$8="判定対象外",EL227="-"),"-",IF(EI227=EL227,"OK","NG"))</f>
        <v>OK</v>
      </c>
      <c r="EN227" s="160"/>
      <c r="EO227" s="162"/>
      <c r="EP227" s="203" t="str">
        <f t="shared" si="460"/>
        <v xml:space="preserve"> </v>
      </c>
      <c r="EQ227" s="174" t="str">
        <f t="shared" si="417"/>
        <v>NG</v>
      </c>
      <c r="ER227" s="204"/>
      <c r="ES227" s="276" t="str">
        <f>IF(OR(EO$8="判定対象外",ER$8="判定対象外",ER227="-"),"-",IF(EO227=ER227,"OK","NG"))</f>
        <v>OK</v>
      </c>
      <c r="ET227" s="160"/>
      <c r="EU227" s="162"/>
      <c r="EV227" s="203" t="str">
        <f t="shared" si="461"/>
        <v xml:space="preserve"> </v>
      </c>
      <c r="EW227" s="174" t="str">
        <f t="shared" si="418"/>
        <v>NG</v>
      </c>
      <c r="EX227" s="204"/>
      <c r="EY227" s="276" t="str">
        <f>IF(OR(EU$8="判定対象外",EX$8="判定対象外",EX227="-"),"-",IF(EU227=EX227,"OK","NG"))</f>
        <v>OK</v>
      </c>
      <c r="EZ227" s="160"/>
      <c r="FA227" s="162"/>
      <c r="FB227" s="203" t="str">
        <f t="shared" si="462"/>
        <v xml:space="preserve"> </v>
      </c>
      <c r="FC227" s="174" t="str">
        <f t="shared" si="419"/>
        <v>NG</v>
      </c>
      <c r="FD227" s="204"/>
      <c r="FE227" s="276" t="str">
        <f>IF(OR(FA$8="判定対象外",FD$8="判定対象外",FD227="-"),"-",IF(FA227=FD227,"OK","NG"))</f>
        <v>OK</v>
      </c>
      <c r="FF227" s="160"/>
      <c r="FG227" s="162"/>
      <c r="FH227" s="203" t="str">
        <f t="shared" si="463"/>
        <v xml:space="preserve"> </v>
      </c>
      <c r="FI227" s="174" t="str">
        <f t="shared" si="420"/>
        <v>NG</v>
      </c>
      <c r="FJ227" s="204"/>
      <c r="FK227" s="276" t="str">
        <f>IF(OR(FG$8="判定対象外",FJ$8="判定対象外",FJ227="-"),"-",IF(FG227=FJ227,"OK","NG"))</f>
        <v>OK</v>
      </c>
      <c r="FL227" s="160"/>
      <c r="FM227" s="162"/>
      <c r="FN227" s="203" t="str">
        <f t="shared" si="464"/>
        <v xml:space="preserve"> </v>
      </c>
      <c r="FO227" s="174" t="str">
        <f t="shared" si="438"/>
        <v>NG</v>
      </c>
      <c r="FP227" s="204"/>
      <c r="FQ227" s="276" t="str">
        <f>IF(OR(FM$8="判定対象外",FP$8="判定対象外",FP227="-"),"-",IF(FM227=FP227,"OK","NG"))</f>
        <v>OK</v>
      </c>
      <c r="FR227" s="160"/>
      <c r="FS227" s="162"/>
      <c r="FT227" s="203" t="str">
        <f t="shared" si="465"/>
        <v xml:space="preserve"> </v>
      </c>
      <c r="FU227" s="174" t="str">
        <f t="shared" si="439"/>
        <v>NG</v>
      </c>
      <c r="FV227" s="204"/>
      <c r="FW227" s="276" t="str">
        <f>IF(OR(FS$8="判定対象外",FV$8="判定対象外",FV227="-"),"-",IF(FS227=FV227,"OK","NG"))</f>
        <v>OK</v>
      </c>
      <c r="FX227" s="160"/>
      <c r="FY227" s="162"/>
      <c r="FZ227" s="203" t="str">
        <f t="shared" si="466"/>
        <v xml:space="preserve"> </v>
      </c>
      <c r="GA227" s="174" t="str">
        <f t="shared" si="440"/>
        <v>NG</v>
      </c>
      <c r="GB227" s="204"/>
      <c r="GC227" s="276" t="str">
        <f>IF(OR(FY$8="判定対象外",GB$8="判定対象外",GB227="-"),"-",IF(FY227=GB227,"OK","NG"))</f>
        <v>OK</v>
      </c>
    </row>
    <row r="228" spans="2:185" s="52" customFormat="1">
      <c r="B228" s="216">
        <f t="shared" si="467"/>
        <v>221</v>
      </c>
      <c r="C228" s="37"/>
      <c r="D228" s="37"/>
      <c r="E228" s="37"/>
      <c r="F228" s="49" t="s">
        <v>210</v>
      </c>
      <c r="G228" s="39"/>
      <c r="H228" s="40"/>
      <c r="I228" s="42"/>
      <c r="J228" s="42"/>
      <c r="K228" s="42"/>
      <c r="L228" s="42"/>
      <c r="M228" s="163" t="s">
        <v>334</v>
      </c>
      <c r="N228" s="47"/>
      <c r="O228" s="143"/>
      <c r="P228" s="45">
        <f t="shared" si="470"/>
        <v>198</v>
      </c>
      <c r="Q228" s="46">
        <v>400</v>
      </c>
      <c r="R228" s="41" t="str">
        <f t="shared" si="471"/>
        <v>NX</v>
      </c>
      <c r="S228" s="185" t="s">
        <v>211</v>
      </c>
      <c r="T228" s="43"/>
      <c r="U228" s="41" t="s">
        <v>80</v>
      </c>
      <c r="V228" s="44"/>
      <c r="W228" s="22">
        <v>3</v>
      </c>
      <c r="X228" s="47" t="s">
        <v>212</v>
      </c>
      <c r="Y228" s="47">
        <v>1</v>
      </c>
      <c r="Z228" s="47">
        <v>400</v>
      </c>
      <c r="AA228" s="42" t="s">
        <v>195</v>
      </c>
      <c r="AB228" s="42" t="s">
        <v>80</v>
      </c>
      <c r="AC228" s="166"/>
      <c r="AD228" s="160"/>
      <c r="AE228" s="162"/>
      <c r="AF228" s="175" t="str">
        <f t="shared" si="442"/>
        <v xml:space="preserve">                                                                                                                                                                                                                                                                                                                                                                                                                </v>
      </c>
      <c r="AG228" s="174" t="str">
        <f t="shared" si="424"/>
        <v>NG</v>
      </c>
      <c r="AH228" s="204"/>
      <c r="AI228" s="276" t="str">
        <f>IF(OR(AE$8="判定対象外",AH$8="判定対象外",AH228="-"),"-",IF(AE228=AH228,"OK","NG"))</f>
        <v>OK</v>
      </c>
      <c r="AJ228" s="160"/>
      <c r="AK228" s="162"/>
      <c r="AL228" s="175" t="str">
        <f t="shared" si="441"/>
        <v xml:space="preserve">                                                                                                                                                                                                                                                                                                                                                                                                                </v>
      </c>
      <c r="AM228" s="174" t="str">
        <f t="shared" si="468"/>
        <v>NG</v>
      </c>
      <c r="AN228" s="204"/>
      <c r="AO228" s="276" t="str">
        <f>IF(OR(AK$8="判定対象外",AN$8="判定対象外",AN228="-"),"-",IF(AK228=AN228,"OK","NG"))</f>
        <v>OK</v>
      </c>
      <c r="AP228" s="160"/>
      <c r="AQ228" s="162"/>
      <c r="AR228" s="175" t="str">
        <f t="shared" si="443"/>
        <v xml:space="preserve">                                                                                                                                                                                                                                                                                                                                                                                                                </v>
      </c>
      <c r="AS228" s="174" t="str">
        <f t="shared" si="425"/>
        <v>NG</v>
      </c>
      <c r="AT228" s="204"/>
      <c r="AU228" s="276" t="str">
        <f>IF(OR(AQ$8="判定対象外",AT$8="判定対象外",AT228="-"),"-",IF(AQ228=AT228,"OK","NG"))</f>
        <v>OK</v>
      </c>
      <c r="AV228" s="160"/>
      <c r="AW228" s="162"/>
      <c r="AX228" s="175" t="str">
        <f t="shared" si="444"/>
        <v xml:space="preserve">                                                                                                                                                                                                                                                                                                                                                                                                                </v>
      </c>
      <c r="AY228" s="174" t="str">
        <f t="shared" si="426"/>
        <v>NG</v>
      </c>
      <c r="AZ228" s="204"/>
      <c r="BA228" s="276" t="str">
        <f>IF(OR(AW$8="判定対象外",AZ$8="判定対象外",AZ228="-"),"-",IF(AW228=AZ228,"OK","NG"))</f>
        <v>OK</v>
      </c>
      <c r="BB228" s="160"/>
      <c r="BC228" s="162"/>
      <c r="BD228" s="175" t="str">
        <f t="shared" si="445"/>
        <v xml:space="preserve">                                                                                                                                                                                                                                                                                                                                                                                                                </v>
      </c>
      <c r="BE228" s="174" t="str">
        <f t="shared" si="427"/>
        <v>NG</v>
      </c>
      <c r="BF228" s="204"/>
      <c r="BG228" s="276" t="str">
        <f>IF(OR(BC$8="判定対象外",BF$8="判定対象外",BF228="-"),"-",IF(BC228=BF228,"OK","NG"))</f>
        <v>OK</v>
      </c>
      <c r="BH228" s="160"/>
      <c r="BI228" s="162"/>
      <c r="BJ228" s="175" t="str">
        <f t="shared" si="446"/>
        <v xml:space="preserve">                                                                                                                                                                                                                                                                                                                                                                                                                </v>
      </c>
      <c r="BK228" s="174" t="str">
        <f t="shared" si="428"/>
        <v>NG</v>
      </c>
      <c r="BL228" s="204"/>
      <c r="BM228" s="276" t="str">
        <f>IF(OR(BI$8="判定対象外",BL$8="判定対象外",BL228="-"),"-",IF(BI228=BL228,"OK","NG"))</f>
        <v>OK</v>
      </c>
      <c r="BN228" s="160"/>
      <c r="BO228" s="162"/>
      <c r="BP228" s="175" t="str">
        <f t="shared" si="447"/>
        <v xml:space="preserve">                                                                                                                                                                                                                                                                                                                                                                                                                </v>
      </c>
      <c r="BQ228" s="174" t="str">
        <f t="shared" si="429"/>
        <v>NG</v>
      </c>
      <c r="BR228" s="204"/>
      <c r="BS228" s="276" t="str">
        <f>IF(OR(BO$8="判定対象外",BR$8="判定対象外",BR228="-"),"-",IF(BO228=BR228,"OK","NG"))</f>
        <v>OK</v>
      </c>
      <c r="BT228" s="160"/>
      <c r="BU228" s="162"/>
      <c r="BV228" s="175" t="str">
        <f t="shared" si="448"/>
        <v xml:space="preserve">                                                                                                                                                                                                                                                                                                                                                                                                                </v>
      </c>
      <c r="BW228" s="174" t="str">
        <f t="shared" si="430"/>
        <v>NG</v>
      </c>
      <c r="BX228" s="204"/>
      <c r="BY228" s="276" t="str">
        <f>IF(OR(BU$8="判定対象外",BX$8="判定対象外",BX228="-"),"-",IF(BU228=BX228,"OK","NG"))</f>
        <v>OK</v>
      </c>
      <c r="BZ228" s="160"/>
      <c r="CA228" s="162"/>
      <c r="CB228" s="175" t="str">
        <f t="shared" si="449"/>
        <v xml:space="preserve">                                                                                                                                                                                                                                                                                                                                                                                                                </v>
      </c>
      <c r="CC228" s="174" t="str">
        <f t="shared" si="431"/>
        <v>NG</v>
      </c>
      <c r="CD228" s="204"/>
      <c r="CE228" s="276" t="str">
        <f>IF(OR(CA$8="判定対象外",CD$8="判定対象外",CD228="-"),"-",IF(CA228=CD228,"OK","NG"))</f>
        <v>OK</v>
      </c>
      <c r="CF228" s="160"/>
      <c r="CG228" s="162"/>
      <c r="CH228" s="175" t="str">
        <f t="shared" si="450"/>
        <v xml:space="preserve">                                                                                                                                                                                                                                                                                                                                                                                                                </v>
      </c>
      <c r="CI228" s="174" t="str">
        <f t="shared" si="432"/>
        <v>NG</v>
      </c>
      <c r="CJ228" s="204"/>
      <c r="CK228" s="276" t="str">
        <f>IF(OR(CG$8="判定対象外",CJ$8="判定対象外",CJ228="-"),"-",IF(CG228=CJ228,"OK","NG"))</f>
        <v>OK</v>
      </c>
      <c r="CL228" s="160"/>
      <c r="CM228" s="162"/>
      <c r="CN228" s="175" t="str">
        <f t="shared" si="451"/>
        <v xml:space="preserve">                                                                                                                                                                                                                                                                                                                                                                                                                </v>
      </c>
      <c r="CO228" s="174" t="str">
        <f t="shared" si="433"/>
        <v>NG</v>
      </c>
      <c r="CP228" s="204"/>
      <c r="CQ228" s="276" t="str">
        <f>IF(OR(CM$8="判定対象外",CP$8="判定対象外",CP228="-"),"-",IF(CM228=CP228,"OK","NG"))</f>
        <v>OK</v>
      </c>
      <c r="CR228" s="160"/>
      <c r="CS228" s="162"/>
      <c r="CT228" s="175" t="str">
        <f t="shared" si="452"/>
        <v xml:space="preserve">                                                                                                                                                                                                                                                                                                                                                                                                                </v>
      </c>
      <c r="CU228" s="174" t="str">
        <f t="shared" si="434"/>
        <v>NG</v>
      </c>
      <c r="CV228" s="204"/>
      <c r="CW228" s="276" t="str">
        <f>IF(OR(CS$8="判定対象外",CV$8="判定対象外",CV228="-"),"-",IF(CS228=CV228,"OK","NG"))</f>
        <v>OK</v>
      </c>
      <c r="CX228" s="160"/>
      <c r="CY228" s="162"/>
      <c r="CZ228" s="175" t="str">
        <f t="shared" si="453"/>
        <v xml:space="preserve">                                                                                                                                                                                                                                                                                                                                                                                                                </v>
      </c>
      <c r="DA228" s="174" t="str">
        <f t="shared" si="435"/>
        <v>NG</v>
      </c>
      <c r="DB228" s="204"/>
      <c r="DC228" s="276" t="str">
        <f>IF(OR(CY$8="判定対象外",DB$8="判定対象外",DB228="-"),"-",IF(CY228=DB228,"OK","NG"))</f>
        <v>OK</v>
      </c>
      <c r="DD228" s="160"/>
      <c r="DE228" s="162"/>
      <c r="DF228" s="175" t="str">
        <f t="shared" si="454"/>
        <v xml:space="preserve">                                                                                                                                                                                                                                                                                                                                                                                                                </v>
      </c>
      <c r="DG228" s="174" t="str">
        <f t="shared" si="436"/>
        <v>NG</v>
      </c>
      <c r="DH228" s="204"/>
      <c r="DI228" s="276" t="str">
        <f>IF(OR(DE$8="判定対象外",DH$8="判定対象外",DH228="-"),"-",IF(DE228=DH228,"OK","NG"))</f>
        <v>OK</v>
      </c>
      <c r="DJ228" s="160"/>
      <c r="DK228" s="162"/>
      <c r="DL228" s="175" t="str">
        <f t="shared" si="455"/>
        <v xml:space="preserve">                                                                                                                                                                                                                                                                                                                                                                                                                </v>
      </c>
      <c r="DM228" s="174" t="str">
        <f t="shared" si="437"/>
        <v>NG</v>
      </c>
      <c r="DN228" s="204"/>
      <c r="DO228" s="276" t="str">
        <f>IF(OR(DK$8="判定対象外",DN$8="判定対象外",DN228="-"),"-",IF(DK228=DN228,"OK","NG"))</f>
        <v>OK</v>
      </c>
      <c r="DP228" s="160"/>
      <c r="DQ228" s="162"/>
      <c r="DR228" s="175" t="str">
        <f t="shared" si="456"/>
        <v xml:space="preserve">                                                                                                                                                                                                                                                                                                                                                                                                                </v>
      </c>
      <c r="DS228" s="174" t="str">
        <f t="shared" si="413"/>
        <v>NG</v>
      </c>
      <c r="DT228" s="204"/>
      <c r="DU228" s="276" t="str">
        <f>IF(OR(DQ$8="判定対象外",DT$8="判定対象外",DT228="-"),"-",IF(DQ228=DT228,"OK","NG"))</f>
        <v>OK</v>
      </c>
      <c r="DV228" s="160"/>
      <c r="DW228" s="162"/>
      <c r="DX228" s="175" t="str">
        <f t="shared" si="457"/>
        <v xml:space="preserve">                                                                                                                                                                                                                                                                                                                                                                                                                </v>
      </c>
      <c r="DY228" s="174" t="str">
        <f t="shared" si="414"/>
        <v>NG</v>
      </c>
      <c r="DZ228" s="204"/>
      <c r="EA228" s="276" t="str">
        <f>IF(OR(DW$8="判定対象外",DZ$8="判定対象外",DZ228="-"),"-",IF(DW228=DZ228,"OK","NG"))</f>
        <v>OK</v>
      </c>
      <c r="EB228" s="160"/>
      <c r="EC228" s="162"/>
      <c r="ED228" s="175" t="str">
        <f t="shared" si="458"/>
        <v xml:space="preserve">                                                                                                                                                                                                                                                                                                                                                                                                                </v>
      </c>
      <c r="EE228" s="174" t="str">
        <f t="shared" si="415"/>
        <v>NG</v>
      </c>
      <c r="EF228" s="204"/>
      <c r="EG228" s="276" t="str">
        <f>IF(OR(EC$8="判定対象外",EF$8="判定対象外",EF228="-"),"-",IF(EC228=EF228,"OK","NG"))</f>
        <v>OK</v>
      </c>
      <c r="EH228" s="160"/>
      <c r="EI228" s="162"/>
      <c r="EJ228" s="175" t="str">
        <f t="shared" si="459"/>
        <v xml:space="preserve">                                                                                                                                                                                                                                                                                                                                                                                                                </v>
      </c>
      <c r="EK228" s="174" t="str">
        <f t="shared" si="416"/>
        <v>NG</v>
      </c>
      <c r="EL228" s="204"/>
      <c r="EM228" s="276" t="str">
        <f>IF(OR(EI$8="判定対象外",EL$8="判定対象外",EL228="-"),"-",IF(EI228=EL228,"OK","NG"))</f>
        <v>OK</v>
      </c>
      <c r="EN228" s="160"/>
      <c r="EO228" s="162"/>
      <c r="EP228" s="175" t="str">
        <f t="shared" si="460"/>
        <v xml:space="preserve">                                                                                                                                                                                                                                                                                                                                                                                                                </v>
      </c>
      <c r="EQ228" s="174" t="str">
        <f t="shared" si="417"/>
        <v>NG</v>
      </c>
      <c r="ER228" s="204"/>
      <c r="ES228" s="276" t="str">
        <f>IF(OR(EO$8="判定対象外",ER$8="判定対象外",ER228="-"),"-",IF(EO228=ER228,"OK","NG"))</f>
        <v>OK</v>
      </c>
      <c r="ET228" s="160"/>
      <c r="EU228" s="162"/>
      <c r="EV228" s="175" t="str">
        <f t="shared" si="461"/>
        <v xml:space="preserve">                                                                                                                                                                                                                                                                                                                                                                                                                </v>
      </c>
      <c r="EW228" s="174" t="str">
        <f t="shared" si="418"/>
        <v>NG</v>
      </c>
      <c r="EX228" s="204"/>
      <c r="EY228" s="276" t="str">
        <f>IF(OR(EU$8="判定対象外",EX$8="判定対象外",EX228="-"),"-",IF(EU228=EX228,"OK","NG"))</f>
        <v>OK</v>
      </c>
      <c r="EZ228" s="160"/>
      <c r="FA228" s="162"/>
      <c r="FB228" s="175" t="str">
        <f t="shared" si="462"/>
        <v xml:space="preserve">                                                                                                                                                                                                                                                                                                                                                                                                                </v>
      </c>
      <c r="FC228" s="174" t="str">
        <f t="shared" si="419"/>
        <v>NG</v>
      </c>
      <c r="FD228" s="204"/>
      <c r="FE228" s="276" t="str">
        <f>IF(OR(FA$8="判定対象外",FD$8="判定対象外",FD228="-"),"-",IF(FA228=FD228,"OK","NG"))</f>
        <v>OK</v>
      </c>
      <c r="FF228" s="160"/>
      <c r="FG228" s="162"/>
      <c r="FH228" s="175" t="str">
        <f t="shared" si="463"/>
        <v xml:space="preserve">                                                                                                                                                                                                                                                                                                                                                                                                                </v>
      </c>
      <c r="FI228" s="174" t="str">
        <f t="shared" si="420"/>
        <v>NG</v>
      </c>
      <c r="FJ228" s="204"/>
      <c r="FK228" s="276" t="str">
        <f>IF(OR(FG$8="判定対象外",FJ$8="判定対象外",FJ228="-"),"-",IF(FG228=FJ228,"OK","NG"))</f>
        <v>OK</v>
      </c>
      <c r="FL228" s="160"/>
      <c r="FM228" s="162"/>
      <c r="FN228" s="175" t="str">
        <f t="shared" si="464"/>
        <v xml:space="preserve">                                                                                                                                                                                                                                                                                                                                                                                                                </v>
      </c>
      <c r="FO228" s="174" t="str">
        <f t="shared" si="438"/>
        <v>NG</v>
      </c>
      <c r="FP228" s="204"/>
      <c r="FQ228" s="276" t="str">
        <f>IF(OR(FM$8="判定対象外",FP$8="判定対象外",FP228="-"),"-",IF(FM228=FP228,"OK","NG"))</f>
        <v>OK</v>
      </c>
      <c r="FR228" s="160"/>
      <c r="FS228" s="162"/>
      <c r="FT228" s="175" t="str">
        <f t="shared" si="465"/>
        <v xml:space="preserve">                                                                                                                                                                                                                                                                                                                                                                                                                </v>
      </c>
      <c r="FU228" s="174" t="str">
        <f t="shared" si="439"/>
        <v>NG</v>
      </c>
      <c r="FV228" s="204"/>
      <c r="FW228" s="276" t="str">
        <f>IF(OR(FS$8="判定対象外",FV$8="判定対象外",FV228="-"),"-",IF(FS228=FV228,"OK","NG"))</f>
        <v>OK</v>
      </c>
      <c r="FX228" s="160"/>
      <c r="FY228" s="162"/>
      <c r="FZ228" s="175" t="str">
        <f t="shared" si="466"/>
        <v xml:space="preserve">                                                                                                                                                                                                                                                                                                                                                                                                                </v>
      </c>
      <c r="GA228" s="174" t="str">
        <f t="shared" si="440"/>
        <v>NG</v>
      </c>
      <c r="GB228" s="204"/>
      <c r="GC228" s="276" t="str">
        <f>IF(OR(FY$8="判定対象外",GB$8="判定対象外",GB228="-"),"-",IF(FY228=GB228,"OK","NG"))</f>
        <v>OK</v>
      </c>
    </row>
    <row r="229" spans="2:185" s="52" customFormat="1" ht="63.75">
      <c r="B229" s="216">
        <f t="shared" si="467"/>
        <v>222</v>
      </c>
      <c r="C229" s="37"/>
      <c r="D229" s="37"/>
      <c r="E229" s="37"/>
      <c r="F229" s="49" t="s">
        <v>213</v>
      </c>
      <c r="G229" s="39"/>
      <c r="H229" s="40"/>
      <c r="I229" s="42"/>
      <c r="J229" s="42"/>
      <c r="K229" s="42"/>
      <c r="L229" s="42"/>
      <c r="M229" s="163" t="s">
        <v>335</v>
      </c>
      <c r="N229" s="47"/>
      <c r="O229" s="143"/>
      <c r="P229" s="45">
        <f t="shared" si="470"/>
        <v>199</v>
      </c>
      <c r="Q229" s="46">
        <v>400</v>
      </c>
      <c r="R229" s="41" t="str">
        <f t="shared" si="471"/>
        <v>NX</v>
      </c>
      <c r="S229" s="185" t="s">
        <v>214</v>
      </c>
      <c r="T229" s="43"/>
      <c r="U229" s="41" t="s">
        <v>80</v>
      </c>
      <c r="V229" s="44"/>
      <c r="W229" s="22">
        <v>3</v>
      </c>
      <c r="X229" s="47" t="s">
        <v>215</v>
      </c>
      <c r="Y229" s="47">
        <v>1</v>
      </c>
      <c r="Z229" s="47">
        <v>400</v>
      </c>
      <c r="AA229" s="42" t="s">
        <v>195</v>
      </c>
      <c r="AB229" s="42" t="s">
        <v>80</v>
      </c>
      <c r="AC229" s="166"/>
      <c r="AD229" s="160"/>
      <c r="AE229" s="162"/>
      <c r="AF229" s="146" t="str">
        <f t="shared" si="442"/>
        <v xml:space="preserve">                                                                                                                                                                                                                                                                                                                                                                                                                </v>
      </c>
      <c r="AG229" s="174" t="str">
        <f t="shared" si="424"/>
        <v>NG</v>
      </c>
      <c r="AH229" s="204"/>
      <c r="AI229" s="172" t="s">
        <v>71</v>
      </c>
      <c r="AJ229" s="160"/>
      <c r="AK229" s="162"/>
      <c r="AL229" s="146" t="str">
        <f t="shared" si="441"/>
        <v xml:space="preserve">                                                                                                                                                                                                                                                                                                                                                                                                                </v>
      </c>
      <c r="AM229" s="174" t="str">
        <f t="shared" si="468"/>
        <v>NG</v>
      </c>
      <c r="AN229" s="204"/>
      <c r="AO229" s="172" t="s">
        <v>71</v>
      </c>
      <c r="AP229" s="160"/>
      <c r="AQ229" s="162"/>
      <c r="AR229" s="146" t="str">
        <f t="shared" si="443"/>
        <v xml:space="preserve">                                                                                                                                                                                                                                                                                                                                                                                                                </v>
      </c>
      <c r="AS229" s="174" t="str">
        <f t="shared" si="425"/>
        <v>NG</v>
      </c>
      <c r="AT229" s="204"/>
      <c r="AU229" s="172" t="s">
        <v>71</v>
      </c>
      <c r="AV229" s="160"/>
      <c r="AW229" s="162"/>
      <c r="AX229" s="146" t="str">
        <f t="shared" si="444"/>
        <v xml:space="preserve">                                                                                                                                                                                                                                                                                                                                                                                                                </v>
      </c>
      <c r="AY229" s="174" t="str">
        <f t="shared" si="426"/>
        <v>NG</v>
      </c>
      <c r="AZ229" s="204"/>
      <c r="BA229" s="172" t="s">
        <v>71</v>
      </c>
      <c r="BB229" s="160"/>
      <c r="BC229" s="162"/>
      <c r="BD229" s="146" t="str">
        <f t="shared" si="445"/>
        <v xml:space="preserve">                                                                                                                                                                                                                                                                                                                                                                                                                </v>
      </c>
      <c r="BE229" s="174" t="str">
        <f t="shared" si="427"/>
        <v>NG</v>
      </c>
      <c r="BF229" s="204"/>
      <c r="BG229" s="172" t="s">
        <v>71</v>
      </c>
      <c r="BH229" s="160"/>
      <c r="BI229" s="162"/>
      <c r="BJ229" s="146" t="str">
        <f t="shared" si="446"/>
        <v xml:space="preserve">                                                                                                                                                                                                                                                                                                                                                                                                                </v>
      </c>
      <c r="BK229" s="174" t="str">
        <f t="shared" si="428"/>
        <v>NG</v>
      </c>
      <c r="BL229" s="204"/>
      <c r="BM229" s="172" t="s">
        <v>71</v>
      </c>
      <c r="BN229" s="160"/>
      <c r="BO229" s="162"/>
      <c r="BP229" s="146" t="str">
        <f t="shared" si="447"/>
        <v xml:space="preserve">                                                                                                                                                                                                                                                                                                                                                                                                                </v>
      </c>
      <c r="BQ229" s="174" t="str">
        <f t="shared" si="429"/>
        <v>NG</v>
      </c>
      <c r="BR229" s="204"/>
      <c r="BS229" s="172" t="s">
        <v>71</v>
      </c>
      <c r="BT229" s="160"/>
      <c r="BU229" s="162"/>
      <c r="BV229" s="146" t="str">
        <f t="shared" si="448"/>
        <v xml:space="preserve">                                                                                                                                                                                                                                                                                                                                                                                                                </v>
      </c>
      <c r="BW229" s="174" t="str">
        <f t="shared" si="430"/>
        <v>NG</v>
      </c>
      <c r="BX229" s="204"/>
      <c r="BY229" s="172" t="s">
        <v>71</v>
      </c>
      <c r="BZ229" s="160"/>
      <c r="CA229" s="162"/>
      <c r="CB229" s="146" t="str">
        <f t="shared" si="449"/>
        <v xml:space="preserve">                                                                                                                                                                                                                                                                                                                                                                                                                </v>
      </c>
      <c r="CC229" s="174" t="str">
        <f t="shared" si="431"/>
        <v>NG</v>
      </c>
      <c r="CD229" s="204"/>
      <c r="CE229" s="172" t="s">
        <v>71</v>
      </c>
      <c r="CF229" s="160"/>
      <c r="CG229" s="162"/>
      <c r="CH229" s="146" t="str">
        <f t="shared" si="450"/>
        <v xml:space="preserve">                                                                                                                                                                                                                                                                                                                                                                                                                </v>
      </c>
      <c r="CI229" s="174" t="str">
        <f t="shared" si="432"/>
        <v>NG</v>
      </c>
      <c r="CJ229" s="204"/>
      <c r="CK229" s="172" t="s">
        <v>71</v>
      </c>
      <c r="CL229" s="160"/>
      <c r="CM229" s="162"/>
      <c r="CN229" s="146" t="str">
        <f t="shared" si="451"/>
        <v xml:space="preserve">                                                                                                                                                                                                                                                                                                                                                                                                                </v>
      </c>
      <c r="CO229" s="174" t="str">
        <f t="shared" si="433"/>
        <v>NG</v>
      </c>
      <c r="CP229" s="204"/>
      <c r="CQ229" s="172" t="s">
        <v>71</v>
      </c>
      <c r="CR229" s="160"/>
      <c r="CS229" s="162"/>
      <c r="CT229" s="146" t="str">
        <f t="shared" si="452"/>
        <v xml:space="preserve">                                                                                                                                                                                                                                                                                                                                                                                                                </v>
      </c>
      <c r="CU229" s="174" t="str">
        <f t="shared" si="434"/>
        <v>NG</v>
      </c>
      <c r="CV229" s="204"/>
      <c r="CW229" s="172" t="s">
        <v>71</v>
      </c>
      <c r="CX229" s="160"/>
      <c r="CY229" s="162"/>
      <c r="CZ229" s="146" t="str">
        <f t="shared" si="453"/>
        <v xml:space="preserve">                                                                                                                                                                                                                                                                                                                                                                                                                </v>
      </c>
      <c r="DA229" s="174" t="str">
        <f t="shared" si="435"/>
        <v>NG</v>
      </c>
      <c r="DB229" s="204"/>
      <c r="DC229" s="172" t="s">
        <v>71</v>
      </c>
      <c r="DD229" s="160"/>
      <c r="DE229" s="162"/>
      <c r="DF229" s="146" t="str">
        <f t="shared" si="454"/>
        <v xml:space="preserve">                                                                                                                                                                                                                                                                                                                                                                                                                </v>
      </c>
      <c r="DG229" s="174" t="str">
        <f t="shared" si="436"/>
        <v>NG</v>
      </c>
      <c r="DH229" s="204"/>
      <c r="DI229" s="172" t="s">
        <v>71</v>
      </c>
      <c r="DJ229" s="160"/>
      <c r="DK229" s="162"/>
      <c r="DL229" s="146" t="str">
        <f t="shared" si="455"/>
        <v xml:space="preserve">                                                                                                                                                                                                                                                                                                                                                                                                                </v>
      </c>
      <c r="DM229" s="174" t="str">
        <f t="shared" si="437"/>
        <v>NG</v>
      </c>
      <c r="DN229" s="204"/>
      <c r="DO229" s="172" t="s">
        <v>71</v>
      </c>
      <c r="DP229" s="160"/>
      <c r="DQ229" s="162"/>
      <c r="DR229" s="146" t="str">
        <f t="shared" si="456"/>
        <v xml:space="preserve">                                                                                                                                                                                                                                                                                                                                                                                                                </v>
      </c>
      <c r="DS229" s="174" t="str">
        <f t="shared" si="413"/>
        <v>NG</v>
      </c>
      <c r="DT229" s="204"/>
      <c r="DU229" s="172" t="s">
        <v>71</v>
      </c>
      <c r="DV229" s="160"/>
      <c r="DW229" s="162"/>
      <c r="DX229" s="146" t="str">
        <f t="shared" si="457"/>
        <v xml:space="preserve">                                                                                                                                                                                                                                                                                                                                                                                                                </v>
      </c>
      <c r="DY229" s="174" t="str">
        <f t="shared" si="414"/>
        <v>NG</v>
      </c>
      <c r="DZ229" s="204"/>
      <c r="EA229" s="172" t="s">
        <v>71</v>
      </c>
      <c r="EB229" s="160"/>
      <c r="EC229" s="162"/>
      <c r="ED229" s="146" t="str">
        <f t="shared" si="458"/>
        <v xml:space="preserve">                                                                                                                                                                                                                                                                                                                                                                                                                </v>
      </c>
      <c r="EE229" s="174" t="str">
        <f t="shared" si="415"/>
        <v>NG</v>
      </c>
      <c r="EF229" s="204"/>
      <c r="EG229" s="172" t="s">
        <v>71</v>
      </c>
      <c r="EH229" s="160"/>
      <c r="EI229" s="162"/>
      <c r="EJ229" s="146" t="str">
        <f t="shared" si="459"/>
        <v xml:space="preserve">                                                                                                                                                                                                                                                                                                                                                                                                                </v>
      </c>
      <c r="EK229" s="174" t="str">
        <f t="shared" si="416"/>
        <v>NG</v>
      </c>
      <c r="EL229" s="204"/>
      <c r="EM229" s="172" t="s">
        <v>71</v>
      </c>
      <c r="EN229" s="160"/>
      <c r="EO229" s="162"/>
      <c r="EP229" s="146" t="str">
        <f t="shared" si="460"/>
        <v xml:space="preserve">                                                                                                                                                                                                                                                                                                                                                                                                                </v>
      </c>
      <c r="EQ229" s="174" t="str">
        <f t="shared" si="417"/>
        <v>NG</v>
      </c>
      <c r="ER229" s="204"/>
      <c r="ES229" s="172" t="s">
        <v>71</v>
      </c>
      <c r="ET229" s="160"/>
      <c r="EU229" s="162"/>
      <c r="EV229" s="146" t="str">
        <f t="shared" si="461"/>
        <v xml:space="preserve">                                                                                                                                                                                                                                                                                                                                                                                                                </v>
      </c>
      <c r="EW229" s="174" t="str">
        <f t="shared" si="418"/>
        <v>NG</v>
      </c>
      <c r="EX229" s="204"/>
      <c r="EY229" s="172" t="s">
        <v>71</v>
      </c>
      <c r="EZ229" s="160"/>
      <c r="FA229" s="162"/>
      <c r="FB229" s="146" t="str">
        <f t="shared" si="462"/>
        <v xml:space="preserve">                                                                                                                                                                                                                                                                                                                                                                                                                </v>
      </c>
      <c r="FC229" s="174" t="str">
        <f t="shared" si="419"/>
        <v>NG</v>
      </c>
      <c r="FD229" s="204"/>
      <c r="FE229" s="172" t="s">
        <v>71</v>
      </c>
      <c r="FF229" s="160"/>
      <c r="FG229" s="162"/>
      <c r="FH229" s="146" t="str">
        <f t="shared" si="463"/>
        <v xml:space="preserve">                                                                                                                                                                                                                                                                                                                                                                                                                </v>
      </c>
      <c r="FI229" s="174" t="str">
        <f t="shared" si="420"/>
        <v>NG</v>
      </c>
      <c r="FJ229" s="204"/>
      <c r="FK229" s="172" t="s">
        <v>71</v>
      </c>
      <c r="FL229" s="160"/>
      <c r="FM229" s="162"/>
      <c r="FN229" s="146" t="str">
        <f t="shared" si="464"/>
        <v xml:space="preserve">                                                                                                                                                                                                                                                                                                                                                                                                                </v>
      </c>
      <c r="FO229" s="174" t="str">
        <f t="shared" si="438"/>
        <v>NG</v>
      </c>
      <c r="FP229" s="204"/>
      <c r="FQ229" s="172" t="s">
        <v>71</v>
      </c>
      <c r="FR229" s="160"/>
      <c r="FS229" s="162"/>
      <c r="FT229" s="146" t="str">
        <f t="shared" si="465"/>
        <v xml:space="preserve">                                                                                                                                                                                                                                                                                                                                                                                                                </v>
      </c>
      <c r="FU229" s="174" t="str">
        <f t="shared" si="439"/>
        <v>NG</v>
      </c>
      <c r="FV229" s="204"/>
      <c r="FW229" s="172" t="s">
        <v>71</v>
      </c>
      <c r="FX229" s="160"/>
      <c r="FY229" s="162"/>
      <c r="FZ229" s="146" t="str">
        <f t="shared" si="466"/>
        <v xml:space="preserve">                                                                                                                                                                                                                                                                                                                                                                                                                </v>
      </c>
      <c r="GA229" s="174" t="str">
        <f t="shared" si="440"/>
        <v>NG</v>
      </c>
      <c r="GB229" s="204"/>
      <c r="GC229" s="172" t="s">
        <v>71</v>
      </c>
    </row>
    <row r="230" spans="2:185" s="52" customFormat="1">
      <c r="B230" s="216">
        <f t="shared" si="467"/>
        <v>223</v>
      </c>
      <c r="C230" s="37"/>
      <c r="D230" s="37"/>
      <c r="E230" s="37"/>
      <c r="F230" s="49" t="s">
        <v>216</v>
      </c>
      <c r="G230" s="39"/>
      <c r="H230" s="40"/>
      <c r="I230" s="42"/>
      <c r="J230" s="42"/>
      <c r="K230" s="42"/>
      <c r="L230" s="42"/>
      <c r="M230" s="63" t="s">
        <v>336</v>
      </c>
      <c r="N230" s="47"/>
      <c r="O230" s="143"/>
      <c r="P230" s="45">
        <f t="shared" si="470"/>
        <v>200</v>
      </c>
      <c r="Q230" s="46">
        <v>400</v>
      </c>
      <c r="R230" s="41" t="str">
        <f t="shared" si="471"/>
        <v>NX</v>
      </c>
      <c r="S230" s="185" t="s">
        <v>217</v>
      </c>
      <c r="T230" s="43"/>
      <c r="U230" s="41" t="s">
        <v>80</v>
      </c>
      <c r="V230" s="44"/>
      <c r="W230" s="22">
        <v>3</v>
      </c>
      <c r="X230" s="47" t="s">
        <v>218</v>
      </c>
      <c r="Y230" s="47">
        <v>1</v>
      </c>
      <c r="Z230" s="47">
        <v>400</v>
      </c>
      <c r="AA230" s="42" t="s">
        <v>195</v>
      </c>
      <c r="AB230" s="42" t="s">
        <v>80</v>
      </c>
      <c r="AC230" s="166"/>
      <c r="AD230" s="160"/>
      <c r="AE230" s="141"/>
      <c r="AF230" s="146" t="str">
        <f t="shared" si="442"/>
        <v xml:space="preserve">                                                                                                                                                                                                                                                                                                                                                                                                                </v>
      </c>
      <c r="AG230" s="174" t="str">
        <f t="shared" si="424"/>
        <v>NG</v>
      </c>
      <c r="AH230" s="203"/>
      <c r="AI230" s="172" t="s">
        <v>71</v>
      </c>
      <c r="AJ230" s="160"/>
      <c r="AK230" s="141"/>
      <c r="AL230" s="146" t="str">
        <f t="shared" si="441"/>
        <v xml:space="preserve">                                                                                                                                                                                                                                                                                                                                                                                                                </v>
      </c>
      <c r="AM230" s="174" t="str">
        <f t="shared" si="468"/>
        <v>NG</v>
      </c>
      <c r="AN230" s="203"/>
      <c r="AO230" s="172" t="s">
        <v>71</v>
      </c>
      <c r="AP230" s="160"/>
      <c r="AQ230" s="141"/>
      <c r="AR230" s="146" t="str">
        <f t="shared" si="443"/>
        <v xml:space="preserve">                                                                                                                                                                                                                                                                                                                                                                                                                </v>
      </c>
      <c r="AS230" s="174" t="str">
        <f t="shared" si="425"/>
        <v>NG</v>
      </c>
      <c r="AT230" s="203"/>
      <c r="AU230" s="172" t="s">
        <v>71</v>
      </c>
      <c r="AV230" s="160"/>
      <c r="AW230" s="141"/>
      <c r="AX230" s="146" t="str">
        <f t="shared" si="444"/>
        <v xml:space="preserve">                                                                                                                                                                                                                                                                                                                                                                                                                </v>
      </c>
      <c r="AY230" s="174" t="str">
        <f t="shared" si="426"/>
        <v>NG</v>
      </c>
      <c r="AZ230" s="203"/>
      <c r="BA230" s="172" t="s">
        <v>71</v>
      </c>
      <c r="BB230" s="160"/>
      <c r="BC230" s="141"/>
      <c r="BD230" s="146" t="str">
        <f t="shared" si="445"/>
        <v xml:space="preserve">                                                                                                                                                                                                                                                                                                                                                                                                                </v>
      </c>
      <c r="BE230" s="174" t="str">
        <f t="shared" si="427"/>
        <v>NG</v>
      </c>
      <c r="BF230" s="203"/>
      <c r="BG230" s="172" t="s">
        <v>71</v>
      </c>
      <c r="BH230" s="160"/>
      <c r="BI230" s="141"/>
      <c r="BJ230" s="146" t="str">
        <f t="shared" si="446"/>
        <v xml:space="preserve">                                                                                                                                                                                                                                                                                                                                                                                                                </v>
      </c>
      <c r="BK230" s="174" t="str">
        <f t="shared" si="428"/>
        <v>NG</v>
      </c>
      <c r="BL230" s="203"/>
      <c r="BM230" s="172" t="s">
        <v>71</v>
      </c>
      <c r="BN230" s="160"/>
      <c r="BO230" s="141"/>
      <c r="BP230" s="146" t="str">
        <f t="shared" si="447"/>
        <v xml:space="preserve">                                                                                                                                                                                                                                                                                                                                                                                                                </v>
      </c>
      <c r="BQ230" s="174" t="str">
        <f t="shared" si="429"/>
        <v>NG</v>
      </c>
      <c r="BR230" s="203"/>
      <c r="BS230" s="172" t="s">
        <v>71</v>
      </c>
      <c r="BT230" s="160"/>
      <c r="BU230" s="141"/>
      <c r="BV230" s="146" t="str">
        <f t="shared" si="448"/>
        <v xml:space="preserve">                                                                                                                                                                                                                                                                                                                                                                                                                </v>
      </c>
      <c r="BW230" s="174" t="str">
        <f t="shared" si="430"/>
        <v>NG</v>
      </c>
      <c r="BX230" s="203"/>
      <c r="BY230" s="172" t="s">
        <v>71</v>
      </c>
      <c r="BZ230" s="160"/>
      <c r="CA230" s="141"/>
      <c r="CB230" s="146" t="str">
        <f t="shared" si="449"/>
        <v xml:space="preserve">                                                                                                                                                                                                                                                                                                                                                                                                                </v>
      </c>
      <c r="CC230" s="174" t="str">
        <f t="shared" si="431"/>
        <v>NG</v>
      </c>
      <c r="CD230" s="203"/>
      <c r="CE230" s="172" t="s">
        <v>71</v>
      </c>
      <c r="CF230" s="160"/>
      <c r="CG230" s="141"/>
      <c r="CH230" s="146" t="str">
        <f t="shared" si="450"/>
        <v xml:space="preserve">                                                                                                                                                                                                                                                                                                                                                                                                                </v>
      </c>
      <c r="CI230" s="174" t="str">
        <f t="shared" si="432"/>
        <v>NG</v>
      </c>
      <c r="CJ230" s="203"/>
      <c r="CK230" s="172" t="s">
        <v>71</v>
      </c>
      <c r="CL230" s="160"/>
      <c r="CM230" s="141"/>
      <c r="CN230" s="146" t="str">
        <f t="shared" si="451"/>
        <v xml:space="preserve">                                                                                                                                                                                                                                                                                                                                                                                                                </v>
      </c>
      <c r="CO230" s="174" t="str">
        <f t="shared" si="433"/>
        <v>NG</v>
      </c>
      <c r="CP230" s="203"/>
      <c r="CQ230" s="172" t="s">
        <v>71</v>
      </c>
      <c r="CR230" s="160"/>
      <c r="CS230" s="141"/>
      <c r="CT230" s="146" t="str">
        <f t="shared" si="452"/>
        <v xml:space="preserve">                                                                                                                                                                                                                                                                                                                                                                                                                </v>
      </c>
      <c r="CU230" s="174" t="str">
        <f t="shared" si="434"/>
        <v>NG</v>
      </c>
      <c r="CV230" s="203"/>
      <c r="CW230" s="172" t="s">
        <v>71</v>
      </c>
      <c r="CX230" s="160"/>
      <c r="CY230" s="141"/>
      <c r="CZ230" s="146" t="str">
        <f t="shared" si="453"/>
        <v xml:space="preserve">                                                                                                                                                                                                                                                                                                                                                                                                                </v>
      </c>
      <c r="DA230" s="174" t="str">
        <f t="shared" si="435"/>
        <v>NG</v>
      </c>
      <c r="DB230" s="203"/>
      <c r="DC230" s="172" t="s">
        <v>71</v>
      </c>
      <c r="DD230" s="160"/>
      <c r="DE230" s="141"/>
      <c r="DF230" s="146" t="str">
        <f t="shared" si="454"/>
        <v xml:space="preserve">                                                                                                                                                                                                                                                                                                                                                                                                                </v>
      </c>
      <c r="DG230" s="174" t="str">
        <f t="shared" si="436"/>
        <v>NG</v>
      </c>
      <c r="DH230" s="203"/>
      <c r="DI230" s="172" t="s">
        <v>71</v>
      </c>
      <c r="DJ230" s="160"/>
      <c r="DK230" s="141"/>
      <c r="DL230" s="146" t="str">
        <f t="shared" si="455"/>
        <v xml:space="preserve">                                                                                                                                                                                                                                                                                                                                                                                                                </v>
      </c>
      <c r="DM230" s="174" t="str">
        <f t="shared" si="437"/>
        <v>NG</v>
      </c>
      <c r="DN230" s="203"/>
      <c r="DO230" s="172" t="s">
        <v>71</v>
      </c>
      <c r="DP230" s="160"/>
      <c r="DQ230" s="141"/>
      <c r="DR230" s="146" t="str">
        <f t="shared" si="456"/>
        <v xml:space="preserve">                                                                                                                                                                                                                                                                                                                                                                                                                </v>
      </c>
      <c r="DS230" s="174" t="str">
        <f t="shared" si="413"/>
        <v>NG</v>
      </c>
      <c r="DT230" s="203"/>
      <c r="DU230" s="172" t="s">
        <v>71</v>
      </c>
      <c r="DV230" s="160"/>
      <c r="DW230" s="141"/>
      <c r="DX230" s="146" t="str">
        <f t="shared" si="457"/>
        <v xml:space="preserve">                                                                                                                                                                                                                                                                                                                                                                                                                </v>
      </c>
      <c r="DY230" s="174" t="str">
        <f t="shared" si="414"/>
        <v>NG</v>
      </c>
      <c r="DZ230" s="203"/>
      <c r="EA230" s="172" t="s">
        <v>71</v>
      </c>
      <c r="EB230" s="160"/>
      <c r="EC230" s="141"/>
      <c r="ED230" s="146" t="str">
        <f t="shared" si="458"/>
        <v xml:space="preserve">                                                                                                                                                                                                                                                                                                                                                                                                                </v>
      </c>
      <c r="EE230" s="174" t="str">
        <f t="shared" si="415"/>
        <v>NG</v>
      </c>
      <c r="EF230" s="203"/>
      <c r="EG230" s="172" t="s">
        <v>71</v>
      </c>
      <c r="EH230" s="160"/>
      <c r="EI230" s="141"/>
      <c r="EJ230" s="146" t="str">
        <f t="shared" si="459"/>
        <v xml:space="preserve">                                                                                                                                                                                                                                                                                                                                                                                                                </v>
      </c>
      <c r="EK230" s="174" t="str">
        <f t="shared" si="416"/>
        <v>NG</v>
      </c>
      <c r="EL230" s="203"/>
      <c r="EM230" s="172" t="s">
        <v>71</v>
      </c>
      <c r="EN230" s="160"/>
      <c r="EO230" s="141"/>
      <c r="EP230" s="146" t="str">
        <f t="shared" si="460"/>
        <v xml:space="preserve">                                                                                                                                                                                                                                                                                                                                                                                                                </v>
      </c>
      <c r="EQ230" s="174" t="str">
        <f t="shared" si="417"/>
        <v>NG</v>
      </c>
      <c r="ER230" s="203"/>
      <c r="ES230" s="172" t="s">
        <v>71</v>
      </c>
      <c r="ET230" s="160"/>
      <c r="EU230" s="141"/>
      <c r="EV230" s="146" t="str">
        <f t="shared" si="461"/>
        <v xml:space="preserve">                                                                                                                                                                                                                                                                                                                                                                                                                </v>
      </c>
      <c r="EW230" s="174" t="str">
        <f t="shared" si="418"/>
        <v>NG</v>
      </c>
      <c r="EX230" s="203"/>
      <c r="EY230" s="172" t="s">
        <v>71</v>
      </c>
      <c r="EZ230" s="160"/>
      <c r="FA230" s="141"/>
      <c r="FB230" s="146" t="str">
        <f t="shared" si="462"/>
        <v xml:space="preserve">                                                                                                                                                                                                                                                                                                                                                                                                                </v>
      </c>
      <c r="FC230" s="174" t="str">
        <f t="shared" si="419"/>
        <v>NG</v>
      </c>
      <c r="FD230" s="203"/>
      <c r="FE230" s="172" t="s">
        <v>71</v>
      </c>
      <c r="FF230" s="160"/>
      <c r="FG230" s="141"/>
      <c r="FH230" s="146" t="str">
        <f t="shared" si="463"/>
        <v xml:space="preserve">                                                                                                                                                                                                                                                                                                                                                                                                                </v>
      </c>
      <c r="FI230" s="174" t="str">
        <f t="shared" si="420"/>
        <v>NG</v>
      </c>
      <c r="FJ230" s="203"/>
      <c r="FK230" s="172" t="s">
        <v>71</v>
      </c>
      <c r="FL230" s="160"/>
      <c r="FM230" s="141"/>
      <c r="FN230" s="146" t="str">
        <f t="shared" si="464"/>
        <v xml:space="preserve">                                                                                                                                                                                                                                                                                                                                                                                                                </v>
      </c>
      <c r="FO230" s="174" t="str">
        <f t="shared" si="438"/>
        <v>NG</v>
      </c>
      <c r="FP230" s="203"/>
      <c r="FQ230" s="172" t="s">
        <v>71</v>
      </c>
      <c r="FR230" s="160"/>
      <c r="FS230" s="141"/>
      <c r="FT230" s="146" t="str">
        <f t="shared" si="465"/>
        <v xml:space="preserve">                                                                                                                                                                                                                                                                                                                                                                                                                </v>
      </c>
      <c r="FU230" s="174" t="str">
        <f t="shared" si="439"/>
        <v>NG</v>
      </c>
      <c r="FV230" s="203"/>
      <c r="FW230" s="172" t="s">
        <v>71</v>
      </c>
      <c r="FX230" s="160"/>
      <c r="FY230" s="141"/>
      <c r="FZ230" s="146" t="str">
        <f t="shared" si="466"/>
        <v xml:space="preserve">                                                                                                                                                                                                                                                                                                                                                                                                                </v>
      </c>
      <c r="GA230" s="174" t="str">
        <f t="shared" si="440"/>
        <v>NG</v>
      </c>
      <c r="GB230" s="203"/>
      <c r="GC230" s="172" t="s">
        <v>71</v>
      </c>
    </row>
    <row r="231" spans="2:185" s="52" customFormat="1" ht="76.5">
      <c r="B231" s="216">
        <f t="shared" si="467"/>
        <v>224</v>
      </c>
      <c r="C231" s="37"/>
      <c r="D231" s="37"/>
      <c r="E231" s="37"/>
      <c r="F231" s="49" t="s">
        <v>219</v>
      </c>
      <c r="G231" s="39"/>
      <c r="H231" s="40"/>
      <c r="I231" s="42"/>
      <c r="J231" s="42"/>
      <c r="K231" s="42"/>
      <c r="L231" s="42"/>
      <c r="M231" s="63" t="s">
        <v>337</v>
      </c>
      <c r="N231" s="47"/>
      <c r="O231" s="143"/>
      <c r="P231" s="45">
        <f t="shared" si="470"/>
        <v>201</v>
      </c>
      <c r="Q231" s="46">
        <v>400</v>
      </c>
      <c r="R231" s="41" t="str">
        <f t="shared" si="471"/>
        <v>NX</v>
      </c>
      <c r="S231" s="185" t="s">
        <v>220</v>
      </c>
      <c r="T231" s="43"/>
      <c r="U231" s="41" t="s">
        <v>80</v>
      </c>
      <c r="V231" s="44"/>
      <c r="W231" s="22">
        <v>3</v>
      </c>
      <c r="X231" s="47" t="s">
        <v>221</v>
      </c>
      <c r="Y231" s="47">
        <v>1</v>
      </c>
      <c r="Z231" s="47">
        <v>400</v>
      </c>
      <c r="AA231" s="42" t="s">
        <v>195</v>
      </c>
      <c r="AB231" s="42" t="s">
        <v>80</v>
      </c>
      <c r="AC231" s="166"/>
      <c r="AD231" s="160"/>
      <c r="AE231" s="141"/>
      <c r="AF231" s="146" t="str">
        <f t="shared" si="442"/>
        <v xml:space="preserve">                                                                                                                                                                                                                                                                                                                                                                                                                </v>
      </c>
      <c r="AG231" s="174" t="str">
        <f t="shared" si="424"/>
        <v>NG</v>
      </c>
      <c r="AH231" s="203"/>
      <c r="AI231" s="172" t="s">
        <v>71</v>
      </c>
      <c r="AJ231" s="160"/>
      <c r="AK231" s="141"/>
      <c r="AL231" s="146" t="str">
        <f t="shared" si="441"/>
        <v xml:space="preserve">                                                                                                                                                                                                                                                                                                                                                                                                                </v>
      </c>
      <c r="AM231" s="174" t="str">
        <f t="shared" si="468"/>
        <v>NG</v>
      </c>
      <c r="AN231" s="203"/>
      <c r="AO231" s="172" t="s">
        <v>71</v>
      </c>
      <c r="AP231" s="160"/>
      <c r="AQ231" s="141"/>
      <c r="AR231" s="146" t="str">
        <f t="shared" si="443"/>
        <v xml:space="preserve">                                                                                                                                                                                                                                                                                                                                                                                                                </v>
      </c>
      <c r="AS231" s="174" t="str">
        <f t="shared" si="425"/>
        <v>NG</v>
      </c>
      <c r="AT231" s="203"/>
      <c r="AU231" s="172" t="s">
        <v>71</v>
      </c>
      <c r="AV231" s="160"/>
      <c r="AW231" s="141"/>
      <c r="AX231" s="146" t="str">
        <f t="shared" si="444"/>
        <v xml:space="preserve">                                                                                                                                                                                                                                                                                                                                                                                                                </v>
      </c>
      <c r="AY231" s="174" t="str">
        <f t="shared" si="426"/>
        <v>NG</v>
      </c>
      <c r="AZ231" s="203"/>
      <c r="BA231" s="172" t="s">
        <v>71</v>
      </c>
      <c r="BB231" s="160"/>
      <c r="BC231" s="141"/>
      <c r="BD231" s="146" t="str">
        <f t="shared" si="445"/>
        <v xml:space="preserve">                                                                                                                                                                                                                                                                                                                                                                                                                </v>
      </c>
      <c r="BE231" s="174" t="str">
        <f t="shared" si="427"/>
        <v>NG</v>
      </c>
      <c r="BF231" s="203"/>
      <c r="BG231" s="172" t="s">
        <v>71</v>
      </c>
      <c r="BH231" s="160"/>
      <c r="BI231" s="141"/>
      <c r="BJ231" s="146" t="str">
        <f t="shared" si="446"/>
        <v xml:space="preserve">                                                                                                                                                                                                                                                                                                                                                                                                                </v>
      </c>
      <c r="BK231" s="174" t="str">
        <f t="shared" si="428"/>
        <v>NG</v>
      </c>
      <c r="BL231" s="203"/>
      <c r="BM231" s="172" t="s">
        <v>71</v>
      </c>
      <c r="BN231" s="160"/>
      <c r="BO231" s="141"/>
      <c r="BP231" s="146" t="str">
        <f t="shared" si="447"/>
        <v xml:space="preserve">                                                                                                                                                                                                                                                                                                                                                                                                                </v>
      </c>
      <c r="BQ231" s="174" t="str">
        <f t="shared" si="429"/>
        <v>NG</v>
      </c>
      <c r="BR231" s="203"/>
      <c r="BS231" s="172" t="s">
        <v>71</v>
      </c>
      <c r="BT231" s="160"/>
      <c r="BU231" s="141"/>
      <c r="BV231" s="146" t="str">
        <f t="shared" si="448"/>
        <v xml:space="preserve">                                                                                                                                                                                                                                                                                                                                                                                                                </v>
      </c>
      <c r="BW231" s="174" t="str">
        <f t="shared" si="430"/>
        <v>NG</v>
      </c>
      <c r="BX231" s="203"/>
      <c r="BY231" s="172" t="s">
        <v>71</v>
      </c>
      <c r="BZ231" s="160"/>
      <c r="CA231" s="141"/>
      <c r="CB231" s="146" t="str">
        <f t="shared" si="449"/>
        <v xml:space="preserve">                                                                                                                                                                                                                                                                                                                                                                                                                </v>
      </c>
      <c r="CC231" s="174" t="str">
        <f t="shared" si="431"/>
        <v>NG</v>
      </c>
      <c r="CD231" s="203"/>
      <c r="CE231" s="172" t="s">
        <v>71</v>
      </c>
      <c r="CF231" s="160"/>
      <c r="CG231" s="141"/>
      <c r="CH231" s="146" t="str">
        <f t="shared" si="450"/>
        <v xml:space="preserve">                                                                                                                                                                                                                                                                                                                                                                                                                </v>
      </c>
      <c r="CI231" s="174" t="str">
        <f t="shared" si="432"/>
        <v>NG</v>
      </c>
      <c r="CJ231" s="203"/>
      <c r="CK231" s="172" t="s">
        <v>71</v>
      </c>
      <c r="CL231" s="160"/>
      <c r="CM231" s="141"/>
      <c r="CN231" s="146" t="str">
        <f t="shared" si="451"/>
        <v xml:space="preserve">                                                                                                                                                                                                                                                                                                                                                                                                                </v>
      </c>
      <c r="CO231" s="174" t="str">
        <f t="shared" si="433"/>
        <v>NG</v>
      </c>
      <c r="CP231" s="203"/>
      <c r="CQ231" s="172" t="s">
        <v>71</v>
      </c>
      <c r="CR231" s="160"/>
      <c r="CS231" s="141"/>
      <c r="CT231" s="146" t="str">
        <f t="shared" si="452"/>
        <v xml:space="preserve">                                                                                                                                                                                                                                                                                                                                                                                                                </v>
      </c>
      <c r="CU231" s="174" t="str">
        <f t="shared" si="434"/>
        <v>NG</v>
      </c>
      <c r="CV231" s="203"/>
      <c r="CW231" s="172" t="s">
        <v>71</v>
      </c>
      <c r="CX231" s="160"/>
      <c r="CY231" s="141"/>
      <c r="CZ231" s="146" t="str">
        <f t="shared" si="453"/>
        <v xml:space="preserve">                                                                                                                                                                                                                                                                                                                                                                                                                </v>
      </c>
      <c r="DA231" s="174" t="str">
        <f t="shared" si="435"/>
        <v>NG</v>
      </c>
      <c r="DB231" s="203"/>
      <c r="DC231" s="172" t="s">
        <v>71</v>
      </c>
      <c r="DD231" s="160"/>
      <c r="DE231" s="141"/>
      <c r="DF231" s="146" t="str">
        <f t="shared" si="454"/>
        <v xml:space="preserve">                                                                                                                                                                                                                                                                                                                                                                                                                </v>
      </c>
      <c r="DG231" s="174" t="str">
        <f t="shared" si="436"/>
        <v>NG</v>
      </c>
      <c r="DH231" s="203"/>
      <c r="DI231" s="172" t="s">
        <v>71</v>
      </c>
      <c r="DJ231" s="160"/>
      <c r="DK231" s="141"/>
      <c r="DL231" s="146" t="str">
        <f t="shared" si="455"/>
        <v xml:space="preserve">                                                                                                                                                                                                                                                                                                                                                                                                                </v>
      </c>
      <c r="DM231" s="174" t="str">
        <f t="shared" si="437"/>
        <v>NG</v>
      </c>
      <c r="DN231" s="203"/>
      <c r="DO231" s="172" t="s">
        <v>71</v>
      </c>
      <c r="DP231" s="160"/>
      <c r="DQ231" s="141"/>
      <c r="DR231" s="146" t="str">
        <f t="shared" si="456"/>
        <v xml:space="preserve">                                                                                                                                                                                                                                                                                                                                                                                                                </v>
      </c>
      <c r="DS231" s="174" t="str">
        <f t="shared" si="413"/>
        <v>NG</v>
      </c>
      <c r="DT231" s="203"/>
      <c r="DU231" s="172" t="s">
        <v>71</v>
      </c>
      <c r="DV231" s="160"/>
      <c r="DW231" s="141"/>
      <c r="DX231" s="146" t="str">
        <f t="shared" si="457"/>
        <v xml:space="preserve">                                                                                                                                                                                                                                                                                                                                                                                                                </v>
      </c>
      <c r="DY231" s="174" t="str">
        <f t="shared" si="414"/>
        <v>NG</v>
      </c>
      <c r="DZ231" s="203"/>
      <c r="EA231" s="172" t="s">
        <v>71</v>
      </c>
      <c r="EB231" s="160"/>
      <c r="EC231" s="141"/>
      <c r="ED231" s="146" t="str">
        <f t="shared" si="458"/>
        <v xml:space="preserve">                                                                                                                                                                                                                                                                                                                                                                                                                </v>
      </c>
      <c r="EE231" s="174" t="str">
        <f t="shared" si="415"/>
        <v>NG</v>
      </c>
      <c r="EF231" s="203"/>
      <c r="EG231" s="172" t="s">
        <v>71</v>
      </c>
      <c r="EH231" s="160"/>
      <c r="EI231" s="141"/>
      <c r="EJ231" s="146" t="str">
        <f t="shared" si="459"/>
        <v xml:space="preserve">                                                                                                                                                                                                                                                                                                                                                                                                                </v>
      </c>
      <c r="EK231" s="174" t="str">
        <f t="shared" si="416"/>
        <v>NG</v>
      </c>
      <c r="EL231" s="203"/>
      <c r="EM231" s="172" t="s">
        <v>71</v>
      </c>
      <c r="EN231" s="160"/>
      <c r="EO231" s="141"/>
      <c r="EP231" s="146" t="str">
        <f t="shared" si="460"/>
        <v xml:space="preserve">                                                                                                                                                                                                                                                                                                                                                                                                                </v>
      </c>
      <c r="EQ231" s="174" t="str">
        <f t="shared" si="417"/>
        <v>NG</v>
      </c>
      <c r="ER231" s="203"/>
      <c r="ES231" s="172" t="s">
        <v>71</v>
      </c>
      <c r="ET231" s="160"/>
      <c r="EU231" s="141"/>
      <c r="EV231" s="146" t="str">
        <f t="shared" si="461"/>
        <v xml:space="preserve">                                                                                                                                                                                                                                                                                                                                                                                                                </v>
      </c>
      <c r="EW231" s="174" t="str">
        <f t="shared" si="418"/>
        <v>NG</v>
      </c>
      <c r="EX231" s="203"/>
      <c r="EY231" s="172" t="s">
        <v>71</v>
      </c>
      <c r="EZ231" s="160"/>
      <c r="FA231" s="141"/>
      <c r="FB231" s="146" t="str">
        <f t="shared" si="462"/>
        <v xml:space="preserve">                                                                                                                                                                                                                                                                                                                                                                                                                </v>
      </c>
      <c r="FC231" s="174" t="str">
        <f t="shared" si="419"/>
        <v>NG</v>
      </c>
      <c r="FD231" s="203"/>
      <c r="FE231" s="172" t="s">
        <v>71</v>
      </c>
      <c r="FF231" s="160"/>
      <c r="FG231" s="141"/>
      <c r="FH231" s="146" t="str">
        <f t="shared" si="463"/>
        <v xml:space="preserve">                                                                                                                                                                                                                                                                                                                                                                                                                </v>
      </c>
      <c r="FI231" s="174" t="str">
        <f t="shared" si="420"/>
        <v>NG</v>
      </c>
      <c r="FJ231" s="203"/>
      <c r="FK231" s="172" t="s">
        <v>71</v>
      </c>
      <c r="FL231" s="160"/>
      <c r="FM231" s="141"/>
      <c r="FN231" s="146" t="str">
        <f t="shared" si="464"/>
        <v xml:space="preserve">                                                                                                                                                                                                                                                                                                                                                                                                                </v>
      </c>
      <c r="FO231" s="174" t="str">
        <f t="shared" si="438"/>
        <v>NG</v>
      </c>
      <c r="FP231" s="203"/>
      <c r="FQ231" s="172" t="s">
        <v>71</v>
      </c>
      <c r="FR231" s="160"/>
      <c r="FS231" s="141"/>
      <c r="FT231" s="146" t="str">
        <f t="shared" si="465"/>
        <v xml:space="preserve">                                                                                                                                                                                                                                                                                                                                                                                                                </v>
      </c>
      <c r="FU231" s="174" t="str">
        <f t="shared" si="439"/>
        <v>NG</v>
      </c>
      <c r="FV231" s="203"/>
      <c r="FW231" s="172" t="s">
        <v>71</v>
      </c>
      <c r="FX231" s="160"/>
      <c r="FY231" s="141"/>
      <c r="FZ231" s="146" t="str">
        <f t="shared" si="466"/>
        <v xml:space="preserve">                                                                                                                                                                                                                                                                                                                                                                                                                </v>
      </c>
      <c r="GA231" s="174" t="str">
        <f t="shared" si="440"/>
        <v>NG</v>
      </c>
      <c r="GB231" s="203"/>
      <c r="GC231" s="172" t="s">
        <v>71</v>
      </c>
    </row>
    <row r="232" spans="2:185" s="52" customFormat="1">
      <c r="B232" s="216">
        <f t="shared" si="467"/>
        <v>225</v>
      </c>
      <c r="C232" s="37"/>
      <c r="D232" s="37"/>
      <c r="E232" s="37"/>
      <c r="F232" s="49" t="s">
        <v>222</v>
      </c>
      <c r="G232" s="39"/>
      <c r="H232" s="40"/>
      <c r="I232" s="42"/>
      <c r="J232" s="42"/>
      <c r="K232" s="42"/>
      <c r="L232" s="42"/>
      <c r="M232" s="63" t="s">
        <v>336</v>
      </c>
      <c r="N232" s="47"/>
      <c r="O232" s="143"/>
      <c r="P232" s="45">
        <f t="shared" si="470"/>
        <v>202</v>
      </c>
      <c r="Q232" s="46">
        <v>400</v>
      </c>
      <c r="R232" s="41" t="str">
        <f t="shared" si="471"/>
        <v>NX</v>
      </c>
      <c r="S232" s="185" t="s">
        <v>223</v>
      </c>
      <c r="T232" s="43"/>
      <c r="U232" s="41" t="s">
        <v>80</v>
      </c>
      <c r="V232" s="44"/>
      <c r="W232" s="22">
        <v>3</v>
      </c>
      <c r="X232" s="47" t="s">
        <v>224</v>
      </c>
      <c r="Y232" s="47">
        <v>1</v>
      </c>
      <c r="Z232" s="47">
        <v>400</v>
      </c>
      <c r="AA232" s="42" t="s">
        <v>195</v>
      </c>
      <c r="AB232" s="42" t="s">
        <v>80</v>
      </c>
      <c r="AC232" s="166"/>
      <c r="AD232" s="160"/>
      <c r="AE232" s="141"/>
      <c r="AF232" s="146" t="str">
        <f t="shared" si="442"/>
        <v xml:space="preserve">                                                                                                                                                                                                                                                                                                                                                                                                                </v>
      </c>
      <c r="AG232" s="174" t="str">
        <f t="shared" si="424"/>
        <v>NG</v>
      </c>
      <c r="AH232" s="203"/>
      <c r="AI232" s="172" t="s">
        <v>71</v>
      </c>
      <c r="AJ232" s="160"/>
      <c r="AK232" s="141"/>
      <c r="AL232" s="146" t="str">
        <f t="shared" si="441"/>
        <v xml:space="preserve">                                                                                                                                                                                                                                                                                                                                                                                                                </v>
      </c>
      <c r="AM232" s="174" t="str">
        <f t="shared" si="468"/>
        <v>NG</v>
      </c>
      <c r="AN232" s="203"/>
      <c r="AO232" s="172" t="s">
        <v>71</v>
      </c>
      <c r="AP232" s="160"/>
      <c r="AQ232" s="141"/>
      <c r="AR232" s="146" t="str">
        <f t="shared" si="443"/>
        <v xml:space="preserve">                                                                                                                                                                                                                                                                                                                                                                                                                </v>
      </c>
      <c r="AS232" s="174" t="str">
        <f t="shared" si="425"/>
        <v>NG</v>
      </c>
      <c r="AT232" s="203"/>
      <c r="AU232" s="172" t="s">
        <v>71</v>
      </c>
      <c r="AV232" s="160"/>
      <c r="AW232" s="141"/>
      <c r="AX232" s="146" t="str">
        <f t="shared" si="444"/>
        <v xml:space="preserve">                                                                                                                                                                                                                                                                                                                                                                                                                </v>
      </c>
      <c r="AY232" s="174" t="str">
        <f t="shared" si="426"/>
        <v>NG</v>
      </c>
      <c r="AZ232" s="203"/>
      <c r="BA232" s="172" t="s">
        <v>71</v>
      </c>
      <c r="BB232" s="160"/>
      <c r="BC232" s="141"/>
      <c r="BD232" s="146" t="str">
        <f t="shared" si="445"/>
        <v xml:space="preserve">                                                                                                                                                                                                                                                                                                                                                                                                                </v>
      </c>
      <c r="BE232" s="174" t="str">
        <f t="shared" si="427"/>
        <v>NG</v>
      </c>
      <c r="BF232" s="203"/>
      <c r="BG232" s="172" t="s">
        <v>71</v>
      </c>
      <c r="BH232" s="160"/>
      <c r="BI232" s="141"/>
      <c r="BJ232" s="146" t="str">
        <f t="shared" si="446"/>
        <v xml:space="preserve">                                                                                                                                                                                                                                                                                                                                                                                                                </v>
      </c>
      <c r="BK232" s="174" t="str">
        <f t="shared" si="428"/>
        <v>NG</v>
      </c>
      <c r="BL232" s="203"/>
      <c r="BM232" s="172" t="s">
        <v>71</v>
      </c>
      <c r="BN232" s="160"/>
      <c r="BO232" s="141"/>
      <c r="BP232" s="146" t="str">
        <f t="shared" si="447"/>
        <v xml:space="preserve">                                                                                                                                                                                                                                                                                                                                                                                                                </v>
      </c>
      <c r="BQ232" s="174" t="str">
        <f t="shared" si="429"/>
        <v>NG</v>
      </c>
      <c r="BR232" s="203"/>
      <c r="BS232" s="172" t="s">
        <v>71</v>
      </c>
      <c r="BT232" s="160"/>
      <c r="BU232" s="141"/>
      <c r="BV232" s="146" t="str">
        <f t="shared" si="448"/>
        <v xml:space="preserve">                                                                                                                                                                                                                                                                                                                                                                                                                </v>
      </c>
      <c r="BW232" s="174" t="str">
        <f t="shared" si="430"/>
        <v>NG</v>
      </c>
      <c r="BX232" s="203"/>
      <c r="BY232" s="172" t="s">
        <v>71</v>
      </c>
      <c r="BZ232" s="160"/>
      <c r="CA232" s="141"/>
      <c r="CB232" s="146" t="str">
        <f t="shared" si="449"/>
        <v xml:space="preserve">                                                                                                                                                                                                                                                                                                                                                                                                                </v>
      </c>
      <c r="CC232" s="174" t="str">
        <f t="shared" si="431"/>
        <v>NG</v>
      </c>
      <c r="CD232" s="203"/>
      <c r="CE232" s="172" t="s">
        <v>71</v>
      </c>
      <c r="CF232" s="160"/>
      <c r="CG232" s="141"/>
      <c r="CH232" s="146" t="str">
        <f t="shared" si="450"/>
        <v xml:space="preserve">                                                                                                                                                                                                                                                                                                                                                                                                                </v>
      </c>
      <c r="CI232" s="174" t="str">
        <f t="shared" si="432"/>
        <v>NG</v>
      </c>
      <c r="CJ232" s="203"/>
      <c r="CK232" s="172" t="s">
        <v>71</v>
      </c>
      <c r="CL232" s="160"/>
      <c r="CM232" s="141"/>
      <c r="CN232" s="146" t="str">
        <f t="shared" si="451"/>
        <v xml:space="preserve">                                                                                                                                                                                                                                                                                                                                                                                                                </v>
      </c>
      <c r="CO232" s="174" t="str">
        <f t="shared" si="433"/>
        <v>NG</v>
      </c>
      <c r="CP232" s="203"/>
      <c r="CQ232" s="172" t="s">
        <v>71</v>
      </c>
      <c r="CR232" s="160"/>
      <c r="CS232" s="141"/>
      <c r="CT232" s="146" t="str">
        <f t="shared" si="452"/>
        <v xml:space="preserve">                                                                                                                                                                                                                                                                                                                                                                                                                </v>
      </c>
      <c r="CU232" s="174" t="str">
        <f t="shared" si="434"/>
        <v>NG</v>
      </c>
      <c r="CV232" s="203"/>
      <c r="CW232" s="172" t="s">
        <v>71</v>
      </c>
      <c r="CX232" s="160"/>
      <c r="CY232" s="141"/>
      <c r="CZ232" s="146" t="str">
        <f t="shared" si="453"/>
        <v xml:space="preserve">                                                                                                                                                                                                                                                                                                                                                                                                                </v>
      </c>
      <c r="DA232" s="174" t="str">
        <f t="shared" si="435"/>
        <v>NG</v>
      </c>
      <c r="DB232" s="203"/>
      <c r="DC232" s="172" t="s">
        <v>71</v>
      </c>
      <c r="DD232" s="160"/>
      <c r="DE232" s="141"/>
      <c r="DF232" s="146" t="str">
        <f t="shared" si="454"/>
        <v xml:space="preserve">                                                                                                                                                                                                                                                                                                                                                                                                                </v>
      </c>
      <c r="DG232" s="174" t="str">
        <f t="shared" si="436"/>
        <v>NG</v>
      </c>
      <c r="DH232" s="203"/>
      <c r="DI232" s="172" t="s">
        <v>71</v>
      </c>
      <c r="DJ232" s="160"/>
      <c r="DK232" s="141"/>
      <c r="DL232" s="146" t="str">
        <f t="shared" si="455"/>
        <v xml:space="preserve">                                                                                                                                                                                                                                                                                                                                                                                                                </v>
      </c>
      <c r="DM232" s="174" t="str">
        <f t="shared" si="437"/>
        <v>NG</v>
      </c>
      <c r="DN232" s="203"/>
      <c r="DO232" s="172" t="s">
        <v>71</v>
      </c>
      <c r="DP232" s="160"/>
      <c r="DQ232" s="141"/>
      <c r="DR232" s="146" t="str">
        <f t="shared" si="456"/>
        <v xml:space="preserve">                                                                                                                                                                                                                                                                                                                                                                                                                </v>
      </c>
      <c r="DS232" s="174" t="str">
        <f t="shared" si="413"/>
        <v>NG</v>
      </c>
      <c r="DT232" s="203"/>
      <c r="DU232" s="172" t="s">
        <v>71</v>
      </c>
      <c r="DV232" s="160"/>
      <c r="DW232" s="141"/>
      <c r="DX232" s="146" t="str">
        <f t="shared" si="457"/>
        <v xml:space="preserve">                                                                                                                                                                                                                                                                                                                                                                                                                </v>
      </c>
      <c r="DY232" s="174" t="str">
        <f t="shared" si="414"/>
        <v>NG</v>
      </c>
      <c r="DZ232" s="203"/>
      <c r="EA232" s="172" t="s">
        <v>71</v>
      </c>
      <c r="EB232" s="160"/>
      <c r="EC232" s="141"/>
      <c r="ED232" s="146" t="str">
        <f t="shared" si="458"/>
        <v xml:space="preserve">                                                                                                                                                                                                                                                                                                                                                                                                                </v>
      </c>
      <c r="EE232" s="174" t="str">
        <f t="shared" si="415"/>
        <v>NG</v>
      </c>
      <c r="EF232" s="203"/>
      <c r="EG232" s="172" t="s">
        <v>71</v>
      </c>
      <c r="EH232" s="160"/>
      <c r="EI232" s="141"/>
      <c r="EJ232" s="146" t="str">
        <f t="shared" si="459"/>
        <v xml:space="preserve">                                                                                                                                                                                                                                                                                                                                                                                                                </v>
      </c>
      <c r="EK232" s="174" t="str">
        <f t="shared" si="416"/>
        <v>NG</v>
      </c>
      <c r="EL232" s="203"/>
      <c r="EM232" s="172" t="s">
        <v>71</v>
      </c>
      <c r="EN232" s="160"/>
      <c r="EO232" s="141"/>
      <c r="EP232" s="146" t="str">
        <f t="shared" si="460"/>
        <v xml:space="preserve">                                                                                                                                                                                                                                                                                                                                                                                                                </v>
      </c>
      <c r="EQ232" s="174" t="str">
        <f t="shared" si="417"/>
        <v>NG</v>
      </c>
      <c r="ER232" s="203"/>
      <c r="ES232" s="172" t="s">
        <v>71</v>
      </c>
      <c r="ET232" s="160"/>
      <c r="EU232" s="141"/>
      <c r="EV232" s="146" t="str">
        <f t="shared" si="461"/>
        <v xml:space="preserve">                                                                                                                                                                                                                                                                                                                                                                                                                </v>
      </c>
      <c r="EW232" s="174" t="str">
        <f t="shared" si="418"/>
        <v>NG</v>
      </c>
      <c r="EX232" s="203"/>
      <c r="EY232" s="172" t="s">
        <v>71</v>
      </c>
      <c r="EZ232" s="160"/>
      <c r="FA232" s="141"/>
      <c r="FB232" s="146" t="str">
        <f t="shared" si="462"/>
        <v xml:space="preserve">                                                                                                                                                                                                                                                                                                                                                                                                                </v>
      </c>
      <c r="FC232" s="174" t="str">
        <f t="shared" si="419"/>
        <v>NG</v>
      </c>
      <c r="FD232" s="203"/>
      <c r="FE232" s="172" t="s">
        <v>71</v>
      </c>
      <c r="FF232" s="160"/>
      <c r="FG232" s="141"/>
      <c r="FH232" s="146" t="str">
        <f t="shared" si="463"/>
        <v xml:space="preserve">                                                                                                                                                                                                                                                                                                                                                                                                                </v>
      </c>
      <c r="FI232" s="174" t="str">
        <f t="shared" si="420"/>
        <v>NG</v>
      </c>
      <c r="FJ232" s="203"/>
      <c r="FK232" s="172" t="s">
        <v>71</v>
      </c>
      <c r="FL232" s="160"/>
      <c r="FM232" s="141"/>
      <c r="FN232" s="146" t="str">
        <f t="shared" si="464"/>
        <v xml:space="preserve">                                                                                                                                                                                                                                                                                                                                                                                                                </v>
      </c>
      <c r="FO232" s="174" t="str">
        <f t="shared" si="438"/>
        <v>NG</v>
      </c>
      <c r="FP232" s="203"/>
      <c r="FQ232" s="172" t="s">
        <v>71</v>
      </c>
      <c r="FR232" s="160"/>
      <c r="FS232" s="141"/>
      <c r="FT232" s="146" t="str">
        <f t="shared" si="465"/>
        <v xml:space="preserve">                                                                                                                                                                                                                                                                                                                                                                                                                </v>
      </c>
      <c r="FU232" s="174" t="str">
        <f t="shared" si="439"/>
        <v>NG</v>
      </c>
      <c r="FV232" s="203"/>
      <c r="FW232" s="172" t="s">
        <v>71</v>
      </c>
      <c r="FX232" s="160"/>
      <c r="FY232" s="141"/>
      <c r="FZ232" s="146" t="str">
        <f t="shared" si="466"/>
        <v xml:space="preserve">                                                                                                                                                                                                                                                                                                                                                                                                                </v>
      </c>
      <c r="GA232" s="174" t="str">
        <f t="shared" si="440"/>
        <v>NG</v>
      </c>
      <c r="GB232" s="203"/>
      <c r="GC232" s="172" t="s">
        <v>71</v>
      </c>
    </row>
    <row r="233" spans="2:185" s="52" customFormat="1">
      <c r="B233" s="216">
        <f t="shared" si="467"/>
        <v>226</v>
      </c>
      <c r="C233" s="37"/>
      <c r="D233" s="37"/>
      <c r="E233" s="37"/>
      <c r="F233" s="49" t="s">
        <v>225</v>
      </c>
      <c r="G233" s="39"/>
      <c r="H233" s="40"/>
      <c r="I233" s="42"/>
      <c r="J233" s="42"/>
      <c r="K233" s="42"/>
      <c r="L233" s="42"/>
      <c r="M233" s="63" t="s">
        <v>336</v>
      </c>
      <c r="N233" s="47"/>
      <c r="O233" s="143"/>
      <c r="P233" s="45">
        <f t="shared" si="470"/>
        <v>203</v>
      </c>
      <c r="Q233" s="46">
        <v>400</v>
      </c>
      <c r="R233" s="41" t="str">
        <f t="shared" si="471"/>
        <v>NX</v>
      </c>
      <c r="S233" s="185" t="s">
        <v>226</v>
      </c>
      <c r="T233" s="43"/>
      <c r="U233" s="41" t="s">
        <v>80</v>
      </c>
      <c r="V233" s="44"/>
      <c r="W233" s="22">
        <v>3</v>
      </c>
      <c r="X233" s="47" t="s">
        <v>227</v>
      </c>
      <c r="Y233" s="47">
        <v>1</v>
      </c>
      <c r="Z233" s="47">
        <v>400</v>
      </c>
      <c r="AA233" s="42" t="s">
        <v>195</v>
      </c>
      <c r="AB233" s="42" t="s">
        <v>80</v>
      </c>
      <c r="AC233" s="166"/>
      <c r="AD233" s="160"/>
      <c r="AE233" s="141"/>
      <c r="AF233" s="146" t="str">
        <f t="shared" si="442"/>
        <v xml:space="preserve">                                                                                                                                                                                                                                                                                                                                                                                                                </v>
      </c>
      <c r="AG233" s="174" t="str">
        <f t="shared" si="424"/>
        <v>NG</v>
      </c>
      <c r="AH233" s="203"/>
      <c r="AI233" s="172" t="s">
        <v>71</v>
      </c>
      <c r="AJ233" s="160"/>
      <c r="AK233" s="141"/>
      <c r="AL233" s="146" t="str">
        <f t="shared" si="441"/>
        <v xml:space="preserve">                                                                                                                                                                                                                                                                                                                                                                                                                </v>
      </c>
      <c r="AM233" s="174" t="str">
        <f t="shared" si="468"/>
        <v>NG</v>
      </c>
      <c r="AN233" s="203"/>
      <c r="AO233" s="172" t="s">
        <v>71</v>
      </c>
      <c r="AP233" s="160"/>
      <c r="AQ233" s="141"/>
      <c r="AR233" s="146" t="str">
        <f t="shared" si="443"/>
        <v xml:space="preserve">                                                                                                                                                                                                                                                                                                                                                                                                                </v>
      </c>
      <c r="AS233" s="174" t="str">
        <f t="shared" si="425"/>
        <v>NG</v>
      </c>
      <c r="AT233" s="203"/>
      <c r="AU233" s="172" t="s">
        <v>71</v>
      </c>
      <c r="AV233" s="160"/>
      <c r="AW233" s="141"/>
      <c r="AX233" s="146" t="str">
        <f t="shared" si="444"/>
        <v xml:space="preserve">                                                                                                                                                                                                                                                                                                                                                                                                                </v>
      </c>
      <c r="AY233" s="174" t="str">
        <f t="shared" si="426"/>
        <v>NG</v>
      </c>
      <c r="AZ233" s="203"/>
      <c r="BA233" s="172" t="s">
        <v>71</v>
      </c>
      <c r="BB233" s="160"/>
      <c r="BC233" s="141"/>
      <c r="BD233" s="146" t="str">
        <f t="shared" si="445"/>
        <v xml:space="preserve">                                                                                                                                                                                                                                                                                                                                                                                                                </v>
      </c>
      <c r="BE233" s="174" t="str">
        <f t="shared" si="427"/>
        <v>NG</v>
      </c>
      <c r="BF233" s="203"/>
      <c r="BG233" s="172" t="s">
        <v>71</v>
      </c>
      <c r="BH233" s="160"/>
      <c r="BI233" s="141"/>
      <c r="BJ233" s="146" t="str">
        <f t="shared" si="446"/>
        <v xml:space="preserve">                                                                                                                                                                                                                                                                                                                                                                                                                </v>
      </c>
      <c r="BK233" s="174" t="str">
        <f t="shared" si="428"/>
        <v>NG</v>
      </c>
      <c r="BL233" s="203"/>
      <c r="BM233" s="172" t="s">
        <v>71</v>
      </c>
      <c r="BN233" s="160"/>
      <c r="BO233" s="141"/>
      <c r="BP233" s="146" t="str">
        <f t="shared" si="447"/>
        <v xml:space="preserve">                                                                                                                                                                                                                                                                                                                                                                                                                </v>
      </c>
      <c r="BQ233" s="174" t="str">
        <f t="shared" si="429"/>
        <v>NG</v>
      </c>
      <c r="BR233" s="203"/>
      <c r="BS233" s="172" t="s">
        <v>71</v>
      </c>
      <c r="BT233" s="160"/>
      <c r="BU233" s="141"/>
      <c r="BV233" s="146" t="str">
        <f t="shared" si="448"/>
        <v xml:space="preserve">                                                                                                                                                                                                                                                                                                                                                                                                                </v>
      </c>
      <c r="BW233" s="174" t="str">
        <f t="shared" si="430"/>
        <v>NG</v>
      </c>
      <c r="BX233" s="203"/>
      <c r="BY233" s="172" t="s">
        <v>71</v>
      </c>
      <c r="BZ233" s="160"/>
      <c r="CA233" s="141"/>
      <c r="CB233" s="146" t="str">
        <f t="shared" si="449"/>
        <v xml:space="preserve">                                                                                                                                                                                                                                                                                                                                                                                                                </v>
      </c>
      <c r="CC233" s="174" t="str">
        <f t="shared" si="431"/>
        <v>NG</v>
      </c>
      <c r="CD233" s="203"/>
      <c r="CE233" s="172" t="s">
        <v>71</v>
      </c>
      <c r="CF233" s="160"/>
      <c r="CG233" s="141"/>
      <c r="CH233" s="146" t="str">
        <f t="shared" si="450"/>
        <v xml:space="preserve">                                                                                                                                                                                                                                                                                                                                                                                                                </v>
      </c>
      <c r="CI233" s="174" t="str">
        <f t="shared" si="432"/>
        <v>NG</v>
      </c>
      <c r="CJ233" s="203"/>
      <c r="CK233" s="172" t="s">
        <v>71</v>
      </c>
      <c r="CL233" s="160"/>
      <c r="CM233" s="141"/>
      <c r="CN233" s="146" t="str">
        <f t="shared" si="451"/>
        <v xml:space="preserve">                                                                                                                                                                                                                                                                                                                                                                                                                </v>
      </c>
      <c r="CO233" s="174" t="str">
        <f t="shared" si="433"/>
        <v>NG</v>
      </c>
      <c r="CP233" s="203"/>
      <c r="CQ233" s="172" t="s">
        <v>71</v>
      </c>
      <c r="CR233" s="160"/>
      <c r="CS233" s="141"/>
      <c r="CT233" s="146" t="str">
        <f t="shared" si="452"/>
        <v xml:space="preserve">                                                                                                                                                                                                                                                                                                                                                                                                                </v>
      </c>
      <c r="CU233" s="174" t="str">
        <f t="shared" si="434"/>
        <v>NG</v>
      </c>
      <c r="CV233" s="203"/>
      <c r="CW233" s="172" t="s">
        <v>71</v>
      </c>
      <c r="CX233" s="160"/>
      <c r="CY233" s="141"/>
      <c r="CZ233" s="146" t="str">
        <f t="shared" si="453"/>
        <v xml:space="preserve">                                                                                                                                                                                                                                                                                                                                                                                                                </v>
      </c>
      <c r="DA233" s="174" t="str">
        <f t="shared" si="435"/>
        <v>NG</v>
      </c>
      <c r="DB233" s="203"/>
      <c r="DC233" s="172" t="s">
        <v>71</v>
      </c>
      <c r="DD233" s="160"/>
      <c r="DE233" s="141"/>
      <c r="DF233" s="146" t="str">
        <f t="shared" si="454"/>
        <v xml:space="preserve">                                                                                                                                                                                                                                                                                                                                                                                                                </v>
      </c>
      <c r="DG233" s="174" t="str">
        <f t="shared" si="436"/>
        <v>NG</v>
      </c>
      <c r="DH233" s="203"/>
      <c r="DI233" s="172" t="s">
        <v>71</v>
      </c>
      <c r="DJ233" s="160"/>
      <c r="DK233" s="141"/>
      <c r="DL233" s="146" t="str">
        <f t="shared" si="455"/>
        <v xml:space="preserve">                                                                                                                                                                                                                                                                                                                                                                                                                </v>
      </c>
      <c r="DM233" s="174" t="str">
        <f t="shared" si="437"/>
        <v>NG</v>
      </c>
      <c r="DN233" s="203"/>
      <c r="DO233" s="172" t="s">
        <v>71</v>
      </c>
      <c r="DP233" s="160"/>
      <c r="DQ233" s="141"/>
      <c r="DR233" s="146" t="str">
        <f t="shared" si="456"/>
        <v xml:space="preserve">                                                                                                                                                                                                                                                                                                                                                                                                                </v>
      </c>
      <c r="DS233" s="174" t="str">
        <f t="shared" si="413"/>
        <v>NG</v>
      </c>
      <c r="DT233" s="203"/>
      <c r="DU233" s="172" t="s">
        <v>71</v>
      </c>
      <c r="DV233" s="160"/>
      <c r="DW233" s="141"/>
      <c r="DX233" s="146" t="str">
        <f t="shared" si="457"/>
        <v xml:space="preserve">                                                                                                                                                                                                                                                                                                                                                                                                                </v>
      </c>
      <c r="DY233" s="174" t="str">
        <f t="shared" si="414"/>
        <v>NG</v>
      </c>
      <c r="DZ233" s="203"/>
      <c r="EA233" s="172" t="s">
        <v>71</v>
      </c>
      <c r="EB233" s="160"/>
      <c r="EC233" s="141"/>
      <c r="ED233" s="146" t="str">
        <f t="shared" si="458"/>
        <v xml:space="preserve">                                                                                                                                                                                                                                                                                                                                                                                                                </v>
      </c>
      <c r="EE233" s="174" t="str">
        <f t="shared" si="415"/>
        <v>NG</v>
      </c>
      <c r="EF233" s="203"/>
      <c r="EG233" s="172" t="s">
        <v>71</v>
      </c>
      <c r="EH233" s="160"/>
      <c r="EI233" s="141"/>
      <c r="EJ233" s="146" t="str">
        <f t="shared" si="459"/>
        <v xml:space="preserve">                                                                                                                                                                                                                                                                                                                                                                                                                </v>
      </c>
      <c r="EK233" s="174" t="str">
        <f t="shared" si="416"/>
        <v>NG</v>
      </c>
      <c r="EL233" s="203"/>
      <c r="EM233" s="172" t="s">
        <v>71</v>
      </c>
      <c r="EN233" s="160"/>
      <c r="EO233" s="141"/>
      <c r="EP233" s="146" t="str">
        <f t="shared" si="460"/>
        <v xml:space="preserve">                                                                                                                                                                                                                                                                                                                                                                                                                </v>
      </c>
      <c r="EQ233" s="174" t="str">
        <f t="shared" si="417"/>
        <v>NG</v>
      </c>
      <c r="ER233" s="203"/>
      <c r="ES233" s="172" t="s">
        <v>71</v>
      </c>
      <c r="ET233" s="160"/>
      <c r="EU233" s="141"/>
      <c r="EV233" s="146" t="str">
        <f t="shared" si="461"/>
        <v xml:space="preserve">                                                                                                                                                                                                                                                                                                                                                                                                                </v>
      </c>
      <c r="EW233" s="174" t="str">
        <f t="shared" si="418"/>
        <v>NG</v>
      </c>
      <c r="EX233" s="203"/>
      <c r="EY233" s="172" t="s">
        <v>71</v>
      </c>
      <c r="EZ233" s="160"/>
      <c r="FA233" s="141"/>
      <c r="FB233" s="146" t="str">
        <f t="shared" si="462"/>
        <v xml:space="preserve">                                                                                                                                                                                                                                                                                                                                                                                                                </v>
      </c>
      <c r="FC233" s="174" t="str">
        <f t="shared" si="419"/>
        <v>NG</v>
      </c>
      <c r="FD233" s="203"/>
      <c r="FE233" s="172" t="s">
        <v>71</v>
      </c>
      <c r="FF233" s="160"/>
      <c r="FG233" s="141"/>
      <c r="FH233" s="146" t="str">
        <f t="shared" si="463"/>
        <v xml:space="preserve">                                                                                                                                                                                                                                                                                                                                                                                                                </v>
      </c>
      <c r="FI233" s="174" t="str">
        <f t="shared" si="420"/>
        <v>NG</v>
      </c>
      <c r="FJ233" s="203"/>
      <c r="FK233" s="172" t="s">
        <v>71</v>
      </c>
      <c r="FL233" s="160"/>
      <c r="FM233" s="141"/>
      <c r="FN233" s="146" t="str">
        <f t="shared" si="464"/>
        <v xml:space="preserve">                                                                                                                                                                                                                                                                                                                                                                                                                </v>
      </c>
      <c r="FO233" s="174" t="str">
        <f t="shared" si="438"/>
        <v>NG</v>
      </c>
      <c r="FP233" s="203"/>
      <c r="FQ233" s="172" t="s">
        <v>71</v>
      </c>
      <c r="FR233" s="160"/>
      <c r="FS233" s="141"/>
      <c r="FT233" s="146" t="str">
        <f t="shared" si="465"/>
        <v xml:space="preserve">                                                                                                                                                                                                                                                                                                                                                                                                                </v>
      </c>
      <c r="FU233" s="174" t="str">
        <f t="shared" si="439"/>
        <v>NG</v>
      </c>
      <c r="FV233" s="203"/>
      <c r="FW233" s="172" t="s">
        <v>71</v>
      </c>
      <c r="FX233" s="160"/>
      <c r="FY233" s="141"/>
      <c r="FZ233" s="146" t="str">
        <f t="shared" si="466"/>
        <v xml:space="preserve">                                                                                                                                                                                                                                                                                                                                                                                                                </v>
      </c>
      <c r="GA233" s="174" t="str">
        <f t="shared" si="440"/>
        <v>NG</v>
      </c>
      <c r="GB233" s="203"/>
      <c r="GC233" s="172" t="s">
        <v>71</v>
      </c>
    </row>
    <row r="234" spans="2:185" s="52" customFormat="1" ht="89.25">
      <c r="B234" s="216">
        <f t="shared" si="467"/>
        <v>227</v>
      </c>
      <c r="C234" s="37"/>
      <c r="D234" s="37"/>
      <c r="E234" s="37"/>
      <c r="F234" s="49" t="s">
        <v>228</v>
      </c>
      <c r="G234" s="39"/>
      <c r="H234" s="40"/>
      <c r="I234" s="42"/>
      <c r="J234" s="42"/>
      <c r="K234" s="42"/>
      <c r="L234" s="42"/>
      <c r="M234" s="63" t="s">
        <v>338</v>
      </c>
      <c r="N234" s="47"/>
      <c r="O234" s="143"/>
      <c r="P234" s="45">
        <f t="shared" si="470"/>
        <v>204</v>
      </c>
      <c r="Q234" s="46">
        <v>1</v>
      </c>
      <c r="R234" s="41" t="str">
        <f t="shared" si="471"/>
        <v>X</v>
      </c>
      <c r="S234" s="185" t="s">
        <v>229</v>
      </c>
      <c r="T234" s="43"/>
      <c r="U234" s="41" t="s">
        <v>80</v>
      </c>
      <c r="V234" s="44"/>
      <c r="W234" s="22">
        <v>3</v>
      </c>
      <c r="X234" s="47" t="s">
        <v>230</v>
      </c>
      <c r="Y234" s="47">
        <v>1</v>
      </c>
      <c r="Z234" s="47">
        <v>1</v>
      </c>
      <c r="AA234" s="42" t="s">
        <v>163</v>
      </c>
      <c r="AB234" s="42" t="s">
        <v>57</v>
      </c>
      <c r="AC234" s="217"/>
      <c r="AD234" s="160"/>
      <c r="AE234" s="162"/>
      <c r="AF234" s="203" t="str">
        <f t="shared" si="442"/>
        <v xml:space="preserve"> </v>
      </c>
      <c r="AG234" s="174" t="str">
        <f t="shared" si="424"/>
        <v>NG</v>
      </c>
      <c r="AH234" s="204"/>
      <c r="AI234" s="172" t="s">
        <v>71</v>
      </c>
      <c r="AJ234" s="160"/>
      <c r="AK234" s="162"/>
      <c r="AL234" s="203" t="str">
        <f t="shared" si="441"/>
        <v xml:space="preserve"> </v>
      </c>
      <c r="AM234" s="174" t="str">
        <f t="shared" si="468"/>
        <v>NG</v>
      </c>
      <c r="AN234" s="204"/>
      <c r="AO234" s="172" t="s">
        <v>71</v>
      </c>
      <c r="AP234" s="160"/>
      <c r="AQ234" s="162"/>
      <c r="AR234" s="203" t="str">
        <f t="shared" si="443"/>
        <v xml:space="preserve"> </v>
      </c>
      <c r="AS234" s="174" t="str">
        <f t="shared" si="425"/>
        <v>NG</v>
      </c>
      <c r="AT234" s="204"/>
      <c r="AU234" s="172" t="s">
        <v>71</v>
      </c>
      <c r="AV234" s="160"/>
      <c r="AW234" s="162"/>
      <c r="AX234" s="203" t="str">
        <f t="shared" si="444"/>
        <v xml:space="preserve"> </v>
      </c>
      <c r="AY234" s="174" t="str">
        <f t="shared" si="426"/>
        <v>NG</v>
      </c>
      <c r="AZ234" s="204"/>
      <c r="BA234" s="172" t="s">
        <v>71</v>
      </c>
      <c r="BB234" s="160"/>
      <c r="BC234" s="162"/>
      <c r="BD234" s="203" t="str">
        <f t="shared" si="445"/>
        <v xml:space="preserve"> </v>
      </c>
      <c r="BE234" s="174" t="str">
        <f t="shared" si="427"/>
        <v>NG</v>
      </c>
      <c r="BF234" s="204"/>
      <c r="BG234" s="172" t="s">
        <v>71</v>
      </c>
      <c r="BH234" s="160"/>
      <c r="BI234" s="162"/>
      <c r="BJ234" s="203" t="str">
        <f t="shared" si="446"/>
        <v xml:space="preserve"> </v>
      </c>
      <c r="BK234" s="174" t="str">
        <f t="shared" si="428"/>
        <v>NG</v>
      </c>
      <c r="BL234" s="204"/>
      <c r="BM234" s="172" t="s">
        <v>71</v>
      </c>
      <c r="BN234" s="160"/>
      <c r="BO234" s="162"/>
      <c r="BP234" s="203" t="str">
        <f t="shared" si="447"/>
        <v xml:space="preserve"> </v>
      </c>
      <c r="BQ234" s="174" t="str">
        <f t="shared" si="429"/>
        <v>NG</v>
      </c>
      <c r="BR234" s="204"/>
      <c r="BS234" s="172" t="s">
        <v>71</v>
      </c>
      <c r="BT234" s="160"/>
      <c r="BU234" s="162"/>
      <c r="BV234" s="203" t="str">
        <f t="shared" si="448"/>
        <v xml:space="preserve"> </v>
      </c>
      <c r="BW234" s="174" t="str">
        <f t="shared" si="430"/>
        <v>NG</v>
      </c>
      <c r="BX234" s="204"/>
      <c r="BY234" s="172" t="s">
        <v>71</v>
      </c>
      <c r="BZ234" s="160"/>
      <c r="CA234" s="162"/>
      <c r="CB234" s="203" t="str">
        <f t="shared" si="449"/>
        <v xml:space="preserve"> </v>
      </c>
      <c r="CC234" s="174" t="str">
        <f t="shared" si="431"/>
        <v>NG</v>
      </c>
      <c r="CD234" s="204"/>
      <c r="CE234" s="172" t="s">
        <v>71</v>
      </c>
      <c r="CF234" s="160"/>
      <c r="CG234" s="162"/>
      <c r="CH234" s="203" t="str">
        <f t="shared" si="450"/>
        <v xml:space="preserve"> </v>
      </c>
      <c r="CI234" s="174" t="str">
        <f t="shared" si="432"/>
        <v>NG</v>
      </c>
      <c r="CJ234" s="204"/>
      <c r="CK234" s="172" t="s">
        <v>71</v>
      </c>
      <c r="CL234" s="160"/>
      <c r="CM234" s="162"/>
      <c r="CN234" s="203" t="str">
        <f t="shared" si="451"/>
        <v xml:space="preserve"> </v>
      </c>
      <c r="CO234" s="174" t="str">
        <f t="shared" si="433"/>
        <v>NG</v>
      </c>
      <c r="CP234" s="204"/>
      <c r="CQ234" s="172" t="s">
        <v>71</v>
      </c>
      <c r="CR234" s="160"/>
      <c r="CS234" s="162"/>
      <c r="CT234" s="203" t="str">
        <f t="shared" si="452"/>
        <v xml:space="preserve"> </v>
      </c>
      <c r="CU234" s="174" t="str">
        <f t="shared" si="434"/>
        <v>NG</v>
      </c>
      <c r="CV234" s="204"/>
      <c r="CW234" s="172" t="s">
        <v>71</v>
      </c>
      <c r="CX234" s="160"/>
      <c r="CY234" s="162"/>
      <c r="CZ234" s="203" t="str">
        <f t="shared" si="453"/>
        <v xml:space="preserve"> </v>
      </c>
      <c r="DA234" s="174" t="str">
        <f t="shared" si="435"/>
        <v>NG</v>
      </c>
      <c r="DB234" s="204"/>
      <c r="DC234" s="172" t="s">
        <v>71</v>
      </c>
      <c r="DD234" s="160"/>
      <c r="DE234" s="162"/>
      <c r="DF234" s="203" t="str">
        <f t="shared" si="454"/>
        <v xml:space="preserve"> </v>
      </c>
      <c r="DG234" s="174" t="str">
        <f t="shared" si="436"/>
        <v>NG</v>
      </c>
      <c r="DH234" s="204"/>
      <c r="DI234" s="172" t="s">
        <v>71</v>
      </c>
      <c r="DJ234" s="160"/>
      <c r="DK234" s="162"/>
      <c r="DL234" s="203" t="str">
        <f t="shared" si="455"/>
        <v xml:space="preserve"> </v>
      </c>
      <c r="DM234" s="174" t="str">
        <f t="shared" si="437"/>
        <v>NG</v>
      </c>
      <c r="DN234" s="204"/>
      <c r="DO234" s="172" t="s">
        <v>71</v>
      </c>
      <c r="DP234" s="160"/>
      <c r="DQ234" s="162"/>
      <c r="DR234" s="203" t="str">
        <f t="shared" si="456"/>
        <v xml:space="preserve"> </v>
      </c>
      <c r="DS234" s="174" t="str">
        <f t="shared" si="413"/>
        <v>NG</v>
      </c>
      <c r="DT234" s="204"/>
      <c r="DU234" s="172" t="s">
        <v>71</v>
      </c>
      <c r="DV234" s="160"/>
      <c r="DW234" s="162"/>
      <c r="DX234" s="203" t="str">
        <f t="shared" si="457"/>
        <v xml:space="preserve"> </v>
      </c>
      <c r="DY234" s="174" t="str">
        <f t="shared" si="414"/>
        <v>NG</v>
      </c>
      <c r="DZ234" s="204"/>
      <c r="EA234" s="172" t="s">
        <v>71</v>
      </c>
      <c r="EB234" s="160"/>
      <c r="EC234" s="162"/>
      <c r="ED234" s="203" t="str">
        <f t="shared" si="458"/>
        <v xml:space="preserve"> </v>
      </c>
      <c r="EE234" s="174" t="str">
        <f t="shared" si="415"/>
        <v>NG</v>
      </c>
      <c r="EF234" s="204"/>
      <c r="EG234" s="172" t="s">
        <v>71</v>
      </c>
      <c r="EH234" s="160"/>
      <c r="EI234" s="162"/>
      <c r="EJ234" s="203" t="str">
        <f t="shared" si="459"/>
        <v xml:space="preserve"> </v>
      </c>
      <c r="EK234" s="174" t="str">
        <f t="shared" si="416"/>
        <v>NG</v>
      </c>
      <c r="EL234" s="204"/>
      <c r="EM234" s="172" t="s">
        <v>71</v>
      </c>
      <c r="EN234" s="160"/>
      <c r="EO234" s="162"/>
      <c r="EP234" s="203" t="str">
        <f t="shared" si="460"/>
        <v xml:space="preserve"> </v>
      </c>
      <c r="EQ234" s="174" t="str">
        <f t="shared" si="417"/>
        <v>NG</v>
      </c>
      <c r="ER234" s="204"/>
      <c r="ES234" s="172" t="s">
        <v>71</v>
      </c>
      <c r="ET234" s="160"/>
      <c r="EU234" s="162"/>
      <c r="EV234" s="203" t="str">
        <f t="shared" si="461"/>
        <v xml:space="preserve"> </v>
      </c>
      <c r="EW234" s="174" t="str">
        <f t="shared" si="418"/>
        <v>NG</v>
      </c>
      <c r="EX234" s="204"/>
      <c r="EY234" s="172" t="s">
        <v>71</v>
      </c>
      <c r="EZ234" s="160"/>
      <c r="FA234" s="162"/>
      <c r="FB234" s="203" t="str">
        <f t="shared" si="462"/>
        <v xml:space="preserve"> </v>
      </c>
      <c r="FC234" s="174" t="str">
        <f t="shared" si="419"/>
        <v>NG</v>
      </c>
      <c r="FD234" s="204"/>
      <c r="FE234" s="172" t="s">
        <v>71</v>
      </c>
      <c r="FF234" s="160"/>
      <c r="FG234" s="162"/>
      <c r="FH234" s="203" t="str">
        <f t="shared" si="463"/>
        <v xml:space="preserve"> </v>
      </c>
      <c r="FI234" s="174" t="str">
        <f t="shared" si="420"/>
        <v>NG</v>
      </c>
      <c r="FJ234" s="204"/>
      <c r="FK234" s="172" t="s">
        <v>71</v>
      </c>
      <c r="FL234" s="160"/>
      <c r="FM234" s="162"/>
      <c r="FN234" s="203" t="str">
        <f t="shared" si="464"/>
        <v xml:space="preserve"> </v>
      </c>
      <c r="FO234" s="174" t="str">
        <f t="shared" si="438"/>
        <v>NG</v>
      </c>
      <c r="FP234" s="204"/>
      <c r="FQ234" s="172" t="s">
        <v>71</v>
      </c>
      <c r="FR234" s="160"/>
      <c r="FS234" s="162"/>
      <c r="FT234" s="203" t="str">
        <f t="shared" si="465"/>
        <v xml:space="preserve"> </v>
      </c>
      <c r="FU234" s="174" t="str">
        <f t="shared" si="439"/>
        <v>NG</v>
      </c>
      <c r="FV234" s="204"/>
      <c r="FW234" s="172" t="s">
        <v>71</v>
      </c>
      <c r="FX234" s="160"/>
      <c r="FY234" s="162"/>
      <c r="FZ234" s="203" t="str">
        <f t="shared" si="466"/>
        <v xml:space="preserve"> </v>
      </c>
      <c r="GA234" s="174" t="str">
        <f t="shared" si="440"/>
        <v>NG</v>
      </c>
      <c r="GB234" s="204"/>
      <c r="GC234" s="172" t="s">
        <v>71</v>
      </c>
    </row>
    <row r="235" spans="2:185" s="52" customFormat="1">
      <c r="B235" s="216">
        <f t="shared" si="467"/>
        <v>228</v>
      </c>
      <c r="C235" s="37"/>
      <c r="D235" s="37"/>
      <c r="E235" s="37"/>
      <c r="F235" s="49" t="s">
        <v>231</v>
      </c>
      <c r="G235" s="39"/>
      <c r="H235" s="40"/>
      <c r="I235" s="42"/>
      <c r="J235" s="42"/>
      <c r="K235" s="42"/>
      <c r="L235" s="42"/>
      <c r="M235" s="63"/>
      <c r="N235" s="47"/>
      <c r="O235" s="143"/>
      <c r="P235" s="45">
        <f t="shared" si="470"/>
        <v>205</v>
      </c>
      <c r="Q235" s="46">
        <v>128</v>
      </c>
      <c r="R235" s="41" t="str">
        <f t="shared" si="471"/>
        <v>X</v>
      </c>
      <c r="S235" s="185" t="s">
        <v>232</v>
      </c>
      <c r="T235" s="43"/>
      <c r="U235" s="41" t="s">
        <v>80</v>
      </c>
      <c r="V235" s="44"/>
      <c r="W235" s="22">
        <v>3</v>
      </c>
      <c r="X235" s="47" t="s">
        <v>233</v>
      </c>
      <c r="Y235" s="47">
        <v>1</v>
      </c>
      <c r="Z235" s="47">
        <v>128</v>
      </c>
      <c r="AA235" s="42" t="s">
        <v>163</v>
      </c>
      <c r="AB235" s="42" t="s">
        <v>57</v>
      </c>
      <c r="AC235" s="166"/>
      <c r="AD235" s="160"/>
      <c r="AE235" s="141"/>
      <c r="AF235" s="203" t="str">
        <f t="shared" si="442"/>
        <v xml:space="preserve">                                                                                                                                </v>
      </c>
      <c r="AG235" s="174" t="str">
        <f t="shared" si="424"/>
        <v>NG</v>
      </c>
      <c r="AH235" s="203"/>
      <c r="AI235" s="276" t="str">
        <f>IF(OR(AE$8="判定対象外",AH$8="判定対象外",AH235="-"),"-",IF(AE235=AH235,"OK","NG"))</f>
        <v>OK</v>
      </c>
      <c r="AJ235" s="160"/>
      <c r="AK235" s="141"/>
      <c r="AL235" s="203" t="str">
        <f t="shared" si="441"/>
        <v xml:space="preserve">                                                                                                                                </v>
      </c>
      <c r="AM235" s="174" t="str">
        <f t="shared" si="468"/>
        <v>NG</v>
      </c>
      <c r="AN235" s="203"/>
      <c r="AO235" s="276" t="str">
        <f>IF(OR(AK$8="判定対象外",AN$8="判定対象外",AN235="-"),"-",IF(AK235=AN235,"OK","NG"))</f>
        <v>OK</v>
      </c>
      <c r="AP235" s="160"/>
      <c r="AQ235" s="141"/>
      <c r="AR235" s="203" t="str">
        <f t="shared" si="443"/>
        <v xml:space="preserve">                                                                                                                                </v>
      </c>
      <c r="AS235" s="174" t="str">
        <f t="shared" si="425"/>
        <v>NG</v>
      </c>
      <c r="AT235" s="203"/>
      <c r="AU235" s="276" t="str">
        <f>IF(OR(AQ$8="判定対象外",AT$8="判定対象外",AT235="-"),"-",IF(AQ235=AT235,"OK","NG"))</f>
        <v>OK</v>
      </c>
      <c r="AV235" s="160"/>
      <c r="AW235" s="141"/>
      <c r="AX235" s="203" t="str">
        <f t="shared" si="444"/>
        <v xml:space="preserve">                                                                                                                                </v>
      </c>
      <c r="AY235" s="174" t="str">
        <f t="shared" si="426"/>
        <v>NG</v>
      </c>
      <c r="AZ235" s="203"/>
      <c r="BA235" s="276" t="str">
        <f>IF(OR(AW$8="判定対象外",AZ$8="判定対象外",AZ235="-"),"-",IF(AW235=AZ235,"OK","NG"))</f>
        <v>OK</v>
      </c>
      <c r="BB235" s="160"/>
      <c r="BC235" s="141"/>
      <c r="BD235" s="203" t="str">
        <f t="shared" si="445"/>
        <v xml:space="preserve">                                                                                                                                </v>
      </c>
      <c r="BE235" s="174" t="str">
        <f t="shared" si="427"/>
        <v>NG</v>
      </c>
      <c r="BF235" s="203"/>
      <c r="BG235" s="276" t="str">
        <f>IF(OR(BC$8="判定対象外",BF$8="判定対象外",BF235="-"),"-",IF(BC235=BF235,"OK","NG"))</f>
        <v>OK</v>
      </c>
      <c r="BH235" s="160"/>
      <c r="BI235" s="141"/>
      <c r="BJ235" s="203" t="str">
        <f t="shared" si="446"/>
        <v xml:space="preserve">                                                                                                                                </v>
      </c>
      <c r="BK235" s="174" t="str">
        <f t="shared" si="428"/>
        <v>NG</v>
      </c>
      <c r="BL235" s="203"/>
      <c r="BM235" s="276" t="str">
        <f>IF(OR(BI$8="判定対象外",BL$8="判定対象外",BL235="-"),"-",IF(BI235=BL235,"OK","NG"))</f>
        <v>OK</v>
      </c>
      <c r="BN235" s="160"/>
      <c r="BO235" s="141"/>
      <c r="BP235" s="203" t="str">
        <f t="shared" si="447"/>
        <v xml:space="preserve">                                                                                                                                </v>
      </c>
      <c r="BQ235" s="174" t="str">
        <f t="shared" si="429"/>
        <v>NG</v>
      </c>
      <c r="BR235" s="203"/>
      <c r="BS235" s="276" t="str">
        <f>IF(OR(BO$8="判定対象外",BR$8="判定対象外",BR235="-"),"-",IF(BO235=BR235,"OK","NG"))</f>
        <v>OK</v>
      </c>
      <c r="BT235" s="160"/>
      <c r="BU235" s="141"/>
      <c r="BV235" s="203" t="str">
        <f t="shared" si="448"/>
        <v xml:space="preserve">                                                                                                                                </v>
      </c>
      <c r="BW235" s="174" t="str">
        <f t="shared" si="430"/>
        <v>NG</v>
      </c>
      <c r="BX235" s="203"/>
      <c r="BY235" s="276" t="str">
        <f>IF(OR(BU$8="判定対象外",BX$8="判定対象外",BX235="-"),"-",IF(BU235=BX235,"OK","NG"))</f>
        <v>OK</v>
      </c>
      <c r="BZ235" s="160"/>
      <c r="CA235" s="141"/>
      <c r="CB235" s="203" t="str">
        <f t="shared" si="449"/>
        <v xml:space="preserve">                                                                                                                                </v>
      </c>
      <c r="CC235" s="174" t="str">
        <f t="shared" si="431"/>
        <v>NG</v>
      </c>
      <c r="CD235" s="203"/>
      <c r="CE235" s="276" t="str">
        <f>IF(OR(CA$8="判定対象外",CD$8="判定対象外",CD235="-"),"-",IF(CA235=CD235,"OK","NG"))</f>
        <v>OK</v>
      </c>
      <c r="CF235" s="160"/>
      <c r="CG235" s="141"/>
      <c r="CH235" s="203" t="str">
        <f t="shared" si="450"/>
        <v xml:space="preserve">                                                                                                                                </v>
      </c>
      <c r="CI235" s="174" t="str">
        <f t="shared" si="432"/>
        <v>NG</v>
      </c>
      <c r="CJ235" s="203"/>
      <c r="CK235" s="276" t="str">
        <f>IF(OR(CG$8="判定対象外",CJ$8="判定対象外",CJ235="-"),"-",IF(CG235=CJ235,"OK","NG"))</f>
        <v>OK</v>
      </c>
      <c r="CL235" s="160"/>
      <c r="CM235" s="141"/>
      <c r="CN235" s="203" t="str">
        <f t="shared" si="451"/>
        <v xml:space="preserve">                                                                                                                                </v>
      </c>
      <c r="CO235" s="174" t="str">
        <f t="shared" si="433"/>
        <v>NG</v>
      </c>
      <c r="CP235" s="203"/>
      <c r="CQ235" s="276" t="str">
        <f>IF(OR(CM$8="判定対象外",CP$8="判定対象外",CP235="-"),"-",IF(CM235=CP235,"OK","NG"))</f>
        <v>OK</v>
      </c>
      <c r="CR235" s="160"/>
      <c r="CS235" s="141"/>
      <c r="CT235" s="203" t="str">
        <f t="shared" si="452"/>
        <v xml:space="preserve">                                                                                                                                </v>
      </c>
      <c r="CU235" s="174" t="str">
        <f t="shared" si="434"/>
        <v>NG</v>
      </c>
      <c r="CV235" s="203"/>
      <c r="CW235" s="276" t="str">
        <f>IF(OR(CS$8="判定対象外",CV$8="判定対象外",CV235="-"),"-",IF(CS235=CV235,"OK","NG"))</f>
        <v>OK</v>
      </c>
      <c r="CX235" s="160"/>
      <c r="CY235" s="141"/>
      <c r="CZ235" s="203" t="str">
        <f t="shared" si="453"/>
        <v xml:space="preserve">                                                                                                                                </v>
      </c>
      <c r="DA235" s="174" t="str">
        <f t="shared" si="435"/>
        <v>NG</v>
      </c>
      <c r="DB235" s="203"/>
      <c r="DC235" s="276" t="str">
        <f>IF(OR(CY$8="判定対象外",DB$8="判定対象外",DB235="-"),"-",IF(CY235=DB235,"OK","NG"))</f>
        <v>OK</v>
      </c>
      <c r="DD235" s="160"/>
      <c r="DE235" s="141"/>
      <c r="DF235" s="203" t="str">
        <f t="shared" si="454"/>
        <v xml:space="preserve">                                                                                                                                </v>
      </c>
      <c r="DG235" s="174" t="str">
        <f t="shared" si="436"/>
        <v>NG</v>
      </c>
      <c r="DH235" s="203"/>
      <c r="DI235" s="276" t="str">
        <f>IF(OR(DE$8="判定対象外",DH$8="判定対象外",DH235="-"),"-",IF(DE235=DH235,"OK","NG"))</f>
        <v>OK</v>
      </c>
      <c r="DJ235" s="160"/>
      <c r="DK235" s="141"/>
      <c r="DL235" s="203" t="str">
        <f t="shared" si="455"/>
        <v xml:space="preserve">                                                                                                                                </v>
      </c>
      <c r="DM235" s="174" t="str">
        <f t="shared" si="437"/>
        <v>NG</v>
      </c>
      <c r="DN235" s="203"/>
      <c r="DO235" s="276" t="str">
        <f>IF(OR(DK$8="判定対象外",DN$8="判定対象外",DN235="-"),"-",IF(DK235=DN235,"OK","NG"))</f>
        <v>OK</v>
      </c>
      <c r="DP235" s="160"/>
      <c r="DQ235" s="141"/>
      <c r="DR235" s="203" t="str">
        <f t="shared" si="456"/>
        <v xml:space="preserve">                                                                                                                                </v>
      </c>
      <c r="DS235" s="174" t="str">
        <f t="shared" si="413"/>
        <v>NG</v>
      </c>
      <c r="DT235" s="203"/>
      <c r="DU235" s="276" t="str">
        <f>IF(OR(DQ$8="判定対象外",DT$8="判定対象外",DT235="-"),"-",IF(DQ235=DT235,"OK","NG"))</f>
        <v>OK</v>
      </c>
      <c r="DV235" s="160"/>
      <c r="DW235" s="141"/>
      <c r="DX235" s="203" t="str">
        <f t="shared" si="457"/>
        <v xml:space="preserve">                                                                                                                                </v>
      </c>
      <c r="DY235" s="174" t="str">
        <f t="shared" si="414"/>
        <v>NG</v>
      </c>
      <c r="DZ235" s="203"/>
      <c r="EA235" s="276" t="str">
        <f>IF(OR(DW$8="判定対象外",DZ$8="判定対象外",DZ235="-"),"-",IF(DW235=DZ235,"OK","NG"))</f>
        <v>OK</v>
      </c>
      <c r="EB235" s="160"/>
      <c r="EC235" s="141"/>
      <c r="ED235" s="203" t="str">
        <f t="shared" si="458"/>
        <v xml:space="preserve">                                                                                                                                </v>
      </c>
      <c r="EE235" s="174" t="str">
        <f t="shared" si="415"/>
        <v>NG</v>
      </c>
      <c r="EF235" s="203"/>
      <c r="EG235" s="276" t="str">
        <f>IF(OR(EC$8="判定対象外",EF$8="判定対象外",EF235="-"),"-",IF(EC235=EF235,"OK","NG"))</f>
        <v>OK</v>
      </c>
      <c r="EH235" s="160"/>
      <c r="EI235" s="141"/>
      <c r="EJ235" s="203" t="str">
        <f t="shared" si="459"/>
        <v xml:space="preserve">                                                                                                                                </v>
      </c>
      <c r="EK235" s="174" t="str">
        <f t="shared" si="416"/>
        <v>NG</v>
      </c>
      <c r="EL235" s="203"/>
      <c r="EM235" s="276" t="str">
        <f>IF(OR(EI$8="判定対象外",EL$8="判定対象外",EL235="-"),"-",IF(EI235=EL235,"OK","NG"))</f>
        <v>OK</v>
      </c>
      <c r="EN235" s="160"/>
      <c r="EO235" s="141"/>
      <c r="EP235" s="203" t="str">
        <f t="shared" si="460"/>
        <v xml:space="preserve">                                                                                                                                </v>
      </c>
      <c r="EQ235" s="174" t="str">
        <f t="shared" si="417"/>
        <v>NG</v>
      </c>
      <c r="ER235" s="203"/>
      <c r="ES235" s="276" t="str">
        <f>IF(OR(EO$8="判定対象外",ER$8="判定対象外",ER235="-"),"-",IF(EO235=ER235,"OK","NG"))</f>
        <v>OK</v>
      </c>
      <c r="ET235" s="160"/>
      <c r="EU235" s="141"/>
      <c r="EV235" s="203" t="str">
        <f t="shared" si="461"/>
        <v xml:space="preserve">                                                                                                                                </v>
      </c>
      <c r="EW235" s="174" t="str">
        <f t="shared" si="418"/>
        <v>NG</v>
      </c>
      <c r="EX235" s="203"/>
      <c r="EY235" s="276" t="str">
        <f>IF(OR(EU$8="判定対象外",EX$8="判定対象外",EX235="-"),"-",IF(EU235=EX235,"OK","NG"))</f>
        <v>OK</v>
      </c>
      <c r="EZ235" s="160"/>
      <c r="FA235" s="141"/>
      <c r="FB235" s="203" t="str">
        <f t="shared" si="462"/>
        <v xml:space="preserve">                                                                                                                                </v>
      </c>
      <c r="FC235" s="174" t="str">
        <f t="shared" si="419"/>
        <v>NG</v>
      </c>
      <c r="FD235" s="203"/>
      <c r="FE235" s="276" t="str">
        <f>IF(OR(FA$8="判定対象外",FD$8="判定対象外",FD235="-"),"-",IF(FA235=FD235,"OK","NG"))</f>
        <v>OK</v>
      </c>
      <c r="FF235" s="160"/>
      <c r="FG235" s="141"/>
      <c r="FH235" s="203" t="str">
        <f t="shared" si="463"/>
        <v xml:space="preserve">                                                                                                                                </v>
      </c>
      <c r="FI235" s="174" t="str">
        <f t="shared" si="420"/>
        <v>NG</v>
      </c>
      <c r="FJ235" s="203"/>
      <c r="FK235" s="276" t="str">
        <f>IF(OR(FG$8="判定対象外",FJ$8="判定対象外",FJ235="-"),"-",IF(FG235=FJ235,"OK","NG"))</f>
        <v>OK</v>
      </c>
      <c r="FL235" s="160"/>
      <c r="FM235" s="141"/>
      <c r="FN235" s="203" t="str">
        <f t="shared" si="464"/>
        <v xml:space="preserve">                                                                                                                                </v>
      </c>
      <c r="FO235" s="174" t="str">
        <f t="shared" si="438"/>
        <v>NG</v>
      </c>
      <c r="FP235" s="203"/>
      <c r="FQ235" s="276" t="str">
        <f>IF(OR(FM$8="判定対象外",FP$8="判定対象外",FP235="-"),"-",IF(FM235=FP235,"OK","NG"))</f>
        <v>OK</v>
      </c>
      <c r="FR235" s="160"/>
      <c r="FS235" s="141"/>
      <c r="FT235" s="203" t="str">
        <f t="shared" si="465"/>
        <v xml:space="preserve">                                                                                                                                </v>
      </c>
      <c r="FU235" s="174" t="str">
        <f t="shared" si="439"/>
        <v>NG</v>
      </c>
      <c r="FV235" s="203"/>
      <c r="FW235" s="276" t="str">
        <f>IF(OR(FS$8="判定対象外",FV$8="判定対象外",FV235="-"),"-",IF(FS235=FV235,"OK","NG"))</f>
        <v>OK</v>
      </c>
      <c r="FX235" s="160"/>
      <c r="FY235" s="141"/>
      <c r="FZ235" s="203" t="str">
        <f t="shared" si="466"/>
        <v xml:space="preserve">                                                                                                                                </v>
      </c>
      <c r="GA235" s="174" t="str">
        <f t="shared" si="440"/>
        <v>NG</v>
      </c>
      <c r="GB235" s="203"/>
      <c r="GC235" s="276" t="str">
        <f>IF(OR(FY$8="判定対象外",GB$8="判定対象外",GB235="-"),"-",IF(FY235=GB235,"OK","NG"))</f>
        <v>OK</v>
      </c>
    </row>
    <row r="236" spans="2:185" s="52" customFormat="1" ht="114.75">
      <c r="B236" s="216">
        <f t="shared" si="467"/>
        <v>229</v>
      </c>
      <c r="C236" s="37"/>
      <c r="D236" s="37"/>
      <c r="E236" s="37"/>
      <c r="F236" s="49" t="s">
        <v>339</v>
      </c>
      <c r="G236" s="39"/>
      <c r="H236" s="40"/>
      <c r="I236" s="42"/>
      <c r="J236" s="42"/>
      <c r="K236" s="42"/>
      <c r="L236" s="42"/>
      <c r="M236" s="63" t="s">
        <v>340</v>
      </c>
      <c r="N236" s="47"/>
      <c r="O236" s="143"/>
      <c r="P236" s="45">
        <f t="shared" si="470"/>
        <v>206</v>
      </c>
      <c r="Q236" s="46">
        <v>1</v>
      </c>
      <c r="R236" s="41" t="str">
        <f t="shared" si="471"/>
        <v>X</v>
      </c>
      <c r="S236" s="185" t="s">
        <v>234</v>
      </c>
      <c r="T236" s="43"/>
      <c r="U236" s="41" t="s">
        <v>80</v>
      </c>
      <c r="V236" s="44"/>
      <c r="W236" s="22">
        <v>3</v>
      </c>
      <c r="X236" s="47" t="s">
        <v>235</v>
      </c>
      <c r="Y236" s="47">
        <v>1</v>
      </c>
      <c r="Z236" s="47">
        <v>1</v>
      </c>
      <c r="AA236" s="42" t="s">
        <v>163</v>
      </c>
      <c r="AB236" s="42" t="s">
        <v>57</v>
      </c>
      <c r="AC236" s="217"/>
      <c r="AD236" s="160"/>
      <c r="AE236" s="162"/>
      <c r="AF236" s="203" t="str">
        <f t="shared" si="442"/>
        <v xml:space="preserve"> </v>
      </c>
      <c r="AG236" s="174" t="str">
        <f t="shared" si="424"/>
        <v>NG</v>
      </c>
      <c r="AH236" s="204"/>
      <c r="AI236" s="172" t="s">
        <v>71</v>
      </c>
      <c r="AJ236" s="160"/>
      <c r="AK236" s="162"/>
      <c r="AL236" s="203" t="str">
        <f t="shared" si="441"/>
        <v xml:space="preserve"> </v>
      </c>
      <c r="AM236" s="174" t="str">
        <f t="shared" si="468"/>
        <v>NG</v>
      </c>
      <c r="AN236" s="204"/>
      <c r="AO236" s="172" t="s">
        <v>71</v>
      </c>
      <c r="AP236" s="160"/>
      <c r="AQ236" s="162"/>
      <c r="AR236" s="203" t="str">
        <f t="shared" si="443"/>
        <v xml:space="preserve"> </v>
      </c>
      <c r="AS236" s="174" t="str">
        <f t="shared" si="425"/>
        <v>NG</v>
      </c>
      <c r="AT236" s="204"/>
      <c r="AU236" s="172" t="s">
        <v>71</v>
      </c>
      <c r="AV236" s="160"/>
      <c r="AW236" s="162"/>
      <c r="AX236" s="203" t="str">
        <f t="shared" si="444"/>
        <v xml:space="preserve"> </v>
      </c>
      <c r="AY236" s="174" t="str">
        <f t="shared" si="426"/>
        <v>NG</v>
      </c>
      <c r="AZ236" s="204"/>
      <c r="BA236" s="172" t="s">
        <v>71</v>
      </c>
      <c r="BB236" s="160"/>
      <c r="BC236" s="162"/>
      <c r="BD236" s="203" t="str">
        <f t="shared" si="445"/>
        <v xml:space="preserve"> </v>
      </c>
      <c r="BE236" s="174" t="str">
        <f t="shared" si="427"/>
        <v>NG</v>
      </c>
      <c r="BF236" s="204"/>
      <c r="BG236" s="172" t="s">
        <v>71</v>
      </c>
      <c r="BH236" s="160"/>
      <c r="BI236" s="162"/>
      <c r="BJ236" s="203" t="str">
        <f t="shared" si="446"/>
        <v xml:space="preserve"> </v>
      </c>
      <c r="BK236" s="174" t="str">
        <f t="shared" si="428"/>
        <v>NG</v>
      </c>
      <c r="BL236" s="204"/>
      <c r="BM236" s="172" t="s">
        <v>71</v>
      </c>
      <c r="BN236" s="160"/>
      <c r="BO236" s="162"/>
      <c r="BP236" s="203" t="str">
        <f t="shared" si="447"/>
        <v xml:space="preserve"> </v>
      </c>
      <c r="BQ236" s="174" t="str">
        <f t="shared" si="429"/>
        <v>NG</v>
      </c>
      <c r="BR236" s="204"/>
      <c r="BS236" s="172" t="s">
        <v>71</v>
      </c>
      <c r="BT236" s="160"/>
      <c r="BU236" s="162"/>
      <c r="BV236" s="203" t="str">
        <f t="shared" si="448"/>
        <v xml:space="preserve"> </v>
      </c>
      <c r="BW236" s="174" t="str">
        <f t="shared" si="430"/>
        <v>NG</v>
      </c>
      <c r="BX236" s="204"/>
      <c r="BY236" s="172" t="s">
        <v>71</v>
      </c>
      <c r="BZ236" s="160"/>
      <c r="CA236" s="162"/>
      <c r="CB236" s="203" t="str">
        <f t="shared" si="449"/>
        <v xml:space="preserve"> </v>
      </c>
      <c r="CC236" s="174" t="str">
        <f t="shared" si="431"/>
        <v>NG</v>
      </c>
      <c r="CD236" s="204"/>
      <c r="CE236" s="172" t="s">
        <v>71</v>
      </c>
      <c r="CF236" s="160"/>
      <c r="CG236" s="162"/>
      <c r="CH236" s="203" t="str">
        <f t="shared" si="450"/>
        <v xml:space="preserve"> </v>
      </c>
      <c r="CI236" s="174" t="str">
        <f t="shared" si="432"/>
        <v>NG</v>
      </c>
      <c r="CJ236" s="204"/>
      <c r="CK236" s="172" t="s">
        <v>71</v>
      </c>
      <c r="CL236" s="160"/>
      <c r="CM236" s="162"/>
      <c r="CN236" s="203" t="str">
        <f t="shared" si="451"/>
        <v xml:space="preserve"> </v>
      </c>
      <c r="CO236" s="174" t="str">
        <f t="shared" si="433"/>
        <v>NG</v>
      </c>
      <c r="CP236" s="204"/>
      <c r="CQ236" s="172" t="s">
        <v>71</v>
      </c>
      <c r="CR236" s="160"/>
      <c r="CS236" s="162"/>
      <c r="CT236" s="203" t="str">
        <f t="shared" si="452"/>
        <v xml:space="preserve"> </v>
      </c>
      <c r="CU236" s="174" t="str">
        <f t="shared" si="434"/>
        <v>NG</v>
      </c>
      <c r="CV236" s="204"/>
      <c r="CW236" s="172" t="s">
        <v>71</v>
      </c>
      <c r="CX236" s="160"/>
      <c r="CY236" s="162"/>
      <c r="CZ236" s="203" t="str">
        <f t="shared" si="453"/>
        <v xml:space="preserve"> </v>
      </c>
      <c r="DA236" s="174" t="str">
        <f t="shared" si="435"/>
        <v>NG</v>
      </c>
      <c r="DB236" s="204"/>
      <c r="DC236" s="172" t="s">
        <v>71</v>
      </c>
      <c r="DD236" s="160"/>
      <c r="DE236" s="162"/>
      <c r="DF236" s="203" t="str">
        <f t="shared" si="454"/>
        <v xml:space="preserve"> </v>
      </c>
      <c r="DG236" s="174" t="str">
        <f t="shared" si="436"/>
        <v>NG</v>
      </c>
      <c r="DH236" s="204"/>
      <c r="DI236" s="172" t="s">
        <v>71</v>
      </c>
      <c r="DJ236" s="160"/>
      <c r="DK236" s="162"/>
      <c r="DL236" s="203" t="str">
        <f t="shared" si="455"/>
        <v xml:space="preserve"> </v>
      </c>
      <c r="DM236" s="174" t="str">
        <f t="shared" si="437"/>
        <v>NG</v>
      </c>
      <c r="DN236" s="204"/>
      <c r="DO236" s="172" t="s">
        <v>71</v>
      </c>
      <c r="DP236" s="160"/>
      <c r="DQ236" s="162"/>
      <c r="DR236" s="203" t="str">
        <f t="shared" si="456"/>
        <v xml:space="preserve"> </v>
      </c>
      <c r="DS236" s="174" t="str">
        <f t="shared" si="413"/>
        <v>NG</v>
      </c>
      <c r="DT236" s="204"/>
      <c r="DU236" s="172" t="s">
        <v>71</v>
      </c>
      <c r="DV236" s="160"/>
      <c r="DW236" s="162"/>
      <c r="DX236" s="203" t="str">
        <f t="shared" si="457"/>
        <v xml:space="preserve"> </v>
      </c>
      <c r="DY236" s="174" t="str">
        <f t="shared" si="414"/>
        <v>NG</v>
      </c>
      <c r="DZ236" s="204"/>
      <c r="EA236" s="172" t="s">
        <v>71</v>
      </c>
      <c r="EB236" s="160"/>
      <c r="EC236" s="162"/>
      <c r="ED236" s="203" t="str">
        <f t="shared" si="458"/>
        <v xml:space="preserve"> </v>
      </c>
      <c r="EE236" s="174" t="str">
        <f t="shared" si="415"/>
        <v>NG</v>
      </c>
      <c r="EF236" s="204"/>
      <c r="EG236" s="172" t="s">
        <v>71</v>
      </c>
      <c r="EH236" s="160"/>
      <c r="EI236" s="162"/>
      <c r="EJ236" s="203" t="str">
        <f t="shared" si="459"/>
        <v xml:space="preserve"> </v>
      </c>
      <c r="EK236" s="174" t="str">
        <f t="shared" si="416"/>
        <v>NG</v>
      </c>
      <c r="EL236" s="204"/>
      <c r="EM236" s="172" t="s">
        <v>71</v>
      </c>
      <c r="EN236" s="160"/>
      <c r="EO236" s="162"/>
      <c r="EP236" s="203" t="str">
        <f t="shared" si="460"/>
        <v xml:space="preserve"> </v>
      </c>
      <c r="EQ236" s="174" t="str">
        <f t="shared" si="417"/>
        <v>NG</v>
      </c>
      <c r="ER236" s="204"/>
      <c r="ES236" s="172" t="s">
        <v>71</v>
      </c>
      <c r="ET236" s="160"/>
      <c r="EU236" s="162"/>
      <c r="EV236" s="203" t="str">
        <f t="shared" si="461"/>
        <v xml:space="preserve"> </v>
      </c>
      <c r="EW236" s="174" t="str">
        <f t="shared" si="418"/>
        <v>NG</v>
      </c>
      <c r="EX236" s="204"/>
      <c r="EY236" s="172" t="s">
        <v>71</v>
      </c>
      <c r="EZ236" s="160"/>
      <c r="FA236" s="162"/>
      <c r="FB236" s="203" t="str">
        <f t="shared" si="462"/>
        <v xml:space="preserve"> </v>
      </c>
      <c r="FC236" s="174" t="str">
        <f t="shared" si="419"/>
        <v>NG</v>
      </c>
      <c r="FD236" s="204"/>
      <c r="FE236" s="172" t="s">
        <v>71</v>
      </c>
      <c r="FF236" s="160"/>
      <c r="FG236" s="162"/>
      <c r="FH236" s="203" t="str">
        <f t="shared" si="463"/>
        <v xml:space="preserve"> </v>
      </c>
      <c r="FI236" s="174" t="str">
        <f t="shared" si="420"/>
        <v>NG</v>
      </c>
      <c r="FJ236" s="204"/>
      <c r="FK236" s="172" t="s">
        <v>71</v>
      </c>
      <c r="FL236" s="160"/>
      <c r="FM236" s="162"/>
      <c r="FN236" s="203" t="str">
        <f t="shared" si="464"/>
        <v xml:space="preserve"> </v>
      </c>
      <c r="FO236" s="174" t="str">
        <f t="shared" si="438"/>
        <v>NG</v>
      </c>
      <c r="FP236" s="204"/>
      <c r="FQ236" s="172" t="s">
        <v>71</v>
      </c>
      <c r="FR236" s="160"/>
      <c r="FS236" s="162"/>
      <c r="FT236" s="203" t="str">
        <f t="shared" si="465"/>
        <v xml:space="preserve"> </v>
      </c>
      <c r="FU236" s="174" t="str">
        <f t="shared" si="439"/>
        <v>NG</v>
      </c>
      <c r="FV236" s="204"/>
      <c r="FW236" s="172" t="s">
        <v>71</v>
      </c>
      <c r="FX236" s="160"/>
      <c r="FY236" s="162"/>
      <c r="FZ236" s="203" t="str">
        <f t="shared" si="466"/>
        <v xml:space="preserve"> </v>
      </c>
      <c r="GA236" s="174" t="str">
        <f t="shared" si="440"/>
        <v>NG</v>
      </c>
      <c r="GB236" s="204"/>
      <c r="GC236" s="172" t="s">
        <v>71</v>
      </c>
    </row>
    <row r="237" spans="2:185" s="52" customFormat="1" ht="127.5">
      <c r="B237" s="216">
        <f t="shared" si="467"/>
        <v>230</v>
      </c>
      <c r="C237" s="37"/>
      <c r="D237" s="37"/>
      <c r="E237" s="37"/>
      <c r="F237" s="49" t="s">
        <v>341</v>
      </c>
      <c r="G237" s="39"/>
      <c r="H237" s="40"/>
      <c r="I237" s="42"/>
      <c r="J237" s="42" t="s">
        <v>316</v>
      </c>
      <c r="K237" s="42"/>
      <c r="L237" s="42"/>
      <c r="M237" s="163" t="s">
        <v>342</v>
      </c>
      <c r="N237" s="47"/>
      <c r="O237" s="143"/>
      <c r="P237" s="45">
        <f t="shared" si="470"/>
        <v>207</v>
      </c>
      <c r="Q237" s="46">
        <v>1</v>
      </c>
      <c r="R237" s="41" t="str">
        <f t="shared" si="471"/>
        <v>X</v>
      </c>
      <c r="S237" s="185" t="s">
        <v>236</v>
      </c>
      <c r="T237" s="43"/>
      <c r="U237" s="41" t="s">
        <v>80</v>
      </c>
      <c r="V237" s="44"/>
      <c r="W237" s="22">
        <v>3</v>
      </c>
      <c r="X237" s="47" t="s">
        <v>237</v>
      </c>
      <c r="Y237" s="47">
        <v>1</v>
      </c>
      <c r="Z237" s="47">
        <v>1</v>
      </c>
      <c r="AA237" s="42" t="s">
        <v>163</v>
      </c>
      <c r="AB237" s="42" t="s">
        <v>57</v>
      </c>
      <c r="AC237" s="217"/>
      <c r="AD237" s="160"/>
      <c r="AE237" s="162"/>
      <c r="AF237" s="203" t="str">
        <f t="shared" si="442"/>
        <v xml:space="preserve"> </v>
      </c>
      <c r="AG237" s="174" t="str">
        <f t="shared" si="424"/>
        <v>NG</v>
      </c>
      <c r="AH237" s="204"/>
      <c r="AI237" s="276" t="str">
        <f>IF(OR(AE$8="判定対象外",AH$8="判定対象外",AH237="-"),"-",IF(AE237=AH237,"OK","NG"))</f>
        <v>OK</v>
      </c>
      <c r="AJ237" s="160"/>
      <c r="AK237" s="162"/>
      <c r="AL237" s="203" t="str">
        <f t="shared" si="441"/>
        <v xml:space="preserve"> </v>
      </c>
      <c r="AM237" s="174" t="str">
        <f t="shared" si="468"/>
        <v>NG</v>
      </c>
      <c r="AN237" s="204"/>
      <c r="AO237" s="276" t="str">
        <f>IF(OR(AK$8="判定対象外",AN$8="判定対象外",AN237="-"),"-",IF(AK237=AN237,"OK","NG"))</f>
        <v>OK</v>
      </c>
      <c r="AP237" s="160"/>
      <c r="AQ237" s="162"/>
      <c r="AR237" s="203" t="str">
        <f t="shared" si="443"/>
        <v xml:space="preserve"> </v>
      </c>
      <c r="AS237" s="174" t="str">
        <f t="shared" si="425"/>
        <v>NG</v>
      </c>
      <c r="AT237" s="204"/>
      <c r="AU237" s="276" t="str">
        <f>IF(OR(AQ$8="判定対象外",AT$8="判定対象外",AT237="-"),"-",IF(AQ237=AT237,"OK","NG"))</f>
        <v>OK</v>
      </c>
      <c r="AV237" s="160"/>
      <c r="AW237" s="162"/>
      <c r="AX237" s="203" t="str">
        <f t="shared" si="444"/>
        <v xml:space="preserve"> </v>
      </c>
      <c r="AY237" s="174" t="str">
        <f t="shared" si="426"/>
        <v>NG</v>
      </c>
      <c r="AZ237" s="204"/>
      <c r="BA237" s="276" t="str">
        <f>IF(OR(AW$8="判定対象外",AZ$8="判定対象外",AZ237="-"),"-",IF(AW237=AZ237,"OK","NG"))</f>
        <v>OK</v>
      </c>
      <c r="BB237" s="160"/>
      <c r="BC237" s="162"/>
      <c r="BD237" s="203" t="str">
        <f t="shared" si="445"/>
        <v xml:space="preserve"> </v>
      </c>
      <c r="BE237" s="174" t="str">
        <f t="shared" si="427"/>
        <v>NG</v>
      </c>
      <c r="BF237" s="204"/>
      <c r="BG237" s="276" t="str">
        <f>IF(OR(BC$8="判定対象外",BF$8="判定対象外",BF237="-"),"-",IF(BC237=BF237,"OK","NG"))</f>
        <v>OK</v>
      </c>
      <c r="BH237" s="160"/>
      <c r="BI237" s="162"/>
      <c r="BJ237" s="203" t="str">
        <f t="shared" si="446"/>
        <v xml:space="preserve"> </v>
      </c>
      <c r="BK237" s="174" t="str">
        <f t="shared" si="428"/>
        <v>NG</v>
      </c>
      <c r="BL237" s="204"/>
      <c r="BM237" s="276" t="str">
        <f>IF(OR(BI$8="判定対象外",BL$8="判定対象外",BL237="-"),"-",IF(BI237=BL237,"OK","NG"))</f>
        <v>OK</v>
      </c>
      <c r="BN237" s="160"/>
      <c r="BO237" s="162"/>
      <c r="BP237" s="203" t="str">
        <f t="shared" si="447"/>
        <v xml:space="preserve"> </v>
      </c>
      <c r="BQ237" s="174" t="str">
        <f t="shared" si="429"/>
        <v>NG</v>
      </c>
      <c r="BR237" s="204"/>
      <c r="BS237" s="276" t="str">
        <f>IF(OR(BO$8="判定対象外",BR$8="判定対象外",BR237="-"),"-",IF(BO237=BR237,"OK","NG"))</f>
        <v>OK</v>
      </c>
      <c r="BT237" s="160"/>
      <c r="BU237" s="162"/>
      <c r="BV237" s="203" t="str">
        <f t="shared" si="448"/>
        <v xml:space="preserve"> </v>
      </c>
      <c r="BW237" s="174" t="str">
        <f t="shared" si="430"/>
        <v>NG</v>
      </c>
      <c r="BX237" s="204"/>
      <c r="BY237" s="276" t="str">
        <f>IF(OR(BU$8="判定対象外",BX$8="判定対象外",BX237="-"),"-",IF(BU237=BX237,"OK","NG"))</f>
        <v>OK</v>
      </c>
      <c r="BZ237" s="160"/>
      <c r="CA237" s="162"/>
      <c r="CB237" s="203" t="str">
        <f t="shared" si="449"/>
        <v xml:space="preserve"> </v>
      </c>
      <c r="CC237" s="174" t="str">
        <f t="shared" si="431"/>
        <v>NG</v>
      </c>
      <c r="CD237" s="204"/>
      <c r="CE237" s="276" t="str">
        <f>IF(OR(CA$8="判定対象外",CD$8="判定対象外",CD237="-"),"-",IF(CA237=CD237,"OK","NG"))</f>
        <v>OK</v>
      </c>
      <c r="CF237" s="160"/>
      <c r="CG237" s="162"/>
      <c r="CH237" s="203" t="str">
        <f t="shared" si="450"/>
        <v xml:space="preserve"> </v>
      </c>
      <c r="CI237" s="174" t="str">
        <f t="shared" si="432"/>
        <v>NG</v>
      </c>
      <c r="CJ237" s="204"/>
      <c r="CK237" s="276" t="str">
        <f>IF(OR(CG$8="判定対象外",CJ$8="判定対象外",CJ237="-"),"-",IF(CG237=CJ237,"OK","NG"))</f>
        <v>OK</v>
      </c>
      <c r="CL237" s="160"/>
      <c r="CM237" s="162"/>
      <c r="CN237" s="203" t="str">
        <f t="shared" si="451"/>
        <v xml:space="preserve"> </v>
      </c>
      <c r="CO237" s="174" t="str">
        <f t="shared" si="433"/>
        <v>NG</v>
      </c>
      <c r="CP237" s="204"/>
      <c r="CQ237" s="276" t="str">
        <f>IF(OR(CM$8="判定対象外",CP$8="判定対象外",CP237="-"),"-",IF(CM237=CP237,"OK","NG"))</f>
        <v>OK</v>
      </c>
      <c r="CR237" s="160"/>
      <c r="CS237" s="162"/>
      <c r="CT237" s="203" t="str">
        <f t="shared" si="452"/>
        <v xml:space="preserve"> </v>
      </c>
      <c r="CU237" s="174" t="str">
        <f t="shared" si="434"/>
        <v>NG</v>
      </c>
      <c r="CV237" s="204"/>
      <c r="CW237" s="276" t="str">
        <f>IF(OR(CS$8="判定対象外",CV$8="判定対象外",CV237="-"),"-",IF(CS237=CV237,"OK","NG"))</f>
        <v>OK</v>
      </c>
      <c r="CX237" s="160"/>
      <c r="CY237" s="162"/>
      <c r="CZ237" s="203" t="str">
        <f t="shared" si="453"/>
        <v xml:space="preserve"> </v>
      </c>
      <c r="DA237" s="174" t="str">
        <f t="shared" si="435"/>
        <v>NG</v>
      </c>
      <c r="DB237" s="204"/>
      <c r="DC237" s="276" t="str">
        <f>IF(OR(CY$8="判定対象外",DB$8="判定対象外",DB237="-"),"-",IF(CY237=DB237,"OK","NG"))</f>
        <v>OK</v>
      </c>
      <c r="DD237" s="160"/>
      <c r="DE237" s="162"/>
      <c r="DF237" s="203" t="str">
        <f t="shared" si="454"/>
        <v xml:space="preserve"> </v>
      </c>
      <c r="DG237" s="174" t="str">
        <f t="shared" si="436"/>
        <v>NG</v>
      </c>
      <c r="DH237" s="204"/>
      <c r="DI237" s="276" t="str">
        <f>IF(OR(DE$8="判定対象外",DH$8="判定対象外",DH237="-"),"-",IF(DE237=DH237,"OK","NG"))</f>
        <v>OK</v>
      </c>
      <c r="DJ237" s="160"/>
      <c r="DK237" s="162"/>
      <c r="DL237" s="203" t="str">
        <f t="shared" si="455"/>
        <v xml:space="preserve"> </v>
      </c>
      <c r="DM237" s="174" t="str">
        <f t="shared" si="437"/>
        <v>NG</v>
      </c>
      <c r="DN237" s="204"/>
      <c r="DO237" s="276" t="str">
        <f>IF(OR(DK$8="判定対象外",DN$8="判定対象外",DN237="-"),"-",IF(DK237=DN237,"OK","NG"))</f>
        <v>OK</v>
      </c>
      <c r="DP237" s="160"/>
      <c r="DQ237" s="162"/>
      <c r="DR237" s="203" t="str">
        <f t="shared" si="456"/>
        <v xml:space="preserve"> </v>
      </c>
      <c r="DS237" s="174" t="str">
        <f t="shared" si="413"/>
        <v>NG</v>
      </c>
      <c r="DT237" s="204"/>
      <c r="DU237" s="276" t="str">
        <f>IF(OR(DQ$8="判定対象外",DT$8="判定対象外",DT237="-"),"-",IF(DQ237=DT237,"OK","NG"))</f>
        <v>OK</v>
      </c>
      <c r="DV237" s="160"/>
      <c r="DW237" s="162"/>
      <c r="DX237" s="203" t="str">
        <f t="shared" si="457"/>
        <v xml:space="preserve"> </v>
      </c>
      <c r="DY237" s="174" t="str">
        <f t="shared" si="414"/>
        <v>NG</v>
      </c>
      <c r="DZ237" s="204"/>
      <c r="EA237" s="276" t="str">
        <f>IF(OR(DW$8="判定対象外",DZ$8="判定対象外",DZ237="-"),"-",IF(DW237=DZ237,"OK","NG"))</f>
        <v>OK</v>
      </c>
      <c r="EB237" s="160"/>
      <c r="EC237" s="162"/>
      <c r="ED237" s="203" t="str">
        <f t="shared" si="458"/>
        <v xml:space="preserve"> </v>
      </c>
      <c r="EE237" s="174" t="str">
        <f t="shared" si="415"/>
        <v>NG</v>
      </c>
      <c r="EF237" s="204"/>
      <c r="EG237" s="276" t="str">
        <f>IF(OR(EC$8="判定対象外",EF$8="判定対象外",EF237="-"),"-",IF(EC237=EF237,"OK","NG"))</f>
        <v>OK</v>
      </c>
      <c r="EH237" s="160"/>
      <c r="EI237" s="162"/>
      <c r="EJ237" s="203" t="str">
        <f t="shared" si="459"/>
        <v xml:space="preserve"> </v>
      </c>
      <c r="EK237" s="174" t="str">
        <f t="shared" si="416"/>
        <v>NG</v>
      </c>
      <c r="EL237" s="204"/>
      <c r="EM237" s="276" t="str">
        <f>IF(OR(EI$8="判定対象外",EL$8="判定対象外",EL237="-"),"-",IF(EI237=EL237,"OK","NG"))</f>
        <v>OK</v>
      </c>
      <c r="EN237" s="160"/>
      <c r="EO237" s="162"/>
      <c r="EP237" s="203" t="str">
        <f t="shared" si="460"/>
        <v xml:space="preserve"> </v>
      </c>
      <c r="EQ237" s="174" t="str">
        <f t="shared" si="417"/>
        <v>NG</v>
      </c>
      <c r="ER237" s="204"/>
      <c r="ES237" s="276" t="str">
        <f>IF(OR(EO$8="判定対象外",ER$8="判定対象外",ER237="-"),"-",IF(EO237=ER237,"OK","NG"))</f>
        <v>OK</v>
      </c>
      <c r="ET237" s="160"/>
      <c r="EU237" s="162"/>
      <c r="EV237" s="203" t="str">
        <f t="shared" si="461"/>
        <v xml:space="preserve"> </v>
      </c>
      <c r="EW237" s="174" t="str">
        <f t="shared" si="418"/>
        <v>NG</v>
      </c>
      <c r="EX237" s="204"/>
      <c r="EY237" s="276" t="str">
        <f>IF(OR(EU$8="判定対象外",EX$8="判定対象外",EX237="-"),"-",IF(EU237=EX237,"OK","NG"))</f>
        <v>OK</v>
      </c>
      <c r="EZ237" s="160"/>
      <c r="FA237" s="162"/>
      <c r="FB237" s="203" t="str">
        <f t="shared" si="462"/>
        <v xml:space="preserve"> </v>
      </c>
      <c r="FC237" s="174" t="str">
        <f t="shared" si="419"/>
        <v>NG</v>
      </c>
      <c r="FD237" s="204"/>
      <c r="FE237" s="276" t="str">
        <f>IF(OR(FA$8="判定対象外",FD$8="判定対象外",FD237="-"),"-",IF(FA237=FD237,"OK","NG"))</f>
        <v>OK</v>
      </c>
      <c r="FF237" s="160"/>
      <c r="FG237" s="162"/>
      <c r="FH237" s="203" t="str">
        <f t="shared" si="463"/>
        <v xml:space="preserve"> </v>
      </c>
      <c r="FI237" s="174" t="str">
        <f t="shared" si="420"/>
        <v>NG</v>
      </c>
      <c r="FJ237" s="204"/>
      <c r="FK237" s="276" t="str">
        <f>IF(OR(FG$8="判定対象外",FJ$8="判定対象外",FJ237="-"),"-",IF(FG237=FJ237,"OK","NG"))</f>
        <v>OK</v>
      </c>
      <c r="FL237" s="160"/>
      <c r="FM237" s="162"/>
      <c r="FN237" s="203" t="str">
        <f t="shared" si="464"/>
        <v xml:space="preserve"> </v>
      </c>
      <c r="FO237" s="174" t="str">
        <f t="shared" si="438"/>
        <v>NG</v>
      </c>
      <c r="FP237" s="204"/>
      <c r="FQ237" s="276" t="str">
        <f>IF(OR(FM$8="判定対象外",FP$8="判定対象外",FP237="-"),"-",IF(FM237=FP237,"OK","NG"))</f>
        <v>OK</v>
      </c>
      <c r="FR237" s="160"/>
      <c r="FS237" s="162"/>
      <c r="FT237" s="203" t="str">
        <f t="shared" si="465"/>
        <v xml:space="preserve"> </v>
      </c>
      <c r="FU237" s="174" t="str">
        <f t="shared" si="439"/>
        <v>NG</v>
      </c>
      <c r="FV237" s="204"/>
      <c r="FW237" s="276" t="str">
        <f>IF(OR(FS$8="判定対象外",FV$8="判定対象外",FV237="-"),"-",IF(FS237=FV237,"OK","NG"))</f>
        <v>OK</v>
      </c>
      <c r="FX237" s="160"/>
      <c r="FY237" s="162"/>
      <c r="FZ237" s="203" t="str">
        <f t="shared" si="466"/>
        <v xml:space="preserve"> </v>
      </c>
      <c r="GA237" s="174" t="str">
        <f t="shared" si="440"/>
        <v>NG</v>
      </c>
      <c r="GB237" s="204"/>
      <c r="GC237" s="276" t="str">
        <f>IF(OR(FY$8="判定対象外",GB$8="判定対象外",GB237="-"),"-",IF(FY237=GB237,"OK","NG"))</f>
        <v>OK</v>
      </c>
    </row>
    <row r="238" spans="2:185" s="52" customFormat="1" ht="319.5" customHeight="1">
      <c r="B238" s="216">
        <f t="shared" si="467"/>
        <v>231</v>
      </c>
      <c r="C238" s="37"/>
      <c r="D238" s="37"/>
      <c r="E238" s="25"/>
      <c r="F238" s="218" t="s">
        <v>288</v>
      </c>
      <c r="G238" s="27"/>
      <c r="H238" s="28"/>
      <c r="I238" s="42"/>
      <c r="J238" s="42" t="s">
        <v>316</v>
      </c>
      <c r="K238" s="42"/>
      <c r="L238" s="42"/>
      <c r="M238" s="161" t="s">
        <v>343</v>
      </c>
      <c r="N238" s="39"/>
      <c r="O238" s="143"/>
      <c r="P238" s="45">
        <f t="shared" si="470"/>
        <v>208</v>
      </c>
      <c r="Q238" s="46">
        <v>2</v>
      </c>
      <c r="R238" s="41" t="str">
        <f t="shared" si="471"/>
        <v>X</v>
      </c>
      <c r="S238" s="185" t="s">
        <v>238</v>
      </c>
      <c r="T238" s="43"/>
      <c r="U238" s="41" t="s">
        <v>80</v>
      </c>
      <c r="V238" s="44"/>
      <c r="W238" s="22">
        <v>3</v>
      </c>
      <c r="X238" s="47" t="s">
        <v>239</v>
      </c>
      <c r="Y238" s="47">
        <v>2</v>
      </c>
      <c r="Z238" s="47">
        <v>2</v>
      </c>
      <c r="AA238" s="42" t="s">
        <v>81</v>
      </c>
      <c r="AB238" s="42" t="s">
        <v>80</v>
      </c>
      <c r="AC238" s="164"/>
      <c r="AD238" s="160"/>
      <c r="AE238" s="162"/>
      <c r="AF238" s="167" t="str">
        <f t="shared" si="442"/>
        <v xml:space="preserve">  </v>
      </c>
      <c r="AG238" s="174" t="str">
        <f t="shared" si="424"/>
        <v>NG</v>
      </c>
      <c r="AH238" s="204"/>
      <c r="AI238" s="276" t="str">
        <f>IF(OR(AE$8="判定対象外",AH$8="判定対象外",AH238="-"),"-",IF(AE238=AH238,"OK","NG"))</f>
        <v>OK</v>
      </c>
      <c r="AJ238" s="160"/>
      <c r="AK238" s="162"/>
      <c r="AL238" s="167" t="str">
        <f t="shared" si="441"/>
        <v xml:space="preserve">  </v>
      </c>
      <c r="AM238" s="174" t="str">
        <f t="shared" si="468"/>
        <v>NG</v>
      </c>
      <c r="AN238" s="204"/>
      <c r="AO238" s="276" t="str">
        <f>IF(OR(AK$8="判定対象外",AN$8="判定対象外",AN238="-"),"-",IF(AK238=AN238,"OK","NG"))</f>
        <v>OK</v>
      </c>
      <c r="AP238" s="160"/>
      <c r="AQ238" s="162"/>
      <c r="AR238" s="167" t="str">
        <f t="shared" si="443"/>
        <v xml:space="preserve">  </v>
      </c>
      <c r="AS238" s="174" t="str">
        <f t="shared" si="425"/>
        <v>NG</v>
      </c>
      <c r="AT238" s="204"/>
      <c r="AU238" s="276" t="str">
        <f>IF(OR(AQ$8="判定対象外",AT$8="判定対象外",AT238="-"),"-",IF(AQ238=AT238,"OK","NG"))</f>
        <v>OK</v>
      </c>
      <c r="AV238" s="160"/>
      <c r="AW238" s="162"/>
      <c r="AX238" s="167" t="str">
        <f t="shared" si="444"/>
        <v xml:space="preserve">  </v>
      </c>
      <c r="AY238" s="174" t="str">
        <f t="shared" si="426"/>
        <v>NG</v>
      </c>
      <c r="AZ238" s="204"/>
      <c r="BA238" s="276" t="str">
        <f>IF(OR(AW$8="判定対象外",AZ$8="判定対象外",AZ238="-"),"-",IF(AW238=AZ238,"OK","NG"))</f>
        <v>OK</v>
      </c>
      <c r="BB238" s="160"/>
      <c r="BC238" s="162"/>
      <c r="BD238" s="167" t="str">
        <f t="shared" si="445"/>
        <v xml:space="preserve">  </v>
      </c>
      <c r="BE238" s="174" t="str">
        <f t="shared" si="427"/>
        <v>NG</v>
      </c>
      <c r="BF238" s="204"/>
      <c r="BG238" s="276" t="str">
        <f>IF(OR(BC$8="判定対象外",BF$8="判定対象外",BF238="-"),"-",IF(BC238=BF238,"OK","NG"))</f>
        <v>OK</v>
      </c>
      <c r="BH238" s="160"/>
      <c r="BI238" s="162"/>
      <c r="BJ238" s="167" t="str">
        <f t="shared" si="446"/>
        <v xml:space="preserve">  </v>
      </c>
      <c r="BK238" s="174" t="str">
        <f t="shared" si="428"/>
        <v>NG</v>
      </c>
      <c r="BL238" s="204"/>
      <c r="BM238" s="276" t="str">
        <f>IF(OR(BI$8="判定対象外",BL$8="判定対象外",BL238="-"),"-",IF(BI238=BL238,"OK","NG"))</f>
        <v>OK</v>
      </c>
      <c r="BN238" s="160"/>
      <c r="BO238" s="162"/>
      <c r="BP238" s="167" t="str">
        <f t="shared" si="447"/>
        <v xml:space="preserve">  </v>
      </c>
      <c r="BQ238" s="174" t="str">
        <f t="shared" si="429"/>
        <v>NG</v>
      </c>
      <c r="BR238" s="204"/>
      <c r="BS238" s="276" t="str">
        <f>IF(OR(BO$8="判定対象外",BR$8="判定対象外",BR238="-"),"-",IF(BO238=BR238,"OK","NG"))</f>
        <v>OK</v>
      </c>
      <c r="BT238" s="160"/>
      <c r="BU238" s="162"/>
      <c r="BV238" s="167" t="str">
        <f t="shared" si="448"/>
        <v xml:space="preserve">  </v>
      </c>
      <c r="BW238" s="174" t="str">
        <f t="shared" si="430"/>
        <v>NG</v>
      </c>
      <c r="BX238" s="204"/>
      <c r="BY238" s="276" t="str">
        <f>IF(OR(BU$8="判定対象外",BX$8="判定対象外",BX238="-"),"-",IF(BU238=BX238,"OK","NG"))</f>
        <v>OK</v>
      </c>
      <c r="BZ238" s="160"/>
      <c r="CA238" s="162"/>
      <c r="CB238" s="167" t="str">
        <f t="shared" si="449"/>
        <v xml:space="preserve">  </v>
      </c>
      <c r="CC238" s="174" t="str">
        <f t="shared" si="431"/>
        <v>NG</v>
      </c>
      <c r="CD238" s="204"/>
      <c r="CE238" s="276" t="str">
        <f>IF(OR(CA$8="判定対象外",CD$8="判定対象外",CD238="-"),"-",IF(CA238=CD238,"OK","NG"))</f>
        <v>OK</v>
      </c>
      <c r="CF238" s="160"/>
      <c r="CG238" s="162"/>
      <c r="CH238" s="167" t="str">
        <f t="shared" si="450"/>
        <v xml:space="preserve">  </v>
      </c>
      <c r="CI238" s="174" t="str">
        <f t="shared" si="432"/>
        <v>NG</v>
      </c>
      <c r="CJ238" s="204"/>
      <c r="CK238" s="276" t="str">
        <f>IF(OR(CG$8="判定対象外",CJ$8="判定対象外",CJ238="-"),"-",IF(CG238=CJ238,"OK","NG"))</f>
        <v>OK</v>
      </c>
      <c r="CL238" s="160"/>
      <c r="CM238" s="162"/>
      <c r="CN238" s="167" t="str">
        <f t="shared" si="451"/>
        <v xml:space="preserve">  </v>
      </c>
      <c r="CO238" s="174" t="str">
        <f t="shared" si="433"/>
        <v>NG</v>
      </c>
      <c r="CP238" s="204"/>
      <c r="CQ238" s="276" t="str">
        <f>IF(OR(CM$8="判定対象外",CP$8="判定対象外",CP238="-"),"-",IF(CM238=CP238,"OK","NG"))</f>
        <v>OK</v>
      </c>
      <c r="CR238" s="160"/>
      <c r="CS238" s="162"/>
      <c r="CT238" s="167" t="str">
        <f t="shared" si="452"/>
        <v xml:space="preserve">  </v>
      </c>
      <c r="CU238" s="174" t="str">
        <f t="shared" si="434"/>
        <v>NG</v>
      </c>
      <c r="CV238" s="204"/>
      <c r="CW238" s="276" t="str">
        <f>IF(OR(CS$8="判定対象外",CV$8="判定対象外",CV238="-"),"-",IF(CS238=CV238,"OK","NG"))</f>
        <v>OK</v>
      </c>
      <c r="CX238" s="160"/>
      <c r="CY238" s="162"/>
      <c r="CZ238" s="167" t="str">
        <f t="shared" si="453"/>
        <v xml:space="preserve">  </v>
      </c>
      <c r="DA238" s="174" t="str">
        <f t="shared" si="435"/>
        <v>NG</v>
      </c>
      <c r="DB238" s="204"/>
      <c r="DC238" s="276" t="str">
        <f>IF(OR(CY$8="判定対象外",DB$8="判定対象外",DB238="-"),"-",IF(CY238=DB238,"OK","NG"))</f>
        <v>OK</v>
      </c>
      <c r="DD238" s="160"/>
      <c r="DE238" s="162"/>
      <c r="DF238" s="167" t="str">
        <f t="shared" si="454"/>
        <v xml:space="preserve">  </v>
      </c>
      <c r="DG238" s="174" t="str">
        <f t="shared" si="436"/>
        <v>NG</v>
      </c>
      <c r="DH238" s="204"/>
      <c r="DI238" s="276" t="str">
        <f>IF(OR(DE$8="判定対象外",DH$8="判定対象外",DH238="-"),"-",IF(DE238=DH238,"OK","NG"))</f>
        <v>OK</v>
      </c>
      <c r="DJ238" s="160"/>
      <c r="DK238" s="162"/>
      <c r="DL238" s="167" t="str">
        <f t="shared" si="455"/>
        <v xml:space="preserve">  </v>
      </c>
      <c r="DM238" s="174" t="str">
        <f t="shared" si="437"/>
        <v>NG</v>
      </c>
      <c r="DN238" s="204"/>
      <c r="DO238" s="276" t="str">
        <f>IF(OR(DK$8="判定対象外",DN$8="判定対象外",DN238="-"),"-",IF(DK238=DN238,"OK","NG"))</f>
        <v>OK</v>
      </c>
      <c r="DP238" s="160"/>
      <c r="DQ238" s="162"/>
      <c r="DR238" s="167" t="str">
        <f t="shared" si="456"/>
        <v xml:space="preserve">  </v>
      </c>
      <c r="DS238" s="174" t="str">
        <f t="shared" si="413"/>
        <v>NG</v>
      </c>
      <c r="DT238" s="204"/>
      <c r="DU238" s="276" t="str">
        <f>IF(OR(DQ$8="判定対象外",DT$8="判定対象外",DT238="-"),"-",IF(DQ238=DT238,"OK","NG"))</f>
        <v>OK</v>
      </c>
      <c r="DV238" s="160"/>
      <c r="DW238" s="162"/>
      <c r="DX238" s="167" t="str">
        <f t="shared" si="457"/>
        <v xml:space="preserve">  </v>
      </c>
      <c r="DY238" s="174" t="str">
        <f t="shared" si="414"/>
        <v>NG</v>
      </c>
      <c r="DZ238" s="204"/>
      <c r="EA238" s="276" t="str">
        <f>IF(OR(DW$8="判定対象外",DZ$8="判定対象外",DZ238="-"),"-",IF(DW238=DZ238,"OK","NG"))</f>
        <v>OK</v>
      </c>
      <c r="EB238" s="160"/>
      <c r="EC238" s="162"/>
      <c r="ED238" s="167" t="str">
        <f t="shared" si="458"/>
        <v xml:space="preserve">  </v>
      </c>
      <c r="EE238" s="174" t="str">
        <f t="shared" si="415"/>
        <v>NG</v>
      </c>
      <c r="EF238" s="204"/>
      <c r="EG238" s="276" t="str">
        <f>IF(OR(EC$8="判定対象外",EF$8="判定対象外",EF238="-"),"-",IF(EC238=EF238,"OK","NG"))</f>
        <v>OK</v>
      </c>
      <c r="EH238" s="160"/>
      <c r="EI238" s="162"/>
      <c r="EJ238" s="167" t="str">
        <f t="shared" si="459"/>
        <v xml:space="preserve">  </v>
      </c>
      <c r="EK238" s="174" t="str">
        <f t="shared" si="416"/>
        <v>NG</v>
      </c>
      <c r="EL238" s="204"/>
      <c r="EM238" s="276" t="str">
        <f>IF(OR(EI$8="判定対象外",EL$8="判定対象外",EL238="-"),"-",IF(EI238=EL238,"OK","NG"))</f>
        <v>OK</v>
      </c>
      <c r="EN238" s="160"/>
      <c r="EO238" s="162"/>
      <c r="EP238" s="167" t="str">
        <f t="shared" si="460"/>
        <v xml:space="preserve">  </v>
      </c>
      <c r="EQ238" s="174" t="str">
        <f t="shared" si="417"/>
        <v>NG</v>
      </c>
      <c r="ER238" s="204"/>
      <c r="ES238" s="276" t="str">
        <f>IF(OR(EO$8="判定対象外",ER$8="判定対象外",ER238="-"),"-",IF(EO238=ER238,"OK","NG"))</f>
        <v>OK</v>
      </c>
      <c r="ET238" s="160"/>
      <c r="EU238" s="162"/>
      <c r="EV238" s="167" t="str">
        <f t="shared" si="461"/>
        <v xml:space="preserve">  </v>
      </c>
      <c r="EW238" s="174" t="str">
        <f t="shared" si="418"/>
        <v>NG</v>
      </c>
      <c r="EX238" s="204"/>
      <c r="EY238" s="276" t="str">
        <f>IF(OR(EU$8="判定対象外",EX$8="判定対象外",EX238="-"),"-",IF(EU238=EX238,"OK","NG"))</f>
        <v>OK</v>
      </c>
      <c r="EZ238" s="160"/>
      <c r="FA238" s="162"/>
      <c r="FB238" s="167" t="str">
        <f t="shared" si="462"/>
        <v xml:space="preserve">  </v>
      </c>
      <c r="FC238" s="174" t="str">
        <f t="shared" si="419"/>
        <v>NG</v>
      </c>
      <c r="FD238" s="204"/>
      <c r="FE238" s="276" t="str">
        <f>IF(OR(FA$8="判定対象外",FD$8="判定対象外",FD238="-"),"-",IF(FA238=FD238,"OK","NG"))</f>
        <v>OK</v>
      </c>
      <c r="FF238" s="160"/>
      <c r="FG238" s="162"/>
      <c r="FH238" s="167" t="str">
        <f t="shared" si="463"/>
        <v xml:space="preserve">  </v>
      </c>
      <c r="FI238" s="174" t="str">
        <f t="shared" si="420"/>
        <v>NG</v>
      </c>
      <c r="FJ238" s="204"/>
      <c r="FK238" s="276" t="str">
        <f>IF(OR(FG$8="判定対象外",FJ$8="判定対象外",FJ238="-"),"-",IF(FG238=FJ238,"OK","NG"))</f>
        <v>OK</v>
      </c>
      <c r="FL238" s="160"/>
      <c r="FM238" s="162"/>
      <c r="FN238" s="167" t="str">
        <f t="shared" si="464"/>
        <v xml:space="preserve">  </v>
      </c>
      <c r="FO238" s="174" t="str">
        <f t="shared" si="438"/>
        <v>NG</v>
      </c>
      <c r="FP238" s="204"/>
      <c r="FQ238" s="276" t="str">
        <f>IF(OR(FM$8="判定対象外",FP$8="判定対象外",FP238="-"),"-",IF(FM238=FP238,"OK","NG"))</f>
        <v>OK</v>
      </c>
      <c r="FR238" s="160"/>
      <c r="FS238" s="162"/>
      <c r="FT238" s="167" t="str">
        <f t="shared" si="465"/>
        <v xml:space="preserve">  </v>
      </c>
      <c r="FU238" s="174" t="str">
        <f t="shared" si="439"/>
        <v>NG</v>
      </c>
      <c r="FV238" s="204"/>
      <c r="FW238" s="276" t="str">
        <f>IF(OR(FS$8="判定対象外",FV$8="判定対象外",FV238="-"),"-",IF(FS238=FV238,"OK","NG"))</f>
        <v>OK</v>
      </c>
      <c r="FX238" s="160"/>
      <c r="FY238" s="162"/>
      <c r="FZ238" s="167" t="str">
        <f t="shared" si="466"/>
        <v xml:space="preserve">  </v>
      </c>
      <c r="GA238" s="174" t="str">
        <f t="shared" si="440"/>
        <v>NG</v>
      </c>
      <c r="GB238" s="204"/>
      <c r="GC238" s="276" t="str">
        <f>IF(OR(FY$8="判定対象外",GB$8="判定対象外",GB238="-"),"-",IF(FY238=GB238,"OK","NG"))</f>
        <v>OK</v>
      </c>
    </row>
    <row r="239" spans="2:185" s="52" customFormat="1" ht="25.5">
      <c r="B239" s="216">
        <f t="shared" si="467"/>
        <v>232</v>
      </c>
      <c r="C239" s="37"/>
      <c r="D239" s="37"/>
      <c r="E239" s="25"/>
      <c r="F239" s="184" t="s">
        <v>344</v>
      </c>
      <c r="G239" s="27"/>
      <c r="H239" s="28"/>
      <c r="I239" s="42"/>
      <c r="J239" s="42"/>
      <c r="K239" s="42"/>
      <c r="L239" s="42"/>
      <c r="M239" s="63" t="s">
        <v>345</v>
      </c>
      <c r="N239" s="39"/>
      <c r="O239" s="143"/>
      <c r="P239" s="45">
        <f t="shared" si="470"/>
        <v>209</v>
      </c>
      <c r="Q239" s="46">
        <v>7</v>
      </c>
      <c r="R239" s="41" t="str">
        <f t="shared" si="471"/>
        <v>X</v>
      </c>
      <c r="S239" s="185" t="s">
        <v>240</v>
      </c>
      <c r="T239" s="43"/>
      <c r="U239" s="41" t="s">
        <v>80</v>
      </c>
      <c r="V239" s="44"/>
      <c r="W239" s="22">
        <v>3</v>
      </c>
      <c r="X239" s="47" t="s">
        <v>241</v>
      </c>
      <c r="Y239" s="47">
        <v>7</v>
      </c>
      <c r="Z239" s="47">
        <v>7</v>
      </c>
      <c r="AA239" s="42" t="s">
        <v>81</v>
      </c>
      <c r="AB239" s="42" t="s">
        <v>80</v>
      </c>
      <c r="AC239" s="219"/>
      <c r="AD239" s="160"/>
      <c r="AE239" s="141"/>
      <c r="AF239" s="203" t="str">
        <f t="shared" si="442"/>
        <v xml:space="preserve">       </v>
      </c>
      <c r="AG239" s="174" t="str">
        <f t="shared" si="424"/>
        <v>NG</v>
      </c>
      <c r="AH239" s="203"/>
      <c r="AI239" s="172" t="s">
        <v>71</v>
      </c>
      <c r="AJ239" s="160"/>
      <c r="AK239" s="141"/>
      <c r="AL239" s="203" t="str">
        <f t="shared" si="441"/>
        <v xml:space="preserve">       </v>
      </c>
      <c r="AM239" s="174" t="str">
        <f t="shared" si="468"/>
        <v>NG</v>
      </c>
      <c r="AN239" s="203"/>
      <c r="AO239" s="172" t="s">
        <v>71</v>
      </c>
      <c r="AP239" s="160"/>
      <c r="AQ239" s="141"/>
      <c r="AR239" s="203" t="str">
        <f t="shared" si="443"/>
        <v xml:space="preserve">       </v>
      </c>
      <c r="AS239" s="174" t="str">
        <f t="shared" si="425"/>
        <v>NG</v>
      </c>
      <c r="AT239" s="203"/>
      <c r="AU239" s="172" t="s">
        <v>71</v>
      </c>
      <c r="AV239" s="160"/>
      <c r="AW239" s="141"/>
      <c r="AX239" s="203" t="str">
        <f t="shared" si="444"/>
        <v xml:space="preserve">       </v>
      </c>
      <c r="AY239" s="174" t="str">
        <f t="shared" si="426"/>
        <v>NG</v>
      </c>
      <c r="AZ239" s="203"/>
      <c r="BA239" s="172" t="s">
        <v>71</v>
      </c>
      <c r="BB239" s="160"/>
      <c r="BC239" s="141"/>
      <c r="BD239" s="203" t="str">
        <f t="shared" si="445"/>
        <v xml:space="preserve">       </v>
      </c>
      <c r="BE239" s="174" t="str">
        <f t="shared" si="427"/>
        <v>NG</v>
      </c>
      <c r="BF239" s="203"/>
      <c r="BG239" s="172" t="s">
        <v>71</v>
      </c>
      <c r="BH239" s="160"/>
      <c r="BI239" s="141"/>
      <c r="BJ239" s="203" t="str">
        <f t="shared" si="446"/>
        <v xml:space="preserve">       </v>
      </c>
      <c r="BK239" s="174" t="str">
        <f t="shared" si="428"/>
        <v>NG</v>
      </c>
      <c r="BL239" s="203"/>
      <c r="BM239" s="172" t="s">
        <v>71</v>
      </c>
      <c r="BN239" s="160"/>
      <c r="BO239" s="141"/>
      <c r="BP239" s="203" t="str">
        <f t="shared" si="447"/>
        <v xml:space="preserve">       </v>
      </c>
      <c r="BQ239" s="174" t="str">
        <f t="shared" si="429"/>
        <v>NG</v>
      </c>
      <c r="BR239" s="203"/>
      <c r="BS239" s="172" t="s">
        <v>71</v>
      </c>
      <c r="BT239" s="160"/>
      <c r="BU239" s="141"/>
      <c r="BV239" s="203" t="str">
        <f t="shared" si="448"/>
        <v xml:space="preserve">       </v>
      </c>
      <c r="BW239" s="174" t="str">
        <f t="shared" si="430"/>
        <v>NG</v>
      </c>
      <c r="BX239" s="203"/>
      <c r="BY239" s="172" t="s">
        <v>71</v>
      </c>
      <c r="BZ239" s="160"/>
      <c r="CA239" s="141"/>
      <c r="CB239" s="203" t="str">
        <f t="shared" si="449"/>
        <v xml:space="preserve">       </v>
      </c>
      <c r="CC239" s="174" t="str">
        <f t="shared" si="431"/>
        <v>NG</v>
      </c>
      <c r="CD239" s="203"/>
      <c r="CE239" s="172" t="s">
        <v>71</v>
      </c>
      <c r="CF239" s="160"/>
      <c r="CG239" s="141"/>
      <c r="CH239" s="203" t="str">
        <f t="shared" si="450"/>
        <v xml:space="preserve">       </v>
      </c>
      <c r="CI239" s="174" t="str">
        <f t="shared" si="432"/>
        <v>NG</v>
      </c>
      <c r="CJ239" s="203"/>
      <c r="CK239" s="172" t="s">
        <v>71</v>
      </c>
      <c r="CL239" s="160"/>
      <c r="CM239" s="141"/>
      <c r="CN239" s="203" t="str">
        <f t="shared" si="451"/>
        <v xml:space="preserve">       </v>
      </c>
      <c r="CO239" s="174" t="str">
        <f t="shared" si="433"/>
        <v>NG</v>
      </c>
      <c r="CP239" s="203"/>
      <c r="CQ239" s="172" t="s">
        <v>71</v>
      </c>
      <c r="CR239" s="160"/>
      <c r="CS239" s="141"/>
      <c r="CT239" s="203" t="str">
        <f t="shared" si="452"/>
        <v xml:space="preserve">       </v>
      </c>
      <c r="CU239" s="174" t="str">
        <f t="shared" si="434"/>
        <v>NG</v>
      </c>
      <c r="CV239" s="203"/>
      <c r="CW239" s="172" t="s">
        <v>71</v>
      </c>
      <c r="CX239" s="160"/>
      <c r="CY239" s="141"/>
      <c r="CZ239" s="203" t="str">
        <f t="shared" si="453"/>
        <v xml:space="preserve">       </v>
      </c>
      <c r="DA239" s="174" t="str">
        <f t="shared" si="435"/>
        <v>NG</v>
      </c>
      <c r="DB239" s="203"/>
      <c r="DC239" s="172" t="s">
        <v>71</v>
      </c>
      <c r="DD239" s="160"/>
      <c r="DE239" s="141"/>
      <c r="DF239" s="203" t="str">
        <f t="shared" si="454"/>
        <v xml:space="preserve">       </v>
      </c>
      <c r="DG239" s="174" t="str">
        <f t="shared" si="436"/>
        <v>NG</v>
      </c>
      <c r="DH239" s="203"/>
      <c r="DI239" s="172" t="s">
        <v>71</v>
      </c>
      <c r="DJ239" s="160"/>
      <c r="DK239" s="141"/>
      <c r="DL239" s="203" t="str">
        <f t="shared" si="455"/>
        <v xml:space="preserve">       </v>
      </c>
      <c r="DM239" s="174" t="str">
        <f t="shared" si="437"/>
        <v>NG</v>
      </c>
      <c r="DN239" s="203"/>
      <c r="DO239" s="172" t="s">
        <v>71</v>
      </c>
      <c r="DP239" s="160"/>
      <c r="DQ239" s="141"/>
      <c r="DR239" s="203" t="str">
        <f t="shared" si="456"/>
        <v xml:space="preserve">       </v>
      </c>
      <c r="DS239" s="174" t="str">
        <f t="shared" si="413"/>
        <v>NG</v>
      </c>
      <c r="DT239" s="203"/>
      <c r="DU239" s="172" t="s">
        <v>71</v>
      </c>
      <c r="DV239" s="160"/>
      <c r="DW239" s="141"/>
      <c r="DX239" s="203" t="str">
        <f t="shared" si="457"/>
        <v xml:space="preserve">       </v>
      </c>
      <c r="DY239" s="174" t="str">
        <f t="shared" si="414"/>
        <v>NG</v>
      </c>
      <c r="DZ239" s="203"/>
      <c r="EA239" s="172" t="s">
        <v>71</v>
      </c>
      <c r="EB239" s="160"/>
      <c r="EC239" s="141"/>
      <c r="ED239" s="203" t="str">
        <f t="shared" si="458"/>
        <v xml:space="preserve">       </v>
      </c>
      <c r="EE239" s="174" t="str">
        <f t="shared" si="415"/>
        <v>NG</v>
      </c>
      <c r="EF239" s="203"/>
      <c r="EG239" s="172" t="s">
        <v>71</v>
      </c>
      <c r="EH239" s="160"/>
      <c r="EI239" s="141"/>
      <c r="EJ239" s="203" t="str">
        <f t="shared" si="459"/>
        <v xml:space="preserve">       </v>
      </c>
      <c r="EK239" s="174" t="str">
        <f t="shared" si="416"/>
        <v>NG</v>
      </c>
      <c r="EL239" s="203"/>
      <c r="EM239" s="172" t="s">
        <v>71</v>
      </c>
      <c r="EN239" s="160"/>
      <c r="EO239" s="141"/>
      <c r="EP239" s="203" t="str">
        <f t="shared" si="460"/>
        <v xml:space="preserve">       </v>
      </c>
      <c r="EQ239" s="174" t="str">
        <f t="shared" si="417"/>
        <v>NG</v>
      </c>
      <c r="ER239" s="203"/>
      <c r="ES239" s="172" t="s">
        <v>71</v>
      </c>
      <c r="ET239" s="160"/>
      <c r="EU239" s="141"/>
      <c r="EV239" s="203" t="str">
        <f t="shared" si="461"/>
        <v xml:space="preserve">       </v>
      </c>
      <c r="EW239" s="174" t="str">
        <f t="shared" si="418"/>
        <v>NG</v>
      </c>
      <c r="EX239" s="203"/>
      <c r="EY239" s="172" t="s">
        <v>71</v>
      </c>
      <c r="EZ239" s="160"/>
      <c r="FA239" s="141"/>
      <c r="FB239" s="203" t="str">
        <f t="shared" si="462"/>
        <v xml:space="preserve">       </v>
      </c>
      <c r="FC239" s="174" t="str">
        <f t="shared" si="419"/>
        <v>NG</v>
      </c>
      <c r="FD239" s="203"/>
      <c r="FE239" s="172" t="s">
        <v>71</v>
      </c>
      <c r="FF239" s="160"/>
      <c r="FG239" s="141"/>
      <c r="FH239" s="203" t="str">
        <f t="shared" si="463"/>
        <v xml:space="preserve">       </v>
      </c>
      <c r="FI239" s="174" t="str">
        <f t="shared" si="420"/>
        <v>NG</v>
      </c>
      <c r="FJ239" s="203"/>
      <c r="FK239" s="172" t="s">
        <v>71</v>
      </c>
      <c r="FL239" s="160"/>
      <c r="FM239" s="141"/>
      <c r="FN239" s="203" t="str">
        <f t="shared" si="464"/>
        <v xml:space="preserve">       </v>
      </c>
      <c r="FO239" s="174" t="str">
        <f t="shared" si="438"/>
        <v>NG</v>
      </c>
      <c r="FP239" s="203"/>
      <c r="FQ239" s="172" t="s">
        <v>71</v>
      </c>
      <c r="FR239" s="160"/>
      <c r="FS239" s="141"/>
      <c r="FT239" s="203" t="str">
        <f t="shared" si="465"/>
        <v xml:space="preserve">       </v>
      </c>
      <c r="FU239" s="174" t="str">
        <f t="shared" si="439"/>
        <v>NG</v>
      </c>
      <c r="FV239" s="203"/>
      <c r="FW239" s="172" t="s">
        <v>71</v>
      </c>
      <c r="FX239" s="160"/>
      <c r="FY239" s="141"/>
      <c r="FZ239" s="203" t="str">
        <f t="shared" si="466"/>
        <v xml:space="preserve">       </v>
      </c>
      <c r="GA239" s="174" t="str">
        <f t="shared" si="440"/>
        <v>NG</v>
      </c>
      <c r="GB239" s="203"/>
      <c r="GC239" s="172" t="s">
        <v>71</v>
      </c>
    </row>
    <row r="240" spans="2:185" s="237" customFormat="1" ht="25.5">
      <c r="B240" s="216">
        <f t="shared" si="467"/>
        <v>233</v>
      </c>
      <c r="C240" s="220"/>
      <c r="D240" s="220"/>
      <c r="E240" s="221"/>
      <c r="F240" s="222" t="s">
        <v>346</v>
      </c>
      <c r="G240" s="223"/>
      <c r="H240" s="224"/>
      <c r="I240" s="225"/>
      <c r="J240" s="225"/>
      <c r="K240" s="226"/>
      <c r="L240" s="226"/>
      <c r="M240" s="227" t="s">
        <v>345</v>
      </c>
      <c r="N240" s="228"/>
      <c r="O240" s="229"/>
      <c r="P240" s="45">
        <f t="shared" si="470"/>
        <v>210</v>
      </c>
      <c r="Q240" s="230">
        <v>10</v>
      </c>
      <c r="R240" s="41" t="str">
        <f t="shared" si="471"/>
        <v>X</v>
      </c>
      <c r="S240" s="185" t="s">
        <v>242</v>
      </c>
      <c r="T240" s="231"/>
      <c r="U240" s="41" t="s">
        <v>80</v>
      </c>
      <c r="V240" s="229"/>
      <c r="W240" s="232">
        <v>3</v>
      </c>
      <c r="X240" s="194" t="s">
        <v>243</v>
      </c>
      <c r="Y240" s="194">
        <v>10</v>
      </c>
      <c r="Z240" s="194">
        <v>10</v>
      </c>
      <c r="AA240" s="225" t="s">
        <v>163</v>
      </c>
      <c r="AB240" s="225" t="s">
        <v>57</v>
      </c>
      <c r="AC240" s="219"/>
      <c r="AD240" s="233"/>
      <c r="AE240" s="268"/>
      <c r="AF240" s="235" t="str">
        <f t="shared" si="442"/>
        <v xml:space="preserve">          </v>
      </c>
      <c r="AG240" s="174" t="str">
        <f t="shared" si="424"/>
        <v>NG</v>
      </c>
      <c r="AH240" s="271"/>
      <c r="AI240" s="172" t="s">
        <v>71</v>
      </c>
      <c r="AJ240" s="233"/>
      <c r="AK240" s="234"/>
      <c r="AL240" s="235" t="str">
        <f t="shared" si="441"/>
        <v xml:space="preserve">          </v>
      </c>
      <c r="AM240" s="174" t="str">
        <f t="shared" si="468"/>
        <v>NG</v>
      </c>
      <c r="AN240" s="271"/>
      <c r="AO240" s="172" t="s">
        <v>71</v>
      </c>
      <c r="AP240" s="233"/>
      <c r="AQ240" s="268"/>
      <c r="AR240" s="235" t="str">
        <f t="shared" si="443"/>
        <v xml:space="preserve">          </v>
      </c>
      <c r="AS240" s="174" t="str">
        <f t="shared" si="425"/>
        <v>NG</v>
      </c>
      <c r="AT240" s="271"/>
      <c r="AU240" s="172" t="s">
        <v>71</v>
      </c>
      <c r="AV240" s="233"/>
      <c r="AW240" s="268"/>
      <c r="AX240" s="235" t="str">
        <f t="shared" si="444"/>
        <v xml:space="preserve">          </v>
      </c>
      <c r="AY240" s="174" t="str">
        <f t="shared" si="426"/>
        <v>NG</v>
      </c>
      <c r="AZ240" s="271"/>
      <c r="BA240" s="172" t="s">
        <v>71</v>
      </c>
      <c r="BB240" s="233"/>
      <c r="BC240" s="268"/>
      <c r="BD240" s="235" t="str">
        <f t="shared" si="445"/>
        <v xml:space="preserve">          </v>
      </c>
      <c r="BE240" s="174" t="str">
        <f t="shared" si="427"/>
        <v>NG</v>
      </c>
      <c r="BF240" s="271"/>
      <c r="BG240" s="172" t="s">
        <v>71</v>
      </c>
      <c r="BH240" s="233"/>
      <c r="BI240" s="268"/>
      <c r="BJ240" s="235" t="str">
        <f t="shared" si="446"/>
        <v xml:space="preserve">          </v>
      </c>
      <c r="BK240" s="174" t="str">
        <f t="shared" si="428"/>
        <v>NG</v>
      </c>
      <c r="BL240" s="271"/>
      <c r="BM240" s="172" t="s">
        <v>71</v>
      </c>
      <c r="BN240" s="233"/>
      <c r="BO240" s="268"/>
      <c r="BP240" s="235" t="str">
        <f t="shared" si="447"/>
        <v xml:space="preserve">          </v>
      </c>
      <c r="BQ240" s="174" t="str">
        <f t="shared" si="429"/>
        <v>NG</v>
      </c>
      <c r="BR240" s="271"/>
      <c r="BS240" s="172" t="s">
        <v>71</v>
      </c>
      <c r="BT240" s="233"/>
      <c r="BU240" s="268"/>
      <c r="BV240" s="235" t="str">
        <f t="shared" si="448"/>
        <v xml:space="preserve">          </v>
      </c>
      <c r="BW240" s="174" t="str">
        <f t="shared" si="430"/>
        <v>NG</v>
      </c>
      <c r="BX240" s="271"/>
      <c r="BY240" s="172" t="s">
        <v>71</v>
      </c>
      <c r="BZ240" s="233"/>
      <c r="CA240" s="268"/>
      <c r="CB240" s="235" t="str">
        <f t="shared" si="449"/>
        <v xml:space="preserve">          </v>
      </c>
      <c r="CC240" s="174" t="str">
        <f t="shared" si="431"/>
        <v>NG</v>
      </c>
      <c r="CD240" s="271"/>
      <c r="CE240" s="172" t="s">
        <v>71</v>
      </c>
      <c r="CF240" s="233"/>
      <c r="CG240" s="268"/>
      <c r="CH240" s="235" t="str">
        <f t="shared" si="450"/>
        <v xml:space="preserve">          </v>
      </c>
      <c r="CI240" s="174" t="str">
        <f t="shared" si="432"/>
        <v>NG</v>
      </c>
      <c r="CJ240" s="271"/>
      <c r="CK240" s="172" t="s">
        <v>71</v>
      </c>
      <c r="CL240" s="233"/>
      <c r="CM240" s="268"/>
      <c r="CN240" s="235" t="str">
        <f t="shared" si="451"/>
        <v xml:space="preserve">          </v>
      </c>
      <c r="CO240" s="174" t="str">
        <f t="shared" si="433"/>
        <v>NG</v>
      </c>
      <c r="CP240" s="271"/>
      <c r="CQ240" s="172" t="s">
        <v>71</v>
      </c>
      <c r="CR240" s="233"/>
      <c r="CS240" s="268"/>
      <c r="CT240" s="235" t="str">
        <f t="shared" si="452"/>
        <v xml:space="preserve">          </v>
      </c>
      <c r="CU240" s="174" t="str">
        <f t="shared" si="434"/>
        <v>NG</v>
      </c>
      <c r="CV240" s="271"/>
      <c r="CW240" s="172" t="s">
        <v>71</v>
      </c>
      <c r="CX240" s="233"/>
      <c r="CY240" s="268"/>
      <c r="CZ240" s="235" t="str">
        <f t="shared" si="453"/>
        <v xml:space="preserve">          </v>
      </c>
      <c r="DA240" s="174" t="str">
        <f t="shared" si="435"/>
        <v>NG</v>
      </c>
      <c r="DB240" s="271"/>
      <c r="DC240" s="172" t="s">
        <v>71</v>
      </c>
      <c r="DD240" s="233"/>
      <c r="DE240" s="268"/>
      <c r="DF240" s="235" t="str">
        <f t="shared" si="454"/>
        <v xml:space="preserve">          </v>
      </c>
      <c r="DG240" s="174" t="str">
        <f t="shared" si="436"/>
        <v>NG</v>
      </c>
      <c r="DH240" s="271"/>
      <c r="DI240" s="172" t="s">
        <v>71</v>
      </c>
      <c r="DJ240" s="233"/>
      <c r="DK240" s="268"/>
      <c r="DL240" s="235" t="str">
        <f t="shared" si="455"/>
        <v xml:space="preserve">          </v>
      </c>
      <c r="DM240" s="174" t="str">
        <f t="shared" si="437"/>
        <v>NG</v>
      </c>
      <c r="DN240" s="271"/>
      <c r="DO240" s="172" t="s">
        <v>71</v>
      </c>
      <c r="DP240" s="233"/>
      <c r="DQ240" s="268"/>
      <c r="DR240" s="235" t="str">
        <f t="shared" si="456"/>
        <v xml:space="preserve">          </v>
      </c>
      <c r="DS240" s="174" t="str">
        <f t="shared" si="413"/>
        <v>NG</v>
      </c>
      <c r="DT240" s="271"/>
      <c r="DU240" s="172" t="s">
        <v>71</v>
      </c>
      <c r="DV240" s="233"/>
      <c r="DW240" s="268"/>
      <c r="DX240" s="235" t="str">
        <f t="shared" si="457"/>
        <v xml:space="preserve">          </v>
      </c>
      <c r="DY240" s="174" t="str">
        <f t="shared" si="414"/>
        <v>NG</v>
      </c>
      <c r="DZ240" s="271"/>
      <c r="EA240" s="172" t="s">
        <v>71</v>
      </c>
      <c r="EB240" s="233"/>
      <c r="EC240" s="268"/>
      <c r="ED240" s="235" t="str">
        <f t="shared" si="458"/>
        <v xml:space="preserve">          </v>
      </c>
      <c r="EE240" s="174" t="str">
        <f t="shared" si="415"/>
        <v>NG</v>
      </c>
      <c r="EF240" s="271"/>
      <c r="EG240" s="172" t="s">
        <v>71</v>
      </c>
      <c r="EH240" s="233"/>
      <c r="EI240" s="268"/>
      <c r="EJ240" s="235" t="str">
        <f t="shared" si="459"/>
        <v xml:space="preserve">          </v>
      </c>
      <c r="EK240" s="174" t="str">
        <f t="shared" si="416"/>
        <v>NG</v>
      </c>
      <c r="EL240" s="271"/>
      <c r="EM240" s="172" t="s">
        <v>71</v>
      </c>
      <c r="EN240" s="233"/>
      <c r="EO240" s="268"/>
      <c r="EP240" s="235" t="str">
        <f t="shared" si="460"/>
        <v xml:space="preserve">          </v>
      </c>
      <c r="EQ240" s="174" t="str">
        <f t="shared" si="417"/>
        <v>NG</v>
      </c>
      <c r="ER240" s="271"/>
      <c r="ES240" s="172" t="s">
        <v>71</v>
      </c>
      <c r="ET240" s="233"/>
      <c r="EU240" s="268"/>
      <c r="EV240" s="235" t="str">
        <f t="shared" si="461"/>
        <v xml:space="preserve">          </v>
      </c>
      <c r="EW240" s="174" t="str">
        <f t="shared" si="418"/>
        <v>NG</v>
      </c>
      <c r="EX240" s="271"/>
      <c r="EY240" s="172" t="s">
        <v>71</v>
      </c>
      <c r="EZ240" s="233"/>
      <c r="FA240" s="268"/>
      <c r="FB240" s="235" t="str">
        <f t="shared" si="462"/>
        <v xml:space="preserve">          </v>
      </c>
      <c r="FC240" s="174" t="str">
        <f t="shared" si="419"/>
        <v>NG</v>
      </c>
      <c r="FD240" s="271"/>
      <c r="FE240" s="172" t="s">
        <v>71</v>
      </c>
      <c r="FF240" s="233"/>
      <c r="FG240" s="268"/>
      <c r="FH240" s="235" t="str">
        <f t="shared" si="463"/>
        <v xml:space="preserve">          </v>
      </c>
      <c r="FI240" s="174" t="str">
        <f t="shared" si="420"/>
        <v>NG</v>
      </c>
      <c r="FJ240" s="271"/>
      <c r="FK240" s="172" t="s">
        <v>71</v>
      </c>
      <c r="FL240" s="233"/>
      <c r="FM240" s="268"/>
      <c r="FN240" s="235" t="str">
        <f t="shared" si="464"/>
        <v xml:space="preserve">          </v>
      </c>
      <c r="FO240" s="174" t="str">
        <f t="shared" si="438"/>
        <v>NG</v>
      </c>
      <c r="FP240" s="271"/>
      <c r="FQ240" s="172" t="s">
        <v>71</v>
      </c>
      <c r="FR240" s="233"/>
      <c r="FS240" s="268"/>
      <c r="FT240" s="235" t="str">
        <f t="shared" si="465"/>
        <v xml:space="preserve">          </v>
      </c>
      <c r="FU240" s="174" t="str">
        <f t="shared" si="439"/>
        <v>NG</v>
      </c>
      <c r="FV240" s="271"/>
      <c r="FW240" s="172" t="s">
        <v>71</v>
      </c>
      <c r="FX240" s="233"/>
      <c r="FY240" s="268"/>
      <c r="FZ240" s="235" t="str">
        <f t="shared" si="466"/>
        <v xml:space="preserve">          </v>
      </c>
      <c r="GA240" s="174" t="str">
        <f t="shared" si="440"/>
        <v>NG</v>
      </c>
      <c r="GB240" s="271"/>
      <c r="GC240" s="172" t="s">
        <v>71</v>
      </c>
    </row>
    <row r="241" spans="1:185" s="237" customFormat="1" ht="25.5">
      <c r="B241" s="216">
        <f t="shared" si="467"/>
        <v>234</v>
      </c>
      <c r="C241" s="220"/>
      <c r="D241" s="220"/>
      <c r="E241" s="220"/>
      <c r="F241" s="238" t="s">
        <v>244</v>
      </c>
      <c r="G241" s="168"/>
      <c r="H241" s="239"/>
      <c r="I241" s="225"/>
      <c r="J241" s="225"/>
      <c r="K241" s="226"/>
      <c r="L241" s="226"/>
      <c r="M241" s="227" t="s">
        <v>345</v>
      </c>
      <c r="N241" s="228"/>
      <c r="O241" s="229"/>
      <c r="P241" s="45">
        <f t="shared" si="470"/>
        <v>211</v>
      </c>
      <c r="Q241" s="230">
        <v>3</v>
      </c>
      <c r="R241" s="41" t="str">
        <f t="shared" si="471"/>
        <v>X</v>
      </c>
      <c r="S241" s="185" t="s">
        <v>245</v>
      </c>
      <c r="T241" s="231"/>
      <c r="U241" s="41" t="s">
        <v>80</v>
      </c>
      <c r="V241" s="229"/>
      <c r="W241" s="232">
        <v>3</v>
      </c>
      <c r="X241" s="194" t="s">
        <v>246</v>
      </c>
      <c r="Y241" s="194">
        <v>3</v>
      </c>
      <c r="Z241" s="194">
        <v>3</v>
      </c>
      <c r="AA241" s="225" t="s">
        <v>163</v>
      </c>
      <c r="AB241" s="225" t="s">
        <v>57</v>
      </c>
      <c r="AC241" s="219"/>
      <c r="AD241" s="233"/>
      <c r="AE241" s="268"/>
      <c r="AF241" s="235" t="str">
        <f t="shared" si="442"/>
        <v xml:space="preserve">   </v>
      </c>
      <c r="AG241" s="174" t="str">
        <f t="shared" si="424"/>
        <v>NG</v>
      </c>
      <c r="AH241" s="271"/>
      <c r="AI241" s="172" t="s">
        <v>71</v>
      </c>
      <c r="AJ241" s="233"/>
      <c r="AK241" s="234"/>
      <c r="AL241" s="235" t="str">
        <f t="shared" si="441"/>
        <v xml:space="preserve">   </v>
      </c>
      <c r="AM241" s="174" t="str">
        <f t="shared" si="468"/>
        <v>NG</v>
      </c>
      <c r="AN241" s="271"/>
      <c r="AO241" s="172" t="s">
        <v>71</v>
      </c>
      <c r="AP241" s="233"/>
      <c r="AQ241" s="268"/>
      <c r="AR241" s="235" t="str">
        <f t="shared" si="443"/>
        <v xml:space="preserve">   </v>
      </c>
      <c r="AS241" s="174" t="str">
        <f t="shared" si="425"/>
        <v>NG</v>
      </c>
      <c r="AT241" s="271"/>
      <c r="AU241" s="172" t="s">
        <v>71</v>
      </c>
      <c r="AV241" s="233"/>
      <c r="AW241" s="268"/>
      <c r="AX241" s="235" t="str">
        <f t="shared" si="444"/>
        <v xml:space="preserve">   </v>
      </c>
      <c r="AY241" s="174" t="str">
        <f t="shared" si="426"/>
        <v>NG</v>
      </c>
      <c r="AZ241" s="271"/>
      <c r="BA241" s="172" t="s">
        <v>71</v>
      </c>
      <c r="BB241" s="233"/>
      <c r="BC241" s="268"/>
      <c r="BD241" s="235" t="str">
        <f t="shared" si="445"/>
        <v xml:space="preserve">   </v>
      </c>
      <c r="BE241" s="174" t="str">
        <f t="shared" si="427"/>
        <v>NG</v>
      </c>
      <c r="BF241" s="271"/>
      <c r="BG241" s="172" t="s">
        <v>71</v>
      </c>
      <c r="BH241" s="233"/>
      <c r="BI241" s="268"/>
      <c r="BJ241" s="235" t="str">
        <f t="shared" si="446"/>
        <v xml:space="preserve">   </v>
      </c>
      <c r="BK241" s="174" t="str">
        <f t="shared" si="428"/>
        <v>NG</v>
      </c>
      <c r="BL241" s="271"/>
      <c r="BM241" s="172" t="s">
        <v>71</v>
      </c>
      <c r="BN241" s="233"/>
      <c r="BO241" s="268"/>
      <c r="BP241" s="235" t="str">
        <f t="shared" si="447"/>
        <v xml:space="preserve">   </v>
      </c>
      <c r="BQ241" s="174" t="str">
        <f t="shared" si="429"/>
        <v>NG</v>
      </c>
      <c r="BR241" s="271"/>
      <c r="BS241" s="172" t="s">
        <v>71</v>
      </c>
      <c r="BT241" s="233"/>
      <c r="BU241" s="268"/>
      <c r="BV241" s="235" t="str">
        <f t="shared" si="448"/>
        <v xml:space="preserve">   </v>
      </c>
      <c r="BW241" s="174" t="str">
        <f t="shared" si="430"/>
        <v>NG</v>
      </c>
      <c r="BX241" s="271"/>
      <c r="BY241" s="172" t="s">
        <v>71</v>
      </c>
      <c r="BZ241" s="233"/>
      <c r="CA241" s="268"/>
      <c r="CB241" s="235" t="str">
        <f t="shared" si="449"/>
        <v xml:space="preserve">   </v>
      </c>
      <c r="CC241" s="174" t="str">
        <f t="shared" si="431"/>
        <v>NG</v>
      </c>
      <c r="CD241" s="271"/>
      <c r="CE241" s="172" t="s">
        <v>71</v>
      </c>
      <c r="CF241" s="233"/>
      <c r="CG241" s="268"/>
      <c r="CH241" s="235" t="str">
        <f t="shared" si="450"/>
        <v xml:space="preserve">   </v>
      </c>
      <c r="CI241" s="174" t="str">
        <f t="shared" si="432"/>
        <v>NG</v>
      </c>
      <c r="CJ241" s="271"/>
      <c r="CK241" s="172" t="s">
        <v>71</v>
      </c>
      <c r="CL241" s="233"/>
      <c r="CM241" s="268"/>
      <c r="CN241" s="235" t="str">
        <f t="shared" si="451"/>
        <v xml:space="preserve">   </v>
      </c>
      <c r="CO241" s="174" t="str">
        <f t="shared" si="433"/>
        <v>NG</v>
      </c>
      <c r="CP241" s="271"/>
      <c r="CQ241" s="172" t="s">
        <v>71</v>
      </c>
      <c r="CR241" s="233"/>
      <c r="CS241" s="268"/>
      <c r="CT241" s="235" t="str">
        <f t="shared" si="452"/>
        <v xml:space="preserve">   </v>
      </c>
      <c r="CU241" s="174" t="str">
        <f t="shared" si="434"/>
        <v>NG</v>
      </c>
      <c r="CV241" s="271"/>
      <c r="CW241" s="172" t="s">
        <v>71</v>
      </c>
      <c r="CX241" s="233"/>
      <c r="CY241" s="268"/>
      <c r="CZ241" s="235" t="str">
        <f t="shared" si="453"/>
        <v xml:space="preserve">   </v>
      </c>
      <c r="DA241" s="174" t="str">
        <f t="shared" si="435"/>
        <v>NG</v>
      </c>
      <c r="DB241" s="271"/>
      <c r="DC241" s="172" t="s">
        <v>71</v>
      </c>
      <c r="DD241" s="233"/>
      <c r="DE241" s="268"/>
      <c r="DF241" s="235" t="str">
        <f t="shared" si="454"/>
        <v xml:space="preserve">   </v>
      </c>
      <c r="DG241" s="174" t="str">
        <f t="shared" si="436"/>
        <v>NG</v>
      </c>
      <c r="DH241" s="271"/>
      <c r="DI241" s="172" t="s">
        <v>71</v>
      </c>
      <c r="DJ241" s="233"/>
      <c r="DK241" s="268"/>
      <c r="DL241" s="235" t="str">
        <f t="shared" si="455"/>
        <v xml:space="preserve">   </v>
      </c>
      <c r="DM241" s="174" t="str">
        <f t="shared" si="437"/>
        <v>NG</v>
      </c>
      <c r="DN241" s="271"/>
      <c r="DO241" s="172" t="s">
        <v>71</v>
      </c>
      <c r="DP241" s="233"/>
      <c r="DQ241" s="268"/>
      <c r="DR241" s="235" t="str">
        <f t="shared" si="456"/>
        <v xml:space="preserve">   </v>
      </c>
      <c r="DS241" s="174" t="str">
        <f t="shared" si="413"/>
        <v>NG</v>
      </c>
      <c r="DT241" s="271"/>
      <c r="DU241" s="172" t="s">
        <v>71</v>
      </c>
      <c r="DV241" s="233"/>
      <c r="DW241" s="268"/>
      <c r="DX241" s="235" t="str">
        <f t="shared" si="457"/>
        <v xml:space="preserve">   </v>
      </c>
      <c r="DY241" s="174" t="str">
        <f t="shared" si="414"/>
        <v>NG</v>
      </c>
      <c r="DZ241" s="271"/>
      <c r="EA241" s="172" t="s">
        <v>71</v>
      </c>
      <c r="EB241" s="233"/>
      <c r="EC241" s="268"/>
      <c r="ED241" s="235" t="str">
        <f t="shared" si="458"/>
        <v xml:space="preserve">   </v>
      </c>
      <c r="EE241" s="174" t="str">
        <f t="shared" si="415"/>
        <v>NG</v>
      </c>
      <c r="EF241" s="271"/>
      <c r="EG241" s="172" t="s">
        <v>71</v>
      </c>
      <c r="EH241" s="233"/>
      <c r="EI241" s="268"/>
      <c r="EJ241" s="235" t="str">
        <f t="shared" si="459"/>
        <v xml:space="preserve">   </v>
      </c>
      <c r="EK241" s="174" t="str">
        <f t="shared" si="416"/>
        <v>NG</v>
      </c>
      <c r="EL241" s="271"/>
      <c r="EM241" s="172" t="s">
        <v>71</v>
      </c>
      <c r="EN241" s="233"/>
      <c r="EO241" s="268"/>
      <c r="EP241" s="235" t="str">
        <f t="shared" si="460"/>
        <v xml:space="preserve">   </v>
      </c>
      <c r="EQ241" s="174" t="str">
        <f t="shared" si="417"/>
        <v>NG</v>
      </c>
      <c r="ER241" s="271"/>
      <c r="ES241" s="172" t="s">
        <v>71</v>
      </c>
      <c r="ET241" s="233"/>
      <c r="EU241" s="268"/>
      <c r="EV241" s="235" t="str">
        <f t="shared" si="461"/>
        <v xml:space="preserve">   </v>
      </c>
      <c r="EW241" s="174" t="str">
        <f t="shared" si="418"/>
        <v>NG</v>
      </c>
      <c r="EX241" s="271"/>
      <c r="EY241" s="172" t="s">
        <v>71</v>
      </c>
      <c r="EZ241" s="233"/>
      <c r="FA241" s="268"/>
      <c r="FB241" s="235" t="str">
        <f t="shared" si="462"/>
        <v xml:space="preserve">   </v>
      </c>
      <c r="FC241" s="174" t="str">
        <f t="shared" si="419"/>
        <v>NG</v>
      </c>
      <c r="FD241" s="271"/>
      <c r="FE241" s="172" t="s">
        <v>71</v>
      </c>
      <c r="FF241" s="233"/>
      <c r="FG241" s="268"/>
      <c r="FH241" s="235" t="str">
        <f t="shared" si="463"/>
        <v xml:space="preserve">   </v>
      </c>
      <c r="FI241" s="174" t="str">
        <f t="shared" si="420"/>
        <v>NG</v>
      </c>
      <c r="FJ241" s="271"/>
      <c r="FK241" s="172" t="s">
        <v>71</v>
      </c>
      <c r="FL241" s="233"/>
      <c r="FM241" s="268"/>
      <c r="FN241" s="235" t="str">
        <f t="shared" si="464"/>
        <v xml:space="preserve">   </v>
      </c>
      <c r="FO241" s="174" t="str">
        <f t="shared" si="438"/>
        <v>NG</v>
      </c>
      <c r="FP241" s="271"/>
      <c r="FQ241" s="172" t="s">
        <v>71</v>
      </c>
      <c r="FR241" s="233"/>
      <c r="FS241" s="268"/>
      <c r="FT241" s="235" t="str">
        <f t="shared" si="465"/>
        <v xml:space="preserve">   </v>
      </c>
      <c r="FU241" s="174" t="str">
        <f t="shared" si="439"/>
        <v>NG</v>
      </c>
      <c r="FV241" s="271"/>
      <c r="FW241" s="172" t="s">
        <v>71</v>
      </c>
      <c r="FX241" s="233"/>
      <c r="FY241" s="268"/>
      <c r="FZ241" s="235" t="str">
        <f t="shared" si="466"/>
        <v xml:space="preserve">   </v>
      </c>
      <c r="GA241" s="174" t="str">
        <f t="shared" si="440"/>
        <v>NG</v>
      </c>
      <c r="GB241" s="271"/>
      <c r="GC241" s="172" t="s">
        <v>71</v>
      </c>
    </row>
    <row r="242" spans="1:185" s="237" customFormat="1" ht="25.5">
      <c r="B242" s="216">
        <f t="shared" si="467"/>
        <v>235</v>
      </c>
      <c r="C242" s="220"/>
      <c r="D242" s="220"/>
      <c r="E242" s="220"/>
      <c r="F242" s="238" t="s">
        <v>347</v>
      </c>
      <c r="G242" s="168"/>
      <c r="H242" s="239"/>
      <c r="I242" s="225"/>
      <c r="J242" s="225"/>
      <c r="K242" s="226"/>
      <c r="L242" s="226"/>
      <c r="M242" s="227" t="s">
        <v>345</v>
      </c>
      <c r="N242" s="228"/>
      <c r="O242" s="229"/>
      <c r="P242" s="45">
        <f t="shared" si="470"/>
        <v>212</v>
      </c>
      <c r="Q242" s="230">
        <v>2</v>
      </c>
      <c r="R242" s="41" t="str">
        <f t="shared" si="471"/>
        <v>X</v>
      </c>
      <c r="S242" s="185" t="s">
        <v>247</v>
      </c>
      <c r="T242" s="231"/>
      <c r="U242" s="41" t="s">
        <v>80</v>
      </c>
      <c r="V242" s="229"/>
      <c r="W242" s="232">
        <v>3</v>
      </c>
      <c r="X242" s="194" t="s">
        <v>248</v>
      </c>
      <c r="Y242" s="194">
        <v>2</v>
      </c>
      <c r="Z242" s="194">
        <v>2</v>
      </c>
      <c r="AA242" s="225" t="s">
        <v>163</v>
      </c>
      <c r="AB242" s="225" t="s">
        <v>57</v>
      </c>
      <c r="AC242" s="219"/>
      <c r="AD242" s="233"/>
      <c r="AE242" s="268"/>
      <c r="AF242" s="235" t="str">
        <f t="shared" si="442"/>
        <v xml:space="preserve">  </v>
      </c>
      <c r="AG242" s="174" t="str">
        <f t="shared" si="424"/>
        <v>NG</v>
      </c>
      <c r="AH242" s="271"/>
      <c r="AI242" s="172" t="s">
        <v>71</v>
      </c>
      <c r="AJ242" s="233"/>
      <c r="AK242" s="234"/>
      <c r="AL242" s="235" t="str">
        <f t="shared" si="441"/>
        <v xml:space="preserve">  </v>
      </c>
      <c r="AM242" s="174" t="str">
        <f t="shared" si="468"/>
        <v>NG</v>
      </c>
      <c r="AN242" s="271"/>
      <c r="AO242" s="172" t="s">
        <v>71</v>
      </c>
      <c r="AP242" s="233"/>
      <c r="AQ242" s="268"/>
      <c r="AR242" s="235" t="str">
        <f t="shared" si="443"/>
        <v xml:space="preserve">  </v>
      </c>
      <c r="AS242" s="174" t="str">
        <f t="shared" si="425"/>
        <v>NG</v>
      </c>
      <c r="AT242" s="271"/>
      <c r="AU242" s="172" t="s">
        <v>71</v>
      </c>
      <c r="AV242" s="233"/>
      <c r="AW242" s="268"/>
      <c r="AX242" s="235" t="str">
        <f t="shared" si="444"/>
        <v xml:space="preserve">  </v>
      </c>
      <c r="AY242" s="174" t="str">
        <f t="shared" si="426"/>
        <v>NG</v>
      </c>
      <c r="AZ242" s="271"/>
      <c r="BA242" s="172" t="s">
        <v>71</v>
      </c>
      <c r="BB242" s="233"/>
      <c r="BC242" s="268"/>
      <c r="BD242" s="235" t="str">
        <f t="shared" si="445"/>
        <v xml:space="preserve">  </v>
      </c>
      <c r="BE242" s="174" t="str">
        <f t="shared" si="427"/>
        <v>NG</v>
      </c>
      <c r="BF242" s="271"/>
      <c r="BG242" s="172" t="s">
        <v>71</v>
      </c>
      <c r="BH242" s="233"/>
      <c r="BI242" s="268"/>
      <c r="BJ242" s="235" t="str">
        <f t="shared" si="446"/>
        <v xml:space="preserve">  </v>
      </c>
      <c r="BK242" s="174" t="str">
        <f t="shared" si="428"/>
        <v>NG</v>
      </c>
      <c r="BL242" s="271"/>
      <c r="BM242" s="172" t="s">
        <v>71</v>
      </c>
      <c r="BN242" s="233"/>
      <c r="BO242" s="268"/>
      <c r="BP242" s="235" t="str">
        <f t="shared" si="447"/>
        <v xml:space="preserve">  </v>
      </c>
      <c r="BQ242" s="174" t="str">
        <f t="shared" si="429"/>
        <v>NG</v>
      </c>
      <c r="BR242" s="271"/>
      <c r="BS242" s="172" t="s">
        <v>71</v>
      </c>
      <c r="BT242" s="233"/>
      <c r="BU242" s="268"/>
      <c r="BV242" s="235" t="str">
        <f t="shared" si="448"/>
        <v xml:space="preserve">  </v>
      </c>
      <c r="BW242" s="174" t="str">
        <f t="shared" si="430"/>
        <v>NG</v>
      </c>
      <c r="BX242" s="271"/>
      <c r="BY242" s="172" t="s">
        <v>71</v>
      </c>
      <c r="BZ242" s="233"/>
      <c r="CA242" s="268"/>
      <c r="CB242" s="235" t="str">
        <f t="shared" si="449"/>
        <v xml:space="preserve">  </v>
      </c>
      <c r="CC242" s="174" t="str">
        <f t="shared" si="431"/>
        <v>NG</v>
      </c>
      <c r="CD242" s="271"/>
      <c r="CE242" s="172" t="s">
        <v>71</v>
      </c>
      <c r="CF242" s="233"/>
      <c r="CG242" s="268"/>
      <c r="CH242" s="235" t="str">
        <f t="shared" si="450"/>
        <v xml:space="preserve">  </v>
      </c>
      <c r="CI242" s="174" t="str">
        <f t="shared" si="432"/>
        <v>NG</v>
      </c>
      <c r="CJ242" s="271"/>
      <c r="CK242" s="172" t="s">
        <v>71</v>
      </c>
      <c r="CL242" s="233"/>
      <c r="CM242" s="268"/>
      <c r="CN242" s="235" t="str">
        <f t="shared" si="451"/>
        <v xml:space="preserve">  </v>
      </c>
      <c r="CO242" s="174" t="str">
        <f t="shared" si="433"/>
        <v>NG</v>
      </c>
      <c r="CP242" s="271"/>
      <c r="CQ242" s="172" t="s">
        <v>71</v>
      </c>
      <c r="CR242" s="233"/>
      <c r="CS242" s="268"/>
      <c r="CT242" s="235" t="str">
        <f t="shared" si="452"/>
        <v xml:space="preserve">  </v>
      </c>
      <c r="CU242" s="174" t="str">
        <f t="shared" si="434"/>
        <v>NG</v>
      </c>
      <c r="CV242" s="271"/>
      <c r="CW242" s="172" t="s">
        <v>71</v>
      </c>
      <c r="CX242" s="233"/>
      <c r="CY242" s="268"/>
      <c r="CZ242" s="235" t="str">
        <f t="shared" si="453"/>
        <v xml:space="preserve">  </v>
      </c>
      <c r="DA242" s="174" t="str">
        <f t="shared" si="435"/>
        <v>NG</v>
      </c>
      <c r="DB242" s="271"/>
      <c r="DC242" s="172" t="s">
        <v>71</v>
      </c>
      <c r="DD242" s="233"/>
      <c r="DE242" s="268"/>
      <c r="DF242" s="235" t="str">
        <f t="shared" si="454"/>
        <v xml:space="preserve">  </v>
      </c>
      <c r="DG242" s="174" t="str">
        <f t="shared" si="436"/>
        <v>NG</v>
      </c>
      <c r="DH242" s="271"/>
      <c r="DI242" s="172" t="s">
        <v>71</v>
      </c>
      <c r="DJ242" s="233"/>
      <c r="DK242" s="268"/>
      <c r="DL242" s="235" t="str">
        <f t="shared" si="455"/>
        <v xml:space="preserve">  </v>
      </c>
      <c r="DM242" s="174" t="str">
        <f t="shared" si="437"/>
        <v>NG</v>
      </c>
      <c r="DN242" s="271"/>
      <c r="DO242" s="172" t="s">
        <v>71</v>
      </c>
      <c r="DP242" s="233"/>
      <c r="DQ242" s="268"/>
      <c r="DR242" s="235" t="str">
        <f t="shared" si="456"/>
        <v xml:space="preserve">  </v>
      </c>
      <c r="DS242" s="174" t="str">
        <f t="shared" si="413"/>
        <v>NG</v>
      </c>
      <c r="DT242" s="271"/>
      <c r="DU242" s="172" t="s">
        <v>71</v>
      </c>
      <c r="DV242" s="233"/>
      <c r="DW242" s="268"/>
      <c r="DX242" s="235" t="str">
        <f t="shared" si="457"/>
        <v xml:space="preserve">  </v>
      </c>
      <c r="DY242" s="174" t="str">
        <f t="shared" si="414"/>
        <v>NG</v>
      </c>
      <c r="DZ242" s="271"/>
      <c r="EA242" s="172" t="s">
        <v>71</v>
      </c>
      <c r="EB242" s="233"/>
      <c r="EC242" s="268"/>
      <c r="ED242" s="235" t="str">
        <f t="shared" si="458"/>
        <v xml:space="preserve">  </v>
      </c>
      <c r="EE242" s="174" t="str">
        <f t="shared" si="415"/>
        <v>NG</v>
      </c>
      <c r="EF242" s="271"/>
      <c r="EG242" s="172" t="s">
        <v>71</v>
      </c>
      <c r="EH242" s="233"/>
      <c r="EI242" s="268"/>
      <c r="EJ242" s="235" t="str">
        <f t="shared" si="459"/>
        <v xml:space="preserve">  </v>
      </c>
      <c r="EK242" s="174" t="str">
        <f t="shared" si="416"/>
        <v>NG</v>
      </c>
      <c r="EL242" s="271"/>
      <c r="EM242" s="172" t="s">
        <v>71</v>
      </c>
      <c r="EN242" s="233"/>
      <c r="EO242" s="268"/>
      <c r="EP242" s="235" t="str">
        <f t="shared" si="460"/>
        <v xml:space="preserve">  </v>
      </c>
      <c r="EQ242" s="174" t="str">
        <f t="shared" si="417"/>
        <v>NG</v>
      </c>
      <c r="ER242" s="271"/>
      <c r="ES242" s="172" t="s">
        <v>71</v>
      </c>
      <c r="ET242" s="233"/>
      <c r="EU242" s="268"/>
      <c r="EV242" s="235" t="str">
        <f t="shared" si="461"/>
        <v xml:space="preserve">  </v>
      </c>
      <c r="EW242" s="174" t="str">
        <f t="shared" si="418"/>
        <v>NG</v>
      </c>
      <c r="EX242" s="271"/>
      <c r="EY242" s="172" t="s">
        <v>71</v>
      </c>
      <c r="EZ242" s="233"/>
      <c r="FA242" s="268"/>
      <c r="FB242" s="235" t="str">
        <f t="shared" si="462"/>
        <v xml:space="preserve">  </v>
      </c>
      <c r="FC242" s="174" t="str">
        <f t="shared" si="419"/>
        <v>NG</v>
      </c>
      <c r="FD242" s="271"/>
      <c r="FE242" s="172" t="s">
        <v>71</v>
      </c>
      <c r="FF242" s="233"/>
      <c r="FG242" s="268"/>
      <c r="FH242" s="235" t="str">
        <f t="shared" si="463"/>
        <v xml:space="preserve">  </v>
      </c>
      <c r="FI242" s="174" t="str">
        <f t="shared" si="420"/>
        <v>NG</v>
      </c>
      <c r="FJ242" s="271"/>
      <c r="FK242" s="172" t="s">
        <v>71</v>
      </c>
      <c r="FL242" s="233"/>
      <c r="FM242" s="268"/>
      <c r="FN242" s="235" t="str">
        <f t="shared" si="464"/>
        <v xml:space="preserve">  </v>
      </c>
      <c r="FO242" s="174" t="str">
        <f t="shared" si="438"/>
        <v>NG</v>
      </c>
      <c r="FP242" s="271"/>
      <c r="FQ242" s="172" t="s">
        <v>71</v>
      </c>
      <c r="FR242" s="233"/>
      <c r="FS242" s="268"/>
      <c r="FT242" s="235" t="str">
        <f t="shared" si="465"/>
        <v xml:space="preserve">  </v>
      </c>
      <c r="FU242" s="174" t="str">
        <f t="shared" si="439"/>
        <v>NG</v>
      </c>
      <c r="FV242" s="271"/>
      <c r="FW242" s="172" t="s">
        <v>71</v>
      </c>
      <c r="FX242" s="233"/>
      <c r="FY242" s="268"/>
      <c r="FZ242" s="235" t="str">
        <f t="shared" si="466"/>
        <v xml:space="preserve">  </v>
      </c>
      <c r="GA242" s="174" t="str">
        <f t="shared" si="440"/>
        <v>NG</v>
      </c>
      <c r="GB242" s="271"/>
      <c r="GC242" s="172" t="s">
        <v>71</v>
      </c>
    </row>
    <row r="243" spans="1:185" s="237" customFormat="1" ht="51.75" customHeight="1">
      <c r="B243" s="216">
        <f t="shared" si="467"/>
        <v>236</v>
      </c>
      <c r="C243" s="220"/>
      <c r="D243" s="220"/>
      <c r="E243" s="220"/>
      <c r="F243" s="240" t="s">
        <v>348</v>
      </c>
      <c r="G243" s="241"/>
      <c r="H243" s="242"/>
      <c r="I243" s="225"/>
      <c r="J243" s="225"/>
      <c r="K243" s="226"/>
      <c r="L243" s="226"/>
      <c r="M243" s="227" t="s">
        <v>349</v>
      </c>
      <c r="N243" s="228"/>
      <c r="O243" s="229"/>
      <c r="P243" s="45">
        <f t="shared" si="470"/>
        <v>213</v>
      </c>
      <c r="Q243" s="230">
        <v>5</v>
      </c>
      <c r="R243" s="41" t="str">
        <f t="shared" si="471"/>
        <v>X</v>
      </c>
      <c r="S243" s="185" t="s">
        <v>249</v>
      </c>
      <c r="T243" s="231"/>
      <c r="U243" s="41" t="s">
        <v>80</v>
      </c>
      <c r="V243" s="229"/>
      <c r="W243" s="232">
        <v>3</v>
      </c>
      <c r="X243" s="194" t="s">
        <v>250</v>
      </c>
      <c r="Y243" s="194">
        <v>5</v>
      </c>
      <c r="Z243" s="194">
        <v>5</v>
      </c>
      <c r="AA243" s="225" t="s">
        <v>163</v>
      </c>
      <c r="AB243" s="225" t="s">
        <v>57</v>
      </c>
      <c r="AC243" s="243"/>
      <c r="AD243" s="233"/>
      <c r="AE243" s="297"/>
      <c r="AF243" s="235" t="str">
        <f t="shared" si="442"/>
        <v xml:space="preserve">     </v>
      </c>
      <c r="AG243" s="174" t="str">
        <f t="shared" si="424"/>
        <v>NG</v>
      </c>
      <c r="AH243" s="298"/>
      <c r="AI243" s="276" t="str">
        <f>IF(OR(AE$8="判定対象外",AH$8="判定対象外",AH243="-"),"-",IF(AE243=AH243,"OK","NG"))</f>
        <v>OK</v>
      </c>
      <c r="AJ243" s="233"/>
      <c r="AK243" s="269"/>
      <c r="AL243" s="235" t="str">
        <f t="shared" si="441"/>
        <v xml:space="preserve">     </v>
      </c>
      <c r="AM243" s="174" t="str">
        <f t="shared" si="468"/>
        <v>NG</v>
      </c>
      <c r="AN243" s="298"/>
      <c r="AO243" s="276" t="str">
        <f>IF(OR(AK$8="判定対象外",AN$8="判定対象外",AN243="-"),"-",IF(AK243=AN243,"OK","NG"))</f>
        <v>OK</v>
      </c>
      <c r="AP243" s="233"/>
      <c r="AQ243" s="297"/>
      <c r="AR243" s="235" t="str">
        <f t="shared" si="443"/>
        <v xml:space="preserve">     </v>
      </c>
      <c r="AS243" s="174" t="str">
        <f t="shared" si="425"/>
        <v>NG</v>
      </c>
      <c r="AT243" s="298"/>
      <c r="AU243" s="276" t="str">
        <f>IF(OR(AQ$8="判定対象外",AT$8="判定対象外",AT243="-"),"-",IF(AQ243=AT243,"OK","NG"))</f>
        <v>OK</v>
      </c>
      <c r="AV243" s="233"/>
      <c r="AW243" s="297"/>
      <c r="AX243" s="235" t="str">
        <f t="shared" si="444"/>
        <v xml:space="preserve">     </v>
      </c>
      <c r="AY243" s="174" t="str">
        <f t="shared" si="426"/>
        <v>NG</v>
      </c>
      <c r="AZ243" s="298"/>
      <c r="BA243" s="276" t="str">
        <f>IF(OR(AW$8="判定対象外",AZ$8="判定対象外",AZ243="-"),"-",IF(AW243=AZ243,"OK","NG"))</f>
        <v>OK</v>
      </c>
      <c r="BB243" s="233"/>
      <c r="BC243" s="297"/>
      <c r="BD243" s="235" t="str">
        <f t="shared" si="445"/>
        <v xml:space="preserve">     </v>
      </c>
      <c r="BE243" s="174" t="str">
        <f t="shared" si="427"/>
        <v>NG</v>
      </c>
      <c r="BF243" s="298"/>
      <c r="BG243" s="276" t="str">
        <f>IF(OR(BC$8="判定対象外",BF$8="判定対象外",BF243="-"),"-",IF(BC243=BF243,"OK","NG"))</f>
        <v>OK</v>
      </c>
      <c r="BH243" s="233"/>
      <c r="BI243" s="297"/>
      <c r="BJ243" s="235" t="str">
        <f t="shared" si="446"/>
        <v xml:space="preserve">     </v>
      </c>
      <c r="BK243" s="174" t="str">
        <f t="shared" si="428"/>
        <v>NG</v>
      </c>
      <c r="BL243" s="298"/>
      <c r="BM243" s="276" t="str">
        <f>IF(OR(BI$8="判定対象外",BL$8="判定対象外",BL243="-"),"-",IF(BI243=BL243,"OK","NG"))</f>
        <v>OK</v>
      </c>
      <c r="BN243" s="233"/>
      <c r="BO243" s="297"/>
      <c r="BP243" s="235" t="str">
        <f t="shared" si="447"/>
        <v xml:space="preserve">     </v>
      </c>
      <c r="BQ243" s="174" t="str">
        <f t="shared" si="429"/>
        <v>NG</v>
      </c>
      <c r="BR243" s="298"/>
      <c r="BS243" s="276" t="str">
        <f>IF(OR(BO$8="判定対象外",BR$8="判定対象外",BR243="-"),"-",IF(BO243=BR243,"OK","NG"))</f>
        <v>OK</v>
      </c>
      <c r="BT243" s="233"/>
      <c r="BU243" s="297"/>
      <c r="BV243" s="235" t="str">
        <f t="shared" si="448"/>
        <v xml:space="preserve">     </v>
      </c>
      <c r="BW243" s="174" t="str">
        <f t="shared" si="430"/>
        <v>NG</v>
      </c>
      <c r="BX243" s="298"/>
      <c r="BY243" s="276" t="str">
        <f>IF(OR(BU$8="判定対象外",BX$8="判定対象外",BX243="-"),"-",IF(BU243=BX243,"OK","NG"))</f>
        <v>OK</v>
      </c>
      <c r="BZ243" s="233"/>
      <c r="CA243" s="297"/>
      <c r="CB243" s="235" t="str">
        <f t="shared" si="449"/>
        <v xml:space="preserve">     </v>
      </c>
      <c r="CC243" s="174" t="str">
        <f t="shared" si="431"/>
        <v>NG</v>
      </c>
      <c r="CD243" s="298"/>
      <c r="CE243" s="276" t="str">
        <f>IF(OR(CA$8="判定対象外",CD$8="判定対象外",CD243="-"),"-",IF(CA243=CD243,"OK","NG"))</f>
        <v>OK</v>
      </c>
      <c r="CF243" s="233"/>
      <c r="CG243" s="297"/>
      <c r="CH243" s="235" t="str">
        <f t="shared" si="450"/>
        <v xml:space="preserve">     </v>
      </c>
      <c r="CI243" s="174" t="str">
        <f t="shared" si="432"/>
        <v>NG</v>
      </c>
      <c r="CJ243" s="298"/>
      <c r="CK243" s="276" t="str">
        <f>IF(OR(CG$8="判定対象外",CJ$8="判定対象外",CJ243="-"),"-",IF(CG243=CJ243,"OK","NG"))</f>
        <v>OK</v>
      </c>
      <c r="CL243" s="233"/>
      <c r="CM243" s="297"/>
      <c r="CN243" s="235" t="str">
        <f t="shared" si="451"/>
        <v xml:space="preserve">     </v>
      </c>
      <c r="CO243" s="174" t="str">
        <f t="shared" si="433"/>
        <v>NG</v>
      </c>
      <c r="CP243" s="298"/>
      <c r="CQ243" s="276" t="str">
        <f>IF(OR(CM$8="判定対象外",CP$8="判定対象外",CP243="-"),"-",IF(CM243=CP243,"OK","NG"))</f>
        <v>OK</v>
      </c>
      <c r="CR243" s="233"/>
      <c r="CS243" s="297"/>
      <c r="CT243" s="235" t="str">
        <f t="shared" si="452"/>
        <v xml:space="preserve">     </v>
      </c>
      <c r="CU243" s="174" t="str">
        <f t="shared" si="434"/>
        <v>NG</v>
      </c>
      <c r="CV243" s="298"/>
      <c r="CW243" s="276" t="str">
        <f>IF(OR(CS$8="判定対象外",CV$8="判定対象外",CV243="-"),"-",IF(CS243=CV243,"OK","NG"))</f>
        <v>OK</v>
      </c>
      <c r="CX243" s="233"/>
      <c r="CY243" s="297"/>
      <c r="CZ243" s="235" t="str">
        <f t="shared" si="453"/>
        <v xml:space="preserve">     </v>
      </c>
      <c r="DA243" s="174" t="str">
        <f t="shared" si="435"/>
        <v>NG</v>
      </c>
      <c r="DB243" s="298"/>
      <c r="DC243" s="276" t="str">
        <f>IF(OR(CY$8="判定対象外",DB$8="判定対象外",DB243="-"),"-",IF(CY243=DB243,"OK","NG"))</f>
        <v>OK</v>
      </c>
      <c r="DD243" s="233"/>
      <c r="DE243" s="297"/>
      <c r="DF243" s="235" t="str">
        <f t="shared" si="454"/>
        <v xml:space="preserve">     </v>
      </c>
      <c r="DG243" s="174" t="str">
        <f t="shared" si="436"/>
        <v>NG</v>
      </c>
      <c r="DH243" s="298"/>
      <c r="DI243" s="276" t="str">
        <f>IF(OR(DE$8="判定対象外",DH$8="判定対象外",DH243="-"),"-",IF(DE243=DH243,"OK","NG"))</f>
        <v>OK</v>
      </c>
      <c r="DJ243" s="233"/>
      <c r="DK243" s="297"/>
      <c r="DL243" s="235" t="str">
        <f t="shared" si="455"/>
        <v xml:space="preserve">     </v>
      </c>
      <c r="DM243" s="174" t="str">
        <f t="shared" si="437"/>
        <v>NG</v>
      </c>
      <c r="DN243" s="298"/>
      <c r="DO243" s="276" t="str">
        <f>IF(OR(DK$8="判定対象外",DN$8="判定対象外",DN243="-"),"-",IF(DK243=DN243,"OK","NG"))</f>
        <v>OK</v>
      </c>
      <c r="DP243" s="233"/>
      <c r="DQ243" s="297"/>
      <c r="DR243" s="235" t="str">
        <f t="shared" si="456"/>
        <v xml:space="preserve">     </v>
      </c>
      <c r="DS243" s="174" t="str">
        <f t="shared" si="413"/>
        <v>NG</v>
      </c>
      <c r="DT243" s="298"/>
      <c r="DU243" s="276" t="str">
        <f>IF(OR(DQ$8="判定対象外",DT$8="判定対象外",DT243="-"),"-",IF(DQ243=DT243,"OK","NG"))</f>
        <v>OK</v>
      </c>
      <c r="DV243" s="233"/>
      <c r="DW243" s="297"/>
      <c r="DX243" s="235" t="str">
        <f t="shared" si="457"/>
        <v xml:space="preserve">     </v>
      </c>
      <c r="DY243" s="174" t="str">
        <f t="shared" si="414"/>
        <v>NG</v>
      </c>
      <c r="DZ243" s="298"/>
      <c r="EA243" s="276" t="str">
        <f>IF(OR(DW$8="判定対象外",DZ$8="判定対象外",DZ243="-"),"-",IF(DW243=DZ243,"OK","NG"))</f>
        <v>OK</v>
      </c>
      <c r="EB243" s="233"/>
      <c r="EC243" s="297"/>
      <c r="ED243" s="235" t="str">
        <f t="shared" si="458"/>
        <v xml:space="preserve">     </v>
      </c>
      <c r="EE243" s="174" t="str">
        <f t="shared" si="415"/>
        <v>NG</v>
      </c>
      <c r="EF243" s="298"/>
      <c r="EG243" s="276" t="str">
        <f>IF(OR(EC$8="判定対象外",EF$8="判定対象外",EF243="-"),"-",IF(EC243=EF243,"OK","NG"))</f>
        <v>OK</v>
      </c>
      <c r="EH243" s="233"/>
      <c r="EI243" s="297"/>
      <c r="EJ243" s="235" t="str">
        <f t="shared" si="459"/>
        <v xml:space="preserve">     </v>
      </c>
      <c r="EK243" s="174" t="str">
        <f t="shared" si="416"/>
        <v>NG</v>
      </c>
      <c r="EL243" s="298"/>
      <c r="EM243" s="276" t="str">
        <f>IF(OR(EI$8="判定対象外",EL$8="判定対象外",EL243="-"),"-",IF(EI243=EL243,"OK","NG"))</f>
        <v>OK</v>
      </c>
      <c r="EN243" s="233"/>
      <c r="EO243" s="297"/>
      <c r="EP243" s="235" t="str">
        <f t="shared" si="460"/>
        <v xml:space="preserve">     </v>
      </c>
      <c r="EQ243" s="174" t="str">
        <f t="shared" si="417"/>
        <v>NG</v>
      </c>
      <c r="ER243" s="298"/>
      <c r="ES243" s="276" t="str">
        <f>IF(OR(EO$8="判定対象外",ER$8="判定対象外",ER243="-"),"-",IF(EO243=ER243,"OK","NG"))</f>
        <v>OK</v>
      </c>
      <c r="ET243" s="233"/>
      <c r="EU243" s="297"/>
      <c r="EV243" s="235" t="str">
        <f t="shared" si="461"/>
        <v xml:space="preserve">     </v>
      </c>
      <c r="EW243" s="174" t="str">
        <f t="shared" si="418"/>
        <v>NG</v>
      </c>
      <c r="EX243" s="298"/>
      <c r="EY243" s="276" t="str">
        <f>IF(OR(EU$8="判定対象外",EX$8="判定対象外",EX243="-"),"-",IF(EU243=EX243,"OK","NG"))</f>
        <v>OK</v>
      </c>
      <c r="EZ243" s="233"/>
      <c r="FA243" s="297"/>
      <c r="FB243" s="235" t="str">
        <f t="shared" si="462"/>
        <v xml:space="preserve">     </v>
      </c>
      <c r="FC243" s="174" t="str">
        <f t="shared" si="419"/>
        <v>NG</v>
      </c>
      <c r="FD243" s="298"/>
      <c r="FE243" s="276" t="str">
        <f>IF(OR(FA$8="判定対象外",FD$8="判定対象外",FD243="-"),"-",IF(FA243=FD243,"OK","NG"))</f>
        <v>OK</v>
      </c>
      <c r="FF243" s="233"/>
      <c r="FG243" s="297"/>
      <c r="FH243" s="235" t="str">
        <f t="shared" si="463"/>
        <v xml:space="preserve">     </v>
      </c>
      <c r="FI243" s="174" t="str">
        <f t="shared" si="420"/>
        <v>NG</v>
      </c>
      <c r="FJ243" s="298"/>
      <c r="FK243" s="276" t="str">
        <f>IF(OR(FG$8="判定対象外",FJ$8="判定対象外",FJ243="-"),"-",IF(FG243=FJ243,"OK","NG"))</f>
        <v>OK</v>
      </c>
      <c r="FL243" s="233"/>
      <c r="FM243" s="297"/>
      <c r="FN243" s="235" t="str">
        <f t="shared" si="464"/>
        <v xml:space="preserve">     </v>
      </c>
      <c r="FO243" s="174" t="str">
        <f t="shared" si="438"/>
        <v>NG</v>
      </c>
      <c r="FP243" s="298"/>
      <c r="FQ243" s="276" t="str">
        <f>IF(OR(FM$8="判定対象外",FP$8="判定対象外",FP243="-"),"-",IF(FM243=FP243,"OK","NG"))</f>
        <v>OK</v>
      </c>
      <c r="FR243" s="233"/>
      <c r="FS243" s="297"/>
      <c r="FT243" s="235" t="str">
        <f t="shared" si="465"/>
        <v xml:space="preserve">     </v>
      </c>
      <c r="FU243" s="174" t="str">
        <f t="shared" si="439"/>
        <v>NG</v>
      </c>
      <c r="FV243" s="298"/>
      <c r="FW243" s="276" t="str">
        <f>IF(OR(FS$8="判定対象外",FV$8="判定対象外",FV243="-"),"-",IF(FS243=FV243,"OK","NG"))</f>
        <v>OK</v>
      </c>
      <c r="FX243" s="233"/>
      <c r="FY243" s="297"/>
      <c r="FZ243" s="235" t="str">
        <f t="shared" si="466"/>
        <v xml:space="preserve">     </v>
      </c>
      <c r="GA243" s="174" t="str">
        <f t="shared" si="440"/>
        <v>NG</v>
      </c>
      <c r="GB243" s="298"/>
      <c r="GC243" s="276" t="str">
        <f>IF(OR(FY$8="判定対象外",GB$8="判定対象外",GB243="-"),"-",IF(FY243=GB243,"OK","NG"))</f>
        <v>OK</v>
      </c>
    </row>
    <row r="244" spans="1:185" s="237" customFormat="1" ht="51.75" customHeight="1">
      <c r="B244" s="216">
        <f t="shared" si="467"/>
        <v>237</v>
      </c>
      <c r="C244" s="220"/>
      <c r="D244" s="220"/>
      <c r="E244" s="220"/>
      <c r="F244" s="240" t="s">
        <v>350</v>
      </c>
      <c r="G244" s="241"/>
      <c r="H244" s="242"/>
      <c r="I244" s="225"/>
      <c r="J244" s="225"/>
      <c r="K244" s="226"/>
      <c r="L244" s="226"/>
      <c r="M244" s="227" t="s">
        <v>351</v>
      </c>
      <c r="N244" s="228"/>
      <c r="O244" s="229"/>
      <c r="P244" s="45">
        <f t="shared" si="470"/>
        <v>214</v>
      </c>
      <c r="Q244" s="230">
        <v>64</v>
      </c>
      <c r="R244" s="41" t="str">
        <f t="shared" si="471"/>
        <v>NX</v>
      </c>
      <c r="S244" s="185" t="s">
        <v>251</v>
      </c>
      <c r="T244" s="231"/>
      <c r="U244" s="41" t="s">
        <v>80</v>
      </c>
      <c r="V244" s="229" t="s">
        <v>252</v>
      </c>
      <c r="W244" s="232">
        <v>3</v>
      </c>
      <c r="X244" s="194" t="s">
        <v>253</v>
      </c>
      <c r="Y244" s="194">
        <v>1</v>
      </c>
      <c r="Z244" s="194">
        <v>64</v>
      </c>
      <c r="AA244" s="225" t="s">
        <v>101</v>
      </c>
      <c r="AB244" s="225" t="s">
        <v>57</v>
      </c>
      <c r="AC244" s="243" t="s">
        <v>252</v>
      </c>
      <c r="AD244" s="233"/>
      <c r="AE244" s="297"/>
      <c r="AF244" s="235" t="str">
        <f t="shared" si="442"/>
        <v xml:space="preserve">                                                                </v>
      </c>
      <c r="AG244" s="174" t="str">
        <f t="shared" si="424"/>
        <v>NG</v>
      </c>
      <c r="AH244" s="273"/>
      <c r="AI244" s="276" t="str">
        <f>IF(OR(AE$8="判定対象外",AH$8="判定対象外",AH244="-"),"-",IF(AE244=AH244,"OK","NG"))</f>
        <v>OK</v>
      </c>
      <c r="AJ244" s="233"/>
      <c r="AK244" s="269"/>
      <c r="AL244" s="235" t="str">
        <f t="shared" si="441"/>
        <v xml:space="preserve">                                                                </v>
      </c>
      <c r="AM244" s="174" t="str">
        <f t="shared" si="468"/>
        <v>NG</v>
      </c>
      <c r="AN244" s="273"/>
      <c r="AO244" s="276" t="str">
        <f>IF(OR(AK$8="判定対象外",AN$8="判定対象外",AN244="-"),"-",IF(AK244=AN244,"OK","NG"))</f>
        <v>OK</v>
      </c>
      <c r="AP244" s="233"/>
      <c r="AQ244" s="297"/>
      <c r="AR244" s="235" t="str">
        <f t="shared" si="443"/>
        <v xml:space="preserve">                                                                </v>
      </c>
      <c r="AS244" s="174" t="str">
        <f t="shared" si="425"/>
        <v>NG</v>
      </c>
      <c r="AT244" s="273"/>
      <c r="AU244" s="276" t="str">
        <f>IF(OR(AQ$8="判定対象外",AT$8="判定対象外",AT244="-"),"-",IF(AQ244=AT244,"OK","NG"))</f>
        <v>OK</v>
      </c>
      <c r="AV244" s="233"/>
      <c r="AW244" s="297"/>
      <c r="AX244" s="235" t="str">
        <f t="shared" si="444"/>
        <v xml:space="preserve">                                                                </v>
      </c>
      <c r="AY244" s="174" t="str">
        <f t="shared" si="426"/>
        <v>NG</v>
      </c>
      <c r="AZ244" s="273"/>
      <c r="BA244" s="276" t="str">
        <f>IF(OR(AW$8="判定対象外",AZ$8="判定対象外",AZ244="-"),"-",IF(AW244=AZ244,"OK","NG"))</f>
        <v>OK</v>
      </c>
      <c r="BB244" s="233"/>
      <c r="BC244" s="297"/>
      <c r="BD244" s="235" t="str">
        <f t="shared" si="445"/>
        <v xml:space="preserve">                                                                </v>
      </c>
      <c r="BE244" s="174" t="str">
        <f t="shared" si="427"/>
        <v>NG</v>
      </c>
      <c r="BF244" s="273"/>
      <c r="BG244" s="276" t="str">
        <f>IF(OR(BC$8="判定対象外",BF$8="判定対象外",BF244="-"),"-",IF(BC244=BF244,"OK","NG"))</f>
        <v>OK</v>
      </c>
      <c r="BH244" s="233"/>
      <c r="BI244" s="297"/>
      <c r="BJ244" s="235" t="str">
        <f t="shared" si="446"/>
        <v xml:space="preserve">                                                                </v>
      </c>
      <c r="BK244" s="174" t="str">
        <f t="shared" si="428"/>
        <v>NG</v>
      </c>
      <c r="BL244" s="273"/>
      <c r="BM244" s="276" t="str">
        <f>IF(OR(BI$8="判定対象外",BL$8="判定対象外",BL244="-"),"-",IF(BI244=BL244,"OK","NG"))</f>
        <v>OK</v>
      </c>
      <c r="BN244" s="233"/>
      <c r="BO244" s="297"/>
      <c r="BP244" s="235" t="str">
        <f t="shared" si="447"/>
        <v xml:space="preserve">                                                                </v>
      </c>
      <c r="BQ244" s="174" t="str">
        <f t="shared" si="429"/>
        <v>NG</v>
      </c>
      <c r="BR244" s="273"/>
      <c r="BS244" s="276" t="str">
        <f>IF(OR(BO$8="判定対象外",BR$8="判定対象外",BR244="-"),"-",IF(BO244=BR244,"OK","NG"))</f>
        <v>OK</v>
      </c>
      <c r="BT244" s="233"/>
      <c r="BU244" s="297"/>
      <c r="BV244" s="235" t="str">
        <f t="shared" si="448"/>
        <v xml:space="preserve">                                                                </v>
      </c>
      <c r="BW244" s="174" t="str">
        <f t="shared" si="430"/>
        <v>NG</v>
      </c>
      <c r="BX244" s="273"/>
      <c r="BY244" s="276" t="str">
        <f>IF(OR(BU$8="判定対象外",BX$8="判定対象外",BX244="-"),"-",IF(BU244=BX244,"OK","NG"))</f>
        <v>OK</v>
      </c>
      <c r="BZ244" s="233"/>
      <c r="CA244" s="297"/>
      <c r="CB244" s="235" t="str">
        <f t="shared" si="449"/>
        <v xml:space="preserve">                                                                </v>
      </c>
      <c r="CC244" s="174" t="str">
        <f t="shared" si="431"/>
        <v>NG</v>
      </c>
      <c r="CD244" s="273"/>
      <c r="CE244" s="276" t="str">
        <f>IF(OR(CA$8="判定対象外",CD$8="判定対象外",CD244="-"),"-",IF(CA244=CD244,"OK","NG"))</f>
        <v>OK</v>
      </c>
      <c r="CF244" s="233"/>
      <c r="CG244" s="297"/>
      <c r="CH244" s="235" t="str">
        <f t="shared" si="450"/>
        <v xml:space="preserve">                                                                </v>
      </c>
      <c r="CI244" s="174" t="str">
        <f t="shared" si="432"/>
        <v>NG</v>
      </c>
      <c r="CJ244" s="273"/>
      <c r="CK244" s="276" t="str">
        <f>IF(OR(CG$8="判定対象外",CJ$8="判定対象外",CJ244="-"),"-",IF(CG244=CJ244,"OK","NG"))</f>
        <v>OK</v>
      </c>
      <c r="CL244" s="233"/>
      <c r="CM244" s="297"/>
      <c r="CN244" s="235" t="str">
        <f t="shared" si="451"/>
        <v xml:space="preserve">                                                                </v>
      </c>
      <c r="CO244" s="174" t="str">
        <f t="shared" si="433"/>
        <v>NG</v>
      </c>
      <c r="CP244" s="273"/>
      <c r="CQ244" s="276" t="str">
        <f>IF(OR(CM$8="判定対象外",CP$8="判定対象外",CP244="-"),"-",IF(CM244=CP244,"OK","NG"))</f>
        <v>OK</v>
      </c>
      <c r="CR244" s="233"/>
      <c r="CS244" s="297"/>
      <c r="CT244" s="235" t="str">
        <f t="shared" si="452"/>
        <v xml:space="preserve">                                                                </v>
      </c>
      <c r="CU244" s="174" t="str">
        <f t="shared" si="434"/>
        <v>NG</v>
      </c>
      <c r="CV244" s="273"/>
      <c r="CW244" s="276" t="str">
        <f>IF(OR(CS$8="判定対象外",CV$8="判定対象外",CV244="-"),"-",IF(CS244=CV244,"OK","NG"))</f>
        <v>OK</v>
      </c>
      <c r="CX244" s="233"/>
      <c r="CY244" s="297"/>
      <c r="CZ244" s="235" t="str">
        <f t="shared" si="453"/>
        <v xml:space="preserve">                                                                </v>
      </c>
      <c r="DA244" s="174" t="str">
        <f t="shared" si="435"/>
        <v>NG</v>
      </c>
      <c r="DB244" s="273"/>
      <c r="DC244" s="276" t="str">
        <f>IF(OR(CY$8="判定対象外",DB$8="判定対象外",DB244="-"),"-",IF(CY244=DB244,"OK","NG"))</f>
        <v>OK</v>
      </c>
      <c r="DD244" s="233"/>
      <c r="DE244" s="297"/>
      <c r="DF244" s="235" t="str">
        <f t="shared" si="454"/>
        <v xml:space="preserve">                                                                </v>
      </c>
      <c r="DG244" s="174" t="str">
        <f t="shared" si="436"/>
        <v>NG</v>
      </c>
      <c r="DH244" s="273"/>
      <c r="DI244" s="276" t="str">
        <f>IF(OR(DE$8="判定対象外",DH$8="判定対象外",DH244="-"),"-",IF(DE244=DH244,"OK","NG"))</f>
        <v>OK</v>
      </c>
      <c r="DJ244" s="233"/>
      <c r="DK244" s="297"/>
      <c r="DL244" s="235" t="str">
        <f t="shared" si="455"/>
        <v xml:space="preserve">                                                                </v>
      </c>
      <c r="DM244" s="174" t="str">
        <f t="shared" si="437"/>
        <v>NG</v>
      </c>
      <c r="DN244" s="273"/>
      <c r="DO244" s="276" t="str">
        <f>IF(OR(DK$8="判定対象外",DN$8="判定対象外",DN244="-"),"-",IF(DK244=DN244,"OK","NG"))</f>
        <v>OK</v>
      </c>
      <c r="DP244" s="233"/>
      <c r="DQ244" s="297"/>
      <c r="DR244" s="235" t="str">
        <f t="shared" si="456"/>
        <v xml:space="preserve">                                                                </v>
      </c>
      <c r="DS244" s="174" t="str">
        <f t="shared" si="413"/>
        <v>NG</v>
      </c>
      <c r="DT244" s="273"/>
      <c r="DU244" s="276" t="str">
        <f>IF(OR(DQ$8="判定対象外",DT$8="判定対象外",DT244="-"),"-",IF(DQ244=DT244,"OK","NG"))</f>
        <v>OK</v>
      </c>
      <c r="DV244" s="233"/>
      <c r="DW244" s="297"/>
      <c r="DX244" s="235" t="str">
        <f t="shared" si="457"/>
        <v xml:space="preserve">                                                                </v>
      </c>
      <c r="DY244" s="174" t="str">
        <f t="shared" si="414"/>
        <v>NG</v>
      </c>
      <c r="DZ244" s="273"/>
      <c r="EA244" s="276" t="str">
        <f>IF(OR(DW$8="判定対象外",DZ$8="判定対象外",DZ244="-"),"-",IF(DW244=DZ244,"OK","NG"))</f>
        <v>OK</v>
      </c>
      <c r="EB244" s="233"/>
      <c r="EC244" s="297"/>
      <c r="ED244" s="235" t="str">
        <f t="shared" si="458"/>
        <v xml:space="preserve">                                                                </v>
      </c>
      <c r="EE244" s="174" t="str">
        <f t="shared" si="415"/>
        <v>NG</v>
      </c>
      <c r="EF244" s="273"/>
      <c r="EG244" s="276" t="str">
        <f>IF(OR(EC$8="判定対象外",EF$8="判定対象外",EF244="-"),"-",IF(EC244=EF244,"OK","NG"))</f>
        <v>OK</v>
      </c>
      <c r="EH244" s="233"/>
      <c r="EI244" s="297"/>
      <c r="EJ244" s="235" t="str">
        <f t="shared" si="459"/>
        <v xml:space="preserve">                                                                </v>
      </c>
      <c r="EK244" s="174" t="str">
        <f t="shared" si="416"/>
        <v>NG</v>
      </c>
      <c r="EL244" s="273"/>
      <c r="EM244" s="276" t="str">
        <f>IF(OR(EI$8="判定対象外",EL$8="判定対象外",EL244="-"),"-",IF(EI244=EL244,"OK","NG"))</f>
        <v>OK</v>
      </c>
      <c r="EN244" s="233"/>
      <c r="EO244" s="297"/>
      <c r="EP244" s="235" t="str">
        <f t="shared" si="460"/>
        <v xml:space="preserve">                                                                </v>
      </c>
      <c r="EQ244" s="174" t="str">
        <f t="shared" si="417"/>
        <v>NG</v>
      </c>
      <c r="ER244" s="273"/>
      <c r="ES244" s="276" t="str">
        <f>IF(OR(EO$8="判定対象外",ER$8="判定対象外",ER244="-"),"-",IF(EO244=ER244,"OK","NG"))</f>
        <v>OK</v>
      </c>
      <c r="ET244" s="233"/>
      <c r="EU244" s="297"/>
      <c r="EV244" s="235" t="str">
        <f t="shared" si="461"/>
        <v xml:space="preserve">                                                                </v>
      </c>
      <c r="EW244" s="174" t="str">
        <f t="shared" si="418"/>
        <v>NG</v>
      </c>
      <c r="EX244" s="273"/>
      <c r="EY244" s="276" t="str">
        <f>IF(OR(EU$8="判定対象外",EX$8="判定対象外",EX244="-"),"-",IF(EU244=EX244,"OK","NG"))</f>
        <v>OK</v>
      </c>
      <c r="EZ244" s="233"/>
      <c r="FA244" s="297"/>
      <c r="FB244" s="235" t="str">
        <f t="shared" si="462"/>
        <v xml:space="preserve">                                                                </v>
      </c>
      <c r="FC244" s="174" t="str">
        <f t="shared" si="419"/>
        <v>NG</v>
      </c>
      <c r="FD244" s="273"/>
      <c r="FE244" s="276" t="str">
        <f>IF(OR(FA$8="判定対象外",FD$8="判定対象外",FD244="-"),"-",IF(FA244=FD244,"OK","NG"))</f>
        <v>OK</v>
      </c>
      <c r="FF244" s="233"/>
      <c r="FG244" s="297"/>
      <c r="FH244" s="235" t="str">
        <f t="shared" si="463"/>
        <v xml:space="preserve">                                                                </v>
      </c>
      <c r="FI244" s="174" t="str">
        <f t="shared" si="420"/>
        <v>NG</v>
      </c>
      <c r="FJ244" s="273"/>
      <c r="FK244" s="276" t="str">
        <f>IF(OR(FG$8="判定対象外",FJ$8="判定対象外",FJ244="-"),"-",IF(FG244=FJ244,"OK","NG"))</f>
        <v>OK</v>
      </c>
      <c r="FL244" s="233"/>
      <c r="FM244" s="297"/>
      <c r="FN244" s="235" t="str">
        <f t="shared" si="464"/>
        <v xml:space="preserve">                                                                </v>
      </c>
      <c r="FO244" s="174" t="str">
        <f t="shared" si="438"/>
        <v>NG</v>
      </c>
      <c r="FP244" s="273"/>
      <c r="FQ244" s="276" t="str">
        <f>IF(OR(FM$8="判定対象外",FP$8="判定対象外",FP244="-"),"-",IF(FM244=FP244,"OK","NG"))</f>
        <v>OK</v>
      </c>
      <c r="FR244" s="233"/>
      <c r="FS244" s="297"/>
      <c r="FT244" s="235" t="str">
        <f t="shared" si="465"/>
        <v xml:space="preserve">                                                                </v>
      </c>
      <c r="FU244" s="174" t="str">
        <f t="shared" si="439"/>
        <v>NG</v>
      </c>
      <c r="FV244" s="273"/>
      <c r="FW244" s="276" t="str">
        <f>IF(OR(FS$8="判定対象外",FV$8="判定対象外",FV244="-"),"-",IF(FS244=FV244,"OK","NG"))</f>
        <v>OK</v>
      </c>
      <c r="FX244" s="233"/>
      <c r="FY244" s="297"/>
      <c r="FZ244" s="235" t="str">
        <f t="shared" si="466"/>
        <v xml:space="preserve">                                                                </v>
      </c>
      <c r="GA244" s="174" t="str">
        <f t="shared" si="440"/>
        <v>NG</v>
      </c>
      <c r="GB244" s="273"/>
      <c r="GC244" s="276" t="str">
        <f>IF(OR(FY$8="判定対象外",GB$8="判定対象外",GB244="-"),"-",IF(FY244=GB244,"OK","NG"))</f>
        <v>OK</v>
      </c>
    </row>
    <row r="245" spans="1:185" s="237" customFormat="1" ht="92.25" customHeight="1">
      <c r="B245" s="216">
        <f t="shared" si="467"/>
        <v>238</v>
      </c>
      <c r="C245" s="220"/>
      <c r="D245" s="220"/>
      <c r="E245" s="220"/>
      <c r="F245" s="238" t="s">
        <v>352</v>
      </c>
      <c r="G245" s="168"/>
      <c r="H245" s="239"/>
      <c r="I245" s="225"/>
      <c r="J245" s="225"/>
      <c r="K245" s="226"/>
      <c r="L245" s="226"/>
      <c r="M245" s="279" t="s">
        <v>353</v>
      </c>
      <c r="N245" s="228"/>
      <c r="O245" s="229"/>
      <c r="P245" s="45">
        <f t="shared" si="470"/>
        <v>215</v>
      </c>
      <c r="Q245" s="230">
        <v>7</v>
      </c>
      <c r="R245" s="41" t="s">
        <v>81</v>
      </c>
      <c r="S245" s="185" t="s">
        <v>254</v>
      </c>
      <c r="T245" s="231"/>
      <c r="U245" s="41" t="s">
        <v>80</v>
      </c>
      <c r="V245" s="229"/>
      <c r="W245" s="232">
        <v>3</v>
      </c>
      <c r="X245" s="194" t="s">
        <v>255</v>
      </c>
      <c r="Y245" s="194">
        <v>7</v>
      </c>
      <c r="Z245" s="194">
        <v>7</v>
      </c>
      <c r="AA245" s="225" t="s">
        <v>81</v>
      </c>
      <c r="AB245" s="225" t="s">
        <v>57</v>
      </c>
      <c r="AC245" s="243"/>
      <c r="AD245" s="233"/>
      <c r="AE245" s="268"/>
      <c r="AF245" s="235" t="str">
        <f t="shared" si="442"/>
        <v xml:space="preserve">       </v>
      </c>
      <c r="AG245" s="174" t="str">
        <f t="shared" si="424"/>
        <v>NG</v>
      </c>
      <c r="AH245" s="271"/>
      <c r="AI245" s="276" t="str">
        <f>IF(OR(AE$8="判定対象外",AH$8="判定対象外",AH245="-"),"-",IF(AE245=AH245,"OK","NG"))</f>
        <v>OK</v>
      </c>
      <c r="AJ245" s="233"/>
      <c r="AK245" s="234"/>
      <c r="AL245" s="235" t="str">
        <f t="shared" si="441"/>
        <v xml:space="preserve">       </v>
      </c>
      <c r="AM245" s="174" t="str">
        <f t="shared" si="468"/>
        <v>NG</v>
      </c>
      <c r="AN245" s="271"/>
      <c r="AO245" s="276" t="str">
        <f>IF(OR(AK$8="判定対象外",AN$8="判定対象外",AN245="-"),"-",IF(AK245=AN245,"OK","NG"))</f>
        <v>OK</v>
      </c>
      <c r="AP245" s="233"/>
      <c r="AQ245" s="268"/>
      <c r="AR245" s="235" t="str">
        <f t="shared" si="443"/>
        <v xml:space="preserve">       </v>
      </c>
      <c r="AS245" s="174" t="str">
        <f t="shared" si="425"/>
        <v>NG</v>
      </c>
      <c r="AT245" s="271"/>
      <c r="AU245" s="276" t="str">
        <f>IF(OR(AQ$8="判定対象外",AT$8="判定対象外",AT245="-"),"-",IF(AQ245=AT245,"OK","NG"))</f>
        <v>OK</v>
      </c>
      <c r="AV245" s="233"/>
      <c r="AW245" s="268"/>
      <c r="AX245" s="235" t="str">
        <f t="shared" si="444"/>
        <v xml:space="preserve">       </v>
      </c>
      <c r="AY245" s="174" t="str">
        <f t="shared" si="426"/>
        <v>NG</v>
      </c>
      <c r="AZ245" s="271"/>
      <c r="BA245" s="276" t="str">
        <f>IF(OR(AW$8="判定対象外",AZ$8="判定対象外",AZ245="-"),"-",IF(AW245=AZ245,"OK","NG"))</f>
        <v>OK</v>
      </c>
      <c r="BB245" s="233"/>
      <c r="BC245" s="268"/>
      <c r="BD245" s="235" t="str">
        <f t="shared" si="445"/>
        <v xml:space="preserve">       </v>
      </c>
      <c r="BE245" s="174" t="str">
        <f t="shared" si="427"/>
        <v>NG</v>
      </c>
      <c r="BF245" s="271"/>
      <c r="BG245" s="276" t="str">
        <f>IF(OR(BC$8="判定対象外",BF$8="判定対象外",BF245="-"),"-",IF(BC245=BF245,"OK","NG"))</f>
        <v>OK</v>
      </c>
      <c r="BH245" s="233"/>
      <c r="BI245" s="268"/>
      <c r="BJ245" s="235" t="str">
        <f t="shared" si="446"/>
        <v xml:space="preserve">       </v>
      </c>
      <c r="BK245" s="174" t="str">
        <f t="shared" si="428"/>
        <v>NG</v>
      </c>
      <c r="BL245" s="271"/>
      <c r="BM245" s="276" t="str">
        <f>IF(OR(BI$8="判定対象外",BL$8="判定対象外",BL245="-"),"-",IF(BI245=BL245,"OK","NG"))</f>
        <v>OK</v>
      </c>
      <c r="BN245" s="233"/>
      <c r="BO245" s="268"/>
      <c r="BP245" s="235" t="str">
        <f t="shared" si="447"/>
        <v xml:space="preserve">       </v>
      </c>
      <c r="BQ245" s="174" t="str">
        <f t="shared" si="429"/>
        <v>NG</v>
      </c>
      <c r="BR245" s="271"/>
      <c r="BS245" s="276" t="str">
        <f>IF(OR(BO$8="判定対象外",BR$8="判定対象外",BR245="-"),"-",IF(BO245=BR245,"OK","NG"))</f>
        <v>OK</v>
      </c>
      <c r="BT245" s="233"/>
      <c r="BU245" s="268"/>
      <c r="BV245" s="235" t="str">
        <f t="shared" si="448"/>
        <v xml:space="preserve">       </v>
      </c>
      <c r="BW245" s="174" t="str">
        <f t="shared" si="430"/>
        <v>NG</v>
      </c>
      <c r="BX245" s="271"/>
      <c r="BY245" s="276" t="str">
        <f>IF(OR(BU$8="判定対象外",BX$8="判定対象外",BX245="-"),"-",IF(BU245=BX245,"OK","NG"))</f>
        <v>OK</v>
      </c>
      <c r="BZ245" s="233"/>
      <c r="CA245" s="268"/>
      <c r="CB245" s="235" t="str">
        <f t="shared" si="449"/>
        <v xml:space="preserve">       </v>
      </c>
      <c r="CC245" s="174" t="str">
        <f t="shared" si="431"/>
        <v>NG</v>
      </c>
      <c r="CD245" s="271"/>
      <c r="CE245" s="276" t="str">
        <f>IF(OR(CA$8="判定対象外",CD$8="判定対象外",CD245="-"),"-",IF(CA245=CD245,"OK","NG"))</f>
        <v>OK</v>
      </c>
      <c r="CF245" s="233"/>
      <c r="CG245" s="268"/>
      <c r="CH245" s="235" t="str">
        <f t="shared" si="450"/>
        <v xml:space="preserve">       </v>
      </c>
      <c r="CI245" s="174" t="str">
        <f t="shared" si="432"/>
        <v>NG</v>
      </c>
      <c r="CJ245" s="271"/>
      <c r="CK245" s="276" t="str">
        <f>IF(OR(CG$8="判定対象外",CJ$8="判定対象外",CJ245="-"),"-",IF(CG245=CJ245,"OK","NG"))</f>
        <v>OK</v>
      </c>
      <c r="CL245" s="233"/>
      <c r="CM245" s="268"/>
      <c r="CN245" s="235" t="str">
        <f t="shared" si="451"/>
        <v xml:space="preserve">       </v>
      </c>
      <c r="CO245" s="174" t="str">
        <f t="shared" si="433"/>
        <v>NG</v>
      </c>
      <c r="CP245" s="271"/>
      <c r="CQ245" s="276" t="str">
        <f>IF(OR(CM$8="判定対象外",CP$8="判定対象外",CP245="-"),"-",IF(CM245=CP245,"OK","NG"))</f>
        <v>OK</v>
      </c>
      <c r="CR245" s="233"/>
      <c r="CS245" s="268"/>
      <c r="CT245" s="235" t="str">
        <f t="shared" si="452"/>
        <v xml:space="preserve">       </v>
      </c>
      <c r="CU245" s="174" t="str">
        <f t="shared" si="434"/>
        <v>NG</v>
      </c>
      <c r="CV245" s="271"/>
      <c r="CW245" s="276" t="str">
        <f>IF(OR(CS$8="判定対象外",CV$8="判定対象外",CV245="-"),"-",IF(CS245=CV245,"OK","NG"))</f>
        <v>OK</v>
      </c>
      <c r="CX245" s="233"/>
      <c r="CY245" s="268"/>
      <c r="CZ245" s="235" t="str">
        <f t="shared" si="453"/>
        <v xml:space="preserve">       </v>
      </c>
      <c r="DA245" s="174" t="str">
        <f t="shared" si="435"/>
        <v>NG</v>
      </c>
      <c r="DB245" s="271"/>
      <c r="DC245" s="276" t="str">
        <f>IF(OR(CY$8="判定対象外",DB$8="判定対象外",DB245="-"),"-",IF(CY245=DB245,"OK","NG"))</f>
        <v>OK</v>
      </c>
      <c r="DD245" s="233"/>
      <c r="DE245" s="268"/>
      <c r="DF245" s="235" t="str">
        <f t="shared" si="454"/>
        <v xml:space="preserve">       </v>
      </c>
      <c r="DG245" s="174" t="str">
        <f t="shared" si="436"/>
        <v>NG</v>
      </c>
      <c r="DH245" s="271"/>
      <c r="DI245" s="276" t="str">
        <f>IF(OR(DE$8="判定対象外",DH$8="判定対象外",DH245="-"),"-",IF(DE245=DH245,"OK","NG"))</f>
        <v>OK</v>
      </c>
      <c r="DJ245" s="233"/>
      <c r="DK245" s="268"/>
      <c r="DL245" s="235" t="str">
        <f t="shared" si="455"/>
        <v xml:space="preserve">       </v>
      </c>
      <c r="DM245" s="174" t="str">
        <f t="shared" si="437"/>
        <v>NG</v>
      </c>
      <c r="DN245" s="271"/>
      <c r="DO245" s="276" t="str">
        <f>IF(OR(DK$8="判定対象外",DN$8="判定対象外",DN245="-"),"-",IF(DK245=DN245,"OK","NG"))</f>
        <v>OK</v>
      </c>
      <c r="DP245" s="233"/>
      <c r="DQ245" s="268"/>
      <c r="DR245" s="235" t="str">
        <f t="shared" si="456"/>
        <v xml:space="preserve">       </v>
      </c>
      <c r="DS245" s="174" t="str">
        <f t="shared" si="413"/>
        <v>NG</v>
      </c>
      <c r="DT245" s="271"/>
      <c r="DU245" s="276" t="str">
        <f>IF(OR(DQ$8="判定対象外",DT$8="判定対象外",DT245="-"),"-",IF(DQ245=DT245,"OK","NG"))</f>
        <v>OK</v>
      </c>
      <c r="DV245" s="233"/>
      <c r="DW245" s="268"/>
      <c r="DX245" s="235" t="str">
        <f t="shared" si="457"/>
        <v xml:space="preserve">       </v>
      </c>
      <c r="DY245" s="174" t="str">
        <f t="shared" si="414"/>
        <v>NG</v>
      </c>
      <c r="DZ245" s="271"/>
      <c r="EA245" s="276" t="str">
        <f>IF(OR(DW$8="判定対象外",DZ$8="判定対象外",DZ245="-"),"-",IF(DW245=DZ245,"OK","NG"))</f>
        <v>OK</v>
      </c>
      <c r="EB245" s="233"/>
      <c r="EC245" s="268"/>
      <c r="ED245" s="235" t="str">
        <f t="shared" si="458"/>
        <v xml:space="preserve">       </v>
      </c>
      <c r="EE245" s="174" t="str">
        <f t="shared" si="415"/>
        <v>NG</v>
      </c>
      <c r="EF245" s="271"/>
      <c r="EG245" s="276" t="str">
        <f>IF(OR(EC$8="判定対象外",EF$8="判定対象外",EF245="-"),"-",IF(EC245=EF245,"OK","NG"))</f>
        <v>OK</v>
      </c>
      <c r="EH245" s="233"/>
      <c r="EI245" s="268"/>
      <c r="EJ245" s="235" t="str">
        <f t="shared" si="459"/>
        <v xml:space="preserve">       </v>
      </c>
      <c r="EK245" s="174" t="str">
        <f t="shared" si="416"/>
        <v>NG</v>
      </c>
      <c r="EL245" s="271"/>
      <c r="EM245" s="276" t="str">
        <f>IF(OR(EI$8="判定対象外",EL$8="判定対象外",EL245="-"),"-",IF(EI245=EL245,"OK","NG"))</f>
        <v>OK</v>
      </c>
      <c r="EN245" s="233"/>
      <c r="EO245" s="268"/>
      <c r="EP245" s="235" t="str">
        <f t="shared" si="460"/>
        <v xml:space="preserve">       </v>
      </c>
      <c r="EQ245" s="174" t="str">
        <f t="shared" si="417"/>
        <v>NG</v>
      </c>
      <c r="ER245" s="271"/>
      <c r="ES245" s="276" t="str">
        <f>IF(OR(EO$8="判定対象外",ER$8="判定対象外",ER245="-"),"-",IF(EO245=ER245,"OK","NG"))</f>
        <v>OK</v>
      </c>
      <c r="ET245" s="233"/>
      <c r="EU245" s="268"/>
      <c r="EV245" s="235" t="str">
        <f t="shared" si="461"/>
        <v xml:space="preserve">       </v>
      </c>
      <c r="EW245" s="174" t="str">
        <f t="shared" si="418"/>
        <v>NG</v>
      </c>
      <c r="EX245" s="271"/>
      <c r="EY245" s="276" t="str">
        <f>IF(OR(EU$8="判定対象外",EX$8="判定対象外",EX245="-"),"-",IF(EU245=EX245,"OK","NG"))</f>
        <v>OK</v>
      </c>
      <c r="EZ245" s="233"/>
      <c r="FA245" s="268"/>
      <c r="FB245" s="235" t="str">
        <f t="shared" si="462"/>
        <v xml:space="preserve">       </v>
      </c>
      <c r="FC245" s="174" t="str">
        <f t="shared" si="419"/>
        <v>NG</v>
      </c>
      <c r="FD245" s="271"/>
      <c r="FE245" s="276" t="str">
        <f>IF(OR(FA$8="判定対象外",FD$8="判定対象外",FD245="-"),"-",IF(FA245=FD245,"OK","NG"))</f>
        <v>OK</v>
      </c>
      <c r="FF245" s="233"/>
      <c r="FG245" s="268"/>
      <c r="FH245" s="235" t="str">
        <f t="shared" si="463"/>
        <v xml:space="preserve">       </v>
      </c>
      <c r="FI245" s="174" t="str">
        <f t="shared" si="420"/>
        <v>NG</v>
      </c>
      <c r="FJ245" s="271"/>
      <c r="FK245" s="276" t="str">
        <f>IF(OR(FG$8="判定対象外",FJ$8="判定対象外",FJ245="-"),"-",IF(FG245=FJ245,"OK","NG"))</f>
        <v>OK</v>
      </c>
      <c r="FL245" s="233"/>
      <c r="FM245" s="268"/>
      <c r="FN245" s="235" t="str">
        <f t="shared" si="464"/>
        <v xml:space="preserve">       </v>
      </c>
      <c r="FO245" s="174" t="str">
        <f t="shared" si="438"/>
        <v>NG</v>
      </c>
      <c r="FP245" s="271"/>
      <c r="FQ245" s="276" t="str">
        <f>IF(OR(FM$8="判定対象外",FP$8="判定対象外",FP245="-"),"-",IF(FM245=FP245,"OK","NG"))</f>
        <v>OK</v>
      </c>
      <c r="FR245" s="233"/>
      <c r="FS245" s="268"/>
      <c r="FT245" s="235" t="str">
        <f t="shared" si="465"/>
        <v xml:space="preserve">       </v>
      </c>
      <c r="FU245" s="174" t="str">
        <f t="shared" si="439"/>
        <v>NG</v>
      </c>
      <c r="FV245" s="271"/>
      <c r="FW245" s="276" t="str">
        <f>IF(OR(FS$8="判定対象外",FV$8="判定対象外",FV245="-"),"-",IF(FS245=FV245,"OK","NG"))</f>
        <v>OK</v>
      </c>
      <c r="FX245" s="233"/>
      <c r="FY245" s="268"/>
      <c r="FZ245" s="235" t="str">
        <f t="shared" si="466"/>
        <v xml:space="preserve">       </v>
      </c>
      <c r="GA245" s="174" t="str">
        <f t="shared" si="440"/>
        <v>NG</v>
      </c>
      <c r="GB245" s="271"/>
      <c r="GC245" s="276" t="str">
        <f>IF(OR(FY$8="判定対象外",GB$8="判定対象外",GB245="-"),"-",IF(FY245=GB245,"OK","NG"))</f>
        <v>OK</v>
      </c>
    </row>
    <row r="246" spans="1:185" s="237" customFormat="1" ht="127.9" thickBot="1">
      <c r="A246" s="244"/>
      <c r="B246" s="286">
        <f t="shared" si="467"/>
        <v>239</v>
      </c>
      <c r="C246" s="245"/>
      <c r="D246" s="245"/>
      <c r="E246" s="245"/>
      <c r="F246" s="287" t="s">
        <v>354</v>
      </c>
      <c r="G246" s="288"/>
      <c r="H246" s="289"/>
      <c r="I246" s="290"/>
      <c r="J246" s="290"/>
      <c r="K246" s="290"/>
      <c r="L246" s="290"/>
      <c r="M246" s="291" t="s">
        <v>355</v>
      </c>
      <c r="N246" s="280"/>
      <c r="O246" s="284"/>
      <c r="P246" s="71">
        <f t="shared" si="470"/>
        <v>216</v>
      </c>
      <c r="Q246" s="74">
        <v>1</v>
      </c>
      <c r="R246" s="73">
        <v>9</v>
      </c>
      <c r="S246" s="74" t="s">
        <v>256</v>
      </c>
      <c r="T246" s="74"/>
      <c r="U246" s="73" t="s">
        <v>80</v>
      </c>
      <c r="V246" s="246"/>
      <c r="W246" s="76" t="str">
        <f>IF(C246&lt;&gt;"","0",IF(D246&lt;&gt;"","1",IF(E246&lt;&gt;"","2",IF(F246&lt;&gt;"","3",IF(G246&lt;&gt;"","4",IF(H246&lt;&gt;"","5"))))))</f>
        <v>3</v>
      </c>
      <c r="X246" s="77" t="s">
        <v>258</v>
      </c>
      <c r="Y246" s="77">
        <v>1</v>
      </c>
      <c r="Z246" s="77">
        <v>1</v>
      </c>
      <c r="AA246" s="247">
        <v>9</v>
      </c>
      <c r="AB246" s="68" t="s">
        <v>80</v>
      </c>
      <c r="AC246" s="248"/>
      <c r="AD246" s="249"/>
      <c r="AE246" s="300"/>
      <c r="AF246" s="253" t="str">
        <f t="shared" si="442"/>
        <v xml:space="preserve"> </v>
      </c>
      <c r="AG246" s="177" t="str">
        <f t="shared" si="424"/>
        <v>NG</v>
      </c>
      <c r="AH246" s="301"/>
      <c r="AI246" s="270" t="str">
        <f>IF(OR(AE$8="判定対象外",AH$8="判定対象外",AH246="-"),"-",IF(AE246=AH246,"OK","NG"))</f>
        <v>OK</v>
      </c>
      <c r="AJ246" s="249"/>
      <c r="AK246" s="250"/>
      <c r="AL246" s="253" t="str">
        <f t="shared" si="441"/>
        <v xml:space="preserve"> </v>
      </c>
      <c r="AM246" s="177" t="str">
        <f t="shared" si="468"/>
        <v>NG</v>
      </c>
      <c r="AN246" s="301"/>
      <c r="AO246" s="270" t="str">
        <f>IF(OR(AK$8="判定対象外",AN$8="判定対象外",AN246="-"),"-",IF(AK246=AN246,"OK","NG"))</f>
        <v>OK</v>
      </c>
      <c r="AP246" s="249"/>
      <c r="AQ246" s="300"/>
      <c r="AR246" s="253" t="str">
        <f t="shared" si="443"/>
        <v xml:space="preserve"> </v>
      </c>
      <c r="AS246" s="177" t="str">
        <f t="shared" si="425"/>
        <v>NG</v>
      </c>
      <c r="AT246" s="301"/>
      <c r="AU246" s="270" t="str">
        <f>IF(OR(AQ$8="判定対象外",AT$8="判定対象外",AT246="-"),"-",IF(AQ246=AT246,"OK","NG"))</f>
        <v>OK</v>
      </c>
      <c r="AV246" s="249"/>
      <c r="AW246" s="300"/>
      <c r="AX246" s="253" t="str">
        <f t="shared" si="444"/>
        <v xml:space="preserve"> </v>
      </c>
      <c r="AY246" s="177" t="str">
        <f t="shared" si="426"/>
        <v>NG</v>
      </c>
      <c r="AZ246" s="301"/>
      <c r="BA246" s="270" t="str">
        <f>IF(OR(AW$8="判定対象外",AZ$8="判定対象外",AZ246="-"),"-",IF(AW246=AZ246,"OK","NG"))</f>
        <v>OK</v>
      </c>
      <c r="BB246" s="249"/>
      <c r="BC246" s="300"/>
      <c r="BD246" s="253" t="str">
        <f t="shared" si="445"/>
        <v xml:space="preserve"> </v>
      </c>
      <c r="BE246" s="177" t="str">
        <f t="shared" si="427"/>
        <v>NG</v>
      </c>
      <c r="BF246" s="301"/>
      <c r="BG246" s="270" t="str">
        <f>IF(OR(BC$8="判定対象外",BF$8="判定対象外",BF246="-"),"-",IF(BC246=BF246,"OK","NG"))</f>
        <v>OK</v>
      </c>
      <c r="BH246" s="249"/>
      <c r="BI246" s="300"/>
      <c r="BJ246" s="253" t="str">
        <f t="shared" si="446"/>
        <v xml:space="preserve"> </v>
      </c>
      <c r="BK246" s="177" t="str">
        <f t="shared" si="428"/>
        <v>NG</v>
      </c>
      <c r="BL246" s="301"/>
      <c r="BM246" s="270" t="str">
        <f>IF(OR(BI$8="判定対象外",BL$8="判定対象外",BL246="-"),"-",IF(BI246=BL246,"OK","NG"))</f>
        <v>OK</v>
      </c>
      <c r="BN246" s="249"/>
      <c r="BO246" s="300"/>
      <c r="BP246" s="253" t="str">
        <f t="shared" si="447"/>
        <v xml:space="preserve"> </v>
      </c>
      <c r="BQ246" s="177" t="str">
        <f t="shared" si="429"/>
        <v>NG</v>
      </c>
      <c r="BR246" s="301"/>
      <c r="BS246" s="270" t="str">
        <f>IF(OR(BO$8="判定対象外",BR$8="判定対象外",BR246="-"),"-",IF(BO246=BR246,"OK","NG"))</f>
        <v>OK</v>
      </c>
      <c r="BT246" s="249"/>
      <c r="BU246" s="300"/>
      <c r="BV246" s="253" t="str">
        <f t="shared" si="448"/>
        <v xml:space="preserve"> </v>
      </c>
      <c r="BW246" s="177" t="str">
        <f t="shared" si="430"/>
        <v>NG</v>
      </c>
      <c r="BX246" s="301"/>
      <c r="BY246" s="270" t="str">
        <f>IF(OR(BU$8="判定対象外",BX$8="判定対象外",BX246="-"),"-",IF(BU246=BX246,"OK","NG"))</f>
        <v>OK</v>
      </c>
      <c r="BZ246" s="249"/>
      <c r="CA246" s="300"/>
      <c r="CB246" s="253" t="str">
        <f t="shared" si="449"/>
        <v xml:space="preserve"> </v>
      </c>
      <c r="CC246" s="177" t="str">
        <f t="shared" si="431"/>
        <v>NG</v>
      </c>
      <c r="CD246" s="301"/>
      <c r="CE246" s="270" t="str">
        <f>IF(OR(CA$8="判定対象外",CD$8="判定対象外",CD246="-"),"-",IF(CA246=CD246,"OK","NG"))</f>
        <v>OK</v>
      </c>
      <c r="CF246" s="249"/>
      <c r="CG246" s="300"/>
      <c r="CH246" s="253" t="str">
        <f t="shared" si="450"/>
        <v xml:space="preserve"> </v>
      </c>
      <c r="CI246" s="177" t="str">
        <f t="shared" si="432"/>
        <v>NG</v>
      </c>
      <c r="CJ246" s="301"/>
      <c r="CK246" s="270" t="str">
        <f>IF(OR(CG$8="判定対象外",CJ$8="判定対象外",CJ246="-"),"-",IF(CG246=CJ246,"OK","NG"))</f>
        <v>OK</v>
      </c>
      <c r="CL246" s="249"/>
      <c r="CM246" s="300"/>
      <c r="CN246" s="253" t="str">
        <f t="shared" si="451"/>
        <v xml:space="preserve"> </v>
      </c>
      <c r="CO246" s="177" t="str">
        <f t="shared" si="433"/>
        <v>NG</v>
      </c>
      <c r="CP246" s="301"/>
      <c r="CQ246" s="270" t="str">
        <f>IF(OR(CM$8="判定対象外",CP$8="判定対象外",CP246="-"),"-",IF(CM246=CP246,"OK","NG"))</f>
        <v>OK</v>
      </c>
      <c r="CR246" s="249"/>
      <c r="CS246" s="300"/>
      <c r="CT246" s="253" t="str">
        <f t="shared" si="452"/>
        <v xml:space="preserve"> </v>
      </c>
      <c r="CU246" s="177" t="str">
        <f t="shared" si="434"/>
        <v>NG</v>
      </c>
      <c r="CV246" s="301"/>
      <c r="CW246" s="270" t="str">
        <f>IF(OR(CS$8="判定対象外",CV$8="判定対象外",CV246="-"),"-",IF(CS246=CV246,"OK","NG"))</f>
        <v>OK</v>
      </c>
      <c r="CX246" s="249"/>
      <c r="CY246" s="300"/>
      <c r="CZ246" s="253" t="str">
        <f t="shared" si="453"/>
        <v xml:space="preserve"> </v>
      </c>
      <c r="DA246" s="177" t="str">
        <f t="shared" si="435"/>
        <v>NG</v>
      </c>
      <c r="DB246" s="301"/>
      <c r="DC246" s="270" t="str">
        <f>IF(OR(CY$8="判定対象外",DB$8="判定対象外",DB246="-"),"-",IF(CY246=DB246,"OK","NG"))</f>
        <v>OK</v>
      </c>
      <c r="DD246" s="249"/>
      <c r="DE246" s="300"/>
      <c r="DF246" s="253" t="str">
        <f t="shared" si="454"/>
        <v xml:space="preserve"> </v>
      </c>
      <c r="DG246" s="177" t="str">
        <f t="shared" si="436"/>
        <v>NG</v>
      </c>
      <c r="DH246" s="301"/>
      <c r="DI246" s="270" t="str">
        <f>IF(OR(DE$8="判定対象外",DH$8="判定対象外",DH246="-"),"-",IF(DE246=DH246,"OK","NG"))</f>
        <v>OK</v>
      </c>
      <c r="DJ246" s="249"/>
      <c r="DK246" s="300"/>
      <c r="DL246" s="253" t="str">
        <f t="shared" si="455"/>
        <v xml:space="preserve"> </v>
      </c>
      <c r="DM246" s="177" t="str">
        <f t="shared" si="437"/>
        <v>NG</v>
      </c>
      <c r="DN246" s="301"/>
      <c r="DO246" s="270" t="str">
        <f>IF(OR(DK$8="判定対象外",DN$8="判定対象外",DN246="-"),"-",IF(DK246=DN246,"OK","NG"))</f>
        <v>OK</v>
      </c>
      <c r="DP246" s="249"/>
      <c r="DQ246" s="300"/>
      <c r="DR246" s="253" t="str">
        <f t="shared" si="456"/>
        <v xml:space="preserve"> </v>
      </c>
      <c r="DS246" s="177" t="str">
        <f t="shared" si="413"/>
        <v>NG</v>
      </c>
      <c r="DT246" s="301"/>
      <c r="DU246" s="270" t="str">
        <f>IF(OR(DQ$8="判定対象外",DT$8="判定対象外",DT246="-"),"-",IF(DQ246=DT246,"OK","NG"))</f>
        <v>OK</v>
      </c>
      <c r="DV246" s="249"/>
      <c r="DW246" s="300"/>
      <c r="DX246" s="253" t="str">
        <f t="shared" si="457"/>
        <v xml:space="preserve"> </v>
      </c>
      <c r="DY246" s="177" t="str">
        <f t="shared" si="414"/>
        <v>NG</v>
      </c>
      <c r="DZ246" s="301"/>
      <c r="EA246" s="270" t="str">
        <f>IF(OR(DW$8="判定対象外",DZ$8="判定対象外",DZ246="-"),"-",IF(DW246=DZ246,"OK","NG"))</f>
        <v>OK</v>
      </c>
      <c r="EB246" s="249"/>
      <c r="EC246" s="300"/>
      <c r="ED246" s="253" t="str">
        <f t="shared" si="458"/>
        <v xml:space="preserve"> </v>
      </c>
      <c r="EE246" s="177" t="str">
        <f t="shared" si="415"/>
        <v>NG</v>
      </c>
      <c r="EF246" s="301"/>
      <c r="EG246" s="270" t="str">
        <f>IF(OR(EC$8="判定対象外",EF$8="判定対象外",EF246="-"),"-",IF(EC246=EF246,"OK","NG"))</f>
        <v>OK</v>
      </c>
      <c r="EH246" s="249"/>
      <c r="EI246" s="300"/>
      <c r="EJ246" s="253" t="str">
        <f t="shared" si="459"/>
        <v xml:space="preserve"> </v>
      </c>
      <c r="EK246" s="177" t="str">
        <f t="shared" si="416"/>
        <v>NG</v>
      </c>
      <c r="EL246" s="301"/>
      <c r="EM246" s="270" t="str">
        <f>IF(OR(EI$8="判定対象外",EL$8="判定対象外",EL246="-"),"-",IF(EI246=EL246,"OK","NG"))</f>
        <v>OK</v>
      </c>
      <c r="EN246" s="249"/>
      <c r="EO246" s="300"/>
      <c r="EP246" s="253" t="str">
        <f t="shared" si="460"/>
        <v xml:space="preserve"> </v>
      </c>
      <c r="EQ246" s="177" t="str">
        <f t="shared" si="417"/>
        <v>NG</v>
      </c>
      <c r="ER246" s="301"/>
      <c r="ES246" s="270" t="str">
        <f>IF(OR(EO$8="判定対象外",ER$8="判定対象外",ER246="-"),"-",IF(EO246=ER246,"OK","NG"))</f>
        <v>OK</v>
      </c>
      <c r="ET246" s="249"/>
      <c r="EU246" s="300"/>
      <c r="EV246" s="253" t="str">
        <f t="shared" si="461"/>
        <v xml:space="preserve"> </v>
      </c>
      <c r="EW246" s="177" t="str">
        <f t="shared" si="418"/>
        <v>NG</v>
      </c>
      <c r="EX246" s="301"/>
      <c r="EY246" s="270" t="str">
        <f>IF(OR(EU$8="判定対象外",EX$8="判定対象外",EX246="-"),"-",IF(EU246=EX246,"OK","NG"))</f>
        <v>OK</v>
      </c>
      <c r="EZ246" s="249"/>
      <c r="FA246" s="300"/>
      <c r="FB246" s="253" t="str">
        <f t="shared" si="462"/>
        <v xml:space="preserve"> </v>
      </c>
      <c r="FC246" s="177" t="str">
        <f t="shared" si="419"/>
        <v>NG</v>
      </c>
      <c r="FD246" s="301"/>
      <c r="FE246" s="270" t="str">
        <f>IF(OR(FA$8="判定対象外",FD$8="判定対象外",FD246="-"),"-",IF(FA246=FD246,"OK","NG"))</f>
        <v>OK</v>
      </c>
      <c r="FF246" s="249"/>
      <c r="FG246" s="300"/>
      <c r="FH246" s="253" t="str">
        <f t="shared" si="463"/>
        <v xml:space="preserve"> </v>
      </c>
      <c r="FI246" s="177" t="str">
        <f t="shared" si="420"/>
        <v>NG</v>
      </c>
      <c r="FJ246" s="301"/>
      <c r="FK246" s="270" t="str">
        <f>IF(OR(FG$8="判定対象外",FJ$8="判定対象外",FJ246="-"),"-",IF(FG246=FJ246,"OK","NG"))</f>
        <v>OK</v>
      </c>
      <c r="FL246" s="249"/>
      <c r="FM246" s="300"/>
      <c r="FN246" s="253" t="str">
        <f t="shared" si="464"/>
        <v xml:space="preserve"> </v>
      </c>
      <c r="FO246" s="177" t="str">
        <f t="shared" si="438"/>
        <v>NG</v>
      </c>
      <c r="FP246" s="301"/>
      <c r="FQ246" s="270" t="str">
        <f>IF(OR(FM$8="判定対象外",FP$8="判定対象外",FP246="-"),"-",IF(FM246=FP246,"OK","NG"))</f>
        <v>OK</v>
      </c>
      <c r="FR246" s="249"/>
      <c r="FS246" s="300"/>
      <c r="FT246" s="253" t="str">
        <f t="shared" si="465"/>
        <v xml:space="preserve"> </v>
      </c>
      <c r="FU246" s="177" t="str">
        <f t="shared" si="439"/>
        <v>NG</v>
      </c>
      <c r="FV246" s="301"/>
      <c r="FW246" s="270" t="str">
        <f>IF(OR(FS$8="判定対象外",FV$8="判定対象外",FV246="-"),"-",IF(FS246=FV246,"OK","NG"))</f>
        <v>OK</v>
      </c>
      <c r="FX246" s="249"/>
      <c r="FY246" s="300"/>
      <c r="FZ246" s="253" t="str">
        <f t="shared" si="466"/>
        <v xml:space="preserve"> </v>
      </c>
      <c r="GA246" s="177" t="str">
        <f t="shared" si="440"/>
        <v>NG</v>
      </c>
      <c r="GB246" s="301"/>
      <c r="GC246" s="270" t="str">
        <f>IF(OR(FY$8="判定対象外",GB$8="判定対象外",GB246="-"),"-",IF(FY246=GB246,"OK","NG"))</f>
        <v>OK</v>
      </c>
    </row>
    <row r="247" spans="1:185" s="52" customFormat="1" ht="18.75" customHeight="1" thickTop="1">
      <c r="B247" s="48">
        <f t="shared" si="467"/>
        <v>240</v>
      </c>
      <c r="C247" s="37"/>
      <c r="D247" s="37"/>
      <c r="E247" s="26" t="s">
        <v>315</v>
      </c>
      <c r="F247" s="254"/>
      <c r="G247" s="254"/>
      <c r="H247" s="28"/>
      <c r="I247" s="42" t="s">
        <v>1</v>
      </c>
      <c r="J247" s="42" t="s">
        <v>316</v>
      </c>
      <c r="K247" s="42"/>
      <c r="L247" s="42"/>
      <c r="M247" s="47" t="s">
        <v>317</v>
      </c>
      <c r="N247" s="281"/>
      <c r="O247" s="282"/>
      <c r="P247" s="20"/>
      <c r="Q247" s="21"/>
      <c r="R247" s="16"/>
      <c r="S247" s="283"/>
      <c r="T247" s="281"/>
      <c r="U247" s="16"/>
      <c r="V247" s="207"/>
      <c r="W247" s="22" t="str">
        <f>IF(C247&lt;&gt;"","0",IF(D247&lt;&gt;"","1",IF(E247&lt;&gt;"","2",IF(F247&lt;&gt;"","3",IF(G247&lt;&gt;"","4",IF(H247&lt;&gt;"","5"))))))</f>
        <v>2</v>
      </c>
      <c r="X247" s="47" t="s">
        <v>187</v>
      </c>
      <c r="Y247" s="47"/>
      <c r="Z247" s="47"/>
      <c r="AA247" s="42"/>
      <c r="AB247" s="42" t="s">
        <v>80</v>
      </c>
      <c r="AC247" s="251"/>
      <c r="AD247" s="160"/>
      <c r="AE247" s="141"/>
      <c r="AF247" s="203" t="str">
        <f t="shared" si="442"/>
        <v/>
      </c>
      <c r="AG247" s="174" t="str">
        <f t="shared" si="424"/>
        <v>OK</v>
      </c>
      <c r="AH247" s="141"/>
      <c r="AI247" s="276" t="s">
        <v>71</v>
      </c>
      <c r="AJ247" s="160"/>
      <c r="AK247" s="141"/>
      <c r="AL247" s="203" t="str">
        <f t="shared" si="441"/>
        <v/>
      </c>
      <c r="AM247" s="174" t="str">
        <f t="shared" si="468"/>
        <v>OK</v>
      </c>
      <c r="AN247" s="141"/>
      <c r="AO247" s="276" t="s">
        <v>71</v>
      </c>
      <c r="AP247" s="160"/>
      <c r="AQ247" s="141"/>
      <c r="AR247" s="203" t="str">
        <f t="shared" si="443"/>
        <v/>
      </c>
      <c r="AS247" s="174" t="str">
        <f t="shared" si="425"/>
        <v>OK</v>
      </c>
      <c r="AT247" s="141"/>
      <c r="AU247" s="276" t="s">
        <v>71</v>
      </c>
      <c r="AV247" s="160"/>
      <c r="AW247" s="141"/>
      <c r="AX247" s="203" t="str">
        <f t="shared" si="444"/>
        <v/>
      </c>
      <c r="AY247" s="174" t="str">
        <f t="shared" si="426"/>
        <v>OK</v>
      </c>
      <c r="AZ247" s="141"/>
      <c r="BA247" s="276" t="s">
        <v>71</v>
      </c>
      <c r="BB247" s="160"/>
      <c r="BC247" s="141"/>
      <c r="BD247" s="203" t="str">
        <f t="shared" si="445"/>
        <v/>
      </c>
      <c r="BE247" s="174" t="str">
        <f t="shared" si="427"/>
        <v>OK</v>
      </c>
      <c r="BF247" s="141"/>
      <c r="BG247" s="276" t="s">
        <v>71</v>
      </c>
      <c r="BH247" s="160"/>
      <c r="BI247" s="141"/>
      <c r="BJ247" s="203" t="str">
        <f t="shared" si="446"/>
        <v/>
      </c>
      <c r="BK247" s="174" t="str">
        <f t="shared" si="428"/>
        <v>OK</v>
      </c>
      <c r="BL247" s="141"/>
      <c r="BM247" s="276" t="s">
        <v>71</v>
      </c>
      <c r="BN247" s="160"/>
      <c r="BO247" s="141"/>
      <c r="BP247" s="203" t="str">
        <f t="shared" si="447"/>
        <v/>
      </c>
      <c r="BQ247" s="174" t="str">
        <f t="shared" si="429"/>
        <v>OK</v>
      </c>
      <c r="BR247" s="141"/>
      <c r="BS247" s="276" t="s">
        <v>71</v>
      </c>
      <c r="BT247" s="160"/>
      <c r="BU247" s="141"/>
      <c r="BV247" s="203" t="str">
        <f t="shared" si="448"/>
        <v/>
      </c>
      <c r="BW247" s="174" t="str">
        <f t="shared" si="430"/>
        <v>OK</v>
      </c>
      <c r="BX247" s="141"/>
      <c r="BY247" s="276" t="s">
        <v>71</v>
      </c>
      <c r="BZ247" s="160"/>
      <c r="CA247" s="141"/>
      <c r="CB247" s="203" t="str">
        <f t="shared" si="449"/>
        <v/>
      </c>
      <c r="CC247" s="174" t="str">
        <f t="shared" si="431"/>
        <v>OK</v>
      </c>
      <c r="CD247" s="141"/>
      <c r="CE247" s="276" t="s">
        <v>71</v>
      </c>
      <c r="CF247" s="160"/>
      <c r="CG247" s="141"/>
      <c r="CH247" s="203" t="str">
        <f t="shared" si="450"/>
        <v/>
      </c>
      <c r="CI247" s="174" t="str">
        <f t="shared" si="432"/>
        <v>OK</v>
      </c>
      <c r="CJ247" s="141"/>
      <c r="CK247" s="276" t="s">
        <v>71</v>
      </c>
      <c r="CL247" s="160"/>
      <c r="CM247" s="141"/>
      <c r="CN247" s="203" t="str">
        <f t="shared" si="451"/>
        <v/>
      </c>
      <c r="CO247" s="174" t="str">
        <f t="shared" si="433"/>
        <v>OK</v>
      </c>
      <c r="CP247" s="141"/>
      <c r="CQ247" s="276" t="s">
        <v>71</v>
      </c>
      <c r="CR247" s="160"/>
      <c r="CS247" s="141"/>
      <c r="CT247" s="203" t="str">
        <f t="shared" si="452"/>
        <v/>
      </c>
      <c r="CU247" s="174" t="str">
        <f t="shared" si="434"/>
        <v>OK</v>
      </c>
      <c r="CV247" s="141"/>
      <c r="CW247" s="276" t="s">
        <v>71</v>
      </c>
      <c r="CX247" s="160"/>
      <c r="CY247" s="141"/>
      <c r="CZ247" s="203" t="str">
        <f t="shared" si="453"/>
        <v/>
      </c>
      <c r="DA247" s="174" t="str">
        <f t="shared" si="435"/>
        <v>OK</v>
      </c>
      <c r="DB247" s="141"/>
      <c r="DC247" s="276" t="s">
        <v>71</v>
      </c>
      <c r="DD247" s="160"/>
      <c r="DE247" s="141"/>
      <c r="DF247" s="203" t="str">
        <f t="shared" si="454"/>
        <v/>
      </c>
      <c r="DG247" s="174" t="str">
        <f t="shared" si="436"/>
        <v>OK</v>
      </c>
      <c r="DH247" s="141"/>
      <c r="DI247" s="276" t="s">
        <v>71</v>
      </c>
      <c r="DJ247" s="160"/>
      <c r="DK247" s="141"/>
      <c r="DL247" s="203" t="str">
        <f t="shared" si="455"/>
        <v/>
      </c>
      <c r="DM247" s="174" t="str">
        <f t="shared" si="437"/>
        <v>OK</v>
      </c>
      <c r="DN247" s="141"/>
      <c r="DO247" s="276" t="s">
        <v>71</v>
      </c>
      <c r="DP247" s="160"/>
      <c r="DQ247" s="141"/>
      <c r="DR247" s="203" t="str">
        <f t="shared" si="456"/>
        <v/>
      </c>
      <c r="DS247" s="174" t="str">
        <f t="shared" si="413"/>
        <v>OK</v>
      </c>
      <c r="DT247" s="141"/>
      <c r="DU247" s="276" t="s">
        <v>71</v>
      </c>
      <c r="DV247" s="160"/>
      <c r="DW247" s="141"/>
      <c r="DX247" s="203" t="str">
        <f t="shared" si="457"/>
        <v/>
      </c>
      <c r="DY247" s="174" t="str">
        <f t="shared" si="414"/>
        <v>OK</v>
      </c>
      <c r="DZ247" s="141"/>
      <c r="EA247" s="276" t="s">
        <v>71</v>
      </c>
      <c r="EB247" s="160"/>
      <c r="EC247" s="141"/>
      <c r="ED247" s="203" t="str">
        <f t="shared" si="458"/>
        <v/>
      </c>
      <c r="EE247" s="174" t="str">
        <f t="shared" si="415"/>
        <v>OK</v>
      </c>
      <c r="EF247" s="141"/>
      <c r="EG247" s="276" t="s">
        <v>71</v>
      </c>
      <c r="EH247" s="160"/>
      <c r="EI247" s="141"/>
      <c r="EJ247" s="203" t="str">
        <f t="shared" si="459"/>
        <v/>
      </c>
      <c r="EK247" s="174" t="str">
        <f t="shared" si="416"/>
        <v>OK</v>
      </c>
      <c r="EL247" s="141"/>
      <c r="EM247" s="276" t="s">
        <v>71</v>
      </c>
      <c r="EN247" s="160"/>
      <c r="EO247" s="141"/>
      <c r="EP247" s="203" t="str">
        <f t="shared" si="460"/>
        <v/>
      </c>
      <c r="EQ247" s="174" t="str">
        <f t="shared" si="417"/>
        <v>OK</v>
      </c>
      <c r="ER247" s="141"/>
      <c r="ES247" s="276" t="s">
        <v>71</v>
      </c>
      <c r="ET247" s="160"/>
      <c r="EU247" s="141"/>
      <c r="EV247" s="203" t="str">
        <f t="shared" si="461"/>
        <v/>
      </c>
      <c r="EW247" s="174" t="str">
        <f t="shared" si="418"/>
        <v>OK</v>
      </c>
      <c r="EX247" s="141"/>
      <c r="EY247" s="276" t="s">
        <v>71</v>
      </c>
      <c r="EZ247" s="160"/>
      <c r="FA247" s="141"/>
      <c r="FB247" s="203" t="str">
        <f t="shared" si="462"/>
        <v/>
      </c>
      <c r="FC247" s="174" t="str">
        <f t="shared" si="419"/>
        <v>OK</v>
      </c>
      <c r="FD247" s="141"/>
      <c r="FE247" s="276" t="s">
        <v>71</v>
      </c>
      <c r="FF247" s="160"/>
      <c r="FG247" s="141"/>
      <c r="FH247" s="203" t="str">
        <f t="shared" si="463"/>
        <v/>
      </c>
      <c r="FI247" s="174" t="str">
        <f t="shared" si="420"/>
        <v>OK</v>
      </c>
      <c r="FJ247" s="141"/>
      <c r="FK247" s="276" t="s">
        <v>71</v>
      </c>
      <c r="FL247" s="160"/>
      <c r="FM247" s="141"/>
      <c r="FN247" s="203" t="str">
        <f t="shared" si="464"/>
        <v/>
      </c>
      <c r="FO247" s="174" t="str">
        <f t="shared" si="438"/>
        <v>OK</v>
      </c>
      <c r="FP247" s="141"/>
      <c r="FQ247" s="276" t="s">
        <v>71</v>
      </c>
      <c r="FR247" s="160"/>
      <c r="FS247" s="141"/>
      <c r="FT247" s="203" t="str">
        <f t="shared" si="465"/>
        <v/>
      </c>
      <c r="FU247" s="174" t="str">
        <f t="shared" si="439"/>
        <v>OK</v>
      </c>
      <c r="FV247" s="141"/>
      <c r="FW247" s="276" t="s">
        <v>71</v>
      </c>
      <c r="FX247" s="160"/>
      <c r="FY247" s="141"/>
      <c r="FZ247" s="203" t="str">
        <f t="shared" si="466"/>
        <v/>
      </c>
      <c r="GA247" s="174" t="str">
        <f t="shared" si="440"/>
        <v>OK</v>
      </c>
      <c r="GB247" s="141"/>
      <c r="GC247" s="276" t="s">
        <v>71</v>
      </c>
    </row>
    <row r="248" spans="1:185" s="52" customFormat="1" ht="63.75">
      <c r="B248" s="48">
        <f t="shared" si="467"/>
        <v>241</v>
      </c>
      <c r="C248" s="187"/>
      <c r="D248" s="37"/>
      <c r="E248" s="37"/>
      <c r="F248" s="188" t="s">
        <v>318</v>
      </c>
      <c r="G248" s="39"/>
      <c r="H248" s="40"/>
      <c r="I248" s="57"/>
      <c r="J248" s="57"/>
      <c r="K248" s="57"/>
      <c r="L248" s="42"/>
      <c r="M248" s="58" t="s">
        <v>319</v>
      </c>
      <c r="N248" s="47"/>
      <c r="O248" s="143"/>
      <c r="P248" s="45">
        <f>P246+1</f>
        <v>217</v>
      </c>
      <c r="Q248" s="200">
        <v>2</v>
      </c>
      <c r="R248" s="41" t="str">
        <f t="shared" ref="R248:R254" si="472">IF(AA248="M","NX",AA248)</f>
        <v>X</v>
      </c>
      <c r="S248" s="185" t="s">
        <v>99</v>
      </c>
      <c r="T248" s="43"/>
      <c r="U248" s="41" t="s">
        <v>80</v>
      </c>
      <c r="V248" s="212" t="s">
        <v>188</v>
      </c>
      <c r="W248" s="22" t="str">
        <f>IF(C248&lt;&gt;"","0",IF(D248&lt;&gt;"","1",IF(E248&lt;&gt;"","2",IF(F248&lt;&gt;"","3",IF(G248&lt;&gt;"","4",IF(H248&lt;&gt;"","5"))))))</f>
        <v>3</v>
      </c>
      <c r="X248" s="62" t="s">
        <v>189</v>
      </c>
      <c r="Y248" s="201">
        <v>2</v>
      </c>
      <c r="Z248" s="201">
        <v>2</v>
      </c>
      <c r="AA248" s="202" t="s">
        <v>163</v>
      </c>
      <c r="AB248" s="202" t="s">
        <v>57</v>
      </c>
      <c r="AC248" s="166"/>
      <c r="AD248" s="160"/>
      <c r="AE248" s="162"/>
      <c r="AF248" s="167" t="str">
        <f t="shared" si="442"/>
        <v xml:space="preserve">  </v>
      </c>
      <c r="AG248" s="174" t="str">
        <f t="shared" si="424"/>
        <v>NG</v>
      </c>
      <c r="AH248" s="162"/>
      <c r="AI248" s="276" t="str">
        <f>IF(OR(AE$8="判定対象外",AH$8="判定対象外",AH248="-"),"-",IF(AE248=AH248,"OK","NG"))</f>
        <v>OK</v>
      </c>
      <c r="AJ248" s="160"/>
      <c r="AK248" s="162"/>
      <c r="AL248" s="167" t="str">
        <f t="shared" si="441"/>
        <v xml:space="preserve">  </v>
      </c>
      <c r="AM248" s="174" t="str">
        <f t="shared" si="468"/>
        <v>NG</v>
      </c>
      <c r="AN248" s="162"/>
      <c r="AO248" s="276" t="str">
        <f>IF(OR(AK$8="判定対象外",AN$8="判定対象外",AN248="-"),"-",IF(AK248=AN248,"OK","NG"))</f>
        <v>OK</v>
      </c>
      <c r="AP248" s="160"/>
      <c r="AQ248" s="162"/>
      <c r="AR248" s="167" t="str">
        <f t="shared" si="443"/>
        <v xml:space="preserve">  </v>
      </c>
      <c r="AS248" s="174" t="str">
        <f t="shared" si="425"/>
        <v>NG</v>
      </c>
      <c r="AT248" s="162"/>
      <c r="AU248" s="276" t="str">
        <f>IF(OR(AQ$8="判定対象外",AT$8="判定対象外",AT248="-"),"-",IF(AQ248=AT248,"OK","NG"))</f>
        <v>OK</v>
      </c>
      <c r="AV248" s="160"/>
      <c r="AW248" s="162"/>
      <c r="AX248" s="167" t="str">
        <f t="shared" si="444"/>
        <v xml:space="preserve">  </v>
      </c>
      <c r="AY248" s="174" t="str">
        <f t="shared" si="426"/>
        <v>NG</v>
      </c>
      <c r="AZ248" s="162"/>
      <c r="BA248" s="276" t="str">
        <f>IF(OR(AW$8="判定対象外",AZ$8="判定対象外",AZ248="-"),"-",IF(AW248=AZ248,"OK","NG"))</f>
        <v>OK</v>
      </c>
      <c r="BB248" s="160"/>
      <c r="BC248" s="162"/>
      <c r="BD248" s="167" t="str">
        <f t="shared" si="445"/>
        <v xml:space="preserve">  </v>
      </c>
      <c r="BE248" s="174" t="str">
        <f t="shared" si="427"/>
        <v>NG</v>
      </c>
      <c r="BF248" s="162"/>
      <c r="BG248" s="276" t="str">
        <f>IF(OR(BC$8="判定対象外",BF$8="判定対象外",BF248="-"),"-",IF(BC248=BF248,"OK","NG"))</f>
        <v>OK</v>
      </c>
      <c r="BH248" s="160"/>
      <c r="BI248" s="162"/>
      <c r="BJ248" s="167" t="str">
        <f t="shared" si="446"/>
        <v xml:space="preserve">  </v>
      </c>
      <c r="BK248" s="174" t="str">
        <f t="shared" si="428"/>
        <v>NG</v>
      </c>
      <c r="BL248" s="162"/>
      <c r="BM248" s="276" t="str">
        <f>IF(OR(BI$8="判定対象外",BL$8="判定対象外",BL248="-"),"-",IF(BI248=BL248,"OK","NG"))</f>
        <v>OK</v>
      </c>
      <c r="BN248" s="160"/>
      <c r="BO248" s="162"/>
      <c r="BP248" s="167" t="str">
        <f t="shared" si="447"/>
        <v xml:space="preserve">  </v>
      </c>
      <c r="BQ248" s="174" t="str">
        <f t="shared" si="429"/>
        <v>NG</v>
      </c>
      <c r="BR248" s="162"/>
      <c r="BS248" s="276" t="str">
        <f>IF(OR(BO$8="判定対象外",BR$8="判定対象外",BR248="-"),"-",IF(BO248=BR248,"OK","NG"))</f>
        <v>OK</v>
      </c>
      <c r="BT248" s="160"/>
      <c r="BU248" s="162"/>
      <c r="BV248" s="167" t="str">
        <f t="shared" si="448"/>
        <v xml:space="preserve">  </v>
      </c>
      <c r="BW248" s="174" t="str">
        <f t="shared" si="430"/>
        <v>NG</v>
      </c>
      <c r="BX248" s="162"/>
      <c r="BY248" s="276" t="str">
        <f>IF(OR(BU$8="判定対象外",BX$8="判定対象外",BX248="-"),"-",IF(BU248=BX248,"OK","NG"))</f>
        <v>OK</v>
      </c>
      <c r="BZ248" s="160"/>
      <c r="CA248" s="162"/>
      <c r="CB248" s="167" t="str">
        <f t="shared" si="449"/>
        <v xml:space="preserve">  </v>
      </c>
      <c r="CC248" s="174" t="str">
        <f t="shared" si="431"/>
        <v>NG</v>
      </c>
      <c r="CD248" s="162"/>
      <c r="CE248" s="276" t="str">
        <f>IF(OR(CA$8="判定対象外",CD$8="判定対象外",CD248="-"),"-",IF(CA248=CD248,"OK","NG"))</f>
        <v>OK</v>
      </c>
      <c r="CF248" s="160"/>
      <c r="CG248" s="162"/>
      <c r="CH248" s="167" t="str">
        <f t="shared" si="450"/>
        <v xml:space="preserve">  </v>
      </c>
      <c r="CI248" s="174" t="str">
        <f t="shared" si="432"/>
        <v>NG</v>
      </c>
      <c r="CJ248" s="162"/>
      <c r="CK248" s="276" t="str">
        <f>IF(OR(CG$8="判定対象外",CJ$8="判定対象外",CJ248="-"),"-",IF(CG248=CJ248,"OK","NG"))</f>
        <v>OK</v>
      </c>
      <c r="CL248" s="160"/>
      <c r="CM248" s="162"/>
      <c r="CN248" s="167" t="str">
        <f t="shared" si="451"/>
        <v xml:space="preserve">  </v>
      </c>
      <c r="CO248" s="174" t="str">
        <f t="shared" si="433"/>
        <v>NG</v>
      </c>
      <c r="CP248" s="162"/>
      <c r="CQ248" s="276" t="str">
        <f>IF(OR(CM$8="判定対象外",CP$8="判定対象外",CP248="-"),"-",IF(CM248=CP248,"OK","NG"))</f>
        <v>OK</v>
      </c>
      <c r="CR248" s="160"/>
      <c r="CS248" s="162"/>
      <c r="CT248" s="167" t="str">
        <f t="shared" si="452"/>
        <v xml:space="preserve">  </v>
      </c>
      <c r="CU248" s="174" t="str">
        <f t="shared" si="434"/>
        <v>NG</v>
      </c>
      <c r="CV248" s="162"/>
      <c r="CW248" s="276" t="str">
        <f>IF(OR(CS$8="判定対象外",CV$8="判定対象外",CV248="-"),"-",IF(CS248=CV248,"OK","NG"))</f>
        <v>OK</v>
      </c>
      <c r="CX248" s="160"/>
      <c r="CY248" s="162"/>
      <c r="CZ248" s="167" t="str">
        <f t="shared" si="453"/>
        <v xml:space="preserve">  </v>
      </c>
      <c r="DA248" s="174" t="str">
        <f t="shared" si="435"/>
        <v>NG</v>
      </c>
      <c r="DB248" s="162"/>
      <c r="DC248" s="276" t="str">
        <f>IF(OR(CY$8="判定対象外",DB$8="判定対象外",DB248="-"),"-",IF(CY248=DB248,"OK","NG"))</f>
        <v>OK</v>
      </c>
      <c r="DD248" s="160"/>
      <c r="DE248" s="162"/>
      <c r="DF248" s="167" t="str">
        <f t="shared" si="454"/>
        <v xml:space="preserve">  </v>
      </c>
      <c r="DG248" s="174" t="str">
        <f t="shared" si="436"/>
        <v>NG</v>
      </c>
      <c r="DH248" s="162"/>
      <c r="DI248" s="276" t="str">
        <f>IF(OR(DE$8="判定対象外",DH$8="判定対象外",DH248="-"),"-",IF(DE248=DH248,"OK","NG"))</f>
        <v>OK</v>
      </c>
      <c r="DJ248" s="160"/>
      <c r="DK248" s="162"/>
      <c r="DL248" s="167" t="str">
        <f t="shared" si="455"/>
        <v xml:space="preserve">  </v>
      </c>
      <c r="DM248" s="174" t="str">
        <f t="shared" si="437"/>
        <v>NG</v>
      </c>
      <c r="DN248" s="162"/>
      <c r="DO248" s="276" t="str">
        <f>IF(OR(DK$8="判定対象外",DN$8="判定対象外",DN248="-"),"-",IF(DK248=DN248,"OK","NG"))</f>
        <v>OK</v>
      </c>
      <c r="DP248" s="160"/>
      <c r="DQ248" s="162"/>
      <c r="DR248" s="167" t="str">
        <f t="shared" si="456"/>
        <v xml:space="preserve">  </v>
      </c>
      <c r="DS248" s="174" t="str">
        <f t="shared" si="413"/>
        <v>NG</v>
      </c>
      <c r="DT248" s="162"/>
      <c r="DU248" s="276" t="str">
        <f>IF(OR(DQ$8="判定対象外",DT$8="判定対象外",DT248="-"),"-",IF(DQ248=DT248,"OK","NG"))</f>
        <v>OK</v>
      </c>
      <c r="DV248" s="160"/>
      <c r="DW248" s="162"/>
      <c r="DX248" s="167" t="str">
        <f t="shared" si="457"/>
        <v xml:space="preserve">  </v>
      </c>
      <c r="DY248" s="174" t="str">
        <f t="shared" si="414"/>
        <v>NG</v>
      </c>
      <c r="DZ248" s="162"/>
      <c r="EA248" s="276" t="str">
        <f>IF(OR(DW$8="判定対象外",DZ$8="判定対象外",DZ248="-"),"-",IF(DW248=DZ248,"OK","NG"))</f>
        <v>OK</v>
      </c>
      <c r="EB248" s="160"/>
      <c r="EC248" s="162"/>
      <c r="ED248" s="167" t="str">
        <f t="shared" si="458"/>
        <v xml:space="preserve">  </v>
      </c>
      <c r="EE248" s="174" t="str">
        <f t="shared" si="415"/>
        <v>NG</v>
      </c>
      <c r="EF248" s="162"/>
      <c r="EG248" s="276" t="str">
        <f>IF(OR(EC$8="判定対象外",EF$8="判定対象外",EF248="-"),"-",IF(EC248=EF248,"OK","NG"))</f>
        <v>OK</v>
      </c>
      <c r="EH248" s="160"/>
      <c r="EI248" s="162"/>
      <c r="EJ248" s="167" t="str">
        <f t="shared" si="459"/>
        <v xml:space="preserve">  </v>
      </c>
      <c r="EK248" s="174" t="str">
        <f t="shared" si="416"/>
        <v>NG</v>
      </c>
      <c r="EL248" s="162"/>
      <c r="EM248" s="276" t="str">
        <f>IF(OR(EI$8="判定対象外",EL$8="判定対象外",EL248="-"),"-",IF(EI248=EL248,"OK","NG"))</f>
        <v>OK</v>
      </c>
      <c r="EN248" s="160"/>
      <c r="EO248" s="162"/>
      <c r="EP248" s="167" t="str">
        <f t="shared" si="460"/>
        <v xml:space="preserve">  </v>
      </c>
      <c r="EQ248" s="174" t="str">
        <f t="shared" si="417"/>
        <v>NG</v>
      </c>
      <c r="ER248" s="162"/>
      <c r="ES248" s="276" t="str">
        <f>IF(OR(EO$8="判定対象外",ER$8="判定対象外",ER248="-"),"-",IF(EO248=ER248,"OK","NG"))</f>
        <v>OK</v>
      </c>
      <c r="ET248" s="160"/>
      <c r="EU248" s="162"/>
      <c r="EV248" s="167" t="str">
        <f t="shared" si="461"/>
        <v xml:space="preserve">  </v>
      </c>
      <c r="EW248" s="174" t="str">
        <f t="shared" si="418"/>
        <v>NG</v>
      </c>
      <c r="EX248" s="162"/>
      <c r="EY248" s="276" t="str">
        <f>IF(OR(EU$8="判定対象外",EX$8="判定対象外",EX248="-"),"-",IF(EU248=EX248,"OK","NG"))</f>
        <v>OK</v>
      </c>
      <c r="EZ248" s="160"/>
      <c r="FA248" s="162"/>
      <c r="FB248" s="167" t="str">
        <f t="shared" si="462"/>
        <v xml:space="preserve">  </v>
      </c>
      <c r="FC248" s="174" t="str">
        <f t="shared" si="419"/>
        <v>NG</v>
      </c>
      <c r="FD248" s="162"/>
      <c r="FE248" s="276" t="str">
        <f>IF(OR(FA$8="判定対象外",FD$8="判定対象外",FD248="-"),"-",IF(FA248=FD248,"OK","NG"))</f>
        <v>OK</v>
      </c>
      <c r="FF248" s="160"/>
      <c r="FG248" s="162"/>
      <c r="FH248" s="167" t="str">
        <f t="shared" si="463"/>
        <v xml:space="preserve">  </v>
      </c>
      <c r="FI248" s="174" t="str">
        <f t="shared" si="420"/>
        <v>NG</v>
      </c>
      <c r="FJ248" s="162"/>
      <c r="FK248" s="276" t="str">
        <f>IF(OR(FG$8="判定対象外",FJ$8="判定対象外",FJ248="-"),"-",IF(FG248=FJ248,"OK","NG"))</f>
        <v>OK</v>
      </c>
      <c r="FL248" s="160"/>
      <c r="FM248" s="162"/>
      <c r="FN248" s="167" t="str">
        <f t="shared" si="464"/>
        <v xml:space="preserve">  </v>
      </c>
      <c r="FO248" s="174" t="str">
        <f t="shared" si="438"/>
        <v>NG</v>
      </c>
      <c r="FP248" s="162"/>
      <c r="FQ248" s="276" t="str">
        <f>IF(OR(FM$8="判定対象外",FP$8="判定対象外",FP248="-"),"-",IF(FM248=FP248,"OK","NG"))</f>
        <v>OK</v>
      </c>
      <c r="FR248" s="160"/>
      <c r="FS248" s="162"/>
      <c r="FT248" s="167" t="str">
        <f t="shared" si="465"/>
        <v xml:space="preserve">  </v>
      </c>
      <c r="FU248" s="174" t="str">
        <f t="shared" si="439"/>
        <v>NG</v>
      </c>
      <c r="FV248" s="162"/>
      <c r="FW248" s="276" t="str">
        <f>IF(OR(FS$8="判定対象外",FV$8="判定対象外",FV248="-"),"-",IF(FS248=FV248,"OK","NG"))</f>
        <v>OK</v>
      </c>
      <c r="FX248" s="160"/>
      <c r="FY248" s="162"/>
      <c r="FZ248" s="167" t="str">
        <f t="shared" si="466"/>
        <v xml:space="preserve">  </v>
      </c>
      <c r="GA248" s="174" t="str">
        <f t="shared" si="440"/>
        <v>NG</v>
      </c>
      <c r="GB248" s="162"/>
      <c r="GC248" s="276" t="str">
        <f>IF(OR(FY$8="判定対象外",GB$8="判定対象外",GB248="-"),"-",IF(FY248=GB248,"OK","NG"))</f>
        <v>OK</v>
      </c>
    </row>
    <row r="249" spans="1:185" s="52" customFormat="1" ht="344.25">
      <c r="B249" s="48">
        <f t="shared" si="467"/>
        <v>242</v>
      </c>
      <c r="C249" s="37"/>
      <c r="D249" s="37"/>
      <c r="E249" s="37"/>
      <c r="F249" s="188" t="s">
        <v>320</v>
      </c>
      <c r="G249" s="39"/>
      <c r="H249" s="40"/>
      <c r="I249" s="42"/>
      <c r="J249" s="42" t="s">
        <v>316</v>
      </c>
      <c r="K249" s="42"/>
      <c r="L249" s="42"/>
      <c r="M249" s="189" t="s">
        <v>321</v>
      </c>
      <c r="N249" s="63"/>
      <c r="O249" s="143"/>
      <c r="P249" s="45">
        <f>P248+1</f>
        <v>218</v>
      </c>
      <c r="Q249" s="46">
        <v>2</v>
      </c>
      <c r="R249" s="41" t="str">
        <f t="shared" si="472"/>
        <v>X</v>
      </c>
      <c r="S249" s="185" t="s">
        <v>100</v>
      </c>
      <c r="T249" s="43"/>
      <c r="U249" s="41" t="s">
        <v>80</v>
      </c>
      <c r="V249" s="44"/>
      <c r="W249" s="22">
        <v>3</v>
      </c>
      <c r="X249" s="47" t="s">
        <v>162</v>
      </c>
      <c r="Y249" s="47">
        <v>2</v>
      </c>
      <c r="Z249" s="47">
        <v>2</v>
      </c>
      <c r="AA249" s="42" t="s">
        <v>163</v>
      </c>
      <c r="AB249" s="42" t="s">
        <v>57</v>
      </c>
      <c r="AC249" s="166"/>
      <c r="AD249" s="160"/>
      <c r="AE249" s="162"/>
      <c r="AF249" s="167" t="str">
        <f t="shared" si="442"/>
        <v xml:space="preserve">  </v>
      </c>
      <c r="AG249" s="174" t="str">
        <f t="shared" si="424"/>
        <v>NG</v>
      </c>
      <c r="AH249" s="162"/>
      <c r="AI249" s="276" t="str">
        <f>IF(OR(AE$8="判定対象外",AH$8="判定対象外",AH249="-"),"-",IF(AE249=AH249,"OK","NG"))</f>
        <v>OK</v>
      </c>
      <c r="AJ249" s="160"/>
      <c r="AK249" s="162"/>
      <c r="AL249" s="167" t="str">
        <f t="shared" si="441"/>
        <v xml:space="preserve">  </v>
      </c>
      <c r="AM249" s="174" t="str">
        <f t="shared" si="468"/>
        <v>NG</v>
      </c>
      <c r="AN249" s="162"/>
      <c r="AO249" s="276" t="str">
        <f>IF(OR(AK$8="判定対象外",AN$8="判定対象外",AN249="-"),"-",IF(AK249=AN249,"OK","NG"))</f>
        <v>OK</v>
      </c>
      <c r="AP249" s="160"/>
      <c r="AQ249" s="162"/>
      <c r="AR249" s="167" t="str">
        <f t="shared" si="443"/>
        <v xml:space="preserve">  </v>
      </c>
      <c r="AS249" s="174" t="str">
        <f t="shared" si="425"/>
        <v>NG</v>
      </c>
      <c r="AT249" s="162"/>
      <c r="AU249" s="276" t="str">
        <f>IF(OR(AQ$8="判定対象外",AT$8="判定対象外",AT249="-"),"-",IF(AQ249=AT249,"OK","NG"))</f>
        <v>OK</v>
      </c>
      <c r="AV249" s="160"/>
      <c r="AW249" s="162"/>
      <c r="AX249" s="167" t="str">
        <f t="shared" si="444"/>
        <v xml:space="preserve">  </v>
      </c>
      <c r="AY249" s="174" t="str">
        <f t="shared" si="426"/>
        <v>NG</v>
      </c>
      <c r="AZ249" s="162"/>
      <c r="BA249" s="276" t="str">
        <f>IF(OR(AW$8="判定対象外",AZ$8="判定対象外",AZ249="-"),"-",IF(AW249=AZ249,"OK","NG"))</f>
        <v>OK</v>
      </c>
      <c r="BB249" s="160"/>
      <c r="BC249" s="162"/>
      <c r="BD249" s="167" t="str">
        <f t="shared" si="445"/>
        <v xml:space="preserve">  </v>
      </c>
      <c r="BE249" s="174" t="str">
        <f t="shared" si="427"/>
        <v>NG</v>
      </c>
      <c r="BF249" s="162"/>
      <c r="BG249" s="276" t="str">
        <f>IF(OR(BC$8="判定対象外",BF$8="判定対象外",BF249="-"),"-",IF(BC249=BF249,"OK","NG"))</f>
        <v>OK</v>
      </c>
      <c r="BH249" s="160"/>
      <c r="BI249" s="162"/>
      <c r="BJ249" s="167" t="str">
        <f t="shared" si="446"/>
        <v xml:space="preserve">  </v>
      </c>
      <c r="BK249" s="174" t="str">
        <f t="shared" si="428"/>
        <v>NG</v>
      </c>
      <c r="BL249" s="162"/>
      <c r="BM249" s="276" t="str">
        <f>IF(OR(BI$8="判定対象外",BL$8="判定対象外",BL249="-"),"-",IF(BI249=BL249,"OK","NG"))</f>
        <v>OK</v>
      </c>
      <c r="BN249" s="160"/>
      <c r="BO249" s="162"/>
      <c r="BP249" s="167" t="str">
        <f t="shared" si="447"/>
        <v xml:space="preserve">  </v>
      </c>
      <c r="BQ249" s="174" t="str">
        <f t="shared" si="429"/>
        <v>NG</v>
      </c>
      <c r="BR249" s="162"/>
      <c r="BS249" s="276" t="str">
        <f>IF(OR(BO$8="判定対象外",BR$8="判定対象外",BR249="-"),"-",IF(BO249=BR249,"OK","NG"))</f>
        <v>OK</v>
      </c>
      <c r="BT249" s="160"/>
      <c r="BU249" s="162"/>
      <c r="BV249" s="167" t="str">
        <f t="shared" si="448"/>
        <v xml:space="preserve">  </v>
      </c>
      <c r="BW249" s="174" t="str">
        <f t="shared" si="430"/>
        <v>NG</v>
      </c>
      <c r="BX249" s="162"/>
      <c r="BY249" s="276" t="str">
        <f>IF(OR(BU$8="判定対象外",BX$8="判定対象外",BX249="-"),"-",IF(BU249=BX249,"OK","NG"))</f>
        <v>OK</v>
      </c>
      <c r="BZ249" s="160"/>
      <c r="CA249" s="162"/>
      <c r="CB249" s="167" t="str">
        <f t="shared" si="449"/>
        <v xml:space="preserve">  </v>
      </c>
      <c r="CC249" s="174" t="str">
        <f t="shared" si="431"/>
        <v>NG</v>
      </c>
      <c r="CD249" s="162"/>
      <c r="CE249" s="276" t="str">
        <f>IF(OR(CA$8="判定対象外",CD$8="判定対象外",CD249="-"),"-",IF(CA249=CD249,"OK","NG"))</f>
        <v>OK</v>
      </c>
      <c r="CF249" s="160"/>
      <c r="CG249" s="162"/>
      <c r="CH249" s="167" t="str">
        <f t="shared" si="450"/>
        <v xml:space="preserve">  </v>
      </c>
      <c r="CI249" s="174" t="str">
        <f t="shared" si="432"/>
        <v>NG</v>
      </c>
      <c r="CJ249" s="162"/>
      <c r="CK249" s="276" t="str">
        <f>IF(OR(CG$8="判定対象外",CJ$8="判定対象外",CJ249="-"),"-",IF(CG249=CJ249,"OK","NG"))</f>
        <v>OK</v>
      </c>
      <c r="CL249" s="160"/>
      <c r="CM249" s="162"/>
      <c r="CN249" s="167" t="str">
        <f t="shared" si="451"/>
        <v xml:space="preserve">  </v>
      </c>
      <c r="CO249" s="174" t="str">
        <f t="shared" si="433"/>
        <v>NG</v>
      </c>
      <c r="CP249" s="162"/>
      <c r="CQ249" s="276" t="str">
        <f>IF(OR(CM$8="判定対象外",CP$8="判定対象外",CP249="-"),"-",IF(CM249=CP249,"OK","NG"))</f>
        <v>OK</v>
      </c>
      <c r="CR249" s="160"/>
      <c r="CS249" s="162"/>
      <c r="CT249" s="167" t="str">
        <f t="shared" si="452"/>
        <v xml:space="preserve">  </v>
      </c>
      <c r="CU249" s="174" t="str">
        <f t="shared" si="434"/>
        <v>NG</v>
      </c>
      <c r="CV249" s="162"/>
      <c r="CW249" s="276" t="str">
        <f>IF(OR(CS$8="判定対象外",CV$8="判定対象外",CV249="-"),"-",IF(CS249=CV249,"OK","NG"))</f>
        <v>OK</v>
      </c>
      <c r="CX249" s="160"/>
      <c r="CY249" s="162"/>
      <c r="CZ249" s="167" t="str">
        <f t="shared" si="453"/>
        <v xml:space="preserve">  </v>
      </c>
      <c r="DA249" s="174" t="str">
        <f t="shared" si="435"/>
        <v>NG</v>
      </c>
      <c r="DB249" s="162"/>
      <c r="DC249" s="276" t="str">
        <f>IF(OR(CY$8="判定対象外",DB$8="判定対象外",DB249="-"),"-",IF(CY249=DB249,"OK","NG"))</f>
        <v>OK</v>
      </c>
      <c r="DD249" s="160"/>
      <c r="DE249" s="162"/>
      <c r="DF249" s="167" t="str">
        <f t="shared" si="454"/>
        <v xml:space="preserve">  </v>
      </c>
      <c r="DG249" s="174" t="str">
        <f t="shared" si="436"/>
        <v>NG</v>
      </c>
      <c r="DH249" s="162"/>
      <c r="DI249" s="276" t="str">
        <f>IF(OR(DE$8="判定対象外",DH$8="判定対象外",DH249="-"),"-",IF(DE249=DH249,"OK","NG"))</f>
        <v>OK</v>
      </c>
      <c r="DJ249" s="160"/>
      <c r="DK249" s="162"/>
      <c r="DL249" s="167" t="str">
        <f t="shared" si="455"/>
        <v xml:space="preserve">  </v>
      </c>
      <c r="DM249" s="174" t="str">
        <f t="shared" si="437"/>
        <v>NG</v>
      </c>
      <c r="DN249" s="162"/>
      <c r="DO249" s="276" t="str">
        <f>IF(OR(DK$8="判定対象外",DN$8="判定対象外",DN249="-"),"-",IF(DK249=DN249,"OK","NG"))</f>
        <v>OK</v>
      </c>
      <c r="DP249" s="160"/>
      <c r="DQ249" s="162"/>
      <c r="DR249" s="167" t="str">
        <f t="shared" si="456"/>
        <v xml:space="preserve">  </v>
      </c>
      <c r="DS249" s="174" t="str">
        <f t="shared" ref="DS249:DS312" si="473">IF(OR(DQ$8="判定対象外",DR$8="判定対象外",DR249="-"),"-",IF(DQ249=DR249,"OK","NG"))</f>
        <v>NG</v>
      </c>
      <c r="DT249" s="162"/>
      <c r="DU249" s="276" t="str">
        <f>IF(OR(DQ$8="判定対象外",DT$8="判定対象外",DT249="-"),"-",IF(DQ249=DT249,"OK","NG"))</f>
        <v>OK</v>
      </c>
      <c r="DV249" s="160"/>
      <c r="DW249" s="162"/>
      <c r="DX249" s="167" t="str">
        <f t="shared" si="457"/>
        <v xml:space="preserve">  </v>
      </c>
      <c r="DY249" s="174" t="str">
        <f t="shared" ref="DY249:DY312" si="474">IF(OR(DW$8="判定対象外",DX$8="判定対象外",DX249="-"),"-",IF(DW249=DX249,"OK","NG"))</f>
        <v>NG</v>
      </c>
      <c r="DZ249" s="162"/>
      <c r="EA249" s="276" t="str">
        <f>IF(OR(DW$8="判定対象外",DZ$8="判定対象外",DZ249="-"),"-",IF(DW249=DZ249,"OK","NG"))</f>
        <v>OK</v>
      </c>
      <c r="EB249" s="160"/>
      <c r="EC249" s="162"/>
      <c r="ED249" s="167" t="str">
        <f t="shared" si="458"/>
        <v xml:space="preserve">  </v>
      </c>
      <c r="EE249" s="174" t="str">
        <f t="shared" ref="EE249:EE312" si="475">IF(OR(EC$8="判定対象外",ED$8="判定対象外",ED249="-"),"-",IF(EC249=ED249,"OK","NG"))</f>
        <v>NG</v>
      </c>
      <c r="EF249" s="162"/>
      <c r="EG249" s="276" t="str">
        <f>IF(OR(EC$8="判定対象外",EF$8="判定対象外",EF249="-"),"-",IF(EC249=EF249,"OK","NG"))</f>
        <v>OK</v>
      </c>
      <c r="EH249" s="160"/>
      <c r="EI249" s="162"/>
      <c r="EJ249" s="167" t="str">
        <f t="shared" si="459"/>
        <v xml:space="preserve">  </v>
      </c>
      <c r="EK249" s="174" t="str">
        <f t="shared" ref="EK249:EK312" si="476">IF(OR(EI$8="判定対象外",EJ$8="判定対象外",EJ249="-"),"-",IF(EI249=EJ249,"OK","NG"))</f>
        <v>NG</v>
      </c>
      <c r="EL249" s="162"/>
      <c r="EM249" s="276" t="str">
        <f>IF(OR(EI$8="判定対象外",EL$8="判定対象外",EL249="-"),"-",IF(EI249=EL249,"OK","NG"))</f>
        <v>OK</v>
      </c>
      <c r="EN249" s="160"/>
      <c r="EO249" s="162"/>
      <c r="EP249" s="167" t="str">
        <f t="shared" si="460"/>
        <v xml:space="preserve">  </v>
      </c>
      <c r="EQ249" s="174" t="str">
        <f t="shared" ref="EQ249:EQ312" si="477">IF(OR(EO$8="判定対象外",EP$8="判定対象外",EP249="-"),"-",IF(EO249=EP249,"OK","NG"))</f>
        <v>NG</v>
      </c>
      <c r="ER249" s="162"/>
      <c r="ES249" s="276" t="str">
        <f>IF(OR(EO$8="判定対象外",ER$8="判定対象外",ER249="-"),"-",IF(EO249=ER249,"OK","NG"))</f>
        <v>OK</v>
      </c>
      <c r="ET249" s="160"/>
      <c r="EU249" s="162"/>
      <c r="EV249" s="167" t="str">
        <f t="shared" si="461"/>
        <v xml:space="preserve">  </v>
      </c>
      <c r="EW249" s="174" t="str">
        <f t="shared" ref="EW249:EW312" si="478">IF(OR(EU$8="判定対象外",EV$8="判定対象外",EV249="-"),"-",IF(EU249=EV249,"OK","NG"))</f>
        <v>NG</v>
      </c>
      <c r="EX249" s="162"/>
      <c r="EY249" s="276" t="str">
        <f>IF(OR(EU$8="判定対象外",EX$8="判定対象外",EX249="-"),"-",IF(EU249=EX249,"OK","NG"))</f>
        <v>OK</v>
      </c>
      <c r="EZ249" s="160"/>
      <c r="FA249" s="162"/>
      <c r="FB249" s="167" t="str">
        <f t="shared" si="462"/>
        <v xml:space="preserve">  </v>
      </c>
      <c r="FC249" s="174" t="str">
        <f t="shared" ref="FC249:FC312" si="479">IF(OR(FA$8="判定対象外",FB$8="判定対象外",FB249="-"),"-",IF(FA249=FB249,"OK","NG"))</f>
        <v>NG</v>
      </c>
      <c r="FD249" s="162"/>
      <c r="FE249" s="276" t="str">
        <f>IF(OR(FA$8="判定対象外",FD$8="判定対象外",FD249="-"),"-",IF(FA249=FD249,"OK","NG"))</f>
        <v>OK</v>
      </c>
      <c r="FF249" s="160"/>
      <c r="FG249" s="162"/>
      <c r="FH249" s="167" t="str">
        <f t="shared" si="463"/>
        <v xml:space="preserve">  </v>
      </c>
      <c r="FI249" s="174" t="str">
        <f t="shared" ref="FI249:FI312" si="480">IF(OR(FG$8="判定対象外",FH$8="判定対象外",FH249="-"),"-",IF(FG249=FH249,"OK","NG"))</f>
        <v>NG</v>
      </c>
      <c r="FJ249" s="162"/>
      <c r="FK249" s="276" t="str">
        <f>IF(OR(FG$8="判定対象外",FJ$8="判定対象外",FJ249="-"),"-",IF(FG249=FJ249,"OK","NG"))</f>
        <v>OK</v>
      </c>
      <c r="FL249" s="160"/>
      <c r="FM249" s="162"/>
      <c r="FN249" s="167" t="str">
        <f t="shared" si="464"/>
        <v xml:space="preserve">  </v>
      </c>
      <c r="FO249" s="174" t="str">
        <f t="shared" si="438"/>
        <v>NG</v>
      </c>
      <c r="FP249" s="162"/>
      <c r="FQ249" s="276" t="str">
        <f>IF(OR(FM$8="判定対象外",FP$8="判定対象外",FP249="-"),"-",IF(FM249=FP249,"OK","NG"))</f>
        <v>OK</v>
      </c>
      <c r="FR249" s="160"/>
      <c r="FS249" s="162"/>
      <c r="FT249" s="167" t="str">
        <f t="shared" si="465"/>
        <v xml:space="preserve">  </v>
      </c>
      <c r="FU249" s="174" t="str">
        <f t="shared" si="439"/>
        <v>NG</v>
      </c>
      <c r="FV249" s="162"/>
      <c r="FW249" s="276" t="str">
        <f>IF(OR(FS$8="判定対象外",FV$8="判定対象外",FV249="-"),"-",IF(FS249=FV249,"OK","NG"))</f>
        <v>OK</v>
      </c>
      <c r="FX249" s="160"/>
      <c r="FY249" s="162"/>
      <c r="FZ249" s="167" t="str">
        <f t="shared" si="466"/>
        <v xml:space="preserve">  </v>
      </c>
      <c r="GA249" s="174" t="str">
        <f t="shared" si="440"/>
        <v>NG</v>
      </c>
      <c r="GB249" s="162"/>
      <c r="GC249" s="276" t="str">
        <f>IF(OR(FY$8="判定対象外",GB$8="判定対象外",GB249="-"),"-",IF(FY249=GB249,"OK","NG"))</f>
        <v>OK</v>
      </c>
    </row>
    <row r="250" spans="1:185" s="52" customFormat="1">
      <c r="B250" s="48">
        <f t="shared" si="467"/>
        <v>243</v>
      </c>
      <c r="C250" s="37"/>
      <c r="D250" s="37"/>
      <c r="E250" s="37"/>
      <c r="F250" s="49" t="s">
        <v>322</v>
      </c>
      <c r="G250" s="39"/>
      <c r="H250" s="40"/>
      <c r="I250" s="42"/>
      <c r="J250" s="42"/>
      <c r="K250" s="42"/>
      <c r="L250" s="42"/>
      <c r="M250" s="213" t="s">
        <v>323</v>
      </c>
      <c r="N250" s="63"/>
      <c r="O250" s="143"/>
      <c r="P250" s="45">
        <f t="shared" ref="P250:P276" si="481">P249+1</f>
        <v>219</v>
      </c>
      <c r="Q250" s="46">
        <v>2</v>
      </c>
      <c r="R250" s="41" t="str">
        <f t="shared" si="472"/>
        <v>X</v>
      </c>
      <c r="S250" s="185" t="s">
        <v>190</v>
      </c>
      <c r="T250" s="43"/>
      <c r="U250" s="41" t="s">
        <v>80</v>
      </c>
      <c r="V250" s="44"/>
      <c r="W250" s="22">
        <v>3</v>
      </c>
      <c r="X250" s="47" t="s">
        <v>191</v>
      </c>
      <c r="Y250" s="47">
        <v>2</v>
      </c>
      <c r="Z250" s="47">
        <v>2</v>
      </c>
      <c r="AA250" s="42" t="s">
        <v>163</v>
      </c>
      <c r="AB250" s="42" t="s">
        <v>57</v>
      </c>
      <c r="AC250" s="166"/>
      <c r="AD250" s="160"/>
      <c r="AE250" s="141"/>
      <c r="AF250" s="203" t="str">
        <f t="shared" si="442"/>
        <v xml:space="preserve">  </v>
      </c>
      <c r="AG250" s="174" t="str">
        <f t="shared" si="424"/>
        <v>NG</v>
      </c>
      <c r="AH250" s="141"/>
      <c r="AI250" s="172" t="s">
        <v>71</v>
      </c>
      <c r="AJ250" s="160"/>
      <c r="AK250" s="141"/>
      <c r="AL250" s="203" t="str">
        <f t="shared" si="441"/>
        <v xml:space="preserve">  </v>
      </c>
      <c r="AM250" s="174" t="str">
        <f t="shared" si="468"/>
        <v>NG</v>
      </c>
      <c r="AN250" s="141"/>
      <c r="AO250" s="172" t="s">
        <v>71</v>
      </c>
      <c r="AP250" s="160"/>
      <c r="AQ250" s="141"/>
      <c r="AR250" s="203" t="str">
        <f t="shared" si="443"/>
        <v xml:space="preserve">  </v>
      </c>
      <c r="AS250" s="174" t="str">
        <f t="shared" si="425"/>
        <v>NG</v>
      </c>
      <c r="AT250" s="141"/>
      <c r="AU250" s="172" t="s">
        <v>71</v>
      </c>
      <c r="AV250" s="160"/>
      <c r="AW250" s="141"/>
      <c r="AX250" s="203" t="str">
        <f t="shared" si="444"/>
        <v xml:space="preserve">  </v>
      </c>
      <c r="AY250" s="174" t="str">
        <f t="shared" si="426"/>
        <v>NG</v>
      </c>
      <c r="AZ250" s="141"/>
      <c r="BA250" s="172" t="s">
        <v>71</v>
      </c>
      <c r="BB250" s="160"/>
      <c r="BC250" s="141"/>
      <c r="BD250" s="203" t="str">
        <f t="shared" si="445"/>
        <v xml:space="preserve">  </v>
      </c>
      <c r="BE250" s="174" t="str">
        <f t="shared" si="427"/>
        <v>NG</v>
      </c>
      <c r="BF250" s="141"/>
      <c r="BG250" s="172" t="s">
        <v>71</v>
      </c>
      <c r="BH250" s="160"/>
      <c r="BI250" s="141"/>
      <c r="BJ250" s="203" t="str">
        <f t="shared" si="446"/>
        <v xml:space="preserve">  </v>
      </c>
      <c r="BK250" s="174" t="str">
        <f t="shared" si="428"/>
        <v>NG</v>
      </c>
      <c r="BL250" s="141"/>
      <c r="BM250" s="172" t="s">
        <v>71</v>
      </c>
      <c r="BN250" s="160"/>
      <c r="BO250" s="141"/>
      <c r="BP250" s="203" t="str">
        <f t="shared" si="447"/>
        <v xml:space="preserve">  </v>
      </c>
      <c r="BQ250" s="174" t="str">
        <f t="shared" si="429"/>
        <v>NG</v>
      </c>
      <c r="BR250" s="141"/>
      <c r="BS250" s="172" t="s">
        <v>71</v>
      </c>
      <c r="BT250" s="160"/>
      <c r="BU250" s="141"/>
      <c r="BV250" s="203" t="str">
        <f t="shared" si="448"/>
        <v xml:space="preserve">  </v>
      </c>
      <c r="BW250" s="174" t="str">
        <f t="shared" si="430"/>
        <v>NG</v>
      </c>
      <c r="BX250" s="141"/>
      <c r="BY250" s="172" t="s">
        <v>71</v>
      </c>
      <c r="BZ250" s="160"/>
      <c r="CA250" s="141"/>
      <c r="CB250" s="203" t="str">
        <f t="shared" si="449"/>
        <v xml:space="preserve">  </v>
      </c>
      <c r="CC250" s="174" t="str">
        <f t="shared" si="431"/>
        <v>NG</v>
      </c>
      <c r="CD250" s="141"/>
      <c r="CE250" s="172" t="s">
        <v>71</v>
      </c>
      <c r="CF250" s="160"/>
      <c r="CG250" s="141"/>
      <c r="CH250" s="203" t="str">
        <f t="shared" si="450"/>
        <v xml:space="preserve">  </v>
      </c>
      <c r="CI250" s="174" t="str">
        <f t="shared" si="432"/>
        <v>NG</v>
      </c>
      <c r="CJ250" s="141"/>
      <c r="CK250" s="172" t="s">
        <v>71</v>
      </c>
      <c r="CL250" s="160"/>
      <c r="CM250" s="141"/>
      <c r="CN250" s="203" t="str">
        <f t="shared" si="451"/>
        <v xml:space="preserve">  </v>
      </c>
      <c r="CO250" s="174" t="str">
        <f t="shared" si="433"/>
        <v>NG</v>
      </c>
      <c r="CP250" s="141"/>
      <c r="CQ250" s="172" t="s">
        <v>71</v>
      </c>
      <c r="CR250" s="160"/>
      <c r="CS250" s="141"/>
      <c r="CT250" s="203" t="str">
        <f t="shared" si="452"/>
        <v xml:space="preserve">  </v>
      </c>
      <c r="CU250" s="174" t="str">
        <f t="shared" si="434"/>
        <v>NG</v>
      </c>
      <c r="CV250" s="141"/>
      <c r="CW250" s="172" t="s">
        <v>71</v>
      </c>
      <c r="CX250" s="160"/>
      <c r="CY250" s="141"/>
      <c r="CZ250" s="203" t="str">
        <f t="shared" si="453"/>
        <v xml:space="preserve">  </v>
      </c>
      <c r="DA250" s="174" t="str">
        <f t="shared" si="435"/>
        <v>NG</v>
      </c>
      <c r="DB250" s="141"/>
      <c r="DC250" s="172" t="s">
        <v>71</v>
      </c>
      <c r="DD250" s="160"/>
      <c r="DE250" s="141"/>
      <c r="DF250" s="203" t="str">
        <f t="shared" si="454"/>
        <v xml:space="preserve">  </v>
      </c>
      <c r="DG250" s="174" t="str">
        <f t="shared" si="436"/>
        <v>NG</v>
      </c>
      <c r="DH250" s="141"/>
      <c r="DI250" s="172" t="s">
        <v>71</v>
      </c>
      <c r="DJ250" s="160"/>
      <c r="DK250" s="141"/>
      <c r="DL250" s="203" t="str">
        <f t="shared" si="455"/>
        <v xml:space="preserve">  </v>
      </c>
      <c r="DM250" s="174" t="str">
        <f t="shared" si="437"/>
        <v>NG</v>
      </c>
      <c r="DN250" s="141"/>
      <c r="DO250" s="172" t="s">
        <v>71</v>
      </c>
      <c r="DP250" s="160"/>
      <c r="DQ250" s="141"/>
      <c r="DR250" s="203" t="str">
        <f t="shared" si="456"/>
        <v xml:space="preserve">  </v>
      </c>
      <c r="DS250" s="174" t="str">
        <f t="shared" si="473"/>
        <v>NG</v>
      </c>
      <c r="DT250" s="141"/>
      <c r="DU250" s="172" t="s">
        <v>71</v>
      </c>
      <c r="DV250" s="160"/>
      <c r="DW250" s="141"/>
      <c r="DX250" s="203" t="str">
        <f t="shared" si="457"/>
        <v xml:space="preserve">  </v>
      </c>
      <c r="DY250" s="174" t="str">
        <f t="shared" si="474"/>
        <v>NG</v>
      </c>
      <c r="DZ250" s="141"/>
      <c r="EA250" s="172" t="s">
        <v>71</v>
      </c>
      <c r="EB250" s="160"/>
      <c r="EC250" s="141"/>
      <c r="ED250" s="203" t="str">
        <f t="shared" si="458"/>
        <v xml:space="preserve">  </v>
      </c>
      <c r="EE250" s="174" t="str">
        <f t="shared" si="475"/>
        <v>NG</v>
      </c>
      <c r="EF250" s="141"/>
      <c r="EG250" s="172" t="s">
        <v>71</v>
      </c>
      <c r="EH250" s="160"/>
      <c r="EI250" s="141"/>
      <c r="EJ250" s="203" t="str">
        <f t="shared" si="459"/>
        <v xml:space="preserve">  </v>
      </c>
      <c r="EK250" s="174" t="str">
        <f t="shared" si="476"/>
        <v>NG</v>
      </c>
      <c r="EL250" s="141"/>
      <c r="EM250" s="172" t="s">
        <v>71</v>
      </c>
      <c r="EN250" s="160"/>
      <c r="EO250" s="141"/>
      <c r="EP250" s="203" t="str">
        <f t="shared" si="460"/>
        <v xml:space="preserve">  </v>
      </c>
      <c r="EQ250" s="174" t="str">
        <f t="shared" si="477"/>
        <v>NG</v>
      </c>
      <c r="ER250" s="141"/>
      <c r="ES250" s="172" t="s">
        <v>71</v>
      </c>
      <c r="ET250" s="160"/>
      <c r="EU250" s="141"/>
      <c r="EV250" s="203" t="str">
        <f t="shared" si="461"/>
        <v xml:space="preserve">  </v>
      </c>
      <c r="EW250" s="174" t="str">
        <f t="shared" si="478"/>
        <v>NG</v>
      </c>
      <c r="EX250" s="141"/>
      <c r="EY250" s="172" t="s">
        <v>71</v>
      </c>
      <c r="EZ250" s="160"/>
      <c r="FA250" s="141"/>
      <c r="FB250" s="203" t="str">
        <f t="shared" si="462"/>
        <v xml:space="preserve">  </v>
      </c>
      <c r="FC250" s="174" t="str">
        <f t="shared" si="479"/>
        <v>NG</v>
      </c>
      <c r="FD250" s="141"/>
      <c r="FE250" s="172" t="s">
        <v>71</v>
      </c>
      <c r="FF250" s="160"/>
      <c r="FG250" s="141"/>
      <c r="FH250" s="203" t="str">
        <f t="shared" si="463"/>
        <v xml:space="preserve">  </v>
      </c>
      <c r="FI250" s="174" t="str">
        <f t="shared" si="480"/>
        <v>NG</v>
      </c>
      <c r="FJ250" s="141"/>
      <c r="FK250" s="172" t="s">
        <v>71</v>
      </c>
      <c r="FL250" s="160"/>
      <c r="FM250" s="141"/>
      <c r="FN250" s="203" t="str">
        <f t="shared" si="464"/>
        <v xml:space="preserve">  </v>
      </c>
      <c r="FO250" s="174" t="str">
        <f t="shared" si="438"/>
        <v>NG</v>
      </c>
      <c r="FP250" s="141"/>
      <c r="FQ250" s="172" t="s">
        <v>71</v>
      </c>
      <c r="FR250" s="160"/>
      <c r="FS250" s="141"/>
      <c r="FT250" s="203" t="str">
        <f t="shared" si="465"/>
        <v xml:space="preserve">  </v>
      </c>
      <c r="FU250" s="174" t="str">
        <f t="shared" si="439"/>
        <v>NG</v>
      </c>
      <c r="FV250" s="141"/>
      <c r="FW250" s="172" t="s">
        <v>71</v>
      </c>
      <c r="FX250" s="160"/>
      <c r="FY250" s="141"/>
      <c r="FZ250" s="203" t="str">
        <f t="shared" si="466"/>
        <v xml:space="preserve">  </v>
      </c>
      <c r="GA250" s="174" t="str">
        <f t="shared" si="440"/>
        <v>NG</v>
      </c>
      <c r="GB250" s="141"/>
      <c r="GC250" s="172" t="s">
        <v>71</v>
      </c>
    </row>
    <row r="251" spans="1:185" s="52" customFormat="1">
      <c r="B251" s="48">
        <f t="shared" si="467"/>
        <v>244</v>
      </c>
      <c r="C251" s="37"/>
      <c r="D251" s="37"/>
      <c r="E251" s="37"/>
      <c r="F251" s="49" t="s">
        <v>192</v>
      </c>
      <c r="G251" s="39"/>
      <c r="H251" s="40"/>
      <c r="I251" s="42"/>
      <c r="J251" s="42" t="s">
        <v>316</v>
      </c>
      <c r="K251" s="42"/>
      <c r="L251" s="42"/>
      <c r="M251" s="47" t="s">
        <v>324</v>
      </c>
      <c r="N251" s="47"/>
      <c r="O251" s="143"/>
      <c r="P251" s="45">
        <f t="shared" si="481"/>
        <v>220</v>
      </c>
      <c r="Q251" s="46">
        <v>255</v>
      </c>
      <c r="R251" s="41" t="str">
        <f t="shared" si="472"/>
        <v>NX</v>
      </c>
      <c r="S251" s="185" t="s">
        <v>193</v>
      </c>
      <c r="T251" s="43"/>
      <c r="U251" s="41" t="s">
        <v>80</v>
      </c>
      <c r="V251" s="44"/>
      <c r="W251" s="22">
        <v>3</v>
      </c>
      <c r="X251" s="47" t="s">
        <v>194</v>
      </c>
      <c r="Y251" s="47">
        <v>1</v>
      </c>
      <c r="Z251" s="47">
        <v>255</v>
      </c>
      <c r="AA251" s="42" t="s">
        <v>195</v>
      </c>
      <c r="AB251" s="42" t="s">
        <v>57</v>
      </c>
      <c r="AC251" s="166"/>
      <c r="AD251" s="160"/>
      <c r="AE251" s="162"/>
      <c r="AF251" s="204" t="str">
        <f t="shared" si="442"/>
        <v xml:space="preserve">                                                                                                                                                                                                                                                               </v>
      </c>
      <c r="AG251" s="174" t="str">
        <f t="shared" si="424"/>
        <v>NG</v>
      </c>
      <c r="AH251" s="162"/>
      <c r="AI251" s="276" t="str">
        <f>IF(OR(AE$8="判定対象外",AH$8="判定対象外",AH251="-"),"-",IF(AE251=AH251,"OK","NG"))</f>
        <v>OK</v>
      </c>
      <c r="AJ251" s="160"/>
      <c r="AK251" s="162"/>
      <c r="AL251" s="204" t="str">
        <f t="shared" si="441"/>
        <v xml:space="preserve">                                                                                                                                                                                                                                                               </v>
      </c>
      <c r="AM251" s="174" t="str">
        <f t="shared" si="468"/>
        <v>NG</v>
      </c>
      <c r="AN251" s="162"/>
      <c r="AO251" s="276" t="str">
        <f>IF(OR(AK$8="判定対象外",AN$8="判定対象外",AN251="-"),"-",IF(AK251=AN251,"OK","NG"))</f>
        <v>OK</v>
      </c>
      <c r="AP251" s="160"/>
      <c r="AQ251" s="162"/>
      <c r="AR251" s="204" t="str">
        <f t="shared" si="443"/>
        <v xml:space="preserve">                                                                                                                                                                                                                                                               </v>
      </c>
      <c r="AS251" s="174" t="str">
        <f t="shared" si="425"/>
        <v>NG</v>
      </c>
      <c r="AT251" s="162"/>
      <c r="AU251" s="276" t="str">
        <f>IF(OR(AQ$8="判定対象外",AT$8="判定対象外",AT251="-"),"-",IF(AQ251=AT251,"OK","NG"))</f>
        <v>OK</v>
      </c>
      <c r="AV251" s="160"/>
      <c r="AW251" s="162"/>
      <c r="AX251" s="204" t="str">
        <f t="shared" si="444"/>
        <v xml:space="preserve">                                                                                                                                                                                                                                                               </v>
      </c>
      <c r="AY251" s="174" t="str">
        <f t="shared" si="426"/>
        <v>NG</v>
      </c>
      <c r="AZ251" s="162"/>
      <c r="BA251" s="276" t="str">
        <f>IF(OR(AW$8="判定対象外",AZ$8="判定対象外",AZ251="-"),"-",IF(AW251=AZ251,"OK","NG"))</f>
        <v>OK</v>
      </c>
      <c r="BB251" s="160"/>
      <c r="BC251" s="162"/>
      <c r="BD251" s="204" t="str">
        <f t="shared" si="445"/>
        <v xml:space="preserve">                                                                                                                                                                                                                                                               </v>
      </c>
      <c r="BE251" s="174" t="str">
        <f t="shared" si="427"/>
        <v>NG</v>
      </c>
      <c r="BF251" s="162"/>
      <c r="BG251" s="276" t="str">
        <f>IF(OR(BC$8="判定対象外",BF$8="判定対象外",BF251="-"),"-",IF(BC251=BF251,"OK","NG"))</f>
        <v>OK</v>
      </c>
      <c r="BH251" s="160"/>
      <c r="BI251" s="162"/>
      <c r="BJ251" s="204" t="str">
        <f t="shared" si="446"/>
        <v xml:space="preserve">                                                                                                                                                                                                                                                               </v>
      </c>
      <c r="BK251" s="174" t="str">
        <f t="shared" si="428"/>
        <v>NG</v>
      </c>
      <c r="BL251" s="162"/>
      <c r="BM251" s="276" t="str">
        <f>IF(OR(BI$8="判定対象外",BL$8="判定対象外",BL251="-"),"-",IF(BI251=BL251,"OK","NG"))</f>
        <v>OK</v>
      </c>
      <c r="BN251" s="160"/>
      <c r="BO251" s="162"/>
      <c r="BP251" s="204" t="str">
        <f t="shared" si="447"/>
        <v xml:space="preserve">                                                                                                                                                                                                                                                               </v>
      </c>
      <c r="BQ251" s="174" t="str">
        <f t="shared" si="429"/>
        <v>NG</v>
      </c>
      <c r="BR251" s="162"/>
      <c r="BS251" s="276" t="str">
        <f>IF(OR(BO$8="判定対象外",BR$8="判定対象外",BR251="-"),"-",IF(BO251=BR251,"OK","NG"))</f>
        <v>OK</v>
      </c>
      <c r="BT251" s="160"/>
      <c r="BU251" s="162"/>
      <c r="BV251" s="204" t="str">
        <f t="shared" si="448"/>
        <v xml:space="preserve">                                                                                                                                                                                                                                                               </v>
      </c>
      <c r="BW251" s="174" t="str">
        <f t="shared" si="430"/>
        <v>NG</v>
      </c>
      <c r="BX251" s="162"/>
      <c r="BY251" s="276" t="str">
        <f>IF(OR(BU$8="判定対象外",BX$8="判定対象外",BX251="-"),"-",IF(BU251=BX251,"OK","NG"))</f>
        <v>OK</v>
      </c>
      <c r="BZ251" s="160"/>
      <c r="CA251" s="162"/>
      <c r="CB251" s="204" t="str">
        <f t="shared" si="449"/>
        <v xml:space="preserve">                                                                                                                                                                                                                                                               </v>
      </c>
      <c r="CC251" s="174" t="str">
        <f t="shared" si="431"/>
        <v>NG</v>
      </c>
      <c r="CD251" s="162"/>
      <c r="CE251" s="276" t="str">
        <f>IF(OR(CA$8="判定対象外",CD$8="判定対象外",CD251="-"),"-",IF(CA251=CD251,"OK","NG"))</f>
        <v>OK</v>
      </c>
      <c r="CF251" s="160"/>
      <c r="CG251" s="162"/>
      <c r="CH251" s="204" t="str">
        <f t="shared" si="450"/>
        <v xml:space="preserve">                                                                                                                                                                                                                                                               </v>
      </c>
      <c r="CI251" s="174" t="str">
        <f t="shared" si="432"/>
        <v>NG</v>
      </c>
      <c r="CJ251" s="162"/>
      <c r="CK251" s="276" t="str">
        <f>IF(OR(CG$8="判定対象外",CJ$8="判定対象外",CJ251="-"),"-",IF(CG251=CJ251,"OK","NG"))</f>
        <v>OK</v>
      </c>
      <c r="CL251" s="160"/>
      <c r="CM251" s="162"/>
      <c r="CN251" s="204" t="str">
        <f t="shared" si="451"/>
        <v xml:space="preserve">                                                                                                                                                                                                                                                               </v>
      </c>
      <c r="CO251" s="174" t="str">
        <f t="shared" si="433"/>
        <v>NG</v>
      </c>
      <c r="CP251" s="162"/>
      <c r="CQ251" s="276" t="str">
        <f>IF(OR(CM$8="判定対象外",CP$8="判定対象外",CP251="-"),"-",IF(CM251=CP251,"OK","NG"))</f>
        <v>OK</v>
      </c>
      <c r="CR251" s="160"/>
      <c r="CS251" s="162"/>
      <c r="CT251" s="204" t="str">
        <f t="shared" si="452"/>
        <v xml:space="preserve">                                                                                                                                                                                                                                                               </v>
      </c>
      <c r="CU251" s="174" t="str">
        <f t="shared" si="434"/>
        <v>NG</v>
      </c>
      <c r="CV251" s="162"/>
      <c r="CW251" s="276" t="str">
        <f>IF(OR(CS$8="判定対象外",CV$8="判定対象外",CV251="-"),"-",IF(CS251=CV251,"OK","NG"))</f>
        <v>OK</v>
      </c>
      <c r="CX251" s="160"/>
      <c r="CY251" s="162"/>
      <c r="CZ251" s="204" t="str">
        <f t="shared" si="453"/>
        <v xml:space="preserve">                                                                                                                                                                                                                                                               </v>
      </c>
      <c r="DA251" s="174" t="str">
        <f t="shared" si="435"/>
        <v>NG</v>
      </c>
      <c r="DB251" s="162"/>
      <c r="DC251" s="276" t="str">
        <f>IF(OR(CY$8="判定対象外",DB$8="判定対象外",DB251="-"),"-",IF(CY251=DB251,"OK","NG"))</f>
        <v>OK</v>
      </c>
      <c r="DD251" s="160"/>
      <c r="DE251" s="162"/>
      <c r="DF251" s="204" t="str">
        <f t="shared" si="454"/>
        <v xml:space="preserve">                                                                                                                                                                                                                                                               </v>
      </c>
      <c r="DG251" s="174" t="str">
        <f t="shared" si="436"/>
        <v>NG</v>
      </c>
      <c r="DH251" s="162"/>
      <c r="DI251" s="276" t="str">
        <f>IF(OR(DE$8="判定対象外",DH$8="判定対象外",DH251="-"),"-",IF(DE251=DH251,"OK","NG"))</f>
        <v>OK</v>
      </c>
      <c r="DJ251" s="160"/>
      <c r="DK251" s="162"/>
      <c r="DL251" s="204" t="str">
        <f t="shared" si="455"/>
        <v xml:space="preserve">                                                                                                                                                                                                                                                               </v>
      </c>
      <c r="DM251" s="174" t="str">
        <f t="shared" si="437"/>
        <v>NG</v>
      </c>
      <c r="DN251" s="162"/>
      <c r="DO251" s="276" t="str">
        <f>IF(OR(DK$8="判定対象外",DN$8="判定対象外",DN251="-"),"-",IF(DK251=DN251,"OK","NG"))</f>
        <v>OK</v>
      </c>
      <c r="DP251" s="160"/>
      <c r="DQ251" s="162"/>
      <c r="DR251" s="204" t="str">
        <f t="shared" si="456"/>
        <v xml:space="preserve">                                                                                                                                                                                                                                                               </v>
      </c>
      <c r="DS251" s="174" t="str">
        <f t="shared" si="473"/>
        <v>NG</v>
      </c>
      <c r="DT251" s="162"/>
      <c r="DU251" s="276" t="str">
        <f>IF(OR(DQ$8="判定対象外",DT$8="判定対象外",DT251="-"),"-",IF(DQ251=DT251,"OK","NG"))</f>
        <v>OK</v>
      </c>
      <c r="DV251" s="160"/>
      <c r="DW251" s="162"/>
      <c r="DX251" s="204" t="str">
        <f t="shared" si="457"/>
        <v xml:space="preserve">                                                                                                                                                                                                                                                               </v>
      </c>
      <c r="DY251" s="174" t="str">
        <f t="shared" si="474"/>
        <v>NG</v>
      </c>
      <c r="DZ251" s="162"/>
      <c r="EA251" s="276" t="str">
        <f>IF(OR(DW$8="判定対象外",DZ$8="判定対象外",DZ251="-"),"-",IF(DW251=DZ251,"OK","NG"))</f>
        <v>OK</v>
      </c>
      <c r="EB251" s="160"/>
      <c r="EC251" s="162"/>
      <c r="ED251" s="204" t="str">
        <f t="shared" si="458"/>
        <v xml:space="preserve">                                                                                                                                                                                                                                                               </v>
      </c>
      <c r="EE251" s="174" t="str">
        <f t="shared" si="475"/>
        <v>NG</v>
      </c>
      <c r="EF251" s="162"/>
      <c r="EG251" s="276" t="str">
        <f>IF(OR(EC$8="判定対象外",EF$8="判定対象外",EF251="-"),"-",IF(EC251=EF251,"OK","NG"))</f>
        <v>OK</v>
      </c>
      <c r="EH251" s="160"/>
      <c r="EI251" s="162"/>
      <c r="EJ251" s="204" t="str">
        <f t="shared" si="459"/>
        <v xml:space="preserve">                                                                                                                                                                                                                                                               </v>
      </c>
      <c r="EK251" s="174" t="str">
        <f t="shared" si="476"/>
        <v>NG</v>
      </c>
      <c r="EL251" s="162"/>
      <c r="EM251" s="276" t="str">
        <f>IF(OR(EI$8="判定対象外",EL$8="判定対象外",EL251="-"),"-",IF(EI251=EL251,"OK","NG"))</f>
        <v>OK</v>
      </c>
      <c r="EN251" s="160"/>
      <c r="EO251" s="162"/>
      <c r="EP251" s="204" t="str">
        <f t="shared" si="460"/>
        <v xml:space="preserve">                                                                                                                                                                                                                                                               </v>
      </c>
      <c r="EQ251" s="174" t="str">
        <f t="shared" si="477"/>
        <v>NG</v>
      </c>
      <c r="ER251" s="162"/>
      <c r="ES251" s="276" t="str">
        <f>IF(OR(EO$8="判定対象外",ER$8="判定対象外",ER251="-"),"-",IF(EO251=ER251,"OK","NG"))</f>
        <v>OK</v>
      </c>
      <c r="ET251" s="160"/>
      <c r="EU251" s="162"/>
      <c r="EV251" s="204" t="str">
        <f t="shared" si="461"/>
        <v xml:space="preserve">                                                                                                                                                                                                                                                               </v>
      </c>
      <c r="EW251" s="174" t="str">
        <f t="shared" si="478"/>
        <v>NG</v>
      </c>
      <c r="EX251" s="162"/>
      <c r="EY251" s="276" t="str">
        <f>IF(OR(EU$8="判定対象外",EX$8="判定対象外",EX251="-"),"-",IF(EU251=EX251,"OK","NG"))</f>
        <v>OK</v>
      </c>
      <c r="EZ251" s="160"/>
      <c r="FA251" s="162"/>
      <c r="FB251" s="204" t="str">
        <f t="shared" si="462"/>
        <v xml:space="preserve">                                                                                                                                                                                                                                                               </v>
      </c>
      <c r="FC251" s="174" t="str">
        <f t="shared" si="479"/>
        <v>NG</v>
      </c>
      <c r="FD251" s="162"/>
      <c r="FE251" s="276" t="str">
        <f>IF(OR(FA$8="判定対象外",FD$8="判定対象外",FD251="-"),"-",IF(FA251=FD251,"OK","NG"))</f>
        <v>OK</v>
      </c>
      <c r="FF251" s="160"/>
      <c r="FG251" s="162"/>
      <c r="FH251" s="204" t="str">
        <f t="shared" si="463"/>
        <v xml:space="preserve">                                                                                                                                                                                                                                                               </v>
      </c>
      <c r="FI251" s="174" t="str">
        <f t="shared" si="480"/>
        <v>NG</v>
      </c>
      <c r="FJ251" s="162"/>
      <c r="FK251" s="276" t="str">
        <f>IF(OR(FG$8="判定対象外",FJ$8="判定対象外",FJ251="-"),"-",IF(FG251=FJ251,"OK","NG"))</f>
        <v>OK</v>
      </c>
      <c r="FL251" s="160"/>
      <c r="FM251" s="162"/>
      <c r="FN251" s="204" t="str">
        <f t="shared" si="464"/>
        <v xml:space="preserve">                                                                                                                                                                                                                                                               </v>
      </c>
      <c r="FO251" s="174" t="str">
        <f t="shared" si="438"/>
        <v>NG</v>
      </c>
      <c r="FP251" s="162"/>
      <c r="FQ251" s="276" t="str">
        <f>IF(OR(FM$8="判定対象外",FP$8="判定対象外",FP251="-"),"-",IF(FM251=FP251,"OK","NG"))</f>
        <v>OK</v>
      </c>
      <c r="FR251" s="160"/>
      <c r="FS251" s="162"/>
      <c r="FT251" s="204" t="str">
        <f t="shared" si="465"/>
        <v xml:space="preserve">                                                                                                                                                                                                                                                               </v>
      </c>
      <c r="FU251" s="174" t="str">
        <f t="shared" si="439"/>
        <v>NG</v>
      </c>
      <c r="FV251" s="162"/>
      <c r="FW251" s="276" t="str">
        <f>IF(OR(FS$8="判定対象外",FV$8="判定対象外",FV251="-"),"-",IF(FS251=FV251,"OK","NG"))</f>
        <v>OK</v>
      </c>
      <c r="FX251" s="160"/>
      <c r="FY251" s="162"/>
      <c r="FZ251" s="204" t="str">
        <f t="shared" si="466"/>
        <v xml:space="preserve">                                                                                                                                                                                                                                                               </v>
      </c>
      <c r="GA251" s="174" t="str">
        <f t="shared" si="440"/>
        <v>NG</v>
      </c>
      <c r="GB251" s="162"/>
      <c r="GC251" s="276" t="str">
        <f>IF(OR(FY$8="判定対象外",GB$8="判定対象外",GB251="-"),"-",IF(FY251=GB251,"OK","NG"))</f>
        <v>OK</v>
      </c>
    </row>
    <row r="252" spans="1:185" s="52" customFormat="1">
      <c r="B252" s="53">
        <f t="shared" si="467"/>
        <v>245</v>
      </c>
      <c r="C252" s="37"/>
      <c r="D252" s="37"/>
      <c r="E252" s="37"/>
      <c r="F252" s="54" t="s">
        <v>325</v>
      </c>
      <c r="G252" s="54"/>
      <c r="H252" s="55"/>
      <c r="I252" s="57"/>
      <c r="J252" s="57"/>
      <c r="K252" s="57"/>
      <c r="L252" s="57"/>
      <c r="M252" s="58" t="s">
        <v>326</v>
      </c>
      <c r="N252" s="62"/>
      <c r="O252" s="150"/>
      <c r="P252" s="45">
        <f t="shared" si="481"/>
        <v>221</v>
      </c>
      <c r="Q252" s="60">
        <v>256</v>
      </c>
      <c r="R252" s="41" t="str">
        <f t="shared" si="472"/>
        <v>NX</v>
      </c>
      <c r="S252" s="185" t="s">
        <v>196</v>
      </c>
      <c r="T252" s="43"/>
      <c r="U252" s="41" t="s">
        <v>80</v>
      </c>
      <c r="V252" s="44"/>
      <c r="W252" s="61">
        <v>3</v>
      </c>
      <c r="X252" s="62" t="s">
        <v>197</v>
      </c>
      <c r="Y252" s="62">
        <v>1</v>
      </c>
      <c r="Z252" s="62">
        <v>256</v>
      </c>
      <c r="AA252" s="57" t="s">
        <v>101</v>
      </c>
      <c r="AB252" s="57" t="s">
        <v>80</v>
      </c>
      <c r="AC252" s="214"/>
      <c r="AD252" s="160"/>
      <c r="AE252" s="141"/>
      <c r="AF252" s="203" t="str">
        <f t="shared" si="442"/>
        <v xml:space="preserve">                                                                                                                                                                                                                                                                </v>
      </c>
      <c r="AG252" s="174" t="str">
        <f t="shared" si="424"/>
        <v>NG</v>
      </c>
      <c r="AH252" s="141"/>
      <c r="AI252" s="172" t="s">
        <v>71</v>
      </c>
      <c r="AJ252" s="160"/>
      <c r="AK252" s="141"/>
      <c r="AL252" s="203" t="str">
        <f t="shared" si="441"/>
        <v xml:space="preserve">                                                                                                                                                                                                                                                                </v>
      </c>
      <c r="AM252" s="174" t="str">
        <f t="shared" si="468"/>
        <v>NG</v>
      </c>
      <c r="AN252" s="141"/>
      <c r="AO252" s="172" t="s">
        <v>71</v>
      </c>
      <c r="AP252" s="160"/>
      <c r="AQ252" s="141"/>
      <c r="AR252" s="203" t="str">
        <f t="shared" si="443"/>
        <v xml:space="preserve">                                                                                                                                                                                                                                                                </v>
      </c>
      <c r="AS252" s="174" t="str">
        <f t="shared" si="425"/>
        <v>NG</v>
      </c>
      <c r="AT252" s="141"/>
      <c r="AU252" s="172" t="s">
        <v>71</v>
      </c>
      <c r="AV252" s="160"/>
      <c r="AW252" s="141"/>
      <c r="AX252" s="203" t="str">
        <f t="shared" si="444"/>
        <v xml:space="preserve">                                                                                                                                                                                                                                                                </v>
      </c>
      <c r="AY252" s="174" t="str">
        <f t="shared" si="426"/>
        <v>NG</v>
      </c>
      <c r="AZ252" s="141"/>
      <c r="BA252" s="172" t="s">
        <v>71</v>
      </c>
      <c r="BB252" s="160"/>
      <c r="BC252" s="141"/>
      <c r="BD252" s="203" t="str">
        <f t="shared" si="445"/>
        <v xml:space="preserve">                                                                                                                                                                                                                                                                </v>
      </c>
      <c r="BE252" s="174" t="str">
        <f t="shared" si="427"/>
        <v>NG</v>
      </c>
      <c r="BF252" s="141"/>
      <c r="BG252" s="172" t="s">
        <v>71</v>
      </c>
      <c r="BH252" s="160"/>
      <c r="BI252" s="141"/>
      <c r="BJ252" s="203" t="str">
        <f t="shared" si="446"/>
        <v xml:space="preserve">                                                                                                                                                                                                                                                                </v>
      </c>
      <c r="BK252" s="174" t="str">
        <f t="shared" si="428"/>
        <v>NG</v>
      </c>
      <c r="BL252" s="141"/>
      <c r="BM252" s="172" t="s">
        <v>71</v>
      </c>
      <c r="BN252" s="160"/>
      <c r="BO252" s="141"/>
      <c r="BP252" s="203" t="str">
        <f t="shared" si="447"/>
        <v xml:space="preserve">                                                                                                                                                                                                                                                                </v>
      </c>
      <c r="BQ252" s="174" t="str">
        <f t="shared" si="429"/>
        <v>NG</v>
      </c>
      <c r="BR252" s="141"/>
      <c r="BS252" s="172" t="s">
        <v>71</v>
      </c>
      <c r="BT252" s="160"/>
      <c r="BU252" s="141"/>
      <c r="BV252" s="203" t="str">
        <f t="shared" si="448"/>
        <v xml:space="preserve">                                                                                                                                                                                                                                                                </v>
      </c>
      <c r="BW252" s="174" t="str">
        <f t="shared" si="430"/>
        <v>NG</v>
      </c>
      <c r="BX252" s="141"/>
      <c r="BY252" s="172" t="s">
        <v>71</v>
      </c>
      <c r="BZ252" s="160"/>
      <c r="CA252" s="141"/>
      <c r="CB252" s="203" t="str">
        <f t="shared" si="449"/>
        <v xml:space="preserve">                                                                                                                                                                                                                                                                </v>
      </c>
      <c r="CC252" s="174" t="str">
        <f t="shared" si="431"/>
        <v>NG</v>
      </c>
      <c r="CD252" s="141"/>
      <c r="CE252" s="172" t="s">
        <v>71</v>
      </c>
      <c r="CF252" s="160"/>
      <c r="CG252" s="141"/>
      <c r="CH252" s="203" t="str">
        <f t="shared" si="450"/>
        <v xml:space="preserve">                                                                                                                                                                                                                                                                </v>
      </c>
      <c r="CI252" s="174" t="str">
        <f t="shared" si="432"/>
        <v>NG</v>
      </c>
      <c r="CJ252" s="141"/>
      <c r="CK252" s="172" t="s">
        <v>71</v>
      </c>
      <c r="CL252" s="160"/>
      <c r="CM252" s="141"/>
      <c r="CN252" s="203" t="str">
        <f t="shared" si="451"/>
        <v xml:space="preserve">                                                                                                                                                                                                                                                                </v>
      </c>
      <c r="CO252" s="174" t="str">
        <f t="shared" si="433"/>
        <v>NG</v>
      </c>
      <c r="CP252" s="141"/>
      <c r="CQ252" s="172" t="s">
        <v>71</v>
      </c>
      <c r="CR252" s="160"/>
      <c r="CS252" s="141"/>
      <c r="CT252" s="203" t="str">
        <f t="shared" si="452"/>
        <v xml:space="preserve">                                                                                                                                                                                                                                                                </v>
      </c>
      <c r="CU252" s="174" t="str">
        <f t="shared" si="434"/>
        <v>NG</v>
      </c>
      <c r="CV252" s="141"/>
      <c r="CW252" s="172" t="s">
        <v>71</v>
      </c>
      <c r="CX252" s="160"/>
      <c r="CY252" s="141"/>
      <c r="CZ252" s="203" t="str">
        <f t="shared" si="453"/>
        <v xml:space="preserve">                                                                                                                                                                                                                                                                </v>
      </c>
      <c r="DA252" s="174" t="str">
        <f t="shared" si="435"/>
        <v>NG</v>
      </c>
      <c r="DB252" s="141"/>
      <c r="DC252" s="172" t="s">
        <v>71</v>
      </c>
      <c r="DD252" s="160"/>
      <c r="DE252" s="141"/>
      <c r="DF252" s="203" t="str">
        <f t="shared" si="454"/>
        <v xml:space="preserve">                                                                                                                                                                                                                                                                </v>
      </c>
      <c r="DG252" s="174" t="str">
        <f t="shared" si="436"/>
        <v>NG</v>
      </c>
      <c r="DH252" s="141"/>
      <c r="DI252" s="172" t="s">
        <v>71</v>
      </c>
      <c r="DJ252" s="160"/>
      <c r="DK252" s="141"/>
      <c r="DL252" s="203" t="str">
        <f t="shared" si="455"/>
        <v xml:space="preserve">                                                                                                                                                                                                                                                                </v>
      </c>
      <c r="DM252" s="174" t="str">
        <f t="shared" si="437"/>
        <v>NG</v>
      </c>
      <c r="DN252" s="141"/>
      <c r="DO252" s="172" t="s">
        <v>71</v>
      </c>
      <c r="DP252" s="160"/>
      <c r="DQ252" s="141"/>
      <c r="DR252" s="203" t="str">
        <f t="shared" si="456"/>
        <v xml:space="preserve">                                                                                                                                                                                                                                                                </v>
      </c>
      <c r="DS252" s="174" t="str">
        <f t="shared" si="473"/>
        <v>NG</v>
      </c>
      <c r="DT252" s="141"/>
      <c r="DU252" s="172" t="s">
        <v>71</v>
      </c>
      <c r="DV252" s="160"/>
      <c r="DW252" s="141"/>
      <c r="DX252" s="203" t="str">
        <f t="shared" si="457"/>
        <v xml:space="preserve">                                                                                                                                                                                                                                                                </v>
      </c>
      <c r="DY252" s="174" t="str">
        <f t="shared" si="474"/>
        <v>NG</v>
      </c>
      <c r="DZ252" s="141"/>
      <c r="EA252" s="172" t="s">
        <v>71</v>
      </c>
      <c r="EB252" s="160"/>
      <c r="EC252" s="141"/>
      <c r="ED252" s="203" t="str">
        <f t="shared" si="458"/>
        <v xml:space="preserve">                                                                                                                                                                                                                                                                </v>
      </c>
      <c r="EE252" s="174" t="str">
        <f t="shared" si="475"/>
        <v>NG</v>
      </c>
      <c r="EF252" s="141"/>
      <c r="EG252" s="172" t="s">
        <v>71</v>
      </c>
      <c r="EH252" s="160"/>
      <c r="EI252" s="141"/>
      <c r="EJ252" s="203" t="str">
        <f t="shared" si="459"/>
        <v xml:space="preserve">                                                                                                                                                                                                                                                                </v>
      </c>
      <c r="EK252" s="174" t="str">
        <f t="shared" si="476"/>
        <v>NG</v>
      </c>
      <c r="EL252" s="141"/>
      <c r="EM252" s="172" t="s">
        <v>71</v>
      </c>
      <c r="EN252" s="160"/>
      <c r="EO252" s="141"/>
      <c r="EP252" s="203" t="str">
        <f t="shared" si="460"/>
        <v xml:space="preserve">                                                                                                                                                                                                                                                                </v>
      </c>
      <c r="EQ252" s="174" t="str">
        <f t="shared" si="477"/>
        <v>NG</v>
      </c>
      <c r="ER252" s="141"/>
      <c r="ES252" s="172" t="s">
        <v>71</v>
      </c>
      <c r="ET252" s="160"/>
      <c r="EU252" s="141"/>
      <c r="EV252" s="203" t="str">
        <f t="shared" si="461"/>
        <v xml:space="preserve">                                                                                                                                                                                                                                                                </v>
      </c>
      <c r="EW252" s="174" t="str">
        <f t="shared" si="478"/>
        <v>NG</v>
      </c>
      <c r="EX252" s="141"/>
      <c r="EY252" s="172" t="s">
        <v>71</v>
      </c>
      <c r="EZ252" s="160"/>
      <c r="FA252" s="141"/>
      <c r="FB252" s="203" t="str">
        <f t="shared" si="462"/>
        <v xml:space="preserve">                                                                                                                                                                                                                                                                </v>
      </c>
      <c r="FC252" s="174" t="str">
        <f t="shared" si="479"/>
        <v>NG</v>
      </c>
      <c r="FD252" s="141"/>
      <c r="FE252" s="172" t="s">
        <v>71</v>
      </c>
      <c r="FF252" s="160"/>
      <c r="FG252" s="141"/>
      <c r="FH252" s="203" t="str">
        <f t="shared" si="463"/>
        <v xml:space="preserve">                                                                                                                                                                                                                                                                </v>
      </c>
      <c r="FI252" s="174" t="str">
        <f t="shared" si="480"/>
        <v>NG</v>
      </c>
      <c r="FJ252" s="141"/>
      <c r="FK252" s="172" t="s">
        <v>71</v>
      </c>
      <c r="FL252" s="160"/>
      <c r="FM252" s="141"/>
      <c r="FN252" s="203" t="str">
        <f t="shared" si="464"/>
        <v xml:space="preserve">                                                                                                                                                                                                                                                                </v>
      </c>
      <c r="FO252" s="174" t="str">
        <f t="shared" si="438"/>
        <v>NG</v>
      </c>
      <c r="FP252" s="141"/>
      <c r="FQ252" s="172" t="s">
        <v>71</v>
      </c>
      <c r="FR252" s="160"/>
      <c r="FS252" s="141"/>
      <c r="FT252" s="203" t="str">
        <f t="shared" si="465"/>
        <v xml:space="preserve">                                                                                                                                                                                                                                                                </v>
      </c>
      <c r="FU252" s="174" t="str">
        <f t="shared" si="439"/>
        <v>NG</v>
      </c>
      <c r="FV252" s="141"/>
      <c r="FW252" s="172" t="s">
        <v>71</v>
      </c>
      <c r="FX252" s="160"/>
      <c r="FY252" s="141"/>
      <c r="FZ252" s="203" t="str">
        <f t="shared" si="466"/>
        <v xml:space="preserve">                                                                                                                                                                                                                                                                </v>
      </c>
      <c r="GA252" s="174" t="str">
        <f t="shared" si="440"/>
        <v>NG</v>
      </c>
      <c r="GB252" s="141"/>
      <c r="GC252" s="172" t="s">
        <v>71</v>
      </c>
    </row>
    <row r="253" spans="1:185" s="52" customFormat="1" ht="63.75">
      <c r="B253" s="48">
        <f t="shared" si="467"/>
        <v>246</v>
      </c>
      <c r="C253" s="37"/>
      <c r="D253" s="37"/>
      <c r="E253" s="37"/>
      <c r="F253" s="49" t="s">
        <v>198</v>
      </c>
      <c r="G253" s="39"/>
      <c r="H253" s="40"/>
      <c r="I253" s="42"/>
      <c r="J253" s="42"/>
      <c r="K253" s="42"/>
      <c r="L253" s="42"/>
      <c r="M253" s="63" t="s">
        <v>327</v>
      </c>
      <c r="N253" s="47"/>
      <c r="O253" s="143"/>
      <c r="P253" s="45">
        <f t="shared" si="481"/>
        <v>222</v>
      </c>
      <c r="Q253" s="46">
        <v>256</v>
      </c>
      <c r="R253" s="41" t="str">
        <f t="shared" si="472"/>
        <v>NX</v>
      </c>
      <c r="S253" s="185" t="s">
        <v>199</v>
      </c>
      <c r="T253" s="43"/>
      <c r="U253" s="41" t="s">
        <v>80</v>
      </c>
      <c r="V253" s="44"/>
      <c r="W253" s="22">
        <v>3</v>
      </c>
      <c r="X253" s="47" t="s">
        <v>200</v>
      </c>
      <c r="Y253" s="47">
        <v>1</v>
      </c>
      <c r="Z253" s="47">
        <v>256</v>
      </c>
      <c r="AA253" s="42" t="s">
        <v>195</v>
      </c>
      <c r="AB253" s="42" t="s">
        <v>80</v>
      </c>
      <c r="AC253" s="166"/>
      <c r="AD253" s="160"/>
      <c r="AE253" s="162"/>
      <c r="AF253" s="167" t="str">
        <f t="shared" si="442"/>
        <v xml:space="preserve">                                                                                                                                                                                                                                                                </v>
      </c>
      <c r="AG253" s="174" t="str">
        <f t="shared" si="424"/>
        <v>NG</v>
      </c>
      <c r="AH253" s="162"/>
      <c r="AI253" s="172" t="s">
        <v>71</v>
      </c>
      <c r="AJ253" s="160"/>
      <c r="AK253" s="162"/>
      <c r="AL253" s="167" t="str">
        <f t="shared" si="441"/>
        <v xml:space="preserve">                                                                                                                                                                                                                                                                </v>
      </c>
      <c r="AM253" s="174" t="str">
        <f t="shared" si="468"/>
        <v>NG</v>
      </c>
      <c r="AN253" s="162"/>
      <c r="AO253" s="172" t="s">
        <v>71</v>
      </c>
      <c r="AP253" s="160"/>
      <c r="AQ253" s="162"/>
      <c r="AR253" s="167" t="str">
        <f t="shared" si="443"/>
        <v xml:space="preserve">                                                                                                                                                                                                                                                                </v>
      </c>
      <c r="AS253" s="174" t="str">
        <f t="shared" si="425"/>
        <v>NG</v>
      </c>
      <c r="AT253" s="162"/>
      <c r="AU253" s="172" t="s">
        <v>71</v>
      </c>
      <c r="AV253" s="160"/>
      <c r="AW253" s="162"/>
      <c r="AX253" s="167" t="str">
        <f t="shared" si="444"/>
        <v xml:space="preserve">                                                                                                                                                                                                                                                                </v>
      </c>
      <c r="AY253" s="174" t="str">
        <f t="shared" si="426"/>
        <v>NG</v>
      </c>
      <c r="AZ253" s="162"/>
      <c r="BA253" s="172" t="s">
        <v>71</v>
      </c>
      <c r="BB253" s="160"/>
      <c r="BC253" s="162"/>
      <c r="BD253" s="167" t="str">
        <f t="shared" si="445"/>
        <v xml:space="preserve">                                                                                                                                                                                                                                                                </v>
      </c>
      <c r="BE253" s="174" t="str">
        <f t="shared" si="427"/>
        <v>NG</v>
      </c>
      <c r="BF253" s="162"/>
      <c r="BG253" s="172" t="s">
        <v>71</v>
      </c>
      <c r="BH253" s="160"/>
      <c r="BI253" s="162"/>
      <c r="BJ253" s="167" t="str">
        <f t="shared" si="446"/>
        <v xml:space="preserve">                                                                                                                                                                                                                                                                </v>
      </c>
      <c r="BK253" s="174" t="str">
        <f t="shared" si="428"/>
        <v>NG</v>
      </c>
      <c r="BL253" s="162"/>
      <c r="BM253" s="172" t="s">
        <v>71</v>
      </c>
      <c r="BN253" s="160"/>
      <c r="BO253" s="162"/>
      <c r="BP253" s="167" t="str">
        <f t="shared" si="447"/>
        <v xml:space="preserve">                                                                                                                                                                                                                                                                </v>
      </c>
      <c r="BQ253" s="174" t="str">
        <f t="shared" si="429"/>
        <v>NG</v>
      </c>
      <c r="BR253" s="162"/>
      <c r="BS253" s="172" t="s">
        <v>71</v>
      </c>
      <c r="BT253" s="160"/>
      <c r="BU253" s="162"/>
      <c r="BV253" s="167" t="str">
        <f t="shared" si="448"/>
        <v xml:space="preserve">                                                                                                                                                                                                                                                                </v>
      </c>
      <c r="BW253" s="174" t="str">
        <f t="shared" si="430"/>
        <v>NG</v>
      </c>
      <c r="BX253" s="162"/>
      <c r="BY253" s="172" t="s">
        <v>71</v>
      </c>
      <c r="BZ253" s="160"/>
      <c r="CA253" s="162"/>
      <c r="CB253" s="167" t="str">
        <f t="shared" si="449"/>
        <v xml:space="preserve">                                                                                                                                                                                                                                                                </v>
      </c>
      <c r="CC253" s="174" t="str">
        <f t="shared" si="431"/>
        <v>NG</v>
      </c>
      <c r="CD253" s="162"/>
      <c r="CE253" s="172" t="s">
        <v>71</v>
      </c>
      <c r="CF253" s="160"/>
      <c r="CG253" s="162"/>
      <c r="CH253" s="167" t="str">
        <f t="shared" si="450"/>
        <v xml:space="preserve">                                                                                                                                                                                                                                                                </v>
      </c>
      <c r="CI253" s="174" t="str">
        <f t="shared" si="432"/>
        <v>NG</v>
      </c>
      <c r="CJ253" s="162"/>
      <c r="CK253" s="172" t="s">
        <v>71</v>
      </c>
      <c r="CL253" s="160"/>
      <c r="CM253" s="162"/>
      <c r="CN253" s="167" t="str">
        <f t="shared" si="451"/>
        <v xml:space="preserve">                                                                                                                                                                                                                                                                </v>
      </c>
      <c r="CO253" s="174" t="str">
        <f t="shared" si="433"/>
        <v>NG</v>
      </c>
      <c r="CP253" s="162"/>
      <c r="CQ253" s="172" t="s">
        <v>71</v>
      </c>
      <c r="CR253" s="160"/>
      <c r="CS253" s="162"/>
      <c r="CT253" s="167" t="str">
        <f t="shared" si="452"/>
        <v xml:space="preserve">                                                                                                                                                                                                                                                                </v>
      </c>
      <c r="CU253" s="174" t="str">
        <f t="shared" si="434"/>
        <v>NG</v>
      </c>
      <c r="CV253" s="162"/>
      <c r="CW253" s="172" t="s">
        <v>71</v>
      </c>
      <c r="CX253" s="160"/>
      <c r="CY253" s="162"/>
      <c r="CZ253" s="167" t="str">
        <f t="shared" si="453"/>
        <v xml:space="preserve">                                                                                                                                                                                                                                                                </v>
      </c>
      <c r="DA253" s="174" t="str">
        <f t="shared" si="435"/>
        <v>NG</v>
      </c>
      <c r="DB253" s="162"/>
      <c r="DC253" s="172" t="s">
        <v>71</v>
      </c>
      <c r="DD253" s="160"/>
      <c r="DE253" s="162"/>
      <c r="DF253" s="167" t="str">
        <f t="shared" si="454"/>
        <v xml:space="preserve">                                                                                                                                                                                                                                                                </v>
      </c>
      <c r="DG253" s="174" t="str">
        <f t="shared" si="436"/>
        <v>NG</v>
      </c>
      <c r="DH253" s="162"/>
      <c r="DI253" s="172" t="s">
        <v>71</v>
      </c>
      <c r="DJ253" s="160"/>
      <c r="DK253" s="162"/>
      <c r="DL253" s="167" t="str">
        <f t="shared" si="455"/>
        <v xml:space="preserve">                                                                                                                                                                                                                                                                </v>
      </c>
      <c r="DM253" s="174" t="str">
        <f t="shared" si="437"/>
        <v>NG</v>
      </c>
      <c r="DN253" s="162"/>
      <c r="DO253" s="172" t="s">
        <v>71</v>
      </c>
      <c r="DP253" s="160"/>
      <c r="DQ253" s="162"/>
      <c r="DR253" s="167" t="str">
        <f t="shared" si="456"/>
        <v xml:space="preserve">                                                                                                                                                                                                                                                                </v>
      </c>
      <c r="DS253" s="174" t="str">
        <f t="shared" si="473"/>
        <v>NG</v>
      </c>
      <c r="DT253" s="162"/>
      <c r="DU253" s="172" t="s">
        <v>71</v>
      </c>
      <c r="DV253" s="160"/>
      <c r="DW253" s="162"/>
      <c r="DX253" s="167" t="str">
        <f t="shared" si="457"/>
        <v xml:space="preserve">                                                                                                                                                                                                                                                                </v>
      </c>
      <c r="DY253" s="174" t="str">
        <f t="shared" si="474"/>
        <v>NG</v>
      </c>
      <c r="DZ253" s="162"/>
      <c r="EA253" s="172" t="s">
        <v>71</v>
      </c>
      <c r="EB253" s="160"/>
      <c r="EC253" s="162"/>
      <c r="ED253" s="167" t="str">
        <f t="shared" si="458"/>
        <v xml:space="preserve">                                                                                                                                                                                                                                                                </v>
      </c>
      <c r="EE253" s="174" t="str">
        <f t="shared" si="475"/>
        <v>NG</v>
      </c>
      <c r="EF253" s="162"/>
      <c r="EG253" s="172" t="s">
        <v>71</v>
      </c>
      <c r="EH253" s="160"/>
      <c r="EI253" s="162"/>
      <c r="EJ253" s="167" t="str">
        <f t="shared" si="459"/>
        <v xml:space="preserve">                                                                                                                                                                                                                                                                </v>
      </c>
      <c r="EK253" s="174" t="str">
        <f t="shared" si="476"/>
        <v>NG</v>
      </c>
      <c r="EL253" s="162"/>
      <c r="EM253" s="172" t="s">
        <v>71</v>
      </c>
      <c r="EN253" s="160"/>
      <c r="EO253" s="162"/>
      <c r="EP253" s="167" t="str">
        <f t="shared" si="460"/>
        <v xml:space="preserve">                                                                                                                                                                                                                                                                </v>
      </c>
      <c r="EQ253" s="174" t="str">
        <f t="shared" si="477"/>
        <v>NG</v>
      </c>
      <c r="ER253" s="162"/>
      <c r="ES253" s="172" t="s">
        <v>71</v>
      </c>
      <c r="ET253" s="160"/>
      <c r="EU253" s="162"/>
      <c r="EV253" s="167" t="str">
        <f t="shared" si="461"/>
        <v xml:space="preserve">                                                                                                                                                                                                                                                                </v>
      </c>
      <c r="EW253" s="174" t="str">
        <f t="shared" si="478"/>
        <v>NG</v>
      </c>
      <c r="EX253" s="162"/>
      <c r="EY253" s="172" t="s">
        <v>71</v>
      </c>
      <c r="EZ253" s="160"/>
      <c r="FA253" s="162"/>
      <c r="FB253" s="167" t="str">
        <f t="shared" si="462"/>
        <v xml:space="preserve">                                                                                                                                                                                                                                                                </v>
      </c>
      <c r="FC253" s="174" t="str">
        <f t="shared" si="479"/>
        <v>NG</v>
      </c>
      <c r="FD253" s="162"/>
      <c r="FE253" s="172" t="s">
        <v>71</v>
      </c>
      <c r="FF253" s="160"/>
      <c r="FG253" s="162"/>
      <c r="FH253" s="167" t="str">
        <f t="shared" si="463"/>
        <v xml:space="preserve">                                                                                                                                                                                                                                                                </v>
      </c>
      <c r="FI253" s="174" t="str">
        <f t="shared" si="480"/>
        <v>NG</v>
      </c>
      <c r="FJ253" s="162"/>
      <c r="FK253" s="172" t="s">
        <v>71</v>
      </c>
      <c r="FL253" s="160"/>
      <c r="FM253" s="162"/>
      <c r="FN253" s="167" t="str">
        <f t="shared" si="464"/>
        <v xml:space="preserve">                                                                                                                                                                                                                                                                </v>
      </c>
      <c r="FO253" s="174" t="str">
        <f t="shared" si="438"/>
        <v>NG</v>
      </c>
      <c r="FP253" s="162"/>
      <c r="FQ253" s="172" t="s">
        <v>71</v>
      </c>
      <c r="FR253" s="160"/>
      <c r="FS253" s="162"/>
      <c r="FT253" s="167" t="str">
        <f t="shared" si="465"/>
        <v xml:space="preserve">                                                                                                                                                                                                                                                                </v>
      </c>
      <c r="FU253" s="174" t="str">
        <f t="shared" si="439"/>
        <v>NG</v>
      </c>
      <c r="FV253" s="162"/>
      <c r="FW253" s="172" t="s">
        <v>71</v>
      </c>
      <c r="FX253" s="160"/>
      <c r="FY253" s="162"/>
      <c r="FZ253" s="167" t="str">
        <f t="shared" si="466"/>
        <v xml:space="preserve">                                                                                                                                                                                                                                                                </v>
      </c>
      <c r="GA253" s="174" t="str">
        <f t="shared" si="440"/>
        <v>NG</v>
      </c>
      <c r="GB253" s="162"/>
      <c r="GC253" s="172" t="s">
        <v>71</v>
      </c>
    </row>
    <row r="254" spans="1:185" s="52" customFormat="1" ht="63.75">
      <c r="B254" s="48">
        <f t="shared" si="467"/>
        <v>247</v>
      </c>
      <c r="C254" s="37"/>
      <c r="D254" s="37"/>
      <c r="E254" s="37"/>
      <c r="F254" s="49" t="s">
        <v>201</v>
      </c>
      <c r="G254" s="39"/>
      <c r="H254" s="40"/>
      <c r="I254" s="42"/>
      <c r="J254" s="42"/>
      <c r="K254" s="42"/>
      <c r="L254" s="42"/>
      <c r="M254" s="63" t="s">
        <v>328</v>
      </c>
      <c r="N254" s="47"/>
      <c r="O254" s="143"/>
      <c r="P254" s="45">
        <f t="shared" si="481"/>
        <v>223</v>
      </c>
      <c r="Q254" s="46">
        <v>256</v>
      </c>
      <c r="R254" s="41" t="str">
        <f t="shared" si="472"/>
        <v>NX</v>
      </c>
      <c r="S254" s="185" t="s">
        <v>202</v>
      </c>
      <c r="T254" s="43"/>
      <c r="U254" s="41" t="s">
        <v>80</v>
      </c>
      <c r="V254" s="44"/>
      <c r="W254" s="22">
        <v>3</v>
      </c>
      <c r="X254" s="47" t="s">
        <v>203</v>
      </c>
      <c r="Y254" s="47">
        <v>1</v>
      </c>
      <c r="Z254" s="47">
        <v>256</v>
      </c>
      <c r="AA254" s="42" t="s">
        <v>195</v>
      </c>
      <c r="AB254" s="42" t="s">
        <v>80</v>
      </c>
      <c r="AC254" s="166"/>
      <c r="AD254" s="160"/>
      <c r="AE254" s="162"/>
      <c r="AF254" s="167" t="str">
        <f t="shared" si="442"/>
        <v xml:space="preserve">                                                                                                                                                                                                                                                                </v>
      </c>
      <c r="AG254" s="174" t="str">
        <f t="shared" si="424"/>
        <v>NG</v>
      </c>
      <c r="AH254" s="162"/>
      <c r="AI254" s="172" t="s">
        <v>71</v>
      </c>
      <c r="AJ254" s="160"/>
      <c r="AK254" s="162"/>
      <c r="AL254" s="167" t="str">
        <f t="shared" si="441"/>
        <v xml:space="preserve">                                                                                                                                                                                                                                                                </v>
      </c>
      <c r="AM254" s="174" t="str">
        <f t="shared" si="468"/>
        <v>NG</v>
      </c>
      <c r="AN254" s="162"/>
      <c r="AO254" s="172" t="s">
        <v>71</v>
      </c>
      <c r="AP254" s="160"/>
      <c r="AQ254" s="162"/>
      <c r="AR254" s="167" t="str">
        <f t="shared" si="443"/>
        <v xml:space="preserve">                                                                                                                                                                                                                                                                </v>
      </c>
      <c r="AS254" s="174" t="str">
        <f t="shared" si="425"/>
        <v>NG</v>
      </c>
      <c r="AT254" s="162"/>
      <c r="AU254" s="172" t="s">
        <v>71</v>
      </c>
      <c r="AV254" s="160"/>
      <c r="AW254" s="162"/>
      <c r="AX254" s="167" t="str">
        <f t="shared" si="444"/>
        <v xml:space="preserve">                                                                                                                                                                                                                                                                </v>
      </c>
      <c r="AY254" s="174" t="str">
        <f t="shared" si="426"/>
        <v>NG</v>
      </c>
      <c r="AZ254" s="162"/>
      <c r="BA254" s="172" t="s">
        <v>71</v>
      </c>
      <c r="BB254" s="160"/>
      <c r="BC254" s="162"/>
      <c r="BD254" s="167" t="str">
        <f t="shared" si="445"/>
        <v xml:space="preserve">                                                                                                                                                                                                                                                                </v>
      </c>
      <c r="BE254" s="174" t="str">
        <f t="shared" si="427"/>
        <v>NG</v>
      </c>
      <c r="BF254" s="162"/>
      <c r="BG254" s="172" t="s">
        <v>71</v>
      </c>
      <c r="BH254" s="160"/>
      <c r="BI254" s="162"/>
      <c r="BJ254" s="167" t="str">
        <f t="shared" si="446"/>
        <v xml:space="preserve">                                                                                                                                                                                                                                                                </v>
      </c>
      <c r="BK254" s="174" t="str">
        <f t="shared" si="428"/>
        <v>NG</v>
      </c>
      <c r="BL254" s="162"/>
      <c r="BM254" s="172" t="s">
        <v>71</v>
      </c>
      <c r="BN254" s="160"/>
      <c r="BO254" s="162"/>
      <c r="BP254" s="167" t="str">
        <f t="shared" si="447"/>
        <v xml:space="preserve">                                                                                                                                                                                                                                                                </v>
      </c>
      <c r="BQ254" s="174" t="str">
        <f t="shared" si="429"/>
        <v>NG</v>
      </c>
      <c r="BR254" s="162"/>
      <c r="BS254" s="172" t="s">
        <v>71</v>
      </c>
      <c r="BT254" s="160"/>
      <c r="BU254" s="162"/>
      <c r="BV254" s="167" t="str">
        <f t="shared" si="448"/>
        <v xml:space="preserve">                                                                                                                                                                                                                                                                </v>
      </c>
      <c r="BW254" s="174" t="str">
        <f t="shared" si="430"/>
        <v>NG</v>
      </c>
      <c r="BX254" s="162"/>
      <c r="BY254" s="172" t="s">
        <v>71</v>
      </c>
      <c r="BZ254" s="160"/>
      <c r="CA254" s="162"/>
      <c r="CB254" s="167" t="str">
        <f t="shared" si="449"/>
        <v xml:space="preserve">                                                                                                                                                                                                                                                                </v>
      </c>
      <c r="CC254" s="174" t="str">
        <f t="shared" si="431"/>
        <v>NG</v>
      </c>
      <c r="CD254" s="162"/>
      <c r="CE254" s="172" t="s">
        <v>71</v>
      </c>
      <c r="CF254" s="160"/>
      <c r="CG254" s="162"/>
      <c r="CH254" s="167" t="str">
        <f t="shared" si="450"/>
        <v xml:space="preserve">                                                                                                                                                                                                                                                                </v>
      </c>
      <c r="CI254" s="174" t="str">
        <f t="shared" si="432"/>
        <v>NG</v>
      </c>
      <c r="CJ254" s="162"/>
      <c r="CK254" s="172" t="s">
        <v>71</v>
      </c>
      <c r="CL254" s="160"/>
      <c r="CM254" s="162"/>
      <c r="CN254" s="167" t="str">
        <f t="shared" si="451"/>
        <v xml:space="preserve">                                                                                                                                                                                                                                                                </v>
      </c>
      <c r="CO254" s="174" t="str">
        <f t="shared" si="433"/>
        <v>NG</v>
      </c>
      <c r="CP254" s="162"/>
      <c r="CQ254" s="172" t="s">
        <v>71</v>
      </c>
      <c r="CR254" s="160"/>
      <c r="CS254" s="162"/>
      <c r="CT254" s="167" t="str">
        <f t="shared" si="452"/>
        <v xml:space="preserve">                                                                                                                                                                                                                                                                </v>
      </c>
      <c r="CU254" s="174" t="str">
        <f t="shared" si="434"/>
        <v>NG</v>
      </c>
      <c r="CV254" s="162"/>
      <c r="CW254" s="172" t="s">
        <v>71</v>
      </c>
      <c r="CX254" s="160"/>
      <c r="CY254" s="162"/>
      <c r="CZ254" s="167" t="str">
        <f t="shared" si="453"/>
        <v xml:space="preserve">                                                                                                                                                                                                                                                                </v>
      </c>
      <c r="DA254" s="174" t="str">
        <f t="shared" si="435"/>
        <v>NG</v>
      </c>
      <c r="DB254" s="162"/>
      <c r="DC254" s="172" t="s">
        <v>71</v>
      </c>
      <c r="DD254" s="160"/>
      <c r="DE254" s="162"/>
      <c r="DF254" s="167" t="str">
        <f t="shared" si="454"/>
        <v xml:space="preserve">                                                                                                                                                                                                                                                                </v>
      </c>
      <c r="DG254" s="174" t="str">
        <f t="shared" si="436"/>
        <v>NG</v>
      </c>
      <c r="DH254" s="162"/>
      <c r="DI254" s="172" t="s">
        <v>71</v>
      </c>
      <c r="DJ254" s="160"/>
      <c r="DK254" s="162"/>
      <c r="DL254" s="167" t="str">
        <f t="shared" si="455"/>
        <v xml:space="preserve">                                                                                                                                                                                                                                                                </v>
      </c>
      <c r="DM254" s="174" t="str">
        <f t="shared" si="437"/>
        <v>NG</v>
      </c>
      <c r="DN254" s="162"/>
      <c r="DO254" s="172" t="s">
        <v>71</v>
      </c>
      <c r="DP254" s="160"/>
      <c r="DQ254" s="162"/>
      <c r="DR254" s="167" t="str">
        <f t="shared" si="456"/>
        <v xml:space="preserve">                                                                                                                                                                                                                                                                </v>
      </c>
      <c r="DS254" s="174" t="str">
        <f t="shared" si="473"/>
        <v>NG</v>
      </c>
      <c r="DT254" s="162"/>
      <c r="DU254" s="172" t="s">
        <v>71</v>
      </c>
      <c r="DV254" s="160"/>
      <c r="DW254" s="162"/>
      <c r="DX254" s="167" t="str">
        <f t="shared" si="457"/>
        <v xml:space="preserve">                                                                                                                                                                                                                                                                </v>
      </c>
      <c r="DY254" s="174" t="str">
        <f t="shared" si="474"/>
        <v>NG</v>
      </c>
      <c r="DZ254" s="162"/>
      <c r="EA254" s="172" t="s">
        <v>71</v>
      </c>
      <c r="EB254" s="160"/>
      <c r="EC254" s="162"/>
      <c r="ED254" s="167" t="str">
        <f t="shared" si="458"/>
        <v xml:space="preserve">                                                                                                                                                                                                                                                                </v>
      </c>
      <c r="EE254" s="174" t="str">
        <f t="shared" si="475"/>
        <v>NG</v>
      </c>
      <c r="EF254" s="162"/>
      <c r="EG254" s="172" t="s">
        <v>71</v>
      </c>
      <c r="EH254" s="160"/>
      <c r="EI254" s="162"/>
      <c r="EJ254" s="167" t="str">
        <f t="shared" si="459"/>
        <v xml:space="preserve">                                                                                                                                                                                                                                                                </v>
      </c>
      <c r="EK254" s="174" t="str">
        <f t="shared" si="476"/>
        <v>NG</v>
      </c>
      <c r="EL254" s="162"/>
      <c r="EM254" s="172" t="s">
        <v>71</v>
      </c>
      <c r="EN254" s="160"/>
      <c r="EO254" s="162"/>
      <c r="EP254" s="167" t="str">
        <f t="shared" si="460"/>
        <v xml:space="preserve">                                                                                                                                                                                                                                                                </v>
      </c>
      <c r="EQ254" s="174" t="str">
        <f t="shared" si="477"/>
        <v>NG</v>
      </c>
      <c r="ER254" s="162"/>
      <c r="ES254" s="172" t="s">
        <v>71</v>
      </c>
      <c r="ET254" s="160"/>
      <c r="EU254" s="162"/>
      <c r="EV254" s="167" t="str">
        <f t="shared" si="461"/>
        <v xml:space="preserve">                                                                                                                                                                                                                                                                </v>
      </c>
      <c r="EW254" s="174" t="str">
        <f t="shared" si="478"/>
        <v>NG</v>
      </c>
      <c r="EX254" s="162"/>
      <c r="EY254" s="172" t="s">
        <v>71</v>
      </c>
      <c r="EZ254" s="160"/>
      <c r="FA254" s="162"/>
      <c r="FB254" s="167" t="str">
        <f t="shared" si="462"/>
        <v xml:space="preserve">                                                                                                                                                                                                                                                                </v>
      </c>
      <c r="FC254" s="174" t="str">
        <f t="shared" si="479"/>
        <v>NG</v>
      </c>
      <c r="FD254" s="162"/>
      <c r="FE254" s="172" t="s">
        <v>71</v>
      </c>
      <c r="FF254" s="160"/>
      <c r="FG254" s="162"/>
      <c r="FH254" s="167" t="str">
        <f t="shared" si="463"/>
        <v xml:space="preserve">                                                                                                                                                                                                                                                                </v>
      </c>
      <c r="FI254" s="174" t="str">
        <f t="shared" si="480"/>
        <v>NG</v>
      </c>
      <c r="FJ254" s="162"/>
      <c r="FK254" s="172" t="s">
        <v>71</v>
      </c>
      <c r="FL254" s="160"/>
      <c r="FM254" s="162"/>
      <c r="FN254" s="167" t="str">
        <f t="shared" si="464"/>
        <v xml:space="preserve">                                                                                                                                                                                                                                                                </v>
      </c>
      <c r="FO254" s="174" t="str">
        <f t="shared" si="438"/>
        <v>NG</v>
      </c>
      <c r="FP254" s="162"/>
      <c r="FQ254" s="172" t="s">
        <v>71</v>
      </c>
      <c r="FR254" s="160"/>
      <c r="FS254" s="162"/>
      <c r="FT254" s="167" t="str">
        <f t="shared" si="465"/>
        <v xml:space="preserve">                                                                                                                                                                                                                                                                </v>
      </c>
      <c r="FU254" s="174" t="str">
        <f t="shared" si="439"/>
        <v>NG</v>
      </c>
      <c r="FV254" s="162"/>
      <c r="FW254" s="172" t="s">
        <v>71</v>
      </c>
      <c r="FX254" s="160"/>
      <c r="FY254" s="162"/>
      <c r="FZ254" s="167" t="str">
        <f t="shared" si="466"/>
        <v xml:space="preserve">                                                                                                                                                                                                                                                                </v>
      </c>
      <c r="GA254" s="174" t="str">
        <f t="shared" si="440"/>
        <v>NG</v>
      </c>
      <c r="GB254" s="162"/>
      <c r="GC254" s="172" t="s">
        <v>71</v>
      </c>
    </row>
    <row r="255" spans="1:185" s="52" customFormat="1" ht="69" customHeight="1">
      <c r="B255" s="53">
        <f t="shared" si="467"/>
        <v>248</v>
      </c>
      <c r="C255" s="37"/>
      <c r="D255" s="37"/>
      <c r="E255" s="37"/>
      <c r="F255" s="188" t="s">
        <v>329</v>
      </c>
      <c r="G255" s="39"/>
      <c r="H255" s="40"/>
      <c r="I255" s="42"/>
      <c r="J255" s="42" t="s">
        <v>316</v>
      </c>
      <c r="K255" s="42"/>
      <c r="L255" s="42"/>
      <c r="M255" s="63" t="s">
        <v>330</v>
      </c>
      <c r="N255" s="47"/>
      <c r="O255" s="143"/>
      <c r="P255" s="45">
        <f t="shared" si="481"/>
        <v>224</v>
      </c>
      <c r="Q255" s="46">
        <v>1</v>
      </c>
      <c r="R255" s="41" t="s">
        <v>81</v>
      </c>
      <c r="S255" s="185" t="s">
        <v>204</v>
      </c>
      <c r="T255" s="43"/>
      <c r="U255" s="41" t="s">
        <v>80</v>
      </c>
      <c r="V255" s="44"/>
      <c r="W255" s="22">
        <v>3</v>
      </c>
      <c r="X255" s="47" t="s">
        <v>205</v>
      </c>
      <c r="Y255" s="47">
        <v>1</v>
      </c>
      <c r="Z255" s="47">
        <v>1</v>
      </c>
      <c r="AA255" s="42">
        <v>9</v>
      </c>
      <c r="AB255" s="42" t="s">
        <v>57</v>
      </c>
      <c r="AC255" s="166"/>
      <c r="AD255" s="160"/>
      <c r="AE255" s="162"/>
      <c r="AF255" s="203" t="str">
        <f t="shared" si="442"/>
        <v xml:space="preserve"> </v>
      </c>
      <c r="AG255" s="174" t="str">
        <f t="shared" si="424"/>
        <v>NG</v>
      </c>
      <c r="AH255" s="162"/>
      <c r="AI255" s="276" t="str">
        <f>IF(OR(AE$8="判定対象外",AH$8="判定対象外",AH255="-"),"-",IF(AE255=AH255,"OK","NG"))</f>
        <v>OK</v>
      </c>
      <c r="AJ255" s="160"/>
      <c r="AK255" s="162"/>
      <c r="AL255" s="203" t="str">
        <f t="shared" si="441"/>
        <v xml:space="preserve"> </v>
      </c>
      <c r="AM255" s="174" t="str">
        <f t="shared" si="468"/>
        <v>NG</v>
      </c>
      <c r="AN255" s="162"/>
      <c r="AO255" s="276" t="str">
        <f>IF(OR(AK$8="判定対象外",AN$8="判定対象外",AN255="-"),"-",IF(AK255=AN255,"OK","NG"))</f>
        <v>OK</v>
      </c>
      <c r="AP255" s="160"/>
      <c r="AQ255" s="162"/>
      <c r="AR255" s="203" t="str">
        <f t="shared" si="443"/>
        <v xml:space="preserve"> </v>
      </c>
      <c r="AS255" s="174" t="str">
        <f t="shared" si="425"/>
        <v>NG</v>
      </c>
      <c r="AT255" s="162"/>
      <c r="AU255" s="276" t="str">
        <f>IF(OR(AQ$8="判定対象外",AT$8="判定対象外",AT255="-"),"-",IF(AQ255=AT255,"OK","NG"))</f>
        <v>OK</v>
      </c>
      <c r="AV255" s="160"/>
      <c r="AW255" s="162"/>
      <c r="AX255" s="203" t="str">
        <f t="shared" si="444"/>
        <v xml:space="preserve"> </v>
      </c>
      <c r="AY255" s="174" t="str">
        <f t="shared" si="426"/>
        <v>NG</v>
      </c>
      <c r="AZ255" s="162"/>
      <c r="BA255" s="276" t="str">
        <f>IF(OR(AW$8="判定対象外",AZ$8="判定対象外",AZ255="-"),"-",IF(AW255=AZ255,"OK","NG"))</f>
        <v>OK</v>
      </c>
      <c r="BB255" s="160"/>
      <c r="BC255" s="162"/>
      <c r="BD255" s="203" t="str">
        <f t="shared" si="445"/>
        <v xml:space="preserve"> </v>
      </c>
      <c r="BE255" s="174" t="str">
        <f t="shared" si="427"/>
        <v>NG</v>
      </c>
      <c r="BF255" s="162"/>
      <c r="BG255" s="276" t="str">
        <f>IF(OR(BC$8="判定対象外",BF$8="判定対象外",BF255="-"),"-",IF(BC255=BF255,"OK","NG"))</f>
        <v>OK</v>
      </c>
      <c r="BH255" s="160"/>
      <c r="BI255" s="162"/>
      <c r="BJ255" s="203" t="str">
        <f t="shared" si="446"/>
        <v xml:space="preserve"> </v>
      </c>
      <c r="BK255" s="174" t="str">
        <f t="shared" si="428"/>
        <v>NG</v>
      </c>
      <c r="BL255" s="162"/>
      <c r="BM255" s="276" t="str">
        <f>IF(OR(BI$8="判定対象外",BL$8="判定対象外",BL255="-"),"-",IF(BI255=BL255,"OK","NG"))</f>
        <v>OK</v>
      </c>
      <c r="BN255" s="160"/>
      <c r="BO255" s="162"/>
      <c r="BP255" s="203" t="str">
        <f t="shared" si="447"/>
        <v xml:space="preserve"> </v>
      </c>
      <c r="BQ255" s="174" t="str">
        <f t="shared" si="429"/>
        <v>NG</v>
      </c>
      <c r="BR255" s="162"/>
      <c r="BS255" s="276" t="str">
        <f>IF(OR(BO$8="判定対象外",BR$8="判定対象外",BR255="-"),"-",IF(BO255=BR255,"OK","NG"))</f>
        <v>OK</v>
      </c>
      <c r="BT255" s="160"/>
      <c r="BU255" s="162"/>
      <c r="BV255" s="203" t="str">
        <f t="shared" si="448"/>
        <v xml:space="preserve"> </v>
      </c>
      <c r="BW255" s="174" t="str">
        <f t="shared" si="430"/>
        <v>NG</v>
      </c>
      <c r="BX255" s="162"/>
      <c r="BY255" s="276" t="str">
        <f>IF(OR(BU$8="判定対象外",BX$8="判定対象外",BX255="-"),"-",IF(BU255=BX255,"OK","NG"))</f>
        <v>OK</v>
      </c>
      <c r="BZ255" s="160"/>
      <c r="CA255" s="162"/>
      <c r="CB255" s="203" t="str">
        <f t="shared" si="449"/>
        <v xml:space="preserve"> </v>
      </c>
      <c r="CC255" s="174" t="str">
        <f t="shared" si="431"/>
        <v>NG</v>
      </c>
      <c r="CD255" s="162"/>
      <c r="CE255" s="276" t="str">
        <f>IF(OR(CA$8="判定対象外",CD$8="判定対象外",CD255="-"),"-",IF(CA255=CD255,"OK","NG"))</f>
        <v>OK</v>
      </c>
      <c r="CF255" s="160"/>
      <c r="CG255" s="162"/>
      <c r="CH255" s="203" t="str">
        <f t="shared" si="450"/>
        <v xml:space="preserve"> </v>
      </c>
      <c r="CI255" s="174" t="str">
        <f t="shared" si="432"/>
        <v>NG</v>
      </c>
      <c r="CJ255" s="162"/>
      <c r="CK255" s="276" t="str">
        <f>IF(OR(CG$8="判定対象外",CJ$8="判定対象外",CJ255="-"),"-",IF(CG255=CJ255,"OK","NG"))</f>
        <v>OK</v>
      </c>
      <c r="CL255" s="160"/>
      <c r="CM255" s="162"/>
      <c r="CN255" s="203" t="str">
        <f t="shared" si="451"/>
        <v xml:space="preserve"> </v>
      </c>
      <c r="CO255" s="174" t="str">
        <f t="shared" si="433"/>
        <v>NG</v>
      </c>
      <c r="CP255" s="162"/>
      <c r="CQ255" s="276" t="str">
        <f>IF(OR(CM$8="判定対象外",CP$8="判定対象外",CP255="-"),"-",IF(CM255=CP255,"OK","NG"))</f>
        <v>OK</v>
      </c>
      <c r="CR255" s="160"/>
      <c r="CS255" s="162"/>
      <c r="CT255" s="203" t="str">
        <f t="shared" si="452"/>
        <v xml:space="preserve"> </v>
      </c>
      <c r="CU255" s="174" t="str">
        <f t="shared" si="434"/>
        <v>NG</v>
      </c>
      <c r="CV255" s="162"/>
      <c r="CW255" s="276" t="str">
        <f>IF(OR(CS$8="判定対象外",CV$8="判定対象外",CV255="-"),"-",IF(CS255=CV255,"OK","NG"))</f>
        <v>OK</v>
      </c>
      <c r="CX255" s="160"/>
      <c r="CY255" s="162"/>
      <c r="CZ255" s="203" t="str">
        <f t="shared" si="453"/>
        <v xml:space="preserve"> </v>
      </c>
      <c r="DA255" s="174" t="str">
        <f t="shared" si="435"/>
        <v>NG</v>
      </c>
      <c r="DB255" s="162"/>
      <c r="DC255" s="276" t="str">
        <f>IF(OR(CY$8="判定対象外",DB$8="判定対象外",DB255="-"),"-",IF(CY255=DB255,"OK","NG"))</f>
        <v>OK</v>
      </c>
      <c r="DD255" s="160"/>
      <c r="DE255" s="162"/>
      <c r="DF255" s="203" t="str">
        <f t="shared" si="454"/>
        <v xml:space="preserve"> </v>
      </c>
      <c r="DG255" s="174" t="str">
        <f t="shared" si="436"/>
        <v>NG</v>
      </c>
      <c r="DH255" s="162"/>
      <c r="DI255" s="276" t="str">
        <f>IF(OR(DE$8="判定対象外",DH$8="判定対象外",DH255="-"),"-",IF(DE255=DH255,"OK","NG"))</f>
        <v>OK</v>
      </c>
      <c r="DJ255" s="160"/>
      <c r="DK255" s="162"/>
      <c r="DL255" s="203" t="str">
        <f t="shared" si="455"/>
        <v xml:space="preserve"> </v>
      </c>
      <c r="DM255" s="174" t="str">
        <f t="shared" si="437"/>
        <v>NG</v>
      </c>
      <c r="DN255" s="162"/>
      <c r="DO255" s="276" t="str">
        <f>IF(OR(DK$8="判定対象外",DN$8="判定対象外",DN255="-"),"-",IF(DK255=DN255,"OK","NG"))</f>
        <v>OK</v>
      </c>
      <c r="DP255" s="160"/>
      <c r="DQ255" s="162"/>
      <c r="DR255" s="203" t="str">
        <f t="shared" si="456"/>
        <v xml:space="preserve"> </v>
      </c>
      <c r="DS255" s="174" t="str">
        <f t="shared" si="473"/>
        <v>NG</v>
      </c>
      <c r="DT255" s="162"/>
      <c r="DU255" s="276" t="str">
        <f>IF(OR(DQ$8="判定対象外",DT$8="判定対象外",DT255="-"),"-",IF(DQ255=DT255,"OK","NG"))</f>
        <v>OK</v>
      </c>
      <c r="DV255" s="160"/>
      <c r="DW255" s="162"/>
      <c r="DX255" s="203" t="str">
        <f t="shared" si="457"/>
        <v xml:space="preserve"> </v>
      </c>
      <c r="DY255" s="174" t="str">
        <f t="shared" si="474"/>
        <v>NG</v>
      </c>
      <c r="DZ255" s="162"/>
      <c r="EA255" s="276" t="str">
        <f>IF(OR(DW$8="判定対象外",DZ$8="判定対象外",DZ255="-"),"-",IF(DW255=DZ255,"OK","NG"))</f>
        <v>OK</v>
      </c>
      <c r="EB255" s="160"/>
      <c r="EC255" s="162"/>
      <c r="ED255" s="203" t="str">
        <f t="shared" si="458"/>
        <v xml:space="preserve"> </v>
      </c>
      <c r="EE255" s="174" t="str">
        <f t="shared" si="475"/>
        <v>NG</v>
      </c>
      <c r="EF255" s="162"/>
      <c r="EG255" s="276" t="str">
        <f>IF(OR(EC$8="判定対象外",EF$8="判定対象外",EF255="-"),"-",IF(EC255=EF255,"OK","NG"))</f>
        <v>OK</v>
      </c>
      <c r="EH255" s="160"/>
      <c r="EI255" s="162"/>
      <c r="EJ255" s="203" t="str">
        <f t="shared" si="459"/>
        <v xml:space="preserve"> </v>
      </c>
      <c r="EK255" s="174" t="str">
        <f t="shared" si="476"/>
        <v>NG</v>
      </c>
      <c r="EL255" s="162"/>
      <c r="EM255" s="276" t="str">
        <f>IF(OR(EI$8="判定対象外",EL$8="判定対象外",EL255="-"),"-",IF(EI255=EL255,"OK","NG"))</f>
        <v>OK</v>
      </c>
      <c r="EN255" s="160"/>
      <c r="EO255" s="162"/>
      <c r="EP255" s="203" t="str">
        <f t="shared" si="460"/>
        <v xml:space="preserve"> </v>
      </c>
      <c r="EQ255" s="174" t="str">
        <f t="shared" si="477"/>
        <v>NG</v>
      </c>
      <c r="ER255" s="162"/>
      <c r="ES255" s="276" t="str">
        <f>IF(OR(EO$8="判定対象外",ER$8="判定対象外",ER255="-"),"-",IF(EO255=ER255,"OK","NG"))</f>
        <v>OK</v>
      </c>
      <c r="ET255" s="160"/>
      <c r="EU255" s="162"/>
      <c r="EV255" s="203" t="str">
        <f t="shared" si="461"/>
        <v xml:space="preserve"> </v>
      </c>
      <c r="EW255" s="174" t="str">
        <f t="shared" si="478"/>
        <v>NG</v>
      </c>
      <c r="EX255" s="162"/>
      <c r="EY255" s="276" t="str">
        <f>IF(OR(EU$8="判定対象外",EX$8="判定対象外",EX255="-"),"-",IF(EU255=EX255,"OK","NG"))</f>
        <v>OK</v>
      </c>
      <c r="EZ255" s="160"/>
      <c r="FA255" s="162"/>
      <c r="FB255" s="203" t="str">
        <f t="shared" si="462"/>
        <v xml:space="preserve"> </v>
      </c>
      <c r="FC255" s="174" t="str">
        <f t="shared" si="479"/>
        <v>NG</v>
      </c>
      <c r="FD255" s="162"/>
      <c r="FE255" s="276" t="str">
        <f>IF(OR(FA$8="判定対象外",FD$8="判定対象外",FD255="-"),"-",IF(FA255=FD255,"OK","NG"))</f>
        <v>OK</v>
      </c>
      <c r="FF255" s="160"/>
      <c r="FG255" s="162"/>
      <c r="FH255" s="203" t="str">
        <f t="shared" si="463"/>
        <v xml:space="preserve"> </v>
      </c>
      <c r="FI255" s="174" t="str">
        <f t="shared" si="480"/>
        <v>NG</v>
      </c>
      <c r="FJ255" s="162"/>
      <c r="FK255" s="276" t="str">
        <f>IF(OR(FG$8="判定対象外",FJ$8="判定対象外",FJ255="-"),"-",IF(FG255=FJ255,"OK","NG"))</f>
        <v>OK</v>
      </c>
      <c r="FL255" s="160"/>
      <c r="FM255" s="162"/>
      <c r="FN255" s="203" t="str">
        <f t="shared" si="464"/>
        <v xml:space="preserve"> </v>
      </c>
      <c r="FO255" s="174" t="str">
        <f t="shared" si="438"/>
        <v>NG</v>
      </c>
      <c r="FP255" s="162"/>
      <c r="FQ255" s="276" t="str">
        <f>IF(OR(FM$8="判定対象外",FP$8="判定対象外",FP255="-"),"-",IF(FM255=FP255,"OK","NG"))</f>
        <v>OK</v>
      </c>
      <c r="FR255" s="160"/>
      <c r="FS255" s="162"/>
      <c r="FT255" s="203" t="str">
        <f t="shared" si="465"/>
        <v xml:space="preserve"> </v>
      </c>
      <c r="FU255" s="174" t="str">
        <f t="shared" si="439"/>
        <v>NG</v>
      </c>
      <c r="FV255" s="162"/>
      <c r="FW255" s="276" t="str">
        <f>IF(OR(FS$8="判定対象外",FV$8="判定対象外",FV255="-"),"-",IF(FS255=FV255,"OK","NG"))</f>
        <v>OK</v>
      </c>
      <c r="FX255" s="160"/>
      <c r="FY255" s="162"/>
      <c r="FZ255" s="203" t="str">
        <f t="shared" si="466"/>
        <v xml:space="preserve"> </v>
      </c>
      <c r="GA255" s="174" t="str">
        <f t="shared" si="440"/>
        <v>NG</v>
      </c>
      <c r="GB255" s="162"/>
      <c r="GC255" s="276" t="str">
        <f>IF(OR(FY$8="判定対象外",GB$8="判定対象外",GB255="-"),"-",IF(FY255=GB255,"OK","NG"))</f>
        <v>OK</v>
      </c>
    </row>
    <row r="256" spans="1:185" s="52" customFormat="1" ht="114.75">
      <c r="B256" s="48">
        <f t="shared" si="467"/>
        <v>249</v>
      </c>
      <c r="C256" s="37"/>
      <c r="D256" s="37"/>
      <c r="E256" s="37"/>
      <c r="F256" s="49" t="s">
        <v>206</v>
      </c>
      <c r="G256" s="39"/>
      <c r="H256" s="40"/>
      <c r="I256" s="42"/>
      <c r="J256" s="42"/>
      <c r="K256" s="42"/>
      <c r="L256" s="42"/>
      <c r="M256" s="163" t="s">
        <v>331</v>
      </c>
      <c r="N256" s="47"/>
      <c r="O256" s="143"/>
      <c r="P256" s="45">
        <f t="shared" si="481"/>
        <v>225</v>
      </c>
      <c r="Q256" s="46">
        <v>1</v>
      </c>
      <c r="R256" s="41" t="s">
        <v>81</v>
      </c>
      <c r="S256" s="185" t="s">
        <v>207</v>
      </c>
      <c r="T256" s="43"/>
      <c r="U256" s="41" t="s">
        <v>80</v>
      </c>
      <c r="V256" s="44"/>
      <c r="W256" s="22">
        <v>3</v>
      </c>
      <c r="X256" s="47" t="s">
        <v>98</v>
      </c>
      <c r="Y256" s="47">
        <v>1</v>
      </c>
      <c r="Z256" s="47">
        <v>1</v>
      </c>
      <c r="AA256" s="42">
        <v>9</v>
      </c>
      <c r="AB256" s="42" t="s">
        <v>57</v>
      </c>
      <c r="AC256" s="215"/>
      <c r="AD256" s="160"/>
      <c r="AE256" s="162"/>
      <c r="AF256" s="203" t="str">
        <f t="shared" si="442"/>
        <v xml:space="preserve"> </v>
      </c>
      <c r="AG256" s="174" t="str">
        <f t="shared" si="424"/>
        <v>NG</v>
      </c>
      <c r="AH256" s="162"/>
      <c r="AI256" s="172" t="s">
        <v>71</v>
      </c>
      <c r="AJ256" s="160"/>
      <c r="AK256" s="162"/>
      <c r="AL256" s="203" t="str">
        <f t="shared" si="441"/>
        <v xml:space="preserve"> </v>
      </c>
      <c r="AM256" s="174" t="str">
        <f t="shared" si="468"/>
        <v>NG</v>
      </c>
      <c r="AN256" s="162"/>
      <c r="AO256" s="172" t="s">
        <v>71</v>
      </c>
      <c r="AP256" s="160"/>
      <c r="AQ256" s="162"/>
      <c r="AR256" s="203" t="str">
        <f t="shared" si="443"/>
        <v xml:space="preserve"> </v>
      </c>
      <c r="AS256" s="174" t="str">
        <f t="shared" si="425"/>
        <v>NG</v>
      </c>
      <c r="AT256" s="162"/>
      <c r="AU256" s="172" t="s">
        <v>71</v>
      </c>
      <c r="AV256" s="160"/>
      <c r="AW256" s="162"/>
      <c r="AX256" s="203" t="str">
        <f t="shared" si="444"/>
        <v xml:space="preserve"> </v>
      </c>
      <c r="AY256" s="174" t="str">
        <f t="shared" si="426"/>
        <v>NG</v>
      </c>
      <c r="AZ256" s="162"/>
      <c r="BA256" s="172" t="s">
        <v>71</v>
      </c>
      <c r="BB256" s="160"/>
      <c r="BC256" s="162"/>
      <c r="BD256" s="203" t="str">
        <f t="shared" si="445"/>
        <v xml:space="preserve"> </v>
      </c>
      <c r="BE256" s="174" t="str">
        <f t="shared" si="427"/>
        <v>NG</v>
      </c>
      <c r="BF256" s="162"/>
      <c r="BG256" s="172" t="s">
        <v>71</v>
      </c>
      <c r="BH256" s="160"/>
      <c r="BI256" s="162"/>
      <c r="BJ256" s="203" t="str">
        <f t="shared" si="446"/>
        <v xml:space="preserve"> </v>
      </c>
      <c r="BK256" s="174" t="str">
        <f t="shared" si="428"/>
        <v>NG</v>
      </c>
      <c r="BL256" s="162"/>
      <c r="BM256" s="172" t="s">
        <v>71</v>
      </c>
      <c r="BN256" s="160"/>
      <c r="BO256" s="162"/>
      <c r="BP256" s="203" t="str">
        <f t="shared" si="447"/>
        <v xml:space="preserve"> </v>
      </c>
      <c r="BQ256" s="174" t="str">
        <f t="shared" si="429"/>
        <v>NG</v>
      </c>
      <c r="BR256" s="162"/>
      <c r="BS256" s="172" t="s">
        <v>71</v>
      </c>
      <c r="BT256" s="160"/>
      <c r="BU256" s="162"/>
      <c r="BV256" s="203" t="str">
        <f t="shared" si="448"/>
        <v xml:space="preserve"> </v>
      </c>
      <c r="BW256" s="174" t="str">
        <f t="shared" si="430"/>
        <v>NG</v>
      </c>
      <c r="BX256" s="162"/>
      <c r="BY256" s="172" t="s">
        <v>71</v>
      </c>
      <c r="BZ256" s="160"/>
      <c r="CA256" s="162"/>
      <c r="CB256" s="203" t="str">
        <f t="shared" si="449"/>
        <v xml:space="preserve"> </v>
      </c>
      <c r="CC256" s="174" t="str">
        <f t="shared" si="431"/>
        <v>NG</v>
      </c>
      <c r="CD256" s="162"/>
      <c r="CE256" s="172" t="s">
        <v>71</v>
      </c>
      <c r="CF256" s="160"/>
      <c r="CG256" s="162"/>
      <c r="CH256" s="203" t="str">
        <f t="shared" si="450"/>
        <v xml:space="preserve"> </v>
      </c>
      <c r="CI256" s="174" t="str">
        <f t="shared" si="432"/>
        <v>NG</v>
      </c>
      <c r="CJ256" s="162"/>
      <c r="CK256" s="172" t="s">
        <v>71</v>
      </c>
      <c r="CL256" s="160"/>
      <c r="CM256" s="162"/>
      <c r="CN256" s="203" t="str">
        <f t="shared" si="451"/>
        <v xml:space="preserve"> </v>
      </c>
      <c r="CO256" s="174" t="str">
        <f t="shared" si="433"/>
        <v>NG</v>
      </c>
      <c r="CP256" s="162"/>
      <c r="CQ256" s="172" t="s">
        <v>71</v>
      </c>
      <c r="CR256" s="160"/>
      <c r="CS256" s="162"/>
      <c r="CT256" s="203" t="str">
        <f t="shared" si="452"/>
        <v xml:space="preserve"> </v>
      </c>
      <c r="CU256" s="174" t="str">
        <f t="shared" si="434"/>
        <v>NG</v>
      </c>
      <c r="CV256" s="162"/>
      <c r="CW256" s="172" t="s">
        <v>71</v>
      </c>
      <c r="CX256" s="160"/>
      <c r="CY256" s="162"/>
      <c r="CZ256" s="203" t="str">
        <f t="shared" si="453"/>
        <v xml:space="preserve"> </v>
      </c>
      <c r="DA256" s="174" t="str">
        <f t="shared" si="435"/>
        <v>NG</v>
      </c>
      <c r="DB256" s="162"/>
      <c r="DC256" s="172" t="s">
        <v>71</v>
      </c>
      <c r="DD256" s="160"/>
      <c r="DE256" s="162"/>
      <c r="DF256" s="203" t="str">
        <f t="shared" si="454"/>
        <v xml:space="preserve"> </v>
      </c>
      <c r="DG256" s="174" t="str">
        <f t="shared" si="436"/>
        <v>NG</v>
      </c>
      <c r="DH256" s="162"/>
      <c r="DI256" s="172" t="s">
        <v>71</v>
      </c>
      <c r="DJ256" s="160"/>
      <c r="DK256" s="162"/>
      <c r="DL256" s="203" t="str">
        <f t="shared" si="455"/>
        <v xml:space="preserve"> </v>
      </c>
      <c r="DM256" s="174" t="str">
        <f t="shared" si="437"/>
        <v>NG</v>
      </c>
      <c r="DN256" s="162"/>
      <c r="DO256" s="172" t="s">
        <v>71</v>
      </c>
      <c r="DP256" s="160"/>
      <c r="DQ256" s="162"/>
      <c r="DR256" s="203" t="str">
        <f t="shared" si="456"/>
        <v xml:space="preserve"> </v>
      </c>
      <c r="DS256" s="174" t="str">
        <f t="shared" si="473"/>
        <v>NG</v>
      </c>
      <c r="DT256" s="162"/>
      <c r="DU256" s="172" t="s">
        <v>71</v>
      </c>
      <c r="DV256" s="160"/>
      <c r="DW256" s="162"/>
      <c r="DX256" s="203" t="str">
        <f t="shared" si="457"/>
        <v xml:space="preserve"> </v>
      </c>
      <c r="DY256" s="174" t="str">
        <f t="shared" si="474"/>
        <v>NG</v>
      </c>
      <c r="DZ256" s="162"/>
      <c r="EA256" s="172" t="s">
        <v>71</v>
      </c>
      <c r="EB256" s="160"/>
      <c r="EC256" s="162"/>
      <c r="ED256" s="203" t="str">
        <f t="shared" si="458"/>
        <v xml:space="preserve"> </v>
      </c>
      <c r="EE256" s="174" t="str">
        <f t="shared" si="475"/>
        <v>NG</v>
      </c>
      <c r="EF256" s="162"/>
      <c r="EG256" s="172" t="s">
        <v>71</v>
      </c>
      <c r="EH256" s="160"/>
      <c r="EI256" s="162"/>
      <c r="EJ256" s="203" t="str">
        <f t="shared" si="459"/>
        <v xml:space="preserve"> </v>
      </c>
      <c r="EK256" s="174" t="str">
        <f t="shared" si="476"/>
        <v>NG</v>
      </c>
      <c r="EL256" s="162"/>
      <c r="EM256" s="172" t="s">
        <v>71</v>
      </c>
      <c r="EN256" s="160"/>
      <c r="EO256" s="162"/>
      <c r="EP256" s="203" t="str">
        <f t="shared" si="460"/>
        <v xml:space="preserve"> </v>
      </c>
      <c r="EQ256" s="174" t="str">
        <f t="shared" si="477"/>
        <v>NG</v>
      </c>
      <c r="ER256" s="162"/>
      <c r="ES256" s="172" t="s">
        <v>71</v>
      </c>
      <c r="ET256" s="160"/>
      <c r="EU256" s="162"/>
      <c r="EV256" s="203" t="str">
        <f t="shared" si="461"/>
        <v xml:space="preserve"> </v>
      </c>
      <c r="EW256" s="174" t="str">
        <f t="shared" si="478"/>
        <v>NG</v>
      </c>
      <c r="EX256" s="162"/>
      <c r="EY256" s="172" t="s">
        <v>71</v>
      </c>
      <c r="EZ256" s="160"/>
      <c r="FA256" s="162"/>
      <c r="FB256" s="203" t="str">
        <f t="shared" si="462"/>
        <v xml:space="preserve"> </v>
      </c>
      <c r="FC256" s="174" t="str">
        <f t="shared" si="479"/>
        <v>NG</v>
      </c>
      <c r="FD256" s="162"/>
      <c r="FE256" s="172" t="s">
        <v>71</v>
      </c>
      <c r="FF256" s="160"/>
      <c r="FG256" s="162"/>
      <c r="FH256" s="203" t="str">
        <f t="shared" si="463"/>
        <v xml:space="preserve"> </v>
      </c>
      <c r="FI256" s="174" t="str">
        <f t="shared" si="480"/>
        <v>NG</v>
      </c>
      <c r="FJ256" s="162"/>
      <c r="FK256" s="172" t="s">
        <v>71</v>
      </c>
      <c r="FL256" s="160"/>
      <c r="FM256" s="162"/>
      <c r="FN256" s="203" t="str">
        <f t="shared" si="464"/>
        <v xml:space="preserve"> </v>
      </c>
      <c r="FO256" s="174" t="str">
        <f t="shared" si="438"/>
        <v>NG</v>
      </c>
      <c r="FP256" s="162"/>
      <c r="FQ256" s="172" t="s">
        <v>71</v>
      </c>
      <c r="FR256" s="160"/>
      <c r="FS256" s="162"/>
      <c r="FT256" s="203" t="str">
        <f t="shared" si="465"/>
        <v xml:space="preserve"> </v>
      </c>
      <c r="FU256" s="174" t="str">
        <f t="shared" si="439"/>
        <v>NG</v>
      </c>
      <c r="FV256" s="162"/>
      <c r="FW256" s="172" t="s">
        <v>71</v>
      </c>
      <c r="FX256" s="160"/>
      <c r="FY256" s="162"/>
      <c r="FZ256" s="203" t="str">
        <f t="shared" si="466"/>
        <v xml:space="preserve"> </v>
      </c>
      <c r="GA256" s="174" t="str">
        <f t="shared" si="440"/>
        <v>NG</v>
      </c>
      <c r="GB256" s="162"/>
      <c r="GC256" s="172" t="s">
        <v>71</v>
      </c>
    </row>
    <row r="257" spans="2:185" s="52" customFormat="1" ht="126.75" customHeight="1">
      <c r="B257" s="216">
        <f t="shared" si="467"/>
        <v>250</v>
      </c>
      <c r="C257" s="37"/>
      <c r="D257" s="37"/>
      <c r="E257" s="37"/>
      <c r="F257" s="188" t="s">
        <v>332</v>
      </c>
      <c r="G257" s="39"/>
      <c r="H257" s="40"/>
      <c r="I257" s="42"/>
      <c r="J257" s="42"/>
      <c r="K257" s="42"/>
      <c r="L257" s="42"/>
      <c r="M257" s="63" t="s">
        <v>333</v>
      </c>
      <c r="N257" s="47"/>
      <c r="O257" s="143"/>
      <c r="P257" s="45">
        <f t="shared" si="481"/>
        <v>226</v>
      </c>
      <c r="Q257" s="46">
        <v>1</v>
      </c>
      <c r="R257" s="41" t="str">
        <f t="shared" ref="R257:R274" si="482">IF(AA257="M","NX",AA257)</f>
        <v>X</v>
      </c>
      <c r="S257" s="185" t="s">
        <v>208</v>
      </c>
      <c r="T257" s="43"/>
      <c r="U257" s="41" t="s">
        <v>80</v>
      </c>
      <c r="V257" s="44"/>
      <c r="W257" s="22">
        <v>3</v>
      </c>
      <c r="X257" s="47" t="s">
        <v>209</v>
      </c>
      <c r="Y257" s="47">
        <v>1</v>
      </c>
      <c r="Z257" s="47">
        <v>1</v>
      </c>
      <c r="AA257" s="42" t="s">
        <v>81</v>
      </c>
      <c r="AB257" s="42" t="s">
        <v>80</v>
      </c>
      <c r="AC257" s="166"/>
      <c r="AD257" s="160"/>
      <c r="AE257" s="162"/>
      <c r="AF257" s="203" t="str">
        <f t="shared" si="442"/>
        <v xml:space="preserve"> </v>
      </c>
      <c r="AG257" s="174" t="str">
        <f t="shared" si="424"/>
        <v>NG</v>
      </c>
      <c r="AH257" s="162"/>
      <c r="AI257" s="276" t="str">
        <f>IF(OR(AE$8="判定対象外",AH$8="判定対象外",AH257="-"),"-",IF(AE257=AH257,"OK","NG"))</f>
        <v>OK</v>
      </c>
      <c r="AJ257" s="160"/>
      <c r="AK257" s="162"/>
      <c r="AL257" s="203" t="str">
        <f t="shared" si="441"/>
        <v xml:space="preserve"> </v>
      </c>
      <c r="AM257" s="174" t="str">
        <f t="shared" si="468"/>
        <v>NG</v>
      </c>
      <c r="AN257" s="162"/>
      <c r="AO257" s="276" t="str">
        <f>IF(OR(AK$8="判定対象外",AN$8="判定対象外",AN257="-"),"-",IF(AK257=AN257,"OK","NG"))</f>
        <v>OK</v>
      </c>
      <c r="AP257" s="160"/>
      <c r="AQ257" s="162"/>
      <c r="AR257" s="203" t="str">
        <f t="shared" si="443"/>
        <v xml:space="preserve"> </v>
      </c>
      <c r="AS257" s="174" t="str">
        <f t="shared" si="425"/>
        <v>NG</v>
      </c>
      <c r="AT257" s="162"/>
      <c r="AU257" s="276" t="str">
        <f>IF(OR(AQ$8="判定対象外",AT$8="判定対象外",AT257="-"),"-",IF(AQ257=AT257,"OK","NG"))</f>
        <v>OK</v>
      </c>
      <c r="AV257" s="160"/>
      <c r="AW257" s="162"/>
      <c r="AX257" s="203" t="str">
        <f t="shared" si="444"/>
        <v xml:space="preserve"> </v>
      </c>
      <c r="AY257" s="174" t="str">
        <f t="shared" si="426"/>
        <v>NG</v>
      </c>
      <c r="AZ257" s="162"/>
      <c r="BA257" s="276" t="str">
        <f>IF(OR(AW$8="判定対象外",AZ$8="判定対象外",AZ257="-"),"-",IF(AW257=AZ257,"OK","NG"))</f>
        <v>OK</v>
      </c>
      <c r="BB257" s="160"/>
      <c r="BC257" s="162"/>
      <c r="BD257" s="203" t="str">
        <f t="shared" si="445"/>
        <v xml:space="preserve"> </v>
      </c>
      <c r="BE257" s="174" t="str">
        <f t="shared" si="427"/>
        <v>NG</v>
      </c>
      <c r="BF257" s="162"/>
      <c r="BG257" s="276" t="str">
        <f>IF(OR(BC$8="判定対象外",BF$8="判定対象外",BF257="-"),"-",IF(BC257=BF257,"OK","NG"))</f>
        <v>OK</v>
      </c>
      <c r="BH257" s="160"/>
      <c r="BI257" s="162"/>
      <c r="BJ257" s="203" t="str">
        <f t="shared" si="446"/>
        <v xml:space="preserve"> </v>
      </c>
      <c r="BK257" s="174" t="str">
        <f t="shared" si="428"/>
        <v>NG</v>
      </c>
      <c r="BL257" s="162"/>
      <c r="BM257" s="276" t="str">
        <f>IF(OR(BI$8="判定対象外",BL$8="判定対象外",BL257="-"),"-",IF(BI257=BL257,"OK","NG"))</f>
        <v>OK</v>
      </c>
      <c r="BN257" s="160"/>
      <c r="BO257" s="162"/>
      <c r="BP257" s="203" t="str">
        <f t="shared" si="447"/>
        <v xml:space="preserve"> </v>
      </c>
      <c r="BQ257" s="174" t="str">
        <f t="shared" si="429"/>
        <v>NG</v>
      </c>
      <c r="BR257" s="162"/>
      <c r="BS257" s="276" t="str">
        <f>IF(OR(BO$8="判定対象外",BR$8="判定対象外",BR257="-"),"-",IF(BO257=BR257,"OK","NG"))</f>
        <v>OK</v>
      </c>
      <c r="BT257" s="160"/>
      <c r="BU257" s="162"/>
      <c r="BV257" s="203" t="str">
        <f t="shared" si="448"/>
        <v xml:space="preserve"> </v>
      </c>
      <c r="BW257" s="174" t="str">
        <f t="shared" si="430"/>
        <v>NG</v>
      </c>
      <c r="BX257" s="162"/>
      <c r="BY257" s="276" t="str">
        <f>IF(OR(BU$8="判定対象外",BX$8="判定対象外",BX257="-"),"-",IF(BU257=BX257,"OK","NG"))</f>
        <v>OK</v>
      </c>
      <c r="BZ257" s="160"/>
      <c r="CA257" s="162"/>
      <c r="CB257" s="203" t="str">
        <f t="shared" si="449"/>
        <v xml:space="preserve"> </v>
      </c>
      <c r="CC257" s="174" t="str">
        <f t="shared" si="431"/>
        <v>NG</v>
      </c>
      <c r="CD257" s="162"/>
      <c r="CE257" s="276" t="str">
        <f>IF(OR(CA$8="判定対象外",CD$8="判定対象外",CD257="-"),"-",IF(CA257=CD257,"OK","NG"))</f>
        <v>OK</v>
      </c>
      <c r="CF257" s="160"/>
      <c r="CG257" s="162"/>
      <c r="CH257" s="203" t="str">
        <f t="shared" si="450"/>
        <v xml:space="preserve"> </v>
      </c>
      <c r="CI257" s="174" t="str">
        <f t="shared" si="432"/>
        <v>NG</v>
      </c>
      <c r="CJ257" s="162"/>
      <c r="CK257" s="276" t="str">
        <f>IF(OR(CG$8="判定対象外",CJ$8="判定対象外",CJ257="-"),"-",IF(CG257=CJ257,"OK","NG"))</f>
        <v>OK</v>
      </c>
      <c r="CL257" s="160"/>
      <c r="CM257" s="162"/>
      <c r="CN257" s="203" t="str">
        <f t="shared" si="451"/>
        <v xml:space="preserve"> </v>
      </c>
      <c r="CO257" s="174" t="str">
        <f t="shared" si="433"/>
        <v>NG</v>
      </c>
      <c r="CP257" s="162"/>
      <c r="CQ257" s="276" t="str">
        <f>IF(OR(CM$8="判定対象外",CP$8="判定対象外",CP257="-"),"-",IF(CM257=CP257,"OK","NG"))</f>
        <v>OK</v>
      </c>
      <c r="CR257" s="160"/>
      <c r="CS257" s="162"/>
      <c r="CT257" s="203" t="str">
        <f t="shared" si="452"/>
        <v xml:space="preserve"> </v>
      </c>
      <c r="CU257" s="174" t="str">
        <f t="shared" si="434"/>
        <v>NG</v>
      </c>
      <c r="CV257" s="162"/>
      <c r="CW257" s="276" t="str">
        <f>IF(OR(CS$8="判定対象外",CV$8="判定対象外",CV257="-"),"-",IF(CS257=CV257,"OK","NG"))</f>
        <v>OK</v>
      </c>
      <c r="CX257" s="160"/>
      <c r="CY257" s="162"/>
      <c r="CZ257" s="203" t="str">
        <f t="shared" si="453"/>
        <v xml:space="preserve"> </v>
      </c>
      <c r="DA257" s="174" t="str">
        <f t="shared" si="435"/>
        <v>NG</v>
      </c>
      <c r="DB257" s="162"/>
      <c r="DC257" s="276" t="str">
        <f>IF(OR(CY$8="判定対象外",DB$8="判定対象外",DB257="-"),"-",IF(CY257=DB257,"OK","NG"))</f>
        <v>OK</v>
      </c>
      <c r="DD257" s="160"/>
      <c r="DE257" s="162"/>
      <c r="DF257" s="203" t="str">
        <f t="shared" si="454"/>
        <v xml:space="preserve"> </v>
      </c>
      <c r="DG257" s="174" t="str">
        <f t="shared" si="436"/>
        <v>NG</v>
      </c>
      <c r="DH257" s="162"/>
      <c r="DI257" s="276" t="str">
        <f>IF(OR(DE$8="判定対象外",DH$8="判定対象外",DH257="-"),"-",IF(DE257=DH257,"OK","NG"))</f>
        <v>OK</v>
      </c>
      <c r="DJ257" s="160"/>
      <c r="DK257" s="162"/>
      <c r="DL257" s="203" t="str">
        <f t="shared" si="455"/>
        <v xml:space="preserve"> </v>
      </c>
      <c r="DM257" s="174" t="str">
        <f t="shared" si="437"/>
        <v>NG</v>
      </c>
      <c r="DN257" s="162"/>
      <c r="DO257" s="276" t="str">
        <f>IF(OR(DK$8="判定対象外",DN$8="判定対象外",DN257="-"),"-",IF(DK257=DN257,"OK","NG"))</f>
        <v>OK</v>
      </c>
      <c r="DP257" s="160"/>
      <c r="DQ257" s="162"/>
      <c r="DR257" s="203" t="str">
        <f t="shared" si="456"/>
        <v xml:space="preserve"> </v>
      </c>
      <c r="DS257" s="174" t="str">
        <f t="shared" si="473"/>
        <v>NG</v>
      </c>
      <c r="DT257" s="162"/>
      <c r="DU257" s="276" t="str">
        <f>IF(OR(DQ$8="判定対象外",DT$8="判定対象外",DT257="-"),"-",IF(DQ257=DT257,"OK","NG"))</f>
        <v>OK</v>
      </c>
      <c r="DV257" s="160"/>
      <c r="DW257" s="162"/>
      <c r="DX257" s="203" t="str">
        <f t="shared" si="457"/>
        <v xml:space="preserve"> </v>
      </c>
      <c r="DY257" s="174" t="str">
        <f t="shared" si="474"/>
        <v>NG</v>
      </c>
      <c r="DZ257" s="162"/>
      <c r="EA257" s="276" t="str">
        <f>IF(OR(DW$8="判定対象外",DZ$8="判定対象外",DZ257="-"),"-",IF(DW257=DZ257,"OK","NG"))</f>
        <v>OK</v>
      </c>
      <c r="EB257" s="160"/>
      <c r="EC257" s="162"/>
      <c r="ED257" s="203" t="str">
        <f t="shared" si="458"/>
        <v xml:space="preserve"> </v>
      </c>
      <c r="EE257" s="174" t="str">
        <f t="shared" si="475"/>
        <v>NG</v>
      </c>
      <c r="EF257" s="162"/>
      <c r="EG257" s="276" t="str">
        <f>IF(OR(EC$8="判定対象外",EF$8="判定対象外",EF257="-"),"-",IF(EC257=EF257,"OK","NG"))</f>
        <v>OK</v>
      </c>
      <c r="EH257" s="160"/>
      <c r="EI257" s="162"/>
      <c r="EJ257" s="203" t="str">
        <f t="shared" si="459"/>
        <v xml:space="preserve"> </v>
      </c>
      <c r="EK257" s="174" t="str">
        <f t="shared" si="476"/>
        <v>NG</v>
      </c>
      <c r="EL257" s="162"/>
      <c r="EM257" s="276" t="str">
        <f>IF(OR(EI$8="判定対象外",EL$8="判定対象外",EL257="-"),"-",IF(EI257=EL257,"OK","NG"))</f>
        <v>OK</v>
      </c>
      <c r="EN257" s="160"/>
      <c r="EO257" s="162"/>
      <c r="EP257" s="203" t="str">
        <f t="shared" si="460"/>
        <v xml:space="preserve"> </v>
      </c>
      <c r="EQ257" s="174" t="str">
        <f t="shared" si="477"/>
        <v>NG</v>
      </c>
      <c r="ER257" s="162"/>
      <c r="ES257" s="276" t="str">
        <f>IF(OR(EO$8="判定対象外",ER$8="判定対象外",ER257="-"),"-",IF(EO257=ER257,"OK","NG"))</f>
        <v>OK</v>
      </c>
      <c r="ET257" s="160"/>
      <c r="EU257" s="162"/>
      <c r="EV257" s="203" t="str">
        <f t="shared" si="461"/>
        <v xml:space="preserve"> </v>
      </c>
      <c r="EW257" s="174" t="str">
        <f t="shared" si="478"/>
        <v>NG</v>
      </c>
      <c r="EX257" s="162"/>
      <c r="EY257" s="276" t="str">
        <f>IF(OR(EU$8="判定対象外",EX$8="判定対象外",EX257="-"),"-",IF(EU257=EX257,"OK","NG"))</f>
        <v>OK</v>
      </c>
      <c r="EZ257" s="160"/>
      <c r="FA257" s="162"/>
      <c r="FB257" s="203" t="str">
        <f t="shared" si="462"/>
        <v xml:space="preserve"> </v>
      </c>
      <c r="FC257" s="174" t="str">
        <f t="shared" si="479"/>
        <v>NG</v>
      </c>
      <c r="FD257" s="162"/>
      <c r="FE257" s="276" t="str">
        <f>IF(OR(FA$8="判定対象外",FD$8="判定対象外",FD257="-"),"-",IF(FA257=FD257,"OK","NG"))</f>
        <v>OK</v>
      </c>
      <c r="FF257" s="160"/>
      <c r="FG257" s="162"/>
      <c r="FH257" s="203" t="str">
        <f t="shared" si="463"/>
        <v xml:space="preserve"> </v>
      </c>
      <c r="FI257" s="174" t="str">
        <f t="shared" si="480"/>
        <v>NG</v>
      </c>
      <c r="FJ257" s="162"/>
      <c r="FK257" s="276" t="str">
        <f>IF(OR(FG$8="判定対象外",FJ$8="判定対象外",FJ257="-"),"-",IF(FG257=FJ257,"OK","NG"))</f>
        <v>OK</v>
      </c>
      <c r="FL257" s="160"/>
      <c r="FM257" s="162"/>
      <c r="FN257" s="203" t="str">
        <f t="shared" si="464"/>
        <v xml:space="preserve"> </v>
      </c>
      <c r="FO257" s="174" t="str">
        <f t="shared" si="438"/>
        <v>NG</v>
      </c>
      <c r="FP257" s="162"/>
      <c r="FQ257" s="276" t="str">
        <f>IF(OR(FM$8="判定対象外",FP$8="判定対象外",FP257="-"),"-",IF(FM257=FP257,"OK","NG"))</f>
        <v>OK</v>
      </c>
      <c r="FR257" s="160"/>
      <c r="FS257" s="162"/>
      <c r="FT257" s="203" t="str">
        <f t="shared" si="465"/>
        <v xml:space="preserve"> </v>
      </c>
      <c r="FU257" s="174" t="str">
        <f t="shared" si="439"/>
        <v>NG</v>
      </c>
      <c r="FV257" s="162"/>
      <c r="FW257" s="276" t="str">
        <f>IF(OR(FS$8="判定対象外",FV$8="判定対象外",FV257="-"),"-",IF(FS257=FV257,"OK","NG"))</f>
        <v>OK</v>
      </c>
      <c r="FX257" s="160"/>
      <c r="FY257" s="162"/>
      <c r="FZ257" s="203" t="str">
        <f t="shared" si="466"/>
        <v xml:space="preserve"> </v>
      </c>
      <c r="GA257" s="174" t="str">
        <f t="shared" si="440"/>
        <v>NG</v>
      </c>
      <c r="GB257" s="162"/>
      <c r="GC257" s="276" t="str">
        <f>IF(OR(FY$8="判定対象外",GB$8="判定対象外",GB257="-"),"-",IF(FY257=GB257,"OK","NG"))</f>
        <v>OK</v>
      </c>
    </row>
    <row r="258" spans="2:185" s="52" customFormat="1">
      <c r="B258" s="216">
        <f t="shared" si="467"/>
        <v>251</v>
      </c>
      <c r="C258" s="37"/>
      <c r="D258" s="37"/>
      <c r="E258" s="37"/>
      <c r="F258" s="49" t="s">
        <v>210</v>
      </c>
      <c r="G258" s="39"/>
      <c r="H258" s="40"/>
      <c r="I258" s="42"/>
      <c r="J258" s="42"/>
      <c r="K258" s="42"/>
      <c r="L258" s="42"/>
      <c r="M258" s="163" t="s">
        <v>334</v>
      </c>
      <c r="N258" s="47"/>
      <c r="O258" s="143"/>
      <c r="P258" s="45">
        <f t="shared" si="481"/>
        <v>227</v>
      </c>
      <c r="Q258" s="46">
        <v>400</v>
      </c>
      <c r="R258" s="41" t="str">
        <f t="shared" si="482"/>
        <v>NX</v>
      </c>
      <c r="S258" s="185" t="s">
        <v>211</v>
      </c>
      <c r="T258" s="43"/>
      <c r="U258" s="41" t="s">
        <v>80</v>
      </c>
      <c r="V258" s="44"/>
      <c r="W258" s="22">
        <v>3</v>
      </c>
      <c r="X258" s="47" t="s">
        <v>212</v>
      </c>
      <c r="Y258" s="47">
        <v>1</v>
      </c>
      <c r="Z258" s="47">
        <v>400</v>
      </c>
      <c r="AA258" s="42" t="s">
        <v>195</v>
      </c>
      <c r="AB258" s="42" t="s">
        <v>80</v>
      </c>
      <c r="AC258" s="166"/>
      <c r="AD258" s="160"/>
      <c r="AE258" s="162"/>
      <c r="AF258" s="175" t="str">
        <f t="shared" si="442"/>
        <v xml:space="preserve">                                                                                                                                                                                                                                                                                                                                                                                                                </v>
      </c>
      <c r="AG258" s="174" t="str">
        <f t="shared" si="424"/>
        <v>NG</v>
      </c>
      <c r="AH258" s="162"/>
      <c r="AI258" s="276" t="str">
        <f>IF(OR(AE$8="判定対象外",AH$8="判定対象外",AH258="-"),"-",IF(AE258=AH258,"OK","NG"))</f>
        <v>OK</v>
      </c>
      <c r="AJ258" s="160"/>
      <c r="AK258" s="162"/>
      <c r="AL258" s="175" t="str">
        <f t="shared" si="441"/>
        <v xml:space="preserve">                                                                                                                                                                                                                                                                                                                                                                                                                </v>
      </c>
      <c r="AM258" s="174" t="str">
        <f t="shared" si="468"/>
        <v>NG</v>
      </c>
      <c r="AN258" s="162"/>
      <c r="AO258" s="276" t="str">
        <f>IF(OR(AK$8="判定対象外",AN$8="判定対象外",AN258="-"),"-",IF(AK258=AN258,"OK","NG"))</f>
        <v>OK</v>
      </c>
      <c r="AP258" s="160"/>
      <c r="AQ258" s="162"/>
      <c r="AR258" s="175" t="str">
        <f t="shared" si="443"/>
        <v xml:space="preserve">                                                                                                                                                                                                                                                                                                                                                                                                                </v>
      </c>
      <c r="AS258" s="174" t="str">
        <f t="shared" si="425"/>
        <v>NG</v>
      </c>
      <c r="AT258" s="162"/>
      <c r="AU258" s="276" t="str">
        <f>IF(OR(AQ$8="判定対象外",AT$8="判定対象外",AT258="-"),"-",IF(AQ258=AT258,"OK","NG"))</f>
        <v>OK</v>
      </c>
      <c r="AV258" s="160"/>
      <c r="AW258" s="162"/>
      <c r="AX258" s="175" t="str">
        <f t="shared" si="444"/>
        <v xml:space="preserve">                                                                                                                                                                                                                                                                                                                                                                                                                </v>
      </c>
      <c r="AY258" s="174" t="str">
        <f t="shared" si="426"/>
        <v>NG</v>
      </c>
      <c r="AZ258" s="162"/>
      <c r="BA258" s="276" t="str">
        <f>IF(OR(AW$8="判定対象外",AZ$8="判定対象外",AZ258="-"),"-",IF(AW258=AZ258,"OK","NG"))</f>
        <v>OK</v>
      </c>
      <c r="BB258" s="160"/>
      <c r="BC258" s="162"/>
      <c r="BD258" s="175" t="str">
        <f t="shared" si="445"/>
        <v xml:space="preserve">                                                                                                                                                                                                                                                                                                                                                                                                                </v>
      </c>
      <c r="BE258" s="174" t="str">
        <f t="shared" si="427"/>
        <v>NG</v>
      </c>
      <c r="BF258" s="162"/>
      <c r="BG258" s="276" t="str">
        <f>IF(OR(BC$8="判定対象外",BF$8="判定対象外",BF258="-"),"-",IF(BC258=BF258,"OK","NG"))</f>
        <v>OK</v>
      </c>
      <c r="BH258" s="160"/>
      <c r="BI258" s="162"/>
      <c r="BJ258" s="175" t="str">
        <f t="shared" si="446"/>
        <v xml:space="preserve">                                                                                                                                                                                                                                                                                                                                                                                                                </v>
      </c>
      <c r="BK258" s="174" t="str">
        <f t="shared" si="428"/>
        <v>NG</v>
      </c>
      <c r="BL258" s="162"/>
      <c r="BM258" s="276" t="str">
        <f>IF(OR(BI$8="判定対象外",BL$8="判定対象外",BL258="-"),"-",IF(BI258=BL258,"OK","NG"))</f>
        <v>OK</v>
      </c>
      <c r="BN258" s="160"/>
      <c r="BO258" s="162"/>
      <c r="BP258" s="175" t="str">
        <f t="shared" si="447"/>
        <v xml:space="preserve">                                                                                                                                                                                                                                                                                                                                                                                                                </v>
      </c>
      <c r="BQ258" s="174" t="str">
        <f t="shared" si="429"/>
        <v>NG</v>
      </c>
      <c r="BR258" s="162"/>
      <c r="BS258" s="276" t="str">
        <f>IF(OR(BO$8="判定対象外",BR$8="判定対象外",BR258="-"),"-",IF(BO258=BR258,"OK","NG"))</f>
        <v>OK</v>
      </c>
      <c r="BT258" s="160"/>
      <c r="BU258" s="162"/>
      <c r="BV258" s="175" t="str">
        <f t="shared" si="448"/>
        <v xml:space="preserve">                                                                                                                                                                                                                                                                                                                                                                                                                </v>
      </c>
      <c r="BW258" s="174" t="str">
        <f t="shared" si="430"/>
        <v>NG</v>
      </c>
      <c r="BX258" s="162"/>
      <c r="BY258" s="276" t="str">
        <f>IF(OR(BU$8="判定対象外",BX$8="判定対象外",BX258="-"),"-",IF(BU258=BX258,"OK","NG"))</f>
        <v>OK</v>
      </c>
      <c r="BZ258" s="160"/>
      <c r="CA258" s="162"/>
      <c r="CB258" s="175" t="str">
        <f t="shared" si="449"/>
        <v xml:space="preserve">                                                                                                                                                                                                                                                                                                                                                                                                                </v>
      </c>
      <c r="CC258" s="174" t="str">
        <f t="shared" si="431"/>
        <v>NG</v>
      </c>
      <c r="CD258" s="162"/>
      <c r="CE258" s="276" t="str">
        <f>IF(OR(CA$8="判定対象外",CD$8="判定対象外",CD258="-"),"-",IF(CA258=CD258,"OK","NG"))</f>
        <v>OK</v>
      </c>
      <c r="CF258" s="160"/>
      <c r="CG258" s="162"/>
      <c r="CH258" s="175" t="str">
        <f t="shared" si="450"/>
        <v xml:space="preserve">                                                                                                                                                                                                                                                                                                                                                                                                                </v>
      </c>
      <c r="CI258" s="174" t="str">
        <f t="shared" si="432"/>
        <v>NG</v>
      </c>
      <c r="CJ258" s="162"/>
      <c r="CK258" s="276" t="str">
        <f>IF(OR(CG$8="判定対象外",CJ$8="判定対象外",CJ258="-"),"-",IF(CG258=CJ258,"OK","NG"))</f>
        <v>OK</v>
      </c>
      <c r="CL258" s="160"/>
      <c r="CM258" s="162"/>
      <c r="CN258" s="175" t="str">
        <f t="shared" si="451"/>
        <v xml:space="preserve">                                                                                                                                                                                                                                                                                                                                                                                                                </v>
      </c>
      <c r="CO258" s="174" t="str">
        <f t="shared" si="433"/>
        <v>NG</v>
      </c>
      <c r="CP258" s="162"/>
      <c r="CQ258" s="276" t="str">
        <f>IF(OR(CM$8="判定対象外",CP$8="判定対象外",CP258="-"),"-",IF(CM258=CP258,"OK","NG"))</f>
        <v>OK</v>
      </c>
      <c r="CR258" s="160"/>
      <c r="CS258" s="162"/>
      <c r="CT258" s="175" t="str">
        <f t="shared" si="452"/>
        <v xml:space="preserve">                                                                                                                                                                                                                                                                                                                                                                                                                </v>
      </c>
      <c r="CU258" s="174" t="str">
        <f t="shared" si="434"/>
        <v>NG</v>
      </c>
      <c r="CV258" s="162"/>
      <c r="CW258" s="276" t="str">
        <f>IF(OR(CS$8="判定対象外",CV$8="判定対象外",CV258="-"),"-",IF(CS258=CV258,"OK","NG"))</f>
        <v>OK</v>
      </c>
      <c r="CX258" s="160"/>
      <c r="CY258" s="162"/>
      <c r="CZ258" s="175" t="str">
        <f t="shared" si="453"/>
        <v xml:space="preserve">                                                                                                                                                                                                                                                                                                                                                                                                                </v>
      </c>
      <c r="DA258" s="174" t="str">
        <f t="shared" si="435"/>
        <v>NG</v>
      </c>
      <c r="DB258" s="162"/>
      <c r="DC258" s="276" t="str">
        <f>IF(OR(CY$8="判定対象外",DB$8="判定対象外",DB258="-"),"-",IF(CY258=DB258,"OK","NG"))</f>
        <v>OK</v>
      </c>
      <c r="DD258" s="160"/>
      <c r="DE258" s="162"/>
      <c r="DF258" s="175" t="str">
        <f t="shared" si="454"/>
        <v xml:space="preserve">                                                                                                                                                                                                                                                                                                                                                                                                                </v>
      </c>
      <c r="DG258" s="174" t="str">
        <f t="shared" si="436"/>
        <v>NG</v>
      </c>
      <c r="DH258" s="162"/>
      <c r="DI258" s="276" t="str">
        <f>IF(OR(DE$8="判定対象外",DH$8="判定対象外",DH258="-"),"-",IF(DE258=DH258,"OK","NG"))</f>
        <v>OK</v>
      </c>
      <c r="DJ258" s="160"/>
      <c r="DK258" s="162"/>
      <c r="DL258" s="175" t="str">
        <f t="shared" si="455"/>
        <v xml:space="preserve">                                                                                                                                                                                                                                                                                                                                                                                                                </v>
      </c>
      <c r="DM258" s="174" t="str">
        <f t="shared" si="437"/>
        <v>NG</v>
      </c>
      <c r="DN258" s="162"/>
      <c r="DO258" s="276" t="str">
        <f>IF(OR(DK$8="判定対象外",DN$8="判定対象外",DN258="-"),"-",IF(DK258=DN258,"OK","NG"))</f>
        <v>OK</v>
      </c>
      <c r="DP258" s="160"/>
      <c r="DQ258" s="162"/>
      <c r="DR258" s="175" t="str">
        <f t="shared" si="456"/>
        <v xml:space="preserve">                                                                                                                                                                                                                                                                                                                                                                                                                </v>
      </c>
      <c r="DS258" s="174" t="str">
        <f t="shared" si="473"/>
        <v>NG</v>
      </c>
      <c r="DT258" s="162"/>
      <c r="DU258" s="276" t="str">
        <f>IF(OR(DQ$8="判定対象外",DT$8="判定対象外",DT258="-"),"-",IF(DQ258=DT258,"OK","NG"))</f>
        <v>OK</v>
      </c>
      <c r="DV258" s="160"/>
      <c r="DW258" s="162"/>
      <c r="DX258" s="175" t="str">
        <f t="shared" si="457"/>
        <v xml:space="preserve">                                                                                                                                                                                                                                                                                                                                                                                                                </v>
      </c>
      <c r="DY258" s="174" t="str">
        <f t="shared" si="474"/>
        <v>NG</v>
      </c>
      <c r="DZ258" s="162"/>
      <c r="EA258" s="276" t="str">
        <f>IF(OR(DW$8="判定対象外",DZ$8="判定対象外",DZ258="-"),"-",IF(DW258=DZ258,"OK","NG"))</f>
        <v>OK</v>
      </c>
      <c r="EB258" s="160"/>
      <c r="EC258" s="162"/>
      <c r="ED258" s="175" t="str">
        <f t="shared" si="458"/>
        <v xml:space="preserve">                                                                                                                                                                                                                                                                                                                                                                                                                </v>
      </c>
      <c r="EE258" s="174" t="str">
        <f t="shared" si="475"/>
        <v>NG</v>
      </c>
      <c r="EF258" s="162"/>
      <c r="EG258" s="276" t="str">
        <f>IF(OR(EC$8="判定対象外",EF$8="判定対象外",EF258="-"),"-",IF(EC258=EF258,"OK","NG"))</f>
        <v>OK</v>
      </c>
      <c r="EH258" s="160"/>
      <c r="EI258" s="162"/>
      <c r="EJ258" s="175" t="str">
        <f t="shared" si="459"/>
        <v xml:space="preserve">                                                                                                                                                                                                                                                                                                                                                                                                                </v>
      </c>
      <c r="EK258" s="174" t="str">
        <f t="shared" si="476"/>
        <v>NG</v>
      </c>
      <c r="EL258" s="162"/>
      <c r="EM258" s="276" t="str">
        <f>IF(OR(EI$8="判定対象外",EL$8="判定対象外",EL258="-"),"-",IF(EI258=EL258,"OK","NG"))</f>
        <v>OK</v>
      </c>
      <c r="EN258" s="160"/>
      <c r="EO258" s="162"/>
      <c r="EP258" s="175" t="str">
        <f t="shared" si="460"/>
        <v xml:space="preserve">                                                                                                                                                                                                                                                                                                                                                                                                                </v>
      </c>
      <c r="EQ258" s="174" t="str">
        <f t="shared" si="477"/>
        <v>NG</v>
      </c>
      <c r="ER258" s="162"/>
      <c r="ES258" s="276" t="str">
        <f>IF(OR(EO$8="判定対象外",ER$8="判定対象外",ER258="-"),"-",IF(EO258=ER258,"OK","NG"))</f>
        <v>OK</v>
      </c>
      <c r="ET258" s="160"/>
      <c r="EU258" s="162"/>
      <c r="EV258" s="175" t="str">
        <f t="shared" si="461"/>
        <v xml:space="preserve">                                                                                                                                                                                                                                                                                                                                                                                                                </v>
      </c>
      <c r="EW258" s="174" t="str">
        <f t="shared" si="478"/>
        <v>NG</v>
      </c>
      <c r="EX258" s="162"/>
      <c r="EY258" s="276" t="str">
        <f>IF(OR(EU$8="判定対象外",EX$8="判定対象外",EX258="-"),"-",IF(EU258=EX258,"OK","NG"))</f>
        <v>OK</v>
      </c>
      <c r="EZ258" s="160"/>
      <c r="FA258" s="162"/>
      <c r="FB258" s="175" t="str">
        <f t="shared" si="462"/>
        <v xml:space="preserve">                                                                                                                                                                                                                                                                                                                                                                                                                </v>
      </c>
      <c r="FC258" s="174" t="str">
        <f t="shared" si="479"/>
        <v>NG</v>
      </c>
      <c r="FD258" s="162"/>
      <c r="FE258" s="276" t="str">
        <f>IF(OR(FA$8="判定対象外",FD$8="判定対象外",FD258="-"),"-",IF(FA258=FD258,"OK","NG"))</f>
        <v>OK</v>
      </c>
      <c r="FF258" s="160"/>
      <c r="FG258" s="162"/>
      <c r="FH258" s="175" t="str">
        <f t="shared" si="463"/>
        <v xml:space="preserve">                                                                                                                                                                                                                                                                                                                                                                                                                </v>
      </c>
      <c r="FI258" s="174" t="str">
        <f t="shared" si="480"/>
        <v>NG</v>
      </c>
      <c r="FJ258" s="162"/>
      <c r="FK258" s="276" t="str">
        <f>IF(OR(FG$8="判定対象外",FJ$8="判定対象外",FJ258="-"),"-",IF(FG258=FJ258,"OK","NG"))</f>
        <v>OK</v>
      </c>
      <c r="FL258" s="160"/>
      <c r="FM258" s="162"/>
      <c r="FN258" s="175" t="str">
        <f t="shared" si="464"/>
        <v xml:space="preserve">                                                                                                                                                                                                                                                                                                                                                                                                                </v>
      </c>
      <c r="FO258" s="174" t="str">
        <f t="shared" si="438"/>
        <v>NG</v>
      </c>
      <c r="FP258" s="162"/>
      <c r="FQ258" s="276" t="str">
        <f>IF(OR(FM$8="判定対象外",FP$8="判定対象外",FP258="-"),"-",IF(FM258=FP258,"OK","NG"))</f>
        <v>OK</v>
      </c>
      <c r="FR258" s="160"/>
      <c r="FS258" s="162"/>
      <c r="FT258" s="175" t="str">
        <f t="shared" si="465"/>
        <v xml:space="preserve">                                                                                                                                                                                                                                                                                                                                                                                                                </v>
      </c>
      <c r="FU258" s="174" t="str">
        <f t="shared" si="439"/>
        <v>NG</v>
      </c>
      <c r="FV258" s="162"/>
      <c r="FW258" s="276" t="str">
        <f>IF(OR(FS$8="判定対象外",FV$8="判定対象外",FV258="-"),"-",IF(FS258=FV258,"OK","NG"))</f>
        <v>OK</v>
      </c>
      <c r="FX258" s="160"/>
      <c r="FY258" s="162"/>
      <c r="FZ258" s="175" t="str">
        <f t="shared" si="466"/>
        <v xml:space="preserve">                                                                                                                                                                                                                                                                                                                                                                                                                </v>
      </c>
      <c r="GA258" s="174" t="str">
        <f t="shared" si="440"/>
        <v>NG</v>
      </c>
      <c r="GB258" s="162"/>
      <c r="GC258" s="276" t="str">
        <f>IF(OR(FY$8="判定対象外",GB$8="判定対象外",GB258="-"),"-",IF(FY258=GB258,"OK","NG"))</f>
        <v>OK</v>
      </c>
    </row>
    <row r="259" spans="2:185" s="52" customFormat="1" ht="63.75">
      <c r="B259" s="216">
        <f t="shared" si="467"/>
        <v>252</v>
      </c>
      <c r="C259" s="37"/>
      <c r="D259" s="37"/>
      <c r="E259" s="37"/>
      <c r="F259" s="49" t="s">
        <v>213</v>
      </c>
      <c r="G259" s="39"/>
      <c r="H259" s="40"/>
      <c r="I259" s="42"/>
      <c r="J259" s="42"/>
      <c r="K259" s="42"/>
      <c r="L259" s="42"/>
      <c r="M259" s="163" t="s">
        <v>335</v>
      </c>
      <c r="N259" s="47"/>
      <c r="O259" s="143"/>
      <c r="P259" s="45">
        <f t="shared" si="481"/>
        <v>228</v>
      </c>
      <c r="Q259" s="46">
        <v>400</v>
      </c>
      <c r="R259" s="41" t="str">
        <f t="shared" si="482"/>
        <v>NX</v>
      </c>
      <c r="S259" s="185" t="s">
        <v>214</v>
      </c>
      <c r="T259" s="43"/>
      <c r="U259" s="41" t="s">
        <v>80</v>
      </c>
      <c r="V259" s="44"/>
      <c r="W259" s="22">
        <v>3</v>
      </c>
      <c r="X259" s="47" t="s">
        <v>215</v>
      </c>
      <c r="Y259" s="47">
        <v>1</v>
      </c>
      <c r="Z259" s="47">
        <v>400</v>
      </c>
      <c r="AA259" s="42" t="s">
        <v>195</v>
      </c>
      <c r="AB259" s="42" t="s">
        <v>80</v>
      </c>
      <c r="AC259" s="166"/>
      <c r="AD259" s="160"/>
      <c r="AE259" s="162"/>
      <c r="AF259" s="146" t="str">
        <f t="shared" si="442"/>
        <v xml:space="preserve">                                                                                                                                                                                                                                                                                                                                                                                                                </v>
      </c>
      <c r="AG259" s="174" t="str">
        <f t="shared" si="424"/>
        <v>NG</v>
      </c>
      <c r="AH259" s="162"/>
      <c r="AI259" s="172" t="s">
        <v>71</v>
      </c>
      <c r="AJ259" s="160"/>
      <c r="AK259" s="162"/>
      <c r="AL259" s="146" t="str">
        <f t="shared" si="441"/>
        <v xml:space="preserve">                                                                                                                                                                                                                                                                                                                                                                                                                </v>
      </c>
      <c r="AM259" s="174" t="str">
        <f t="shared" si="468"/>
        <v>NG</v>
      </c>
      <c r="AN259" s="162"/>
      <c r="AO259" s="172" t="s">
        <v>71</v>
      </c>
      <c r="AP259" s="160"/>
      <c r="AQ259" s="162"/>
      <c r="AR259" s="146" t="str">
        <f t="shared" si="443"/>
        <v xml:space="preserve">                                                                                                                                                                                                                                                                                                                                                                                                                </v>
      </c>
      <c r="AS259" s="174" t="str">
        <f t="shared" si="425"/>
        <v>NG</v>
      </c>
      <c r="AT259" s="162"/>
      <c r="AU259" s="172" t="s">
        <v>71</v>
      </c>
      <c r="AV259" s="160"/>
      <c r="AW259" s="162"/>
      <c r="AX259" s="146" t="str">
        <f t="shared" si="444"/>
        <v xml:space="preserve">                                                                                                                                                                                                                                                                                                                                                                                                                </v>
      </c>
      <c r="AY259" s="174" t="str">
        <f t="shared" si="426"/>
        <v>NG</v>
      </c>
      <c r="AZ259" s="162"/>
      <c r="BA259" s="172" t="s">
        <v>71</v>
      </c>
      <c r="BB259" s="160"/>
      <c r="BC259" s="162"/>
      <c r="BD259" s="146" t="str">
        <f t="shared" si="445"/>
        <v xml:space="preserve">                                                                                                                                                                                                                                                                                                                                                                                                                </v>
      </c>
      <c r="BE259" s="174" t="str">
        <f t="shared" si="427"/>
        <v>NG</v>
      </c>
      <c r="BF259" s="162"/>
      <c r="BG259" s="172" t="s">
        <v>71</v>
      </c>
      <c r="BH259" s="160"/>
      <c r="BI259" s="162"/>
      <c r="BJ259" s="146" t="str">
        <f t="shared" si="446"/>
        <v xml:space="preserve">                                                                                                                                                                                                                                                                                                                                                                                                                </v>
      </c>
      <c r="BK259" s="174" t="str">
        <f t="shared" si="428"/>
        <v>NG</v>
      </c>
      <c r="BL259" s="162"/>
      <c r="BM259" s="172" t="s">
        <v>71</v>
      </c>
      <c r="BN259" s="160"/>
      <c r="BO259" s="162"/>
      <c r="BP259" s="146" t="str">
        <f t="shared" si="447"/>
        <v xml:space="preserve">                                                                                                                                                                                                                                                                                                                                                                                                                </v>
      </c>
      <c r="BQ259" s="174" t="str">
        <f t="shared" si="429"/>
        <v>NG</v>
      </c>
      <c r="BR259" s="162"/>
      <c r="BS259" s="172" t="s">
        <v>71</v>
      </c>
      <c r="BT259" s="160"/>
      <c r="BU259" s="162"/>
      <c r="BV259" s="146" t="str">
        <f t="shared" si="448"/>
        <v xml:space="preserve">                                                                                                                                                                                                                                                                                                                                                                                                                </v>
      </c>
      <c r="BW259" s="174" t="str">
        <f t="shared" si="430"/>
        <v>NG</v>
      </c>
      <c r="BX259" s="162"/>
      <c r="BY259" s="172" t="s">
        <v>71</v>
      </c>
      <c r="BZ259" s="160"/>
      <c r="CA259" s="162"/>
      <c r="CB259" s="146" t="str">
        <f t="shared" si="449"/>
        <v xml:space="preserve">                                                                                                                                                                                                                                                                                                                                                                                                                </v>
      </c>
      <c r="CC259" s="174" t="str">
        <f t="shared" si="431"/>
        <v>NG</v>
      </c>
      <c r="CD259" s="162"/>
      <c r="CE259" s="172" t="s">
        <v>71</v>
      </c>
      <c r="CF259" s="160"/>
      <c r="CG259" s="162"/>
      <c r="CH259" s="146" t="str">
        <f t="shared" si="450"/>
        <v xml:space="preserve">                                                                                                                                                                                                                                                                                                                                                                                                                </v>
      </c>
      <c r="CI259" s="174" t="str">
        <f t="shared" si="432"/>
        <v>NG</v>
      </c>
      <c r="CJ259" s="162"/>
      <c r="CK259" s="172" t="s">
        <v>71</v>
      </c>
      <c r="CL259" s="160"/>
      <c r="CM259" s="162"/>
      <c r="CN259" s="146" t="str">
        <f t="shared" si="451"/>
        <v xml:space="preserve">                                                                                                                                                                                                                                                                                                                                                                                                                </v>
      </c>
      <c r="CO259" s="174" t="str">
        <f t="shared" si="433"/>
        <v>NG</v>
      </c>
      <c r="CP259" s="162"/>
      <c r="CQ259" s="172" t="s">
        <v>71</v>
      </c>
      <c r="CR259" s="160"/>
      <c r="CS259" s="162"/>
      <c r="CT259" s="146" t="str">
        <f t="shared" si="452"/>
        <v xml:space="preserve">                                                                                                                                                                                                                                                                                                                                                                                                                </v>
      </c>
      <c r="CU259" s="174" t="str">
        <f t="shared" si="434"/>
        <v>NG</v>
      </c>
      <c r="CV259" s="162"/>
      <c r="CW259" s="172" t="s">
        <v>71</v>
      </c>
      <c r="CX259" s="160"/>
      <c r="CY259" s="162"/>
      <c r="CZ259" s="146" t="str">
        <f t="shared" si="453"/>
        <v xml:space="preserve">                                                                                                                                                                                                                                                                                                                                                                                                                </v>
      </c>
      <c r="DA259" s="174" t="str">
        <f t="shared" si="435"/>
        <v>NG</v>
      </c>
      <c r="DB259" s="162"/>
      <c r="DC259" s="172" t="s">
        <v>71</v>
      </c>
      <c r="DD259" s="160"/>
      <c r="DE259" s="162"/>
      <c r="DF259" s="146" t="str">
        <f t="shared" si="454"/>
        <v xml:space="preserve">                                                                                                                                                                                                                                                                                                                                                                                                                </v>
      </c>
      <c r="DG259" s="174" t="str">
        <f t="shared" si="436"/>
        <v>NG</v>
      </c>
      <c r="DH259" s="162"/>
      <c r="DI259" s="172" t="s">
        <v>71</v>
      </c>
      <c r="DJ259" s="160"/>
      <c r="DK259" s="162"/>
      <c r="DL259" s="146" t="str">
        <f t="shared" si="455"/>
        <v xml:space="preserve">                                                                                                                                                                                                                                                                                                                                                                                                                </v>
      </c>
      <c r="DM259" s="174" t="str">
        <f t="shared" si="437"/>
        <v>NG</v>
      </c>
      <c r="DN259" s="162"/>
      <c r="DO259" s="172" t="s">
        <v>71</v>
      </c>
      <c r="DP259" s="160"/>
      <c r="DQ259" s="162"/>
      <c r="DR259" s="146" t="str">
        <f t="shared" si="456"/>
        <v xml:space="preserve">                                                                                                                                                                                                                                                                                                                                                                                                                </v>
      </c>
      <c r="DS259" s="174" t="str">
        <f t="shared" si="473"/>
        <v>NG</v>
      </c>
      <c r="DT259" s="162"/>
      <c r="DU259" s="172" t="s">
        <v>71</v>
      </c>
      <c r="DV259" s="160"/>
      <c r="DW259" s="162"/>
      <c r="DX259" s="146" t="str">
        <f t="shared" si="457"/>
        <v xml:space="preserve">                                                                                                                                                                                                                                                                                                                                                                                                                </v>
      </c>
      <c r="DY259" s="174" t="str">
        <f t="shared" si="474"/>
        <v>NG</v>
      </c>
      <c r="DZ259" s="162"/>
      <c r="EA259" s="172" t="s">
        <v>71</v>
      </c>
      <c r="EB259" s="160"/>
      <c r="EC259" s="162"/>
      <c r="ED259" s="146" t="str">
        <f t="shared" si="458"/>
        <v xml:space="preserve">                                                                                                                                                                                                                                                                                                                                                                                                                </v>
      </c>
      <c r="EE259" s="174" t="str">
        <f t="shared" si="475"/>
        <v>NG</v>
      </c>
      <c r="EF259" s="162"/>
      <c r="EG259" s="172" t="s">
        <v>71</v>
      </c>
      <c r="EH259" s="160"/>
      <c r="EI259" s="162"/>
      <c r="EJ259" s="146" t="str">
        <f t="shared" si="459"/>
        <v xml:space="preserve">                                                                                                                                                                                                                                                                                                                                                                                                                </v>
      </c>
      <c r="EK259" s="174" t="str">
        <f t="shared" si="476"/>
        <v>NG</v>
      </c>
      <c r="EL259" s="162"/>
      <c r="EM259" s="172" t="s">
        <v>71</v>
      </c>
      <c r="EN259" s="160"/>
      <c r="EO259" s="162"/>
      <c r="EP259" s="146" t="str">
        <f t="shared" si="460"/>
        <v xml:space="preserve">                                                                                                                                                                                                                                                                                                                                                                                                                </v>
      </c>
      <c r="EQ259" s="174" t="str">
        <f t="shared" si="477"/>
        <v>NG</v>
      </c>
      <c r="ER259" s="162"/>
      <c r="ES259" s="172" t="s">
        <v>71</v>
      </c>
      <c r="ET259" s="160"/>
      <c r="EU259" s="162"/>
      <c r="EV259" s="146" t="str">
        <f t="shared" si="461"/>
        <v xml:space="preserve">                                                                                                                                                                                                                                                                                                                                                                                                                </v>
      </c>
      <c r="EW259" s="174" t="str">
        <f t="shared" si="478"/>
        <v>NG</v>
      </c>
      <c r="EX259" s="162"/>
      <c r="EY259" s="172" t="s">
        <v>71</v>
      </c>
      <c r="EZ259" s="160"/>
      <c r="FA259" s="162"/>
      <c r="FB259" s="146" t="str">
        <f t="shared" si="462"/>
        <v xml:space="preserve">                                                                                                                                                                                                                                                                                                                                                                                                                </v>
      </c>
      <c r="FC259" s="174" t="str">
        <f t="shared" si="479"/>
        <v>NG</v>
      </c>
      <c r="FD259" s="162"/>
      <c r="FE259" s="172" t="s">
        <v>71</v>
      </c>
      <c r="FF259" s="160"/>
      <c r="FG259" s="162"/>
      <c r="FH259" s="146" t="str">
        <f t="shared" si="463"/>
        <v xml:space="preserve">                                                                                                                                                                                                                                                                                                                                                                                                                </v>
      </c>
      <c r="FI259" s="174" t="str">
        <f t="shared" si="480"/>
        <v>NG</v>
      </c>
      <c r="FJ259" s="162"/>
      <c r="FK259" s="172" t="s">
        <v>71</v>
      </c>
      <c r="FL259" s="160"/>
      <c r="FM259" s="162"/>
      <c r="FN259" s="146" t="str">
        <f t="shared" si="464"/>
        <v xml:space="preserve">                                                                                                                                                                                                                                                                                                                                                                                                                </v>
      </c>
      <c r="FO259" s="174" t="str">
        <f t="shared" si="438"/>
        <v>NG</v>
      </c>
      <c r="FP259" s="162"/>
      <c r="FQ259" s="172" t="s">
        <v>71</v>
      </c>
      <c r="FR259" s="160"/>
      <c r="FS259" s="162"/>
      <c r="FT259" s="146" t="str">
        <f t="shared" si="465"/>
        <v xml:space="preserve">                                                                                                                                                                                                                                                                                                                                                                                                                </v>
      </c>
      <c r="FU259" s="174" t="str">
        <f t="shared" si="439"/>
        <v>NG</v>
      </c>
      <c r="FV259" s="162"/>
      <c r="FW259" s="172" t="s">
        <v>71</v>
      </c>
      <c r="FX259" s="160"/>
      <c r="FY259" s="162"/>
      <c r="FZ259" s="146" t="str">
        <f t="shared" si="466"/>
        <v xml:space="preserve">                                                                                                                                                                                                                                                                                                                                                                                                                </v>
      </c>
      <c r="GA259" s="174" t="str">
        <f t="shared" si="440"/>
        <v>NG</v>
      </c>
      <c r="GB259" s="162"/>
      <c r="GC259" s="172" t="s">
        <v>71</v>
      </c>
    </row>
    <row r="260" spans="2:185" s="52" customFormat="1">
      <c r="B260" s="216">
        <f t="shared" si="467"/>
        <v>253</v>
      </c>
      <c r="C260" s="37"/>
      <c r="D260" s="37"/>
      <c r="E260" s="37"/>
      <c r="F260" s="49" t="s">
        <v>216</v>
      </c>
      <c r="G260" s="39"/>
      <c r="H260" s="40"/>
      <c r="I260" s="42"/>
      <c r="J260" s="42"/>
      <c r="K260" s="42"/>
      <c r="L260" s="42"/>
      <c r="M260" s="63" t="s">
        <v>336</v>
      </c>
      <c r="N260" s="47"/>
      <c r="O260" s="143"/>
      <c r="P260" s="45">
        <f t="shared" si="481"/>
        <v>229</v>
      </c>
      <c r="Q260" s="46">
        <v>400</v>
      </c>
      <c r="R260" s="41" t="str">
        <f t="shared" si="482"/>
        <v>NX</v>
      </c>
      <c r="S260" s="185" t="s">
        <v>217</v>
      </c>
      <c r="T260" s="43"/>
      <c r="U260" s="41" t="s">
        <v>80</v>
      </c>
      <c r="V260" s="44"/>
      <c r="W260" s="22">
        <v>3</v>
      </c>
      <c r="X260" s="47" t="s">
        <v>218</v>
      </c>
      <c r="Y260" s="47">
        <v>1</v>
      </c>
      <c r="Z260" s="47">
        <v>400</v>
      </c>
      <c r="AA260" s="42" t="s">
        <v>195</v>
      </c>
      <c r="AB260" s="42" t="s">
        <v>80</v>
      </c>
      <c r="AC260" s="166"/>
      <c r="AD260" s="160"/>
      <c r="AE260" s="141"/>
      <c r="AF260" s="146" t="str">
        <f t="shared" si="442"/>
        <v xml:space="preserve">                                                                                                                                                                                                                                                                                                                                                                                                                </v>
      </c>
      <c r="AG260" s="174" t="str">
        <f t="shared" si="424"/>
        <v>NG</v>
      </c>
      <c r="AH260" s="141"/>
      <c r="AI260" s="172" t="s">
        <v>71</v>
      </c>
      <c r="AJ260" s="160"/>
      <c r="AK260" s="141"/>
      <c r="AL260" s="146" t="str">
        <f t="shared" si="441"/>
        <v xml:space="preserve">                                                                                                                                                                                                                                                                                                                                                                                                                </v>
      </c>
      <c r="AM260" s="174" t="str">
        <f t="shared" si="468"/>
        <v>NG</v>
      </c>
      <c r="AN260" s="141"/>
      <c r="AO260" s="172" t="s">
        <v>71</v>
      </c>
      <c r="AP260" s="160"/>
      <c r="AQ260" s="141"/>
      <c r="AR260" s="146" t="str">
        <f t="shared" si="443"/>
        <v xml:space="preserve">                                                                                                                                                                                                                                                                                                                                                                                                                </v>
      </c>
      <c r="AS260" s="174" t="str">
        <f t="shared" si="425"/>
        <v>NG</v>
      </c>
      <c r="AT260" s="141"/>
      <c r="AU260" s="172" t="s">
        <v>71</v>
      </c>
      <c r="AV260" s="160"/>
      <c r="AW260" s="141"/>
      <c r="AX260" s="146" t="str">
        <f t="shared" si="444"/>
        <v xml:space="preserve">                                                                                                                                                                                                                                                                                                                                                                                                                </v>
      </c>
      <c r="AY260" s="174" t="str">
        <f t="shared" si="426"/>
        <v>NG</v>
      </c>
      <c r="AZ260" s="141"/>
      <c r="BA260" s="172" t="s">
        <v>71</v>
      </c>
      <c r="BB260" s="160"/>
      <c r="BC260" s="141"/>
      <c r="BD260" s="146" t="str">
        <f t="shared" si="445"/>
        <v xml:space="preserve">                                                                                                                                                                                                                                                                                                                                                                                                                </v>
      </c>
      <c r="BE260" s="174" t="str">
        <f t="shared" si="427"/>
        <v>NG</v>
      </c>
      <c r="BF260" s="141"/>
      <c r="BG260" s="172" t="s">
        <v>71</v>
      </c>
      <c r="BH260" s="160"/>
      <c r="BI260" s="141"/>
      <c r="BJ260" s="146" t="str">
        <f t="shared" si="446"/>
        <v xml:space="preserve">                                                                                                                                                                                                                                                                                                                                                                                                                </v>
      </c>
      <c r="BK260" s="174" t="str">
        <f t="shared" si="428"/>
        <v>NG</v>
      </c>
      <c r="BL260" s="141"/>
      <c r="BM260" s="172" t="s">
        <v>71</v>
      </c>
      <c r="BN260" s="160"/>
      <c r="BO260" s="141"/>
      <c r="BP260" s="146" t="str">
        <f t="shared" si="447"/>
        <v xml:space="preserve">                                                                                                                                                                                                                                                                                                                                                                                                                </v>
      </c>
      <c r="BQ260" s="174" t="str">
        <f t="shared" si="429"/>
        <v>NG</v>
      </c>
      <c r="BR260" s="141"/>
      <c r="BS260" s="172" t="s">
        <v>71</v>
      </c>
      <c r="BT260" s="160"/>
      <c r="BU260" s="141"/>
      <c r="BV260" s="146" t="str">
        <f t="shared" si="448"/>
        <v xml:space="preserve">                                                                                                                                                                                                                                                                                                                                                                                                                </v>
      </c>
      <c r="BW260" s="174" t="str">
        <f t="shared" si="430"/>
        <v>NG</v>
      </c>
      <c r="BX260" s="141"/>
      <c r="BY260" s="172" t="s">
        <v>71</v>
      </c>
      <c r="BZ260" s="160"/>
      <c r="CA260" s="141"/>
      <c r="CB260" s="146" t="str">
        <f t="shared" si="449"/>
        <v xml:space="preserve">                                                                                                                                                                                                                                                                                                                                                                                                                </v>
      </c>
      <c r="CC260" s="174" t="str">
        <f t="shared" si="431"/>
        <v>NG</v>
      </c>
      <c r="CD260" s="141"/>
      <c r="CE260" s="172" t="s">
        <v>71</v>
      </c>
      <c r="CF260" s="160"/>
      <c r="CG260" s="141"/>
      <c r="CH260" s="146" t="str">
        <f t="shared" si="450"/>
        <v xml:space="preserve">                                                                                                                                                                                                                                                                                                                                                                                                                </v>
      </c>
      <c r="CI260" s="174" t="str">
        <f t="shared" si="432"/>
        <v>NG</v>
      </c>
      <c r="CJ260" s="141"/>
      <c r="CK260" s="172" t="s">
        <v>71</v>
      </c>
      <c r="CL260" s="160"/>
      <c r="CM260" s="141"/>
      <c r="CN260" s="146" t="str">
        <f t="shared" si="451"/>
        <v xml:space="preserve">                                                                                                                                                                                                                                                                                                                                                                                                                </v>
      </c>
      <c r="CO260" s="174" t="str">
        <f t="shared" si="433"/>
        <v>NG</v>
      </c>
      <c r="CP260" s="141"/>
      <c r="CQ260" s="172" t="s">
        <v>71</v>
      </c>
      <c r="CR260" s="160"/>
      <c r="CS260" s="141"/>
      <c r="CT260" s="146" t="str">
        <f t="shared" si="452"/>
        <v xml:space="preserve">                                                                                                                                                                                                                                                                                                                                                                                                                </v>
      </c>
      <c r="CU260" s="174" t="str">
        <f t="shared" si="434"/>
        <v>NG</v>
      </c>
      <c r="CV260" s="141"/>
      <c r="CW260" s="172" t="s">
        <v>71</v>
      </c>
      <c r="CX260" s="160"/>
      <c r="CY260" s="141"/>
      <c r="CZ260" s="146" t="str">
        <f t="shared" si="453"/>
        <v xml:space="preserve">                                                                                                                                                                                                                                                                                                                                                                                                                </v>
      </c>
      <c r="DA260" s="174" t="str">
        <f t="shared" si="435"/>
        <v>NG</v>
      </c>
      <c r="DB260" s="141"/>
      <c r="DC260" s="172" t="s">
        <v>71</v>
      </c>
      <c r="DD260" s="160"/>
      <c r="DE260" s="141"/>
      <c r="DF260" s="146" t="str">
        <f t="shared" si="454"/>
        <v xml:space="preserve">                                                                                                                                                                                                                                                                                                                                                                                                                </v>
      </c>
      <c r="DG260" s="174" t="str">
        <f t="shared" si="436"/>
        <v>NG</v>
      </c>
      <c r="DH260" s="141"/>
      <c r="DI260" s="172" t="s">
        <v>71</v>
      </c>
      <c r="DJ260" s="160"/>
      <c r="DK260" s="141"/>
      <c r="DL260" s="146" t="str">
        <f t="shared" si="455"/>
        <v xml:space="preserve">                                                                                                                                                                                                                                                                                                                                                                                                                </v>
      </c>
      <c r="DM260" s="174" t="str">
        <f t="shared" si="437"/>
        <v>NG</v>
      </c>
      <c r="DN260" s="141"/>
      <c r="DO260" s="172" t="s">
        <v>71</v>
      </c>
      <c r="DP260" s="160"/>
      <c r="DQ260" s="141"/>
      <c r="DR260" s="146" t="str">
        <f t="shared" si="456"/>
        <v xml:space="preserve">                                                                                                                                                                                                                                                                                                                                                                                                                </v>
      </c>
      <c r="DS260" s="174" t="str">
        <f t="shared" si="473"/>
        <v>NG</v>
      </c>
      <c r="DT260" s="141"/>
      <c r="DU260" s="172" t="s">
        <v>71</v>
      </c>
      <c r="DV260" s="160"/>
      <c r="DW260" s="141"/>
      <c r="DX260" s="146" t="str">
        <f t="shared" si="457"/>
        <v xml:space="preserve">                                                                                                                                                                                                                                                                                                                                                                                                                </v>
      </c>
      <c r="DY260" s="174" t="str">
        <f t="shared" si="474"/>
        <v>NG</v>
      </c>
      <c r="DZ260" s="141"/>
      <c r="EA260" s="172" t="s">
        <v>71</v>
      </c>
      <c r="EB260" s="160"/>
      <c r="EC260" s="141"/>
      <c r="ED260" s="146" t="str">
        <f t="shared" si="458"/>
        <v xml:space="preserve">                                                                                                                                                                                                                                                                                                                                                                                                                </v>
      </c>
      <c r="EE260" s="174" t="str">
        <f t="shared" si="475"/>
        <v>NG</v>
      </c>
      <c r="EF260" s="141"/>
      <c r="EG260" s="172" t="s">
        <v>71</v>
      </c>
      <c r="EH260" s="160"/>
      <c r="EI260" s="141"/>
      <c r="EJ260" s="146" t="str">
        <f t="shared" si="459"/>
        <v xml:space="preserve">                                                                                                                                                                                                                                                                                                                                                                                                                </v>
      </c>
      <c r="EK260" s="174" t="str">
        <f t="shared" si="476"/>
        <v>NG</v>
      </c>
      <c r="EL260" s="141"/>
      <c r="EM260" s="172" t="s">
        <v>71</v>
      </c>
      <c r="EN260" s="160"/>
      <c r="EO260" s="141"/>
      <c r="EP260" s="146" t="str">
        <f t="shared" si="460"/>
        <v xml:space="preserve">                                                                                                                                                                                                                                                                                                                                                                                                                </v>
      </c>
      <c r="EQ260" s="174" t="str">
        <f t="shared" si="477"/>
        <v>NG</v>
      </c>
      <c r="ER260" s="141"/>
      <c r="ES260" s="172" t="s">
        <v>71</v>
      </c>
      <c r="ET260" s="160"/>
      <c r="EU260" s="141"/>
      <c r="EV260" s="146" t="str">
        <f t="shared" si="461"/>
        <v xml:space="preserve">                                                                                                                                                                                                                                                                                                                                                                                                                </v>
      </c>
      <c r="EW260" s="174" t="str">
        <f t="shared" si="478"/>
        <v>NG</v>
      </c>
      <c r="EX260" s="141"/>
      <c r="EY260" s="172" t="s">
        <v>71</v>
      </c>
      <c r="EZ260" s="160"/>
      <c r="FA260" s="141"/>
      <c r="FB260" s="146" t="str">
        <f t="shared" si="462"/>
        <v xml:space="preserve">                                                                                                                                                                                                                                                                                                                                                                                                                </v>
      </c>
      <c r="FC260" s="174" t="str">
        <f t="shared" si="479"/>
        <v>NG</v>
      </c>
      <c r="FD260" s="141"/>
      <c r="FE260" s="172" t="s">
        <v>71</v>
      </c>
      <c r="FF260" s="160"/>
      <c r="FG260" s="141"/>
      <c r="FH260" s="146" t="str">
        <f t="shared" si="463"/>
        <v xml:space="preserve">                                                                                                                                                                                                                                                                                                                                                                                                                </v>
      </c>
      <c r="FI260" s="174" t="str">
        <f t="shared" si="480"/>
        <v>NG</v>
      </c>
      <c r="FJ260" s="141"/>
      <c r="FK260" s="172" t="s">
        <v>71</v>
      </c>
      <c r="FL260" s="160"/>
      <c r="FM260" s="141"/>
      <c r="FN260" s="146" t="str">
        <f t="shared" si="464"/>
        <v xml:space="preserve">                                                                                                                                                                                                                                                                                                                                                                                                                </v>
      </c>
      <c r="FO260" s="174" t="str">
        <f t="shared" si="438"/>
        <v>NG</v>
      </c>
      <c r="FP260" s="141"/>
      <c r="FQ260" s="172" t="s">
        <v>71</v>
      </c>
      <c r="FR260" s="160"/>
      <c r="FS260" s="141"/>
      <c r="FT260" s="146" t="str">
        <f t="shared" si="465"/>
        <v xml:space="preserve">                                                                                                                                                                                                                                                                                                                                                                                                                </v>
      </c>
      <c r="FU260" s="174" t="str">
        <f t="shared" si="439"/>
        <v>NG</v>
      </c>
      <c r="FV260" s="141"/>
      <c r="FW260" s="172" t="s">
        <v>71</v>
      </c>
      <c r="FX260" s="160"/>
      <c r="FY260" s="141"/>
      <c r="FZ260" s="146" t="str">
        <f t="shared" si="466"/>
        <v xml:space="preserve">                                                                                                                                                                                                                                                                                                                                                                                                                </v>
      </c>
      <c r="GA260" s="174" t="str">
        <f t="shared" si="440"/>
        <v>NG</v>
      </c>
      <c r="GB260" s="141"/>
      <c r="GC260" s="172" t="s">
        <v>71</v>
      </c>
    </row>
    <row r="261" spans="2:185" s="52" customFormat="1" ht="76.5">
      <c r="B261" s="216">
        <f t="shared" si="467"/>
        <v>254</v>
      </c>
      <c r="C261" s="37"/>
      <c r="D261" s="37"/>
      <c r="E261" s="37"/>
      <c r="F261" s="49" t="s">
        <v>219</v>
      </c>
      <c r="G261" s="39"/>
      <c r="H261" s="40"/>
      <c r="I261" s="42"/>
      <c r="J261" s="42"/>
      <c r="K261" s="42"/>
      <c r="L261" s="42"/>
      <c r="M261" s="63" t="s">
        <v>337</v>
      </c>
      <c r="N261" s="47"/>
      <c r="O261" s="143"/>
      <c r="P261" s="45">
        <f t="shared" si="481"/>
        <v>230</v>
      </c>
      <c r="Q261" s="46">
        <v>400</v>
      </c>
      <c r="R261" s="41" t="str">
        <f t="shared" si="482"/>
        <v>NX</v>
      </c>
      <c r="S261" s="185" t="s">
        <v>220</v>
      </c>
      <c r="T261" s="43"/>
      <c r="U261" s="41" t="s">
        <v>80</v>
      </c>
      <c r="V261" s="44"/>
      <c r="W261" s="22">
        <v>3</v>
      </c>
      <c r="X261" s="47" t="s">
        <v>221</v>
      </c>
      <c r="Y261" s="47">
        <v>1</v>
      </c>
      <c r="Z261" s="47">
        <v>400</v>
      </c>
      <c r="AA261" s="42" t="s">
        <v>195</v>
      </c>
      <c r="AB261" s="42" t="s">
        <v>80</v>
      </c>
      <c r="AC261" s="166"/>
      <c r="AD261" s="160"/>
      <c r="AE261" s="141"/>
      <c r="AF261" s="146" t="str">
        <f t="shared" si="442"/>
        <v xml:space="preserve">                                                                                                                                                                                                                                                                                                                                                                                                                </v>
      </c>
      <c r="AG261" s="174" t="str">
        <f t="shared" si="424"/>
        <v>NG</v>
      </c>
      <c r="AH261" s="141"/>
      <c r="AI261" s="172" t="s">
        <v>71</v>
      </c>
      <c r="AJ261" s="160"/>
      <c r="AK261" s="141"/>
      <c r="AL261" s="146" t="str">
        <f t="shared" si="441"/>
        <v xml:space="preserve">                                                                                                                                                                                                                                                                                                                                                                                                                </v>
      </c>
      <c r="AM261" s="174" t="str">
        <f t="shared" si="468"/>
        <v>NG</v>
      </c>
      <c r="AN261" s="141"/>
      <c r="AO261" s="172" t="s">
        <v>71</v>
      </c>
      <c r="AP261" s="160"/>
      <c r="AQ261" s="141"/>
      <c r="AR261" s="146" t="str">
        <f t="shared" si="443"/>
        <v xml:space="preserve">                                                                                                                                                                                                                                                                                                                                                                                                                </v>
      </c>
      <c r="AS261" s="174" t="str">
        <f t="shared" si="425"/>
        <v>NG</v>
      </c>
      <c r="AT261" s="141"/>
      <c r="AU261" s="172" t="s">
        <v>71</v>
      </c>
      <c r="AV261" s="160"/>
      <c r="AW261" s="141"/>
      <c r="AX261" s="146" t="str">
        <f t="shared" si="444"/>
        <v xml:space="preserve">                                                                                                                                                                                                                                                                                                                                                                                                                </v>
      </c>
      <c r="AY261" s="174" t="str">
        <f t="shared" si="426"/>
        <v>NG</v>
      </c>
      <c r="AZ261" s="141"/>
      <c r="BA261" s="172" t="s">
        <v>71</v>
      </c>
      <c r="BB261" s="160"/>
      <c r="BC261" s="141"/>
      <c r="BD261" s="146" t="str">
        <f t="shared" si="445"/>
        <v xml:space="preserve">                                                                                                                                                                                                                                                                                                                                                                                                                </v>
      </c>
      <c r="BE261" s="174" t="str">
        <f t="shared" si="427"/>
        <v>NG</v>
      </c>
      <c r="BF261" s="141"/>
      <c r="BG261" s="172" t="s">
        <v>71</v>
      </c>
      <c r="BH261" s="160"/>
      <c r="BI261" s="141"/>
      <c r="BJ261" s="146" t="str">
        <f t="shared" si="446"/>
        <v xml:space="preserve">                                                                                                                                                                                                                                                                                                                                                                                                                </v>
      </c>
      <c r="BK261" s="174" t="str">
        <f t="shared" si="428"/>
        <v>NG</v>
      </c>
      <c r="BL261" s="141"/>
      <c r="BM261" s="172" t="s">
        <v>71</v>
      </c>
      <c r="BN261" s="160"/>
      <c r="BO261" s="141"/>
      <c r="BP261" s="146" t="str">
        <f t="shared" si="447"/>
        <v xml:space="preserve">                                                                                                                                                                                                                                                                                                                                                                                                                </v>
      </c>
      <c r="BQ261" s="174" t="str">
        <f t="shared" si="429"/>
        <v>NG</v>
      </c>
      <c r="BR261" s="141"/>
      <c r="BS261" s="172" t="s">
        <v>71</v>
      </c>
      <c r="BT261" s="160"/>
      <c r="BU261" s="141"/>
      <c r="BV261" s="146" t="str">
        <f t="shared" si="448"/>
        <v xml:space="preserve">                                                                                                                                                                                                                                                                                                                                                                                                                </v>
      </c>
      <c r="BW261" s="174" t="str">
        <f t="shared" si="430"/>
        <v>NG</v>
      </c>
      <c r="BX261" s="141"/>
      <c r="BY261" s="172" t="s">
        <v>71</v>
      </c>
      <c r="BZ261" s="160"/>
      <c r="CA261" s="141"/>
      <c r="CB261" s="146" t="str">
        <f t="shared" si="449"/>
        <v xml:space="preserve">                                                                                                                                                                                                                                                                                                                                                                                                                </v>
      </c>
      <c r="CC261" s="174" t="str">
        <f t="shared" si="431"/>
        <v>NG</v>
      </c>
      <c r="CD261" s="141"/>
      <c r="CE261" s="172" t="s">
        <v>71</v>
      </c>
      <c r="CF261" s="160"/>
      <c r="CG261" s="141"/>
      <c r="CH261" s="146" t="str">
        <f t="shared" si="450"/>
        <v xml:space="preserve">                                                                                                                                                                                                                                                                                                                                                                                                                </v>
      </c>
      <c r="CI261" s="174" t="str">
        <f t="shared" si="432"/>
        <v>NG</v>
      </c>
      <c r="CJ261" s="141"/>
      <c r="CK261" s="172" t="s">
        <v>71</v>
      </c>
      <c r="CL261" s="160"/>
      <c r="CM261" s="141"/>
      <c r="CN261" s="146" t="str">
        <f t="shared" si="451"/>
        <v xml:space="preserve">                                                                                                                                                                                                                                                                                                                                                                                                                </v>
      </c>
      <c r="CO261" s="174" t="str">
        <f t="shared" si="433"/>
        <v>NG</v>
      </c>
      <c r="CP261" s="141"/>
      <c r="CQ261" s="172" t="s">
        <v>71</v>
      </c>
      <c r="CR261" s="160"/>
      <c r="CS261" s="141"/>
      <c r="CT261" s="146" t="str">
        <f t="shared" si="452"/>
        <v xml:space="preserve">                                                                                                                                                                                                                                                                                                                                                                                                                </v>
      </c>
      <c r="CU261" s="174" t="str">
        <f t="shared" si="434"/>
        <v>NG</v>
      </c>
      <c r="CV261" s="141"/>
      <c r="CW261" s="172" t="s">
        <v>71</v>
      </c>
      <c r="CX261" s="160"/>
      <c r="CY261" s="141"/>
      <c r="CZ261" s="146" t="str">
        <f t="shared" si="453"/>
        <v xml:space="preserve">                                                                                                                                                                                                                                                                                                                                                                                                                </v>
      </c>
      <c r="DA261" s="174" t="str">
        <f t="shared" si="435"/>
        <v>NG</v>
      </c>
      <c r="DB261" s="141"/>
      <c r="DC261" s="172" t="s">
        <v>71</v>
      </c>
      <c r="DD261" s="160"/>
      <c r="DE261" s="141"/>
      <c r="DF261" s="146" t="str">
        <f t="shared" si="454"/>
        <v xml:space="preserve">                                                                                                                                                                                                                                                                                                                                                                                                                </v>
      </c>
      <c r="DG261" s="174" t="str">
        <f t="shared" si="436"/>
        <v>NG</v>
      </c>
      <c r="DH261" s="141"/>
      <c r="DI261" s="172" t="s">
        <v>71</v>
      </c>
      <c r="DJ261" s="160"/>
      <c r="DK261" s="141"/>
      <c r="DL261" s="146" t="str">
        <f t="shared" si="455"/>
        <v xml:space="preserve">                                                                                                                                                                                                                                                                                                                                                                                                                </v>
      </c>
      <c r="DM261" s="174" t="str">
        <f t="shared" si="437"/>
        <v>NG</v>
      </c>
      <c r="DN261" s="141"/>
      <c r="DO261" s="172" t="s">
        <v>71</v>
      </c>
      <c r="DP261" s="160"/>
      <c r="DQ261" s="141"/>
      <c r="DR261" s="146" t="str">
        <f t="shared" si="456"/>
        <v xml:space="preserve">                                                                                                                                                                                                                                                                                                                                                                                                                </v>
      </c>
      <c r="DS261" s="174" t="str">
        <f t="shared" si="473"/>
        <v>NG</v>
      </c>
      <c r="DT261" s="141"/>
      <c r="DU261" s="172" t="s">
        <v>71</v>
      </c>
      <c r="DV261" s="160"/>
      <c r="DW261" s="141"/>
      <c r="DX261" s="146" t="str">
        <f t="shared" si="457"/>
        <v xml:space="preserve">                                                                                                                                                                                                                                                                                                                                                                                                                </v>
      </c>
      <c r="DY261" s="174" t="str">
        <f t="shared" si="474"/>
        <v>NG</v>
      </c>
      <c r="DZ261" s="141"/>
      <c r="EA261" s="172" t="s">
        <v>71</v>
      </c>
      <c r="EB261" s="160"/>
      <c r="EC261" s="141"/>
      <c r="ED261" s="146" t="str">
        <f t="shared" si="458"/>
        <v xml:space="preserve">                                                                                                                                                                                                                                                                                                                                                                                                                </v>
      </c>
      <c r="EE261" s="174" t="str">
        <f t="shared" si="475"/>
        <v>NG</v>
      </c>
      <c r="EF261" s="141"/>
      <c r="EG261" s="172" t="s">
        <v>71</v>
      </c>
      <c r="EH261" s="160"/>
      <c r="EI261" s="141"/>
      <c r="EJ261" s="146" t="str">
        <f t="shared" si="459"/>
        <v xml:space="preserve">                                                                                                                                                                                                                                                                                                                                                                                                                </v>
      </c>
      <c r="EK261" s="174" t="str">
        <f t="shared" si="476"/>
        <v>NG</v>
      </c>
      <c r="EL261" s="141"/>
      <c r="EM261" s="172" t="s">
        <v>71</v>
      </c>
      <c r="EN261" s="160"/>
      <c r="EO261" s="141"/>
      <c r="EP261" s="146" t="str">
        <f t="shared" si="460"/>
        <v xml:space="preserve">                                                                                                                                                                                                                                                                                                                                                                                                                </v>
      </c>
      <c r="EQ261" s="174" t="str">
        <f t="shared" si="477"/>
        <v>NG</v>
      </c>
      <c r="ER261" s="141"/>
      <c r="ES261" s="172" t="s">
        <v>71</v>
      </c>
      <c r="ET261" s="160"/>
      <c r="EU261" s="141"/>
      <c r="EV261" s="146" t="str">
        <f t="shared" si="461"/>
        <v xml:space="preserve">                                                                                                                                                                                                                                                                                                                                                                                                                </v>
      </c>
      <c r="EW261" s="174" t="str">
        <f t="shared" si="478"/>
        <v>NG</v>
      </c>
      <c r="EX261" s="141"/>
      <c r="EY261" s="172" t="s">
        <v>71</v>
      </c>
      <c r="EZ261" s="160"/>
      <c r="FA261" s="141"/>
      <c r="FB261" s="146" t="str">
        <f t="shared" si="462"/>
        <v xml:space="preserve">                                                                                                                                                                                                                                                                                                                                                                                                                </v>
      </c>
      <c r="FC261" s="174" t="str">
        <f t="shared" si="479"/>
        <v>NG</v>
      </c>
      <c r="FD261" s="141"/>
      <c r="FE261" s="172" t="s">
        <v>71</v>
      </c>
      <c r="FF261" s="160"/>
      <c r="FG261" s="141"/>
      <c r="FH261" s="146" t="str">
        <f t="shared" si="463"/>
        <v xml:space="preserve">                                                                                                                                                                                                                                                                                                                                                                                                                </v>
      </c>
      <c r="FI261" s="174" t="str">
        <f t="shared" si="480"/>
        <v>NG</v>
      </c>
      <c r="FJ261" s="141"/>
      <c r="FK261" s="172" t="s">
        <v>71</v>
      </c>
      <c r="FL261" s="160"/>
      <c r="FM261" s="141"/>
      <c r="FN261" s="146" t="str">
        <f t="shared" si="464"/>
        <v xml:space="preserve">                                                                                                                                                                                                                                                                                                                                                                                                                </v>
      </c>
      <c r="FO261" s="174" t="str">
        <f t="shared" si="438"/>
        <v>NG</v>
      </c>
      <c r="FP261" s="141"/>
      <c r="FQ261" s="172" t="s">
        <v>71</v>
      </c>
      <c r="FR261" s="160"/>
      <c r="FS261" s="141"/>
      <c r="FT261" s="146" t="str">
        <f t="shared" si="465"/>
        <v xml:space="preserve">                                                                                                                                                                                                                                                                                                                                                                                                                </v>
      </c>
      <c r="FU261" s="174" t="str">
        <f t="shared" si="439"/>
        <v>NG</v>
      </c>
      <c r="FV261" s="141"/>
      <c r="FW261" s="172" t="s">
        <v>71</v>
      </c>
      <c r="FX261" s="160"/>
      <c r="FY261" s="141"/>
      <c r="FZ261" s="146" t="str">
        <f t="shared" si="466"/>
        <v xml:space="preserve">                                                                                                                                                                                                                                                                                                                                                                                                                </v>
      </c>
      <c r="GA261" s="174" t="str">
        <f t="shared" si="440"/>
        <v>NG</v>
      </c>
      <c r="GB261" s="141"/>
      <c r="GC261" s="172" t="s">
        <v>71</v>
      </c>
    </row>
    <row r="262" spans="2:185" s="52" customFormat="1">
      <c r="B262" s="216">
        <f t="shared" si="467"/>
        <v>255</v>
      </c>
      <c r="C262" s="37"/>
      <c r="D262" s="37"/>
      <c r="E262" s="37"/>
      <c r="F262" s="49" t="s">
        <v>222</v>
      </c>
      <c r="G262" s="39"/>
      <c r="H262" s="40"/>
      <c r="I262" s="42"/>
      <c r="J262" s="42"/>
      <c r="K262" s="42"/>
      <c r="L262" s="42"/>
      <c r="M262" s="63" t="s">
        <v>336</v>
      </c>
      <c r="N262" s="47"/>
      <c r="O262" s="143"/>
      <c r="P262" s="45">
        <f t="shared" si="481"/>
        <v>231</v>
      </c>
      <c r="Q262" s="46">
        <v>400</v>
      </c>
      <c r="R262" s="41" t="str">
        <f t="shared" si="482"/>
        <v>NX</v>
      </c>
      <c r="S262" s="185" t="s">
        <v>223</v>
      </c>
      <c r="T262" s="43"/>
      <c r="U262" s="41" t="s">
        <v>80</v>
      </c>
      <c r="V262" s="44"/>
      <c r="W262" s="22">
        <v>3</v>
      </c>
      <c r="X262" s="47" t="s">
        <v>224</v>
      </c>
      <c r="Y262" s="47">
        <v>1</v>
      </c>
      <c r="Z262" s="47">
        <v>400</v>
      </c>
      <c r="AA262" s="42" t="s">
        <v>195</v>
      </c>
      <c r="AB262" s="42" t="s">
        <v>80</v>
      </c>
      <c r="AC262" s="166"/>
      <c r="AD262" s="160"/>
      <c r="AE262" s="141"/>
      <c r="AF262" s="146" t="str">
        <f t="shared" si="442"/>
        <v xml:space="preserve">                                                                                                                                                                                                                                                                                                                                                                                                                </v>
      </c>
      <c r="AG262" s="174" t="str">
        <f t="shared" si="424"/>
        <v>NG</v>
      </c>
      <c r="AH262" s="141"/>
      <c r="AI262" s="172" t="s">
        <v>71</v>
      </c>
      <c r="AJ262" s="160"/>
      <c r="AK262" s="141"/>
      <c r="AL262" s="146" t="str">
        <f t="shared" si="441"/>
        <v xml:space="preserve">                                                                                                                                                                                                                                                                                                                                                                                                                </v>
      </c>
      <c r="AM262" s="174" t="str">
        <f t="shared" si="468"/>
        <v>NG</v>
      </c>
      <c r="AN262" s="141"/>
      <c r="AO262" s="172" t="s">
        <v>71</v>
      </c>
      <c r="AP262" s="160"/>
      <c r="AQ262" s="141"/>
      <c r="AR262" s="146" t="str">
        <f t="shared" si="443"/>
        <v xml:space="preserve">                                                                                                                                                                                                                                                                                                                                                                                                                </v>
      </c>
      <c r="AS262" s="174" t="str">
        <f t="shared" si="425"/>
        <v>NG</v>
      </c>
      <c r="AT262" s="141"/>
      <c r="AU262" s="172" t="s">
        <v>71</v>
      </c>
      <c r="AV262" s="160"/>
      <c r="AW262" s="141"/>
      <c r="AX262" s="146" t="str">
        <f t="shared" si="444"/>
        <v xml:space="preserve">                                                                                                                                                                                                                                                                                                                                                                                                                </v>
      </c>
      <c r="AY262" s="174" t="str">
        <f t="shared" si="426"/>
        <v>NG</v>
      </c>
      <c r="AZ262" s="141"/>
      <c r="BA262" s="172" t="s">
        <v>71</v>
      </c>
      <c r="BB262" s="160"/>
      <c r="BC262" s="141"/>
      <c r="BD262" s="146" t="str">
        <f t="shared" si="445"/>
        <v xml:space="preserve">                                                                                                                                                                                                                                                                                                                                                                                                                </v>
      </c>
      <c r="BE262" s="174" t="str">
        <f t="shared" si="427"/>
        <v>NG</v>
      </c>
      <c r="BF262" s="141"/>
      <c r="BG262" s="172" t="s">
        <v>71</v>
      </c>
      <c r="BH262" s="160"/>
      <c r="BI262" s="141"/>
      <c r="BJ262" s="146" t="str">
        <f t="shared" si="446"/>
        <v xml:space="preserve">                                                                                                                                                                                                                                                                                                                                                                                                                </v>
      </c>
      <c r="BK262" s="174" t="str">
        <f t="shared" si="428"/>
        <v>NG</v>
      </c>
      <c r="BL262" s="141"/>
      <c r="BM262" s="172" t="s">
        <v>71</v>
      </c>
      <c r="BN262" s="160"/>
      <c r="BO262" s="141"/>
      <c r="BP262" s="146" t="str">
        <f t="shared" si="447"/>
        <v xml:space="preserve">                                                                                                                                                                                                                                                                                                                                                                                                                </v>
      </c>
      <c r="BQ262" s="174" t="str">
        <f t="shared" si="429"/>
        <v>NG</v>
      </c>
      <c r="BR262" s="141"/>
      <c r="BS262" s="172" t="s">
        <v>71</v>
      </c>
      <c r="BT262" s="160"/>
      <c r="BU262" s="141"/>
      <c r="BV262" s="146" t="str">
        <f t="shared" si="448"/>
        <v xml:space="preserve">                                                                                                                                                                                                                                                                                                                                                                                                                </v>
      </c>
      <c r="BW262" s="174" t="str">
        <f t="shared" si="430"/>
        <v>NG</v>
      </c>
      <c r="BX262" s="141"/>
      <c r="BY262" s="172" t="s">
        <v>71</v>
      </c>
      <c r="BZ262" s="160"/>
      <c r="CA262" s="141"/>
      <c r="CB262" s="146" t="str">
        <f t="shared" si="449"/>
        <v xml:space="preserve">                                                                                                                                                                                                                                                                                                                                                                                                                </v>
      </c>
      <c r="CC262" s="174" t="str">
        <f t="shared" si="431"/>
        <v>NG</v>
      </c>
      <c r="CD262" s="141"/>
      <c r="CE262" s="172" t="s">
        <v>71</v>
      </c>
      <c r="CF262" s="160"/>
      <c r="CG262" s="141"/>
      <c r="CH262" s="146" t="str">
        <f t="shared" si="450"/>
        <v xml:space="preserve">                                                                                                                                                                                                                                                                                                                                                                                                                </v>
      </c>
      <c r="CI262" s="174" t="str">
        <f t="shared" si="432"/>
        <v>NG</v>
      </c>
      <c r="CJ262" s="141"/>
      <c r="CK262" s="172" t="s">
        <v>71</v>
      </c>
      <c r="CL262" s="160"/>
      <c r="CM262" s="141"/>
      <c r="CN262" s="146" t="str">
        <f t="shared" si="451"/>
        <v xml:space="preserve">                                                                                                                                                                                                                                                                                                                                                                                                                </v>
      </c>
      <c r="CO262" s="174" t="str">
        <f t="shared" si="433"/>
        <v>NG</v>
      </c>
      <c r="CP262" s="141"/>
      <c r="CQ262" s="172" t="s">
        <v>71</v>
      </c>
      <c r="CR262" s="160"/>
      <c r="CS262" s="141"/>
      <c r="CT262" s="146" t="str">
        <f t="shared" si="452"/>
        <v xml:space="preserve">                                                                                                                                                                                                                                                                                                                                                                                                                </v>
      </c>
      <c r="CU262" s="174" t="str">
        <f t="shared" si="434"/>
        <v>NG</v>
      </c>
      <c r="CV262" s="141"/>
      <c r="CW262" s="172" t="s">
        <v>71</v>
      </c>
      <c r="CX262" s="160"/>
      <c r="CY262" s="141"/>
      <c r="CZ262" s="146" t="str">
        <f t="shared" si="453"/>
        <v xml:space="preserve">                                                                                                                                                                                                                                                                                                                                                                                                                </v>
      </c>
      <c r="DA262" s="174" t="str">
        <f t="shared" si="435"/>
        <v>NG</v>
      </c>
      <c r="DB262" s="141"/>
      <c r="DC262" s="172" t="s">
        <v>71</v>
      </c>
      <c r="DD262" s="160"/>
      <c r="DE262" s="141"/>
      <c r="DF262" s="146" t="str">
        <f t="shared" si="454"/>
        <v xml:space="preserve">                                                                                                                                                                                                                                                                                                                                                                                                                </v>
      </c>
      <c r="DG262" s="174" t="str">
        <f t="shared" si="436"/>
        <v>NG</v>
      </c>
      <c r="DH262" s="141"/>
      <c r="DI262" s="172" t="s">
        <v>71</v>
      </c>
      <c r="DJ262" s="160"/>
      <c r="DK262" s="141"/>
      <c r="DL262" s="146" t="str">
        <f t="shared" si="455"/>
        <v xml:space="preserve">                                                                                                                                                                                                                                                                                                                                                                                                                </v>
      </c>
      <c r="DM262" s="174" t="str">
        <f t="shared" si="437"/>
        <v>NG</v>
      </c>
      <c r="DN262" s="141"/>
      <c r="DO262" s="172" t="s">
        <v>71</v>
      </c>
      <c r="DP262" s="160"/>
      <c r="DQ262" s="141"/>
      <c r="DR262" s="146" t="str">
        <f t="shared" si="456"/>
        <v xml:space="preserve">                                                                                                                                                                                                                                                                                                                                                                                                                </v>
      </c>
      <c r="DS262" s="174" t="str">
        <f t="shared" si="473"/>
        <v>NG</v>
      </c>
      <c r="DT262" s="141"/>
      <c r="DU262" s="172" t="s">
        <v>71</v>
      </c>
      <c r="DV262" s="160"/>
      <c r="DW262" s="141"/>
      <c r="DX262" s="146" t="str">
        <f t="shared" si="457"/>
        <v xml:space="preserve">                                                                                                                                                                                                                                                                                                                                                                                                                </v>
      </c>
      <c r="DY262" s="174" t="str">
        <f t="shared" si="474"/>
        <v>NG</v>
      </c>
      <c r="DZ262" s="141"/>
      <c r="EA262" s="172" t="s">
        <v>71</v>
      </c>
      <c r="EB262" s="160"/>
      <c r="EC262" s="141"/>
      <c r="ED262" s="146" t="str">
        <f t="shared" si="458"/>
        <v xml:space="preserve">                                                                                                                                                                                                                                                                                                                                                                                                                </v>
      </c>
      <c r="EE262" s="174" t="str">
        <f t="shared" si="475"/>
        <v>NG</v>
      </c>
      <c r="EF262" s="141"/>
      <c r="EG262" s="172" t="s">
        <v>71</v>
      </c>
      <c r="EH262" s="160"/>
      <c r="EI262" s="141"/>
      <c r="EJ262" s="146" t="str">
        <f t="shared" si="459"/>
        <v xml:space="preserve">                                                                                                                                                                                                                                                                                                                                                                                                                </v>
      </c>
      <c r="EK262" s="174" t="str">
        <f t="shared" si="476"/>
        <v>NG</v>
      </c>
      <c r="EL262" s="141"/>
      <c r="EM262" s="172" t="s">
        <v>71</v>
      </c>
      <c r="EN262" s="160"/>
      <c r="EO262" s="141"/>
      <c r="EP262" s="146" t="str">
        <f t="shared" si="460"/>
        <v xml:space="preserve">                                                                                                                                                                                                                                                                                                                                                                                                                </v>
      </c>
      <c r="EQ262" s="174" t="str">
        <f t="shared" si="477"/>
        <v>NG</v>
      </c>
      <c r="ER262" s="141"/>
      <c r="ES262" s="172" t="s">
        <v>71</v>
      </c>
      <c r="ET262" s="160"/>
      <c r="EU262" s="141"/>
      <c r="EV262" s="146" t="str">
        <f t="shared" si="461"/>
        <v xml:space="preserve">                                                                                                                                                                                                                                                                                                                                                                                                                </v>
      </c>
      <c r="EW262" s="174" t="str">
        <f t="shared" si="478"/>
        <v>NG</v>
      </c>
      <c r="EX262" s="141"/>
      <c r="EY262" s="172" t="s">
        <v>71</v>
      </c>
      <c r="EZ262" s="160"/>
      <c r="FA262" s="141"/>
      <c r="FB262" s="146" t="str">
        <f t="shared" si="462"/>
        <v xml:space="preserve">                                                                                                                                                                                                                                                                                                                                                                                                                </v>
      </c>
      <c r="FC262" s="174" t="str">
        <f t="shared" si="479"/>
        <v>NG</v>
      </c>
      <c r="FD262" s="141"/>
      <c r="FE262" s="172" t="s">
        <v>71</v>
      </c>
      <c r="FF262" s="160"/>
      <c r="FG262" s="141"/>
      <c r="FH262" s="146" t="str">
        <f t="shared" si="463"/>
        <v xml:space="preserve">                                                                                                                                                                                                                                                                                                                                                                                                                </v>
      </c>
      <c r="FI262" s="174" t="str">
        <f t="shared" si="480"/>
        <v>NG</v>
      </c>
      <c r="FJ262" s="141"/>
      <c r="FK262" s="172" t="s">
        <v>71</v>
      </c>
      <c r="FL262" s="160"/>
      <c r="FM262" s="141"/>
      <c r="FN262" s="146" t="str">
        <f t="shared" si="464"/>
        <v xml:space="preserve">                                                                                                                                                                                                                                                                                                                                                                                                                </v>
      </c>
      <c r="FO262" s="174" t="str">
        <f t="shared" si="438"/>
        <v>NG</v>
      </c>
      <c r="FP262" s="141"/>
      <c r="FQ262" s="172" t="s">
        <v>71</v>
      </c>
      <c r="FR262" s="160"/>
      <c r="FS262" s="141"/>
      <c r="FT262" s="146" t="str">
        <f t="shared" si="465"/>
        <v xml:space="preserve">                                                                                                                                                                                                                                                                                                                                                                                                                </v>
      </c>
      <c r="FU262" s="174" t="str">
        <f t="shared" si="439"/>
        <v>NG</v>
      </c>
      <c r="FV262" s="141"/>
      <c r="FW262" s="172" t="s">
        <v>71</v>
      </c>
      <c r="FX262" s="160"/>
      <c r="FY262" s="141"/>
      <c r="FZ262" s="146" t="str">
        <f t="shared" si="466"/>
        <v xml:space="preserve">                                                                                                                                                                                                                                                                                                                                                                                                                </v>
      </c>
      <c r="GA262" s="174" t="str">
        <f t="shared" si="440"/>
        <v>NG</v>
      </c>
      <c r="GB262" s="141"/>
      <c r="GC262" s="172" t="s">
        <v>71</v>
      </c>
    </row>
    <row r="263" spans="2:185" s="52" customFormat="1">
      <c r="B263" s="216">
        <f t="shared" si="467"/>
        <v>256</v>
      </c>
      <c r="C263" s="37"/>
      <c r="D263" s="37"/>
      <c r="E263" s="37"/>
      <c r="F263" s="49" t="s">
        <v>225</v>
      </c>
      <c r="G263" s="39"/>
      <c r="H263" s="40"/>
      <c r="I263" s="42"/>
      <c r="J263" s="42"/>
      <c r="K263" s="42"/>
      <c r="L263" s="42"/>
      <c r="M263" s="63" t="s">
        <v>336</v>
      </c>
      <c r="N263" s="47"/>
      <c r="O263" s="143"/>
      <c r="P263" s="45">
        <f t="shared" si="481"/>
        <v>232</v>
      </c>
      <c r="Q263" s="46">
        <v>400</v>
      </c>
      <c r="R263" s="41" t="str">
        <f t="shared" si="482"/>
        <v>NX</v>
      </c>
      <c r="S263" s="185" t="s">
        <v>226</v>
      </c>
      <c r="T263" s="43"/>
      <c r="U263" s="41" t="s">
        <v>80</v>
      </c>
      <c r="V263" s="44"/>
      <c r="W263" s="22">
        <v>3</v>
      </c>
      <c r="X263" s="47" t="s">
        <v>227</v>
      </c>
      <c r="Y263" s="47">
        <v>1</v>
      </c>
      <c r="Z263" s="47">
        <v>400</v>
      </c>
      <c r="AA263" s="42" t="s">
        <v>195</v>
      </c>
      <c r="AB263" s="42" t="s">
        <v>80</v>
      </c>
      <c r="AC263" s="166"/>
      <c r="AD263" s="160"/>
      <c r="AE263" s="141"/>
      <c r="AF263" s="146" t="str">
        <f t="shared" si="442"/>
        <v xml:space="preserve">                                                                                                                                                                                                                                                                                                                                                                                                                </v>
      </c>
      <c r="AG263" s="174" t="str">
        <f t="shared" si="424"/>
        <v>NG</v>
      </c>
      <c r="AH263" s="141"/>
      <c r="AI263" s="172" t="s">
        <v>71</v>
      </c>
      <c r="AJ263" s="160"/>
      <c r="AK263" s="141"/>
      <c r="AL263" s="146" t="str">
        <f t="shared" si="441"/>
        <v xml:space="preserve">                                                                                                                                                                                                                                                                                                                                                                                                                </v>
      </c>
      <c r="AM263" s="174" t="str">
        <f t="shared" si="468"/>
        <v>NG</v>
      </c>
      <c r="AN263" s="141"/>
      <c r="AO263" s="172" t="s">
        <v>71</v>
      </c>
      <c r="AP263" s="160"/>
      <c r="AQ263" s="141"/>
      <c r="AR263" s="146" t="str">
        <f t="shared" si="443"/>
        <v xml:space="preserve">                                                                                                                                                                                                                                                                                                                                                                                                                </v>
      </c>
      <c r="AS263" s="174" t="str">
        <f t="shared" si="425"/>
        <v>NG</v>
      </c>
      <c r="AT263" s="141"/>
      <c r="AU263" s="172" t="s">
        <v>71</v>
      </c>
      <c r="AV263" s="160"/>
      <c r="AW263" s="141"/>
      <c r="AX263" s="146" t="str">
        <f t="shared" si="444"/>
        <v xml:space="preserve">                                                                                                                                                                                                                                                                                                                                                                                                                </v>
      </c>
      <c r="AY263" s="174" t="str">
        <f t="shared" si="426"/>
        <v>NG</v>
      </c>
      <c r="AZ263" s="141"/>
      <c r="BA263" s="172" t="s">
        <v>71</v>
      </c>
      <c r="BB263" s="160"/>
      <c r="BC263" s="141"/>
      <c r="BD263" s="146" t="str">
        <f t="shared" si="445"/>
        <v xml:space="preserve">                                                                                                                                                                                                                                                                                                                                                                                                                </v>
      </c>
      <c r="BE263" s="174" t="str">
        <f t="shared" si="427"/>
        <v>NG</v>
      </c>
      <c r="BF263" s="141"/>
      <c r="BG263" s="172" t="s">
        <v>71</v>
      </c>
      <c r="BH263" s="160"/>
      <c r="BI263" s="141"/>
      <c r="BJ263" s="146" t="str">
        <f t="shared" si="446"/>
        <v xml:space="preserve">                                                                                                                                                                                                                                                                                                                                                                                                                </v>
      </c>
      <c r="BK263" s="174" t="str">
        <f t="shared" si="428"/>
        <v>NG</v>
      </c>
      <c r="BL263" s="141"/>
      <c r="BM263" s="172" t="s">
        <v>71</v>
      </c>
      <c r="BN263" s="160"/>
      <c r="BO263" s="141"/>
      <c r="BP263" s="146" t="str">
        <f t="shared" si="447"/>
        <v xml:space="preserve">                                                                                                                                                                                                                                                                                                                                                                                                                </v>
      </c>
      <c r="BQ263" s="174" t="str">
        <f t="shared" si="429"/>
        <v>NG</v>
      </c>
      <c r="BR263" s="141"/>
      <c r="BS263" s="172" t="s">
        <v>71</v>
      </c>
      <c r="BT263" s="160"/>
      <c r="BU263" s="141"/>
      <c r="BV263" s="146" t="str">
        <f t="shared" si="448"/>
        <v xml:space="preserve">                                                                                                                                                                                                                                                                                                                                                                                                                </v>
      </c>
      <c r="BW263" s="174" t="str">
        <f t="shared" si="430"/>
        <v>NG</v>
      </c>
      <c r="BX263" s="141"/>
      <c r="BY263" s="172" t="s">
        <v>71</v>
      </c>
      <c r="BZ263" s="160"/>
      <c r="CA263" s="141"/>
      <c r="CB263" s="146" t="str">
        <f t="shared" si="449"/>
        <v xml:space="preserve">                                                                                                                                                                                                                                                                                                                                                                                                                </v>
      </c>
      <c r="CC263" s="174" t="str">
        <f t="shared" si="431"/>
        <v>NG</v>
      </c>
      <c r="CD263" s="141"/>
      <c r="CE263" s="172" t="s">
        <v>71</v>
      </c>
      <c r="CF263" s="160"/>
      <c r="CG263" s="141"/>
      <c r="CH263" s="146" t="str">
        <f t="shared" si="450"/>
        <v xml:space="preserve">                                                                                                                                                                                                                                                                                                                                                                                                                </v>
      </c>
      <c r="CI263" s="174" t="str">
        <f t="shared" si="432"/>
        <v>NG</v>
      </c>
      <c r="CJ263" s="141"/>
      <c r="CK263" s="172" t="s">
        <v>71</v>
      </c>
      <c r="CL263" s="160"/>
      <c r="CM263" s="141"/>
      <c r="CN263" s="146" t="str">
        <f t="shared" si="451"/>
        <v xml:space="preserve">                                                                                                                                                                                                                                                                                                                                                                                                                </v>
      </c>
      <c r="CO263" s="174" t="str">
        <f t="shared" si="433"/>
        <v>NG</v>
      </c>
      <c r="CP263" s="141"/>
      <c r="CQ263" s="172" t="s">
        <v>71</v>
      </c>
      <c r="CR263" s="160"/>
      <c r="CS263" s="141"/>
      <c r="CT263" s="146" t="str">
        <f t="shared" si="452"/>
        <v xml:space="preserve">                                                                                                                                                                                                                                                                                                                                                                                                                </v>
      </c>
      <c r="CU263" s="174" t="str">
        <f t="shared" si="434"/>
        <v>NG</v>
      </c>
      <c r="CV263" s="141"/>
      <c r="CW263" s="172" t="s">
        <v>71</v>
      </c>
      <c r="CX263" s="160"/>
      <c r="CY263" s="141"/>
      <c r="CZ263" s="146" t="str">
        <f t="shared" si="453"/>
        <v xml:space="preserve">                                                                                                                                                                                                                                                                                                                                                                                                                </v>
      </c>
      <c r="DA263" s="174" t="str">
        <f t="shared" si="435"/>
        <v>NG</v>
      </c>
      <c r="DB263" s="141"/>
      <c r="DC263" s="172" t="s">
        <v>71</v>
      </c>
      <c r="DD263" s="160"/>
      <c r="DE263" s="141"/>
      <c r="DF263" s="146" t="str">
        <f t="shared" si="454"/>
        <v xml:space="preserve">                                                                                                                                                                                                                                                                                                                                                                                                                </v>
      </c>
      <c r="DG263" s="174" t="str">
        <f t="shared" si="436"/>
        <v>NG</v>
      </c>
      <c r="DH263" s="141"/>
      <c r="DI263" s="172" t="s">
        <v>71</v>
      </c>
      <c r="DJ263" s="160"/>
      <c r="DK263" s="141"/>
      <c r="DL263" s="146" t="str">
        <f t="shared" si="455"/>
        <v xml:space="preserve">                                                                                                                                                                                                                                                                                                                                                                                                                </v>
      </c>
      <c r="DM263" s="174" t="str">
        <f t="shared" si="437"/>
        <v>NG</v>
      </c>
      <c r="DN263" s="141"/>
      <c r="DO263" s="172" t="s">
        <v>71</v>
      </c>
      <c r="DP263" s="160"/>
      <c r="DQ263" s="141"/>
      <c r="DR263" s="146" t="str">
        <f t="shared" si="456"/>
        <v xml:space="preserve">                                                                                                                                                                                                                                                                                                                                                                                                                </v>
      </c>
      <c r="DS263" s="174" t="str">
        <f t="shared" si="473"/>
        <v>NG</v>
      </c>
      <c r="DT263" s="141"/>
      <c r="DU263" s="172" t="s">
        <v>71</v>
      </c>
      <c r="DV263" s="160"/>
      <c r="DW263" s="141"/>
      <c r="DX263" s="146" t="str">
        <f t="shared" si="457"/>
        <v xml:space="preserve">                                                                                                                                                                                                                                                                                                                                                                                                                </v>
      </c>
      <c r="DY263" s="174" t="str">
        <f t="shared" si="474"/>
        <v>NG</v>
      </c>
      <c r="DZ263" s="141"/>
      <c r="EA263" s="172" t="s">
        <v>71</v>
      </c>
      <c r="EB263" s="160"/>
      <c r="EC263" s="141"/>
      <c r="ED263" s="146" t="str">
        <f t="shared" si="458"/>
        <v xml:space="preserve">                                                                                                                                                                                                                                                                                                                                                                                                                </v>
      </c>
      <c r="EE263" s="174" t="str">
        <f t="shared" si="475"/>
        <v>NG</v>
      </c>
      <c r="EF263" s="141"/>
      <c r="EG263" s="172" t="s">
        <v>71</v>
      </c>
      <c r="EH263" s="160"/>
      <c r="EI263" s="141"/>
      <c r="EJ263" s="146" t="str">
        <f t="shared" si="459"/>
        <v xml:space="preserve">                                                                                                                                                                                                                                                                                                                                                                                                                </v>
      </c>
      <c r="EK263" s="174" t="str">
        <f t="shared" si="476"/>
        <v>NG</v>
      </c>
      <c r="EL263" s="141"/>
      <c r="EM263" s="172" t="s">
        <v>71</v>
      </c>
      <c r="EN263" s="160"/>
      <c r="EO263" s="141"/>
      <c r="EP263" s="146" t="str">
        <f t="shared" si="460"/>
        <v xml:space="preserve">                                                                                                                                                                                                                                                                                                                                                                                                                </v>
      </c>
      <c r="EQ263" s="174" t="str">
        <f t="shared" si="477"/>
        <v>NG</v>
      </c>
      <c r="ER263" s="141"/>
      <c r="ES263" s="172" t="s">
        <v>71</v>
      </c>
      <c r="ET263" s="160"/>
      <c r="EU263" s="141"/>
      <c r="EV263" s="146" t="str">
        <f t="shared" si="461"/>
        <v xml:space="preserve">                                                                                                                                                                                                                                                                                                                                                                                                                </v>
      </c>
      <c r="EW263" s="174" t="str">
        <f t="shared" si="478"/>
        <v>NG</v>
      </c>
      <c r="EX263" s="141"/>
      <c r="EY263" s="172" t="s">
        <v>71</v>
      </c>
      <c r="EZ263" s="160"/>
      <c r="FA263" s="141"/>
      <c r="FB263" s="146" t="str">
        <f t="shared" si="462"/>
        <v xml:space="preserve">                                                                                                                                                                                                                                                                                                                                                                                                                </v>
      </c>
      <c r="FC263" s="174" t="str">
        <f t="shared" si="479"/>
        <v>NG</v>
      </c>
      <c r="FD263" s="141"/>
      <c r="FE263" s="172" t="s">
        <v>71</v>
      </c>
      <c r="FF263" s="160"/>
      <c r="FG263" s="141"/>
      <c r="FH263" s="146" t="str">
        <f t="shared" si="463"/>
        <v xml:space="preserve">                                                                                                                                                                                                                                                                                                                                                                                                                </v>
      </c>
      <c r="FI263" s="174" t="str">
        <f t="shared" si="480"/>
        <v>NG</v>
      </c>
      <c r="FJ263" s="141"/>
      <c r="FK263" s="172" t="s">
        <v>71</v>
      </c>
      <c r="FL263" s="160"/>
      <c r="FM263" s="141"/>
      <c r="FN263" s="146" t="str">
        <f t="shared" si="464"/>
        <v xml:space="preserve">                                                                                                                                                                                                                                                                                                                                                                                                                </v>
      </c>
      <c r="FO263" s="174" t="str">
        <f t="shared" si="438"/>
        <v>NG</v>
      </c>
      <c r="FP263" s="141"/>
      <c r="FQ263" s="172" t="s">
        <v>71</v>
      </c>
      <c r="FR263" s="160"/>
      <c r="FS263" s="141"/>
      <c r="FT263" s="146" t="str">
        <f t="shared" si="465"/>
        <v xml:space="preserve">                                                                                                                                                                                                                                                                                                                                                                                                                </v>
      </c>
      <c r="FU263" s="174" t="str">
        <f t="shared" si="439"/>
        <v>NG</v>
      </c>
      <c r="FV263" s="141"/>
      <c r="FW263" s="172" t="s">
        <v>71</v>
      </c>
      <c r="FX263" s="160"/>
      <c r="FY263" s="141"/>
      <c r="FZ263" s="146" t="str">
        <f t="shared" si="466"/>
        <v xml:space="preserve">                                                                                                                                                                                                                                                                                                                                                                                                                </v>
      </c>
      <c r="GA263" s="174" t="str">
        <f t="shared" si="440"/>
        <v>NG</v>
      </c>
      <c r="GB263" s="141"/>
      <c r="GC263" s="172" t="s">
        <v>71</v>
      </c>
    </row>
    <row r="264" spans="2:185" s="52" customFormat="1" ht="89.25">
      <c r="B264" s="216">
        <f t="shared" si="467"/>
        <v>257</v>
      </c>
      <c r="C264" s="37"/>
      <c r="D264" s="37"/>
      <c r="E264" s="37"/>
      <c r="F264" s="49" t="s">
        <v>228</v>
      </c>
      <c r="G264" s="39"/>
      <c r="H264" s="40"/>
      <c r="I264" s="42"/>
      <c r="J264" s="42"/>
      <c r="K264" s="42"/>
      <c r="L264" s="42"/>
      <c r="M264" s="63" t="s">
        <v>338</v>
      </c>
      <c r="N264" s="47"/>
      <c r="O264" s="143"/>
      <c r="P264" s="45">
        <f t="shared" si="481"/>
        <v>233</v>
      </c>
      <c r="Q264" s="46">
        <v>1</v>
      </c>
      <c r="R264" s="41" t="str">
        <f t="shared" si="482"/>
        <v>X</v>
      </c>
      <c r="S264" s="185" t="s">
        <v>229</v>
      </c>
      <c r="T264" s="43"/>
      <c r="U264" s="41" t="s">
        <v>80</v>
      </c>
      <c r="V264" s="44"/>
      <c r="W264" s="22">
        <v>3</v>
      </c>
      <c r="X264" s="47" t="s">
        <v>230</v>
      </c>
      <c r="Y264" s="47">
        <v>1</v>
      </c>
      <c r="Z264" s="47">
        <v>1</v>
      </c>
      <c r="AA264" s="42" t="s">
        <v>163</v>
      </c>
      <c r="AB264" s="42" t="s">
        <v>57</v>
      </c>
      <c r="AC264" s="217"/>
      <c r="AD264" s="160"/>
      <c r="AE264" s="162"/>
      <c r="AF264" s="203" t="str">
        <f t="shared" si="442"/>
        <v xml:space="preserve"> </v>
      </c>
      <c r="AG264" s="174" t="str">
        <f t="shared" ref="AG264:AG327" si="483">IF(OR(AE$8="判定対象外",AF$8="判定対象外",AF264="-"),"-",IF(AE264=AF264,"OK","NG"))</f>
        <v>NG</v>
      </c>
      <c r="AH264" s="162"/>
      <c r="AI264" s="172" t="s">
        <v>71</v>
      </c>
      <c r="AJ264" s="160"/>
      <c r="AK264" s="162"/>
      <c r="AL264" s="203" t="str">
        <f t="shared" si="441"/>
        <v xml:space="preserve"> </v>
      </c>
      <c r="AM264" s="174" t="str">
        <f t="shared" si="468"/>
        <v>NG</v>
      </c>
      <c r="AN264" s="162"/>
      <c r="AO264" s="172" t="s">
        <v>71</v>
      </c>
      <c r="AP264" s="160"/>
      <c r="AQ264" s="162"/>
      <c r="AR264" s="203" t="str">
        <f t="shared" si="443"/>
        <v xml:space="preserve"> </v>
      </c>
      <c r="AS264" s="174" t="str">
        <f t="shared" ref="AS264:AS327" si="484">IF(OR(AQ$8="判定対象外",AR$8="判定対象外",AR264="-"),"-",IF(AQ264=AR264,"OK","NG"))</f>
        <v>NG</v>
      </c>
      <c r="AT264" s="162"/>
      <c r="AU264" s="172" t="s">
        <v>71</v>
      </c>
      <c r="AV264" s="160"/>
      <c r="AW264" s="162"/>
      <c r="AX264" s="203" t="str">
        <f t="shared" si="444"/>
        <v xml:space="preserve"> </v>
      </c>
      <c r="AY264" s="174" t="str">
        <f t="shared" ref="AY264:AY327" si="485">IF(OR(AW$8="判定対象外",AX$8="判定対象外",AX264="-"),"-",IF(AW264=AX264,"OK","NG"))</f>
        <v>NG</v>
      </c>
      <c r="AZ264" s="162"/>
      <c r="BA264" s="172" t="s">
        <v>71</v>
      </c>
      <c r="BB264" s="160"/>
      <c r="BC264" s="162"/>
      <c r="BD264" s="203" t="str">
        <f t="shared" si="445"/>
        <v xml:space="preserve"> </v>
      </c>
      <c r="BE264" s="174" t="str">
        <f t="shared" ref="BE264:BE327" si="486">IF(OR(BC$8="判定対象外",BD$8="判定対象外",BD264="-"),"-",IF(BC264=BD264,"OK","NG"))</f>
        <v>NG</v>
      </c>
      <c r="BF264" s="162"/>
      <c r="BG264" s="172" t="s">
        <v>71</v>
      </c>
      <c r="BH264" s="160"/>
      <c r="BI264" s="162"/>
      <c r="BJ264" s="203" t="str">
        <f t="shared" si="446"/>
        <v xml:space="preserve"> </v>
      </c>
      <c r="BK264" s="174" t="str">
        <f t="shared" ref="BK264:BK327" si="487">IF(OR(BI$8="判定対象外",BJ$8="判定対象外",BJ264="-"),"-",IF(BI264=BJ264,"OK","NG"))</f>
        <v>NG</v>
      </c>
      <c r="BL264" s="162"/>
      <c r="BM264" s="172" t="s">
        <v>71</v>
      </c>
      <c r="BN264" s="160"/>
      <c r="BO264" s="162"/>
      <c r="BP264" s="203" t="str">
        <f t="shared" si="447"/>
        <v xml:space="preserve"> </v>
      </c>
      <c r="BQ264" s="174" t="str">
        <f t="shared" ref="BQ264:BQ327" si="488">IF(OR(BO$8="判定対象外",BP$8="判定対象外",BP264="-"),"-",IF(BO264=BP264,"OK","NG"))</f>
        <v>NG</v>
      </c>
      <c r="BR264" s="162"/>
      <c r="BS264" s="172" t="s">
        <v>71</v>
      </c>
      <c r="BT264" s="160"/>
      <c r="BU264" s="162"/>
      <c r="BV264" s="203" t="str">
        <f t="shared" si="448"/>
        <v xml:space="preserve"> </v>
      </c>
      <c r="BW264" s="174" t="str">
        <f t="shared" ref="BW264:BW327" si="489">IF(OR(BU$8="判定対象外",BV$8="判定対象外",BV264="-"),"-",IF(BU264=BV264,"OK","NG"))</f>
        <v>NG</v>
      </c>
      <c r="BX264" s="162"/>
      <c r="BY264" s="172" t="s">
        <v>71</v>
      </c>
      <c r="BZ264" s="160"/>
      <c r="CA264" s="162"/>
      <c r="CB264" s="203" t="str">
        <f t="shared" si="449"/>
        <v xml:space="preserve"> </v>
      </c>
      <c r="CC264" s="174" t="str">
        <f t="shared" ref="CC264:CC327" si="490">IF(OR(CA$8="判定対象外",CB$8="判定対象外",CB264="-"),"-",IF(CA264=CB264,"OK","NG"))</f>
        <v>NG</v>
      </c>
      <c r="CD264" s="162"/>
      <c r="CE264" s="172" t="s">
        <v>71</v>
      </c>
      <c r="CF264" s="160"/>
      <c r="CG264" s="162"/>
      <c r="CH264" s="203" t="str">
        <f t="shared" si="450"/>
        <v xml:space="preserve"> </v>
      </c>
      <c r="CI264" s="174" t="str">
        <f t="shared" ref="CI264:CI327" si="491">IF(OR(CG$8="判定対象外",CH$8="判定対象外",CH264="-"),"-",IF(CG264=CH264,"OK","NG"))</f>
        <v>NG</v>
      </c>
      <c r="CJ264" s="162"/>
      <c r="CK264" s="172" t="s">
        <v>71</v>
      </c>
      <c r="CL264" s="160"/>
      <c r="CM264" s="162"/>
      <c r="CN264" s="203" t="str">
        <f t="shared" si="451"/>
        <v xml:space="preserve"> </v>
      </c>
      <c r="CO264" s="174" t="str">
        <f t="shared" ref="CO264:CO327" si="492">IF(OR(CM$8="判定対象外",CN$8="判定対象外",CN264="-"),"-",IF(CM264=CN264,"OK","NG"))</f>
        <v>NG</v>
      </c>
      <c r="CP264" s="162"/>
      <c r="CQ264" s="172" t="s">
        <v>71</v>
      </c>
      <c r="CR264" s="160"/>
      <c r="CS264" s="162"/>
      <c r="CT264" s="203" t="str">
        <f t="shared" si="452"/>
        <v xml:space="preserve"> </v>
      </c>
      <c r="CU264" s="174" t="str">
        <f t="shared" ref="CU264:CU327" si="493">IF(OR(CS$8="判定対象外",CT$8="判定対象外",CT264="-"),"-",IF(CS264=CT264,"OK","NG"))</f>
        <v>NG</v>
      </c>
      <c r="CV264" s="162"/>
      <c r="CW264" s="172" t="s">
        <v>71</v>
      </c>
      <c r="CX264" s="160"/>
      <c r="CY264" s="162"/>
      <c r="CZ264" s="203" t="str">
        <f t="shared" si="453"/>
        <v xml:space="preserve"> </v>
      </c>
      <c r="DA264" s="174" t="str">
        <f t="shared" ref="DA264:DA327" si="494">IF(OR(CY$8="判定対象外",CZ$8="判定対象外",CZ264="-"),"-",IF(CY264=CZ264,"OK","NG"))</f>
        <v>NG</v>
      </c>
      <c r="DB264" s="162"/>
      <c r="DC264" s="172" t="s">
        <v>71</v>
      </c>
      <c r="DD264" s="160"/>
      <c r="DE264" s="162"/>
      <c r="DF264" s="203" t="str">
        <f t="shared" si="454"/>
        <v xml:space="preserve"> </v>
      </c>
      <c r="DG264" s="174" t="str">
        <f t="shared" ref="DG264:DG327" si="495">IF(OR(DE$8="判定対象外",DF$8="判定対象外",DF264="-"),"-",IF(DE264=DF264,"OK","NG"))</f>
        <v>NG</v>
      </c>
      <c r="DH264" s="162"/>
      <c r="DI264" s="172" t="s">
        <v>71</v>
      </c>
      <c r="DJ264" s="160"/>
      <c r="DK264" s="162"/>
      <c r="DL264" s="203" t="str">
        <f t="shared" si="455"/>
        <v xml:space="preserve"> </v>
      </c>
      <c r="DM264" s="174" t="str">
        <f t="shared" ref="DM264:DM327" si="496">IF(OR(DK$8="判定対象外",DL$8="判定対象外",DL264="-"),"-",IF(DK264=DL264,"OK","NG"))</f>
        <v>NG</v>
      </c>
      <c r="DN264" s="162"/>
      <c r="DO264" s="172" t="s">
        <v>71</v>
      </c>
      <c r="DP264" s="160"/>
      <c r="DQ264" s="162"/>
      <c r="DR264" s="203" t="str">
        <f t="shared" si="456"/>
        <v xml:space="preserve"> </v>
      </c>
      <c r="DS264" s="174" t="str">
        <f t="shared" si="473"/>
        <v>NG</v>
      </c>
      <c r="DT264" s="162"/>
      <c r="DU264" s="172" t="s">
        <v>71</v>
      </c>
      <c r="DV264" s="160"/>
      <c r="DW264" s="162"/>
      <c r="DX264" s="203" t="str">
        <f t="shared" si="457"/>
        <v xml:space="preserve"> </v>
      </c>
      <c r="DY264" s="174" t="str">
        <f t="shared" si="474"/>
        <v>NG</v>
      </c>
      <c r="DZ264" s="162"/>
      <c r="EA264" s="172" t="s">
        <v>71</v>
      </c>
      <c r="EB264" s="160"/>
      <c r="EC264" s="162"/>
      <c r="ED264" s="203" t="str">
        <f t="shared" si="458"/>
        <v xml:space="preserve"> </v>
      </c>
      <c r="EE264" s="174" t="str">
        <f t="shared" si="475"/>
        <v>NG</v>
      </c>
      <c r="EF264" s="162"/>
      <c r="EG264" s="172" t="s">
        <v>71</v>
      </c>
      <c r="EH264" s="160"/>
      <c r="EI264" s="162"/>
      <c r="EJ264" s="203" t="str">
        <f t="shared" si="459"/>
        <v xml:space="preserve"> </v>
      </c>
      <c r="EK264" s="174" t="str">
        <f t="shared" si="476"/>
        <v>NG</v>
      </c>
      <c r="EL264" s="162"/>
      <c r="EM264" s="172" t="s">
        <v>71</v>
      </c>
      <c r="EN264" s="160"/>
      <c r="EO264" s="162"/>
      <c r="EP264" s="203" t="str">
        <f t="shared" si="460"/>
        <v xml:space="preserve"> </v>
      </c>
      <c r="EQ264" s="174" t="str">
        <f t="shared" si="477"/>
        <v>NG</v>
      </c>
      <c r="ER264" s="162"/>
      <c r="ES264" s="172" t="s">
        <v>71</v>
      </c>
      <c r="ET264" s="160"/>
      <c r="EU264" s="162"/>
      <c r="EV264" s="203" t="str">
        <f t="shared" si="461"/>
        <v xml:space="preserve"> </v>
      </c>
      <c r="EW264" s="174" t="str">
        <f t="shared" si="478"/>
        <v>NG</v>
      </c>
      <c r="EX264" s="162"/>
      <c r="EY264" s="172" t="s">
        <v>71</v>
      </c>
      <c r="EZ264" s="160"/>
      <c r="FA264" s="162"/>
      <c r="FB264" s="203" t="str">
        <f t="shared" si="462"/>
        <v xml:space="preserve"> </v>
      </c>
      <c r="FC264" s="174" t="str">
        <f t="shared" si="479"/>
        <v>NG</v>
      </c>
      <c r="FD264" s="162"/>
      <c r="FE264" s="172" t="s">
        <v>71</v>
      </c>
      <c r="FF264" s="160"/>
      <c r="FG264" s="162"/>
      <c r="FH264" s="203" t="str">
        <f t="shared" si="463"/>
        <v xml:space="preserve"> </v>
      </c>
      <c r="FI264" s="174" t="str">
        <f t="shared" si="480"/>
        <v>NG</v>
      </c>
      <c r="FJ264" s="162"/>
      <c r="FK264" s="172" t="s">
        <v>71</v>
      </c>
      <c r="FL264" s="160"/>
      <c r="FM264" s="162"/>
      <c r="FN264" s="203" t="str">
        <f t="shared" si="464"/>
        <v xml:space="preserve"> </v>
      </c>
      <c r="FO264" s="174" t="str">
        <f t="shared" ref="FO264:FO327" si="497">IF(OR(FM$8="判定対象外",FN$8="判定対象外",FN264="-"),"-",IF(FM264=FN264,"OK","NG"))</f>
        <v>NG</v>
      </c>
      <c r="FP264" s="162"/>
      <c r="FQ264" s="172" t="s">
        <v>71</v>
      </c>
      <c r="FR264" s="160"/>
      <c r="FS264" s="162"/>
      <c r="FT264" s="203" t="str">
        <f t="shared" si="465"/>
        <v xml:space="preserve"> </v>
      </c>
      <c r="FU264" s="174" t="str">
        <f t="shared" ref="FU264:FU327" si="498">IF(OR(FS$8="判定対象外",FT$8="判定対象外",FT264="-"),"-",IF(FS264=FT264,"OK","NG"))</f>
        <v>NG</v>
      </c>
      <c r="FV264" s="162"/>
      <c r="FW264" s="172" t="s">
        <v>71</v>
      </c>
      <c r="FX264" s="160"/>
      <c r="FY264" s="162"/>
      <c r="FZ264" s="203" t="str">
        <f t="shared" si="466"/>
        <v xml:space="preserve"> </v>
      </c>
      <c r="GA264" s="174" t="str">
        <f t="shared" ref="GA264:GA327" si="499">IF(OR(FY$8="判定対象外",FZ$8="判定対象外",FZ264="-"),"-",IF(FY264=FZ264,"OK","NG"))</f>
        <v>NG</v>
      </c>
      <c r="GB264" s="162"/>
      <c r="GC264" s="172" t="s">
        <v>71</v>
      </c>
    </row>
    <row r="265" spans="2:185" s="52" customFormat="1">
      <c r="B265" s="216">
        <f t="shared" si="467"/>
        <v>258</v>
      </c>
      <c r="C265" s="37"/>
      <c r="D265" s="37"/>
      <c r="E265" s="37"/>
      <c r="F265" s="49" t="s">
        <v>231</v>
      </c>
      <c r="G265" s="39"/>
      <c r="H265" s="40"/>
      <c r="I265" s="42"/>
      <c r="J265" s="42"/>
      <c r="K265" s="42"/>
      <c r="L265" s="42"/>
      <c r="M265" s="63"/>
      <c r="N265" s="47"/>
      <c r="O265" s="143"/>
      <c r="P265" s="45">
        <f t="shared" si="481"/>
        <v>234</v>
      </c>
      <c r="Q265" s="46">
        <v>128</v>
      </c>
      <c r="R265" s="41" t="str">
        <f t="shared" si="482"/>
        <v>X</v>
      </c>
      <c r="S265" s="185" t="s">
        <v>232</v>
      </c>
      <c r="T265" s="43"/>
      <c r="U265" s="41" t="s">
        <v>80</v>
      </c>
      <c r="V265" s="44"/>
      <c r="W265" s="22">
        <v>3</v>
      </c>
      <c r="X265" s="47" t="s">
        <v>233</v>
      </c>
      <c r="Y265" s="47">
        <v>1</v>
      </c>
      <c r="Z265" s="47">
        <v>128</v>
      </c>
      <c r="AA265" s="42" t="s">
        <v>163</v>
      </c>
      <c r="AB265" s="42" t="s">
        <v>57</v>
      </c>
      <c r="AC265" s="166"/>
      <c r="AD265" s="160"/>
      <c r="AE265" s="141"/>
      <c r="AF265" s="203" t="str">
        <f t="shared" si="442"/>
        <v xml:space="preserve">                                                                                                                                </v>
      </c>
      <c r="AG265" s="174" t="str">
        <f t="shared" si="483"/>
        <v>NG</v>
      </c>
      <c r="AH265" s="141"/>
      <c r="AI265" s="276" t="str">
        <f>IF(OR(AE$8="判定対象外",AH$8="判定対象外",AH265="-"),"-",IF(AE265=AH265,"OK","NG"))</f>
        <v>OK</v>
      </c>
      <c r="AJ265" s="160"/>
      <c r="AK265" s="141"/>
      <c r="AL265" s="203" t="str">
        <f t="shared" si="441"/>
        <v xml:space="preserve">                                                                                                                                </v>
      </c>
      <c r="AM265" s="174" t="str">
        <f t="shared" si="468"/>
        <v>NG</v>
      </c>
      <c r="AN265" s="141"/>
      <c r="AO265" s="276" t="str">
        <f>IF(OR(AK$8="判定対象外",AN$8="判定対象外",AN265="-"),"-",IF(AK265=AN265,"OK","NG"))</f>
        <v>OK</v>
      </c>
      <c r="AP265" s="160"/>
      <c r="AQ265" s="141"/>
      <c r="AR265" s="203" t="str">
        <f t="shared" si="443"/>
        <v xml:space="preserve">                                                                                                                                </v>
      </c>
      <c r="AS265" s="174" t="str">
        <f t="shared" si="484"/>
        <v>NG</v>
      </c>
      <c r="AT265" s="141"/>
      <c r="AU265" s="276" t="str">
        <f>IF(OR(AQ$8="判定対象外",AT$8="判定対象外",AT265="-"),"-",IF(AQ265=AT265,"OK","NG"))</f>
        <v>OK</v>
      </c>
      <c r="AV265" s="160"/>
      <c r="AW265" s="141"/>
      <c r="AX265" s="203" t="str">
        <f t="shared" si="444"/>
        <v xml:space="preserve">                                                                                                                                </v>
      </c>
      <c r="AY265" s="174" t="str">
        <f t="shared" si="485"/>
        <v>NG</v>
      </c>
      <c r="AZ265" s="141"/>
      <c r="BA265" s="276" t="str">
        <f>IF(OR(AW$8="判定対象外",AZ$8="判定対象外",AZ265="-"),"-",IF(AW265=AZ265,"OK","NG"))</f>
        <v>OK</v>
      </c>
      <c r="BB265" s="160"/>
      <c r="BC265" s="141"/>
      <c r="BD265" s="203" t="str">
        <f t="shared" si="445"/>
        <v xml:space="preserve">                                                                                                                                </v>
      </c>
      <c r="BE265" s="174" t="str">
        <f t="shared" si="486"/>
        <v>NG</v>
      </c>
      <c r="BF265" s="141"/>
      <c r="BG265" s="276" t="str">
        <f>IF(OR(BC$8="判定対象外",BF$8="判定対象外",BF265="-"),"-",IF(BC265=BF265,"OK","NG"))</f>
        <v>OK</v>
      </c>
      <c r="BH265" s="160"/>
      <c r="BI265" s="141"/>
      <c r="BJ265" s="203" t="str">
        <f t="shared" si="446"/>
        <v xml:space="preserve">                                                                                                                                </v>
      </c>
      <c r="BK265" s="174" t="str">
        <f t="shared" si="487"/>
        <v>NG</v>
      </c>
      <c r="BL265" s="141"/>
      <c r="BM265" s="276" t="str">
        <f>IF(OR(BI$8="判定対象外",BL$8="判定対象外",BL265="-"),"-",IF(BI265=BL265,"OK","NG"))</f>
        <v>OK</v>
      </c>
      <c r="BN265" s="160"/>
      <c r="BO265" s="141"/>
      <c r="BP265" s="203" t="str">
        <f t="shared" si="447"/>
        <v xml:space="preserve">                                                                                                                                </v>
      </c>
      <c r="BQ265" s="174" t="str">
        <f t="shared" si="488"/>
        <v>NG</v>
      </c>
      <c r="BR265" s="141"/>
      <c r="BS265" s="276" t="str">
        <f>IF(OR(BO$8="判定対象外",BR$8="判定対象外",BR265="-"),"-",IF(BO265=BR265,"OK","NG"))</f>
        <v>OK</v>
      </c>
      <c r="BT265" s="160"/>
      <c r="BU265" s="141"/>
      <c r="BV265" s="203" t="str">
        <f t="shared" si="448"/>
        <v xml:space="preserve">                                                                                                                                </v>
      </c>
      <c r="BW265" s="174" t="str">
        <f t="shared" si="489"/>
        <v>NG</v>
      </c>
      <c r="BX265" s="141"/>
      <c r="BY265" s="276" t="str">
        <f>IF(OR(BU$8="判定対象外",BX$8="判定対象外",BX265="-"),"-",IF(BU265=BX265,"OK","NG"))</f>
        <v>OK</v>
      </c>
      <c r="BZ265" s="160"/>
      <c r="CA265" s="141"/>
      <c r="CB265" s="203" t="str">
        <f t="shared" si="449"/>
        <v xml:space="preserve">                                                                                                                                </v>
      </c>
      <c r="CC265" s="174" t="str">
        <f t="shared" si="490"/>
        <v>NG</v>
      </c>
      <c r="CD265" s="141"/>
      <c r="CE265" s="276" t="str">
        <f>IF(OR(CA$8="判定対象外",CD$8="判定対象外",CD265="-"),"-",IF(CA265=CD265,"OK","NG"))</f>
        <v>OK</v>
      </c>
      <c r="CF265" s="160"/>
      <c r="CG265" s="141"/>
      <c r="CH265" s="203" t="str">
        <f t="shared" si="450"/>
        <v xml:space="preserve">                                                                                                                                </v>
      </c>
      <c r="CI265" s="174" t="str">
        <f t="shared" si="491"/>
        <v>NG</v>
      </c>
      <c r="CJ265" s="141"/>
      <c r="CK265" s="276" t="str">
        <f>IF(OR(CG$8="判定対象外",CJ$8="判定対象外",CJ265="-"),"-",IF(CG265=CJ265,"OK","NG"))</f>
        <v>OK</v>
      </c>
      <c r="CL265" s="160"/>
      <c r="CM265" s="141"/>
      <c r="CN265" s="203" t="str">
        <f t="shared" si="451"/>
        <v xml:space="preserve">                                                                                                                                </v>
      </c>
      <c r="CO265" s="174" t="str">
        <f t="shared" si="492"/>
        <v>NG</v>
      </c>
      <c r="CP265" s="141"/>
      <c r="CQ265" s="276" t="str">
        <f>IF(OR(CM$8="判定対象外",CP$8="判定対象外",CP265="-"),"-",IF(CM265=CP265,"OK","NG"))</f>
        <v>OK</v>
      </c>
      <c r="CR265" s="160"/>
      <c r="CS265" s="141"/>
      <c r="CT265" s="203" t="str">
        <f t="shared" si="452"/>
        <v xml:space="preserve">                                                                                                                                </v>
      </c>
      <c r="CU265" s="174" t="str">
        <f t="shared" si="493"/>
        <v>NG</v>
      </c>
      <c r="CV265" s="141"/>
      <c r="CW265" s="276" t="str">
        <f>IF(OR(CS$8="判定対象外",CV$8="判定対象外",CV265="-"),"-",IF(CS265=CV265,"OK","NG"))</f>
        <v>OK</v>
      </c>
      <c r="CX265" s="160"/>
      <c r="CY265" s="141"/>
      <c r="CZ265" s="203" t="str">
        <f t="shared" si="453"/>
        <v xml:space="preserve">                                                                                                                                </v>
      </c>
      <c r="DA265" s="174" t="str">
        <f t="shared" si="494"/>
        <v>NG</v>
      </c>
      <c r="DB265" s="141"/>
      <c r="DC265" s="276" t="str">
        <f>IF(OR(CY$8="判定対象外",DB$8="判定対象外",DB265="-"),"-",IF(CY265=DB265,"OK","NG"))</f>
        <v>OK</v>
      </c>
      <c r="DD265" s="160"/>
      <c r="DE265" s="141"/>
      <c r="DF265" s="203" t="str">
        <f t="shared" si="454"/>
        <v xml:space="preserve">                                                                                                                                </v>
      </c>
      <c r="DG265" s="174" t="str">
        <f t="shared" si="495"/>
        <v>NG</v>
      </c>
      <c r="DH265" s="141"/>
      <c r="DI265" s="276" t="str">
        <f>IF(OR(DE$8="判定対象外",DH$8="判定対象外",DH265="-"),"-",IF(DE265=DH265,"OK","NG"))</f>
        <v>OK</v>
      </c>
      <c r="DJ265" s="160"/>
      <c r="DK265" s="141"/>
      <c r="DL265" s="203" t="str">
        <f t="shared" si="455"/>
        <v xml:space="preserve">                                                                                                                                </v>
      </c>
      <c r="DM265" s="174" t="str">
        <f t="shared" si="496"/>
        <v>NG</v>
      </c>
      <c r="DN265" s="141"/>
      <c r="DO265" s="276" t="str">
        <f>IF(OR(DK$8="判定対象外",DN$8="判定対象外",DN265="-"),"-",IF(DK265=DN265,"OK","NG"))</f>
        <v>OK</v>
      </c>
      <c r="DP265" s="160"/>
      <c r="DQ265" s="141"/>
      <c r="DR265" s="203" t="str">
        <f t="shared" si="456"/>
        <v xml:space="preserve">                                                                                                                                </v>
      </c>
      <c r="DS265" s="174" t="str">
        <f t="shared" si="473"/>
        <v>NG</v>
      </c>
      <c r="DT265" s="141"/>
      <c r="DU265" s="276" t="str">
        <f>IF(OR(DQ$8="判定対象外",DT$8="判定対象外",DT265="-"),"-",IF(DQ265=DT265,"OK","NG"))</f>
        <v>OK</v>
      </c>
      <c r="DV265" s="160"/>
      <c r="DW265" s="141"/>
      <c r="DX265" s="203" t="str">
        <f t="shared" si="457"/>
        <v xml:space="preserve">                                                                                                                                </v>
      </c>
      <c r="DY265" s="174" t="str">
        <f t="shared" si="474"/>
        <v>NG</v>
      </c>
      <c r="DZ265" s="141"/>
      <c r="EA265" s="276" t="str">
        <f>IF(OR(DW$8="判定対象外",DZ$8="判定対象外",DZ265="-"),"-",IF(DW265=DZ265,"OK","NG"))</f>
        <v>OK</v>
      </c>
      <c r="EB265" s="160"/>
      <c r="EC265" s="141"/>
      <c r="ED265" s="203" t="str">
        <f t="shared" si="458"/>
        <v xml:space="preserve">                                                                                                                                </v>
      </c>
      <c r="EE265" s="174" t="str">
        <f t="shared" si="475"/>
        <v>NG</v>
      </c>
      <c r="EF265" s="141"/>
      <c r="EG265" s="276" t="str">
        <f>IF(OR(EC$8="判定対象外",EF$8="判定対象外",EF265="-"),"-",IF(EC265=EF265,"OK","NG"))</f>
        <v>OK</v>
      </c>
      <c r="EH265" s="160"/>
      <c r="EI265" s="141"/>
      <c r="EJ265" s="203" t="str">
        <f t="shared" si="459"/>
        <v xml:space="preserve">                                                                                                                                </v>
      </c>
      <c r="EK265" s="174" t="str">
        <f t="shared" si="476"/>
        <v>NG</v>
      </c>
      <c r="EL265" s="141"/>
      <c r="EM265" s="276" t="str">
        <f>IF(OR(EI$8="判定対象外",EL$8="判定対象外",EL265="-"),"-",IF(EI265=EL265,"OK","NG"))</f>
        <v>OK</v>
      </c>
      <c r="EN265" s="160"/>
      <c r="EO265" s="141"/>
      <c r="EP265" s="203" t="str">
        <f t="shared" si="460"/>
        <v xml:space="preserve">                                                                                                                                </v>
      </c>
      <c r="EQ265" s="174" t="str">
        <f t="shared" si="477"/>
        <v>NG</v>
      </c>
      <c r="ER265" s="141"/>
      <c r="ES265" s="276" t="str">
        <f>IF(OR(EO$8="判定対象外",ER$8="判定対象外",ER265="-"),"-",IF(EO265=ER265,"OK","NG"))</f>
        <v>OK</v>
      </c>
      <c r="ET265" s="160"/>
      <c r="EU265" s="141"/>
      <c r="EV265" s="203" t="str">
        <f t="shared" si="461"/>
        <v xml:space="preserve">                                                                                                                                </v>
      </c>
      <c r="EW265" s="174" t="str">
        <f t="shared" si="478"/>
        <v>NG</v>
      </c>
      <c r="EX265" s="141"/>
      <c r="EY265" s="276" t="str">
        <f>IF(OR(EU$8="判定対象外",EX$8="判定対象外",EX265="-"),"-",IF(EU265=EX265,"OK","NG"))</f>
        <v>OK</v>
      </c>
      <c r="EZ265" s="160"/>
      <c r="FA265" s="141"/>
      <c r="FB265" s="203" t="str">
        <f t="shared" si="462"/>
        <v xml:space="preserve">                                                                                                                                </v>
      </c>
      <c r="FC265" s="174" t="str">
        <f t="shared" si="479"/>
        <v>NG</v>
      </c>
      <c r="FD265" s="141"/>
      <c r="FE265" s="276" t="str">
        <f>IF(OR(FA$8="判定対象外",FD$8="判定対象外",FD265="-"),"-",IF(FA265=FD265,"OK","NG"))</f>
        <v>OK</v>
      </c>
      <c r="FF265" s="160"/>
      <c r="FG265" s="141"/>
      <c r="FH265" s="203" t="str">
        <f t="shared" si="463"/>
        <v xml:space="preserve">                                                                                                                                </v>
      </c>
      <c r="FI265" s="174" t="str">
        <f t="shared" si="480"/>
        <v>NG</v>
      </c>
      <c r="FJ265" s="141"/>
      <c r="FK265" s="276" t="str">
        <f>IF(OR(FG$8="判定対象外",FJ$8="判定対象外",FJ265="-"),"-",IF(FG265=FJ265,"OK","NG"))</f>
        <v>OK</v>
      </c>
      <c r="FL265" s="160"/>
      <c r="FM265" s="141"/>
      <c r="FN265" s="203" t="str">
        <f t="shared" si="464"/>
        <v xml:space="preserve">                                                                                                                                </v>
      </c>
      <c r="FO265" s="174" t="str">
        <f t="shared" si="497"/>
        <v>NG</v>
      </c>
      <c r="FP265" s="141"/>
      <c r="FQ265" s="276" t="str">
        <f>IF(OR(FM$8="判定対象外",FP$8="判定対象外",FP265="-"),"-",IF(FM265=FP265,"OK","NG"))</f>
        <v>OK</v>
      </c>
      <c r="FR265" s="160"/>
      <c r="FS265" s="141"/>
      <c r="FT265" s="203" t="str">
        <f t="shared" si="465"/>
        <v xml:space="preserve">                                                                                                                                </v>
      </c>
      <c r="FU265" s="174" t="str">
        <f t="shared" si="498"/>
        <v>NG</v>
      </c>
      <c r="FV265" s="141"/>
      <c r="FW265" s="276" t="str">
        <f>IF(OR(FS$8="判定対象外",FV$8="判定対象外",FV265="-"),"-",IF(FS265=FV265,"OK","NG"))</f>
        <v>OK</v>
      </c>
      <c r="FX265" s="160"/>
      <c r="FY265" s="141"/>
      <c r="FZ265" s="203" t="str">
        <f t="shared" si="466"/>
        <v xml:space="preserve">                                                                                                                                </v>
      </c>
      <c r="GA265" s="174" t="str">
        <f t="shared" si="499"/>
        <v>NG</v>
      </c>
      <c r="GB265" s="141"/>
      <c r="GC265" s="276" t="str">
        <f>IF(OR(FY$8="判定対象外",GB$8="判定対象外",GB265="-"),"-",IF(FY265=GB265,"OK","NG"))</f>
        <v>OK</v>
      </c>
    </row>
    <row r="266" spans="2:185" s="52" customFormat="1" ht="114.75">
      <c r="B266" s="216">
        <f t="shared" si="467"/>
        <v>259</v>
      </c>
      <c r="C266" s="37"/>
      <c r="D266" s="37"/>
      <c r="E266" s="37"/>
      <c r="F266" s="49" t="s">
        <v>339</v>
      </c>
      <c r="G266" s="39"/>
      <c r="H266" s="40"/>
      <c r="I266" s="42"/>
      <c r="J266" s="42"/>
      <c r="K266" s="42"/>
      <c r="L266" s="42"/>
      <c r="M266" s="63" t="s">
        <v>340</v>
      </c>
      <c r="N266" s="47"/>
      <c r="O266" s="143"/>
      <c r="P266" s="45">
        <f t="shared" si="481"/>
        <v>235</v>
      </c>
      <c r="Q266" s="46">
        <v>1</v>
      </c>
      <c r="R266" s="41" t="str">
        <f t="shared" si="482"/>
        <v>X</v>
      </c>
      <c r="S266" s="185" t="s">
        <v>234</v>
      </c>
      <c r="T266" s="43"/>
      <c r="U266" s="41" t="s">
        <v>80</v>
      </c>
      <c r="V266" s="44"/>
      <c r="W266" s="22">
        <v>3</v>
      </c>
      <c r="X266" s="47" t="s">
        <v>235</v>
      </c>
      <c r="Y266" s="47">
        <v>1</v>
      </c>
      <c r="Z266" s="47">
        <v>1</v>
      </c>
      <c r="AA266" s="42" t="s">
        <v>163</v>
      </c>
      <c r="AB266" s="42" t="s">
        <v>57</v>
      </c>
      <c r="AC266" s="217"/>
      <c r="AD266" s="160"/>
      <c r="AE266" s="162"/>
      <c r="AF266" s="203" t="str">
        <f t="shared" si="442"/>
        <v xml:space="preserve"> </v>
      </c>
      <c r="AG266" s="174" t="str">
        <f t="shared" si="483"/>
        <v>NG</v>
      </c>
      <c r="AH266" s="162"/>
      <c r="AI266" s="172" t="s">
        <v>71</v>
      </c>
      <c r="AJ266" s="160"/>
      <c r="AK266" s="162"/>
      <c r="AL266" s="203" t="str">
        <f t="shared" si="441"/>
        <v xml:space="preserve"> </v>
      </c>
      <c r="AM266" s="174" t="str">
        <f t="shared" si="468"/>
        <v>NG</v>
      </c>
      <c r="AN266" s="162"/>
      <c r="AO266" s="172" t="s">
        <v>71</v>
      </c>
      <c r="AP266" s="160"/>
      <c r="AQ266" s="162"/>
      <c r="AR266" s="203" t="str">
        <f t="shared" si="443"/>
        <v xml:space="preserve"> </v>
      </c>
      <c r="AS266" s="174" t="str">
        <f t="shared" si="484"/>
        <v>NG</v>
      </c>
      <c r="AT266" s="162"/>
      <c r="AU266" s="172" t="s">
        <v>71</v>
      </c>
      <c r="AV266" s="160"/>
      <c r="AW266" s="162"/>
      <c r="AX266" s="203" t="str">
        <f t="shared" si="444"/>
        <v xml:space="preserve"> </v>
      </c>
      <c r="AY266" s="174" t="str">
        <f t="shared" si="485"/>
        <v>NG</v>
      </c>
      <c r="AZ266" s="162"/>
      <c r="BA266" s="172" t="s">
        <v>71</v>
      </c>
      <c r="BB266" s="160"/>
      <c r="BC266" s="162"/>
      <c r="BD266" s="203" t="str">
        <f t="shared" si="445"/>
        <v xml:space="preserve"> </v>
      </c>
      <c r="BE266" s="174" t="str">
        <f t="shared" si="486"/>
        <v>NG</v>
      </c>
      <c r="BF266" s="162"/>
      <c r="BG266" s="172" t="s">
        <v>71</v>
      </c>
      <c r="BH266" s="160"/>
      <c r="BI266" s="162"/>
      <c r="BJ266" s="203" t="str">
        <f t="shared" si="446"/>
        <v xml:space="preserve"> </v>
      </c>
      <c r="BK266" s="174" t="str">
        <f t="shared" si="487"/>
        <v>NG</v>
      </c>
      <c r="BL266" s="162"/>
      <c r="BM266" s="172" t="s">
        <v>71</v>
      </c>
      <c r="BN266" s="160"/>
      <c r="BO266" s="162"/>
      <c r="BP266" s="203" t="str">
        <f t="shared" si="447"/>
        <v xml:space="preserve"> </v>
      </c>
      <c r="BQ266" s="174" t="str">
        <f t="shared" si="488"/>
        <v>NG</v>
      </c>
      <c r="BR266" s="162"/>
      <c r="BS266" s="172" t="s">
        <v>71</v>
      </c>
      <c r="BT266" s="160"/>
      <c r="BU266" s="162"/>
      <c r="BV266" s="203" t="str">
        <f t="shared" si="448"/>
        <v xml:space="preserve"> </v>
      </c>
      <c r="BW266" s="174" t="str">
        <f t="shared" si="489"/>
        <v>NG</v>
      </c>
      <c r="BX266" s="162"/>
      <c r="BY266" s="172" t="s">
        <v>71</v>
      </c>
      <c r="BZ266" s="160"/>
      <c r="CA266" s="162"/>
      <c r="CB266" s="203" t="str">
        <f t="shared" si="449"/>
        <v xml:space="preserve"> </v>
      </c>
      <c r="CC266" s="174" t="str">
        <f t="shared" si="490"/>
        <v>NG</v>
      </c>
      <c r="CD266" s="162"/>
      <c r="CE266" s="172" t="s">
        <v>71</v>
      </c>
      <c r="CF266" s="160"/>
      <c r="CG266" s="162"/>
      <c r="CH266" s="203" t="str">
        <f t="shared" si="450"/>
        <v xml:space="preserve"> </v>
      </c>
      <c r="CI266" s="174" t="str">
        <f t="shared" si="491"/>
        <v>NG</v>
      </c>
      <c r="CJ266" s="162"/>
      <c r="CK266" s="172" t="s">
        <v>71</v>
      </c>
      <c r="CL266" s="160"/>
      <c r="CM266" s="162"/>
      <c r="CN266" s="203" t="str">
        <f t="shared" si="451"/>
        <v xml:space="preserve"> </v>
      </c>
      <c r="CO266" s="174" t="str">
        <f t="shared" si="492"/>
        <v>NG</v>
      </c>
      <c r="CP266" s="162"/>
      <c r="CQ266" s="172" t="s">
        <v>71</v>
      </c>
      <c r="CR266" s="160"/>
      <c r="CS266" s="162"/>
      <c r="CT266" s="203" t="str">
        <f t="shared" si="452"/>
        <v xml:space="preserve"> </v>
      </c>
      <c r="CU266" s="174" t="str">
        <f t="shared" si="493"/>
        <v>NG</v>
      </c>
      <c r="CV266" s="162"/>
      <c r="CW266" s="172" t="s">
        <v>71</v>
      </c>
      <c r="CX266" s="160"/>
      <c r="CY266" s="162"/>
      <c r="CZ266" s="203" t="str">
        <f t="shared" si="453"/>
        <v xml:space="preserve"> </v>
      </c>
      <c r="DA266" s="174" t="str">
        <f t="shared" si="494"/>
        <v>NG</v>
      </c>
      <c r="DB266" s="162"/>
      <c r="DC266" s="172" t="s">
        <v>71</v>
      </c>
      <c r="DD266" s="160"/>
      <c r="DE266" s="162"/>
      <c r="DF266" s="203" t="str">
        <f t="shared" si="454"/>
        <v xml:space="preserve"> </v>
      </c>
      <c r="DG266" s="174" t="str">
        <f t="shared" si="495"/>
        <v>NG</v>
      </c>
      <c r="DH266" s="162"/>
      <c r="DI266" s="172" t="s">
        <v>71</v>
      </c>
      <c r="DJ266" s="160"/>
      <c r="DK266" s="162"/>
      <c r="DL266" s="203" t="str">
        <f t="shared" si="455"/>
        <v xml:space="preserve"> </v>
      </c>
      <c r="DM266" s="174" t="str">
        <f t="shared" si="496"/>
        <v>NG</v>
      </c>
      <c r="DN266" s="162"/>
      <c r="DO266" s="172" t="s">
        <v>71</v>
      </c>
      <c r="DP266" s="160"/>
      <c r="DQ266" s="162"/>
      <c r="DR266" s="203" t="str">
        <f t="shared" si="456"/>
        <v xml:space="preserve"> </v>
      </c>
      <c r="DS266" s="174" t="str">
        <f t="shared" si="473"/>
        <v>NG</v>
      </c>
      <c r="DT266" s="162"/>
      <c r="DU266" s="172" t="s">
        <v>71</v>
      </c>
      <c r="DV266" s="160"/>
      <c r="DW266" s="162"/>
      <c r="DX266" s="203" t="str">
        <f t="shared" si="457"/>
        <v xml:space="preserve"> </v>
      </c>
      <c r="DY266" s="174" t="str">
        <f t="shared" si="474"/>
        <v>NG</v>
      </c>
      <c r="DZ266" s="162"/>
      <c r="EA266" s="172" t="s">
        <v>71</v>
      </c>
      <c r="EB266" s="160"/>
      <c r="EC266" s="162"/>
      <c r="ED266" s="203" t="str">
        <f t="shared" si="458"/>
        <v xml:space="preserve"> </v>
      </c>
      <c r="EE266" s="174" t="str">
        <f t="shared" si="475"/>
        <v>NG</v>
      </c>
      <c r="EF266" s="162"/>
      <c r="EG266" s="172" t="s">
        <v>71</v>
      </c>
      <c r="EH266" s="160"/>
      <c r="EI266" s="162"/>
      <c r="EJ266" s="203" t="str">
        <f t="shared" si="459"/>
        <v xml:space="preserve"> </v>
      </c>
      <c r="EK266" s="174" t="str">
        <f t="shared" si="476"/>
        <v>NG</v>
      </c>
      <c r="EL266" s="162"/>
      <c r="EM266" s="172" t="s">
        <v>71</v>
      </c>
      <c r="EN266" s="160"/>
      <c r="EO266" s="162"/>
      <c r="EP266" s="203" t="str">
        <f t="shared" si="460"/>
        <v xml:space="preserve"> </v>
      </c>
      <c r="EQ266" s="174" t="str">
        <f t="shared" si="477"/>
        <v>NG</v>
      </c>
      <c r="ER266" s="162"/>
      <c r="ES266" s="172" t="s">
        <v>71</v>
      </c>
      <c r="ET266" s="160"/>
      <c r="EU266" s="162"/>
      <c r="EV266" s="203" t="str">
        <f t="shared" si="461"/>
        <v xml:space="preserve"> </v>
      </c>
      <c r="EW266" s="174" t="str">
        <f t="shared" si="478"/>
        <v>NG</v>
      </c>
      <c r="EX266" s="162"/>
      <c r="EY266" s="172" t="s">
        <v>71</v>
      </c>
      <c r="EZ266" s="160"/>
      <c r="FA266" s="162"/>
      <c r="FB266" s="203" t="str">
        <f t="shared" si="462"/>
        <v xml:space="preserve"> </v>
      </c>
      <c r="FC266" s="174" t="str">
        <f t="shared" si="479"/>
        <v>NG</v>
      </c>
      <c r="FD266" s="162"/>
      <c r="FE266" s="172" t="s">
        <v>71</v>
      </c>
      <c r="FF266" s="160"/>
      <c r="FG266" s="162"/>
      <c r="FH266" s="203" t="str">
        <f t="shared" si="463"/>
        <v xml:space="preserve"> </v>
      </c>
      <c r="FI266" s="174" t="str">
        <f t="shared" si="480"/>
        <v>NG</v>
      </c>
      <c r="FJ266" s="162"/>
      <c r="FK266" s="172" t="s">
        <v>71</v>
      </c>
      <c r="FL266" s="160"/>
      <c r="FM266" s="162"/>
      <c r="FN266" s="203" t="str">
        <f t="shared" si="464"/>
        <v xml:space="preserve"> </v>
      </c>
      <c r="FO266" s="174" t="str">
        <f t="shared" si="497"/>
        <v>NG</v>
      </c>
      <c r="FP266" s="162"/>
      <c r="FQ266" s="172" t="s">
        <v>71</v>
      </c>
      <c r="FR266" s="160"/>
      <c r="FS266" s="162"/>
      <c r="FT266" s="203" t="str">
        <f t="shared" si="465"/>
        <v xml:space="preserve"> </v>
      </c>
      <c r="FU266" s="174" t="str">
        <f t="shared" si="498"/>
        <v>NG</v>
      </c>
      <c r="FV266" s="162"/>
      <c r="FW266" s="172" t="s">
        <v>71</v>
      </c>
      <c r="FX266" s="160"/>
      <c r="FY266" s="162"/>
      <c r="FZ266" s="203" t="str">
        <f t="shared" si="466"/>
        <v xml:space="preserve"> </v>
      </c>
      <c r="GA266" s="174" t="str">
        <f t="shared" si="499"/>
        <v>NG</v>
      </c>
      <c r="GB266" s="162"/>
      <c r="GC266" s="172" t="s">
        <v>71</v>
      </c>
    </row>
    <row r="267" spans="2:185" s="52" customFormat="1" ht="127.5">
      <c r="B267" s="216">
        <f t="shared" si="467"/>
        <v>260</v>
      </c>
      <c r="C267" s="37"/>
      <c r="D267" s="37"/>
      <c r="E267" s="37"/>
      <c r="F267" s="49" t="s">
        <v>341</v>
      </c>
      <c r="G267" s="39"/>
      <c r="H267" s="40"/>
      <c r="I267" s="42"/>
      <c r="J267" s="42" t="s">
        <v>316</v>
      </c>
      <c r="K267" s="42"/>
      <c r="L267" s="42"/>
      <c r="M267" s="163" t="s">
        <v>342</v>
      </c>
      <c r="N267" s="47"/>
      <c r="O267" s="143"/>
      <c r="P267" s="45">
        <f t="shared" si="481"/>
        <v>236</v>
      </c>
      <c r="Q267" s="46">
        <v>1</v>
      </c>
      <c r="R267" s="41" t="str">
        <f t="shared" si="482"/>
        <v>X</v>
      </c>
      <c r="S267" s="185" t="s">
        <v>236</v>
      </c>
      <c r="T267" s="43"/>
      <c r="U267" s="41" t="s">
        <v>80</v>
      </c>
      <c r="V267" s="44"/>
      <c r="W267" s="22">
        <v>3</v>
      </c>
      <c r="X267" s="47" t="s">
        <v>237</v>
      </c>
      <c r="Y267" s="47">
        <v>1</v>
      </c>
      <c r="Z267" s="47">
        <v>1</v>
      </c>
      <c r="AA267" s="42" t="s">
        <v>163</v>
      </c>
      <c r="AB267" s="42" t="s">
        <v>57</v>
      </c>
      <c r="AC267" s="217"/>
      <c r="AD267" s="160"/>
      <c r="AE267" s="162"/>
      <c r="AF267" s="203" t="str">
        <f t="shared" si="442"/>
        <v xml:space="preserve"> </v>
      </c>
      <c r="AG267" s="174" t="str">
        <f t="shared" si="483"/>
        <v>NG</v>
      </c>
      <c r="AH267" s="162"/>
      <c r="AI267" s="276" t="str">
        <f>IF(OR(AE$8="判定対象外",AH$8="判定対象外",AH267="-"),"-",IF(AE267=AH267,"OK","NG"))</f>
        <v>OK</v>
      </c>
      <c r="AJ267" s="160"/>
      <c r="AK267" s="162"/>
      <c r="AL267" s="203" t="str">
        <f t="shared" si="441"/>
        <v xml:space="preserve"> </v>
      </c>
      <c r="AM267" s="174" t="str">
        <f t="shared" si="468"/>
        <v>NG</v>
      </c>
      <c r="AN267" s="162"/>
      <c r="AO267" s="276" t="str">
        <f>IF(OR(AK$8="判定対象外",AN$8="判定対象外",AN267="-"),"-",IF(AK267=AN267,"OK","NG"))</f>
        <v>OK</v>
      </c>
      <c r="AP267" s="160"/>
      <c r="AQ267" s="162"/>
      <c r="AR267" s="203" t="str">
        <f t="shared" si="443"/>
        <v xml:space="preserve"> </v>
      </c>
      <c r="AS267" s="174" t="str">
        <f t="shared" si="484"/>
        <v>NG</v>
      </c>
      <c r="AT267" s="162"/>
      <c r="AU267" s="276" t="str">
        <f>IF(OR(AQ$8="判定対象外",AT$8="判定対象外",AT267="-"),"-",IF(AQ267=AT267,"OK","NG"))</f>
        <v>OK</v>
      </c>
      <c r="AV267" s="160"/>
      <c r="AW267" s="162"/>
      <c r="AX267" s="203" t="str">
        <f t="shared" si="444"/>
        <v xml:space="preserve"> </v>
      </c>
      <c r="AY267" s="174" t="str">
        <f t="shared" si="485"/>
        <v>NG</v>
      </c>
      <c r="AZ267" s="162"/>
      <c r="BA267" s="276" t="str">
        <f>IF(OR(AW$8="判定対象外",AZ$8="判定対象外",AZ267="-"),"-",IF(AW267=AZ267,"OK","NG"))</f>
        <v>OK</v>
      </c>
      <c r="BB267" s="160"/>
      <c r="BC267" s="162"/>
      <c r="BD267" s="203" t="str">
        <f t="shared" si="445"/>
        <v xml:space="preserve"> </v>
      </c>
      <c r="BE267" s="174" t="str">
        <f t="shared" si="486"/>
        <v>NG</v>
      </c>
      <c r="BF267" s="162"/>
      <c r="BG267" s="276" t="str">
        <f>IF(OR(BC$8="判定対象外",BF$8="判定対象外",BF267="-"),"-",IF(BC267=BF267,"OK","NG"))</f>
        <v>OK</v>
      </c>
      <c r="BH267" s="160"/>
      <c r="BI267" s="162"/>
      <c r="BJ267" s="203" t="str">
        <f t="shared" si="446"/>
        <v xml:space="preserve"> </v>
      </c>
      <c r="BK267" s="174" t="str">
        <f t="shared" si="487"/>
        <v>NG</v>
      </c>
      <c r="BL267" s="162"/>
      <c r="BM267" s="276" t="str">
        <f>IF(OR(BI$8="判定対象外",BL$8="判定対象外",BL267="-"),"-",IF(BI267=BL267,"OK","NG"))</f>
        <v>OK</v>
      </c>
      <c r="BN267" s="160"/>
      <c r="BO267" s="162"/>
      <c r="BP267" s="203" t="str">
        <f t="shared" si="447"/>
        <v xml:space="preserve"> </v>
      </c>
      <c r="BQ267" s="174" t="str">
        <f t="shared" si="488"/>
        <v>NG</v>
      </c>
      <c r="BR267" s="162"/>
      <c r="BS267" s="276" t="str">
        <f>IF(OR(BO$8="判定対象外",BR$8="判定対象外",BR267="-"),"-",IF(BO267=BR267,"OK","NG"))</f>
        <v>OK</v>
      </c>
      <c r="BT267" s="160"/>
      <c r="BU267" s="162"/>
      <c r="BV267" s="203" t="str">
        <f t="shared" si="448"/>
        <v xml:space="preserve"> </v>
      </c>
      <c r="BW267" s="174" t="str">
        <f t="shared" si="489"/>
        <v>NG</v>
      </c>
      <c r="BX267" s="162"/>
      <c r="BY267" s="276" t="str">
        <f>IF(OR(BU$8="判定対象外",BX$8="判定対象外",BX267="-"),"-",IF(BU267=BX267,"OK","NG"))</f>
        <v>OK</v>
      </c>
      <c r="BZ267" s="160"/>
      <c r="CA267" s="162"/>
      <c r="CB267" s="203" t="str">
        <f t="shared" si="449"/>
        <v xml:space="preserve"> </v>
      </c>
      <c r="CC267" s="174" t="str">
        <f t="shared" si="490"/>
        <v>NG</v>
      </c>
      <c r="CD267" s="162"/>
      <c r="CE267" s="276" t="str">
        <f>IF(OR(CA$8="判定対象外",CD$8="判定対象外",CD267="-"),"-",IF(CA267=CD267,"OK","NG"))</f>
        <v>OK</v>
      </c>
      <c r="CF267" s="160"/>
      <c r="CG267" s="162"/>
      <c r="CH267" s="203" t="str">
        <f t="shared" si="450"/>
        <v xml:space="preserve"> </v>
      </c>
      <c r="CI267" s="174" t="str">
        <f t="shared" si="491"/>
        <v>NG</v>
      </c>
      <c r="CJ267" s="162"/>
      <c r="CK267" s="276" t="str">
        <f>IF(OR(CG$8="判定対象外",CJ$8="判定対象外",CJ267="-"),"-",IF(CG267=CJ267,"OK","NG"))</f>
        <v>OK</v>
      </c>
      <c r="CL267" s="160"/>
      <c r="CM267" s="162"/>
      <c r="CN267" s="203" t="str">
        <f t="shared" si="451"/>
        <v xml:space="preserve"> </v>
      </c>
      <c r="CO267" s="174" t="str">
        <f t="shared" si="492"/>
        <v>NG</v>
      </c>
      <c r="CP267" s="162"/>
      <c r="CQ267" s="276" t="str">
        <f>IF(OR(CM$8="判定対象外",CP$8="判定対象外",CP267="-"),"-",IF(CM267=CP267,"OK","NG"))</f>
        <v>OK</v>
      </c>
      <c r="CR267" s="160"/>
      <c r="CS267" s="162"/>
      <c r="CT267" s="203" t="str">
        <f t="shared" si="452"/>
        <v xml:space="preserve"> </v>
      </c>
      <c r="CU267" s="174" t="str">
        <f t="shared" si="493"/>
        <v>NG</v>
      </c>
      <c r="CV267" s="162"/>
      <c r="CW267" s="276" t="str">
        <f>IF(OR(CS$8="判定対象外",CV$8="判定対象外",CV267="-"),"-",IF(CS267=CV267,"OK","NG"))</f>
        <v>OK</v>
      </c>
      <c r="CX267" s="160"/>
      <c r="CY267" s="162"/>
      <c r="CZ267" s="203" t="str">
        <f t="shared" si="453"/>
        <v xml:space="preserve"> </v>
      </c>
      <c r="DA267" s="174" t="str">
        <f t="shared" si="494"/>
        <v>NG</v>
      </c>
      <c r="DB267" s="162"/>
      <c r="DC267" s="276" t="str">
        <f>IF(OR(CY$8="判定対象外",DB$8="判定対象外",DB267="-"),"-",IF(CY267=DB267,"OK","NG"))</f>
        <v>OK</v>
      </c>
      <c r="DD267" s="160"/>
      <c r="DE267" s="162"/>
      <c r="DF267" s="203" t="str">
        <f t="shared" si="454"/>
        <v xml:space="preserve"> </v>
      </c>
      <c r="DG267" s="174" t="str">
        <f t="shared" si="495"/>
        <v>NG</v>
      </c>
      <c r="DH267" s="162"/>
      <c r="DI267" s="276" t="str">
        <f>IF(OR(DE$8="判定対象外",DH$8="判定対象外",DH267="-"),"-",IF(DE267=DH267,"OK","NG"))</f>
        <v>OK</v>
      </c>
      <c r="DJ267" s="160"/>
      <c r="DK267" s="162"/>
      <c r="DL267" s="203" t="str">
        <f t="shared" si="455"/>
        <v xml:space="preserve"> </v>
      </c>
      <c r="DM267" s="174" t="str">
        <f t="shared" si="496"/>
        <v>NG</v>
      </c>
      <c r="DN267" s="162"/>
      <c r="DO267" s="276" t="str">
        <f>IF(OR(DK$8="判定対象外",DN$8="判定対象外",DN267="-"),"-",IF(DK267=DN267,"OK","NG"))</f>
        <v>OK</v>
      </c>
      <c r="DP267" s="160"/>
      <c r="DQ267" s="162"/>
      <c r="DR267" s="203" t="str">
        <f t="shared" si="456"/>
        <v xml:space="preserve"> </v>
      </c>
      <c r="DS267" s="174" t="str">
        <f t="shared" si="473"/>
        <v>NG</v>
      </c>
      <c r="DT267" s="162"/>
      <c r="DU267" s="276" t="str">
        <f>IF(OR(DQ$8="判定対象外",DT$8="判定対象外",DT267="-"),"-",IF(DQ267=DT267,"OK","NG"))</f>
        <v>OK</v>
      </c>
      <c r="DV267" s="160"/>
      <c r="DW267" s="162"/>
      <c r="DX267" s="203" t="str">
        <f t="shared" si="457"/>
        <v xml:space="preserve"> </v>
      </c>
      <c r="DY267" s="174" t="str">
        <f t="shared" si="474"/>
        <v>NG</v>
      </c>
      <c r="DZ267" s="162"/>
      <c r="EA267" s="276" t="str">
        <f>IF(OR(DW$8="判定対象外",DZ$8="判定対象外",DZ267="-"),"-",IF(DW267=DZ267,"OK","NG"))</f>
        <v>OK</v>
      </c>
      <c r="EB267" s="160"/>
      <c r="EC267" s="162"/>
      <c r="ED267" s="203" t="str">
        <f t="shared" si="458"/>
        <v xml:space="preserve"> </v>
      </c>
      <c r="EE267" s="174" t="str">
        <f t="shared" si="475"/>
        <v>NG</v>
      </c>
      <c r="EF267" s="162"/>
      <c r="EG267" s="276" t="str">
        <f>IF(OR(EC$8="判定対象外",EF$8="判定対象外",EF267="-"),"-",IF(EC267=EF267,"OK","NG"))</f>
        <v>OK</v>
      </c>
      <c r="EH267" s="160"/>
      <c r="EI267" s="162"/>
      <c r="EJ267" s="203" t="str">
        <f t="shared" si="459"/>
        <v xml:space="preserve"> </v>
      </c>
      <c r="EK267" s="174" t="str">
        <f t="shared" si="476"/>
        <v>NG</v>
      </c>
      <c r="EL267" s="162"/>
      <c r="EM267" s="276" t="str">
        <f>IF(OR(EI$8="判定対象外",EL$8="判定対象外",EL267="-"),"-",IF(EI267=EL267,"OK","NG"))</f>
        <v>OK</v>
      </c>
      <c r="EN267" s="160"/>
      <c r="EO267" s="162"/>
      <c r="EP267" s="203" t="str">
        <f t="shared" si="460"/>
        <v xml:space="preserve"> </v>
      </c>
      <c r="EQ267" s="174" t="str">
        <f t="shared" si="477"/>
        <v>NG</v>
      </c>
      <c r="ER267" s="162"/>
      <c r="ES267" s="276" t="str">
        <f>IF(OR(EO$8="判定対象外",ER$8="判定対象外",ER267="-"),"-",IF(EO267=ER267,"OK","NG"))</f>
        <v>OK</v>
      </c>
      <c r="ET267" s="160"/>
      <c r="EU267" s="162"/>
      <c r="EV267" s="203" t="str">
        <f t="shared" si="461"/>
        <v xml:space="preserve"> </v>
      </c>
      <c r="EW267" s="174" t="str">
        <f t="shared" si="478"/>
        <v>NG</v>
      </c>
      <c r="EX267" s="162"/>
      <c r="EY267" s="276" t="str">
        <f>IF(OR(EU$8="判定対象外",EX$8="判定対象外",EX267="-"),"-",IF(EU267=EX267,"OK","NG"))</f>
        <v>OK</v>
      </c>
      <c r="EZ267" s="160"/>
      <c r="FA267" s="162"/>
      <c r="FB267" s="203" t="str">
        <f t="shared" si="462"/>
        <v xml:space="preserve"> </v>
      </c>
      <c r="FC267" s="174" t="str">
        <f t="shared" si="479"/>
        <v>NG</v>
      </c>
      <c r="FD267" s="162"/>
      <c r="FE267" s="276" t="str">
        <f>IF(OR(FA$8="判定対象外",FD$8="判定対象外",FD267="-"),"-",IF(FA267=FD267,"OK","NG"))</f>
        <v>OK</v>
      </c>
      <c r="FF267" s="160"/>
      <c r="FG267" s="162"/>
      <c r="FH267" s="203" t="str">
        <f t="shared" si="463"/>
        <v xml:space="preserve"> </v>
      </c>
      <c r="FI267" s="174" t="str">
        <f t="shared" si="480"/>
        <v>NG</v>
      </c>
      <c r="FJ267" s="162"/>
      <c r="FK267" s="276" t="str">
        <f>IF(OR(FG$8="判定対象外",FJ$8="判定対象外",FJ267="-"),"-",IF(FG267=FJ267,"OK","NG"))</f>
        <v>OK</v>
      </c>
      <c r="FL267" s="160"/>
      <c r="FM267" s="162"/>
      <c r="FN267" s="203" t="str">
        <f t="shared" si="464"/>
        <v xml:space="preserve"> </v>
      </c>
      <c r="FO267" s="174" t="str">
        <f t="shared" si="497"/>
        <v>NG</v>
      </c>
      <c r="FP267" s="162"/>
      <c r="FQ267" s="276" t="str">
        <f>IF(OR(FM$8="判定対象外",FP$8="判定対象外",FP267="-"),"-",IF(FM267=FP267,"OK","NG"))</f>
        <v>OK</v>
      </c>
      <c r="FR267" s="160"/>
      <c r="FS267" s="162"/>
      <c r="FT267" s="203" t="str">
        <f t="shared" si="465"/>
        <v xml:space="preserve"> </v>
      </c>
      <c r="FU267" s="174" t="str">
        <f t="shared" si="498"/>
        <v>NG</v>
      </c>
      <c r="FV267" s="162"/>
      <c r="FW267" s="276" t="str">
        <f>IF(OR(FS$8="判定対象外",FV$8="判定対象外",FV267="-"),"-",IF(FS267=FV267,"OK","NG"))</f>
        <v>OK</v>
      </c>
      <c r="FX267" s="160"/>
      <c r="FY267" s="162"/>
      <c r="FZ267" s="203" t="str">
        <f t="shared" si="466"/>
        <v xml:space="preserve"> </v>
      </c>
      <c r="GA267" s="174" t="str">
        <f t="shared" si="499"/>
        <v>NG</v>
      </c>
      <c r="GB267" s="162"/>
      <c r="GC267" s="276" t="str">
        <f>IF(OR(FY$8="判定対象外",GB$8="判定対象外",GB267="-"),"-",IF(FY267=GB267,"OK","NG"))</f>
        <v>OK</v>
      </c>
    </row>
    <row r="268" spans="2:185" s="52" customFormat="1" ht="319.5" customHeight="1">
      <c r="B268" s="216">
        <f t="shared" si="467"/>
        <v>261</v>
      </c>
      <c r="C268" s="37"/>
      <c r="D268" s="37"/>
      <c r="E268" s="25"/>
      <c r="F268" s="218" t="s">
        <v>288</v>
      </c>
      <c r="G268" s="27"/>
      <c r="H268" s="28"/>
      <c r="I268" s="42"/>
      <c r="J268" s="42" t="s">
        <v>316</v>
      </c>
      <c r="K268" s="42"/>
      <c r="L268" s="42"/>
      <c r="M268" s="161" t="s">
        <v>343</v>
      </c>
      <c r="N268" s="39"/>
      <c r="O268" s="143"/>
      <c r="P268" s="45">
        <f t="shared" si="481"/>
        <v>237</v>
      </c>
      <c r="Q268" s="46">
        <v>2</v>
      </c>
      <c r="R268" s="41" t="str">
        <f t="shared" si="482"/>
        <v>X</v>
      </c>
      <c r="S268" s="185" t="s">
        <v>238</v>
      </c>
      <c r="T268" s="43"/>
      <c r="U268" s="41" t="s">
        <v>80</v>
      </c>
      <c r="V268" s="44"/>
      <c r="W268" s="22">
        <v>3</v>
      </c>
      <c r="X268" s="47" t="s">
        <v>239</v>
      </c>
      <c r="Y268" s="47">
        <v>2</v>
      </c>
      <c r="Z268" s="47">
        <v>2</v>
      </c>
      <c r="AA268" s="42" t="s">
        <v>81</v>
      </c>
      <c r="AB268" s="42" t="s">
        <v>80</v>
      </c>
      <c r="AC268" s="164"/>
      <c r="AD268" s="160"/>
      <c r="AE268" s="162"/>
      <c r="AF268" s="167" t="str">
        <f t="shared" si="442"/>
        <v xml:space="preserve">  </v>
      </c>
      <c r="AG268" s="174" t="str">
        <f t="shared" si="483"/>
        <v>NG</v>
      </c>
      <c r="AH268" s="162"/>
      <c r="AI268" s="276" t="str">
        <f>IF(OR(AE$8="判定対象外",AH$8="判定対象外",AH268="-"),"-",IF(AE268=AH268,"OK","NG"))</f>
        <v>OK</v>
      </c>
      <c r="AJ268" s="160"/>
      <c r="AK268" s="162"/>
      <c r="AL268" s="167" t="str">
        <f t="shared" si="441"/>
        <v xml:space="preserve">  </v>
      </c>
      <c r="AM268" s="174" t="str">
        <f t="shared" si="468"/>
        <v>NG</v>
      </c>
      <c r="AN268" s="162"/>
      <c r="AO268" s="276" t="str">
        <f>IF(OR(AK$8="判定対象外",AN$8="判定対象外",AN268="-"),"-",IF(AK268=AN268,"OK","NG"))</f>
        <v>OK</v>
      </c>
      <c r="AP268" s="160"/>
      <c r="AQ268" s="162"/>
      <c r="AR268" s="167" t="str">
        <f t="shared" si="443"/>
        <v xml:space="preserve">  </v>
      </c>
      <c r="AS268" s="174" t="str">
        <f t="shared" si="484"/>
        <v>NG</v>
      </c>
      <c r="AT268" s="162"/>
      <c r="AU268" s="276" t="str">
        <f>IF(OR(AQ$8="判定対象外",AT$8="判定対象外",AT268="-"),"-",IF(AQ268=AT268,"OK","NG"))</f>
        <v>OK</v>
      </c>
      <c r="AV268" s="160"/>
      <c r="AW268" s="162"/>
      <c r="AX268" s="167" t="str">
        <f t="shared" si="444"/>
        <v xml:space="preserve">  </v>
      </c>
      <c r="AY268" s="174" t="str">
        <f t="shared" si="485"/>
        <v>NG</v>
      </c>
      <c r="AZ268" s="162"/>
      <c r="BA268" s="276" t="str">
        <f>IF(OR(AW$8="判定対象外",AZ$8="判定対象外",AZ268="-"),"-",IF(AW268=AZ268,"OK","NG"))</f>
        <v>OK</v>
      </c>
      <c r="BB268" s="160"/>
      <c r="BC268" s="162"/>
      <c r="BD268" s="167" t="str">
        <f t="shared" si="445"/>
        <v xml:space="preserve">  </v>
      </c>
      <c r="BE268" s="174" t="str">
        <f t="shared" si="486"/>
        <v>NG</v>
      </c>
      <c r="BF268" s="162"/>
      <c r="BG268" s="276" t="str">
        <f>IF(OR(BC$8="判定対象外",BF$8="判定対象外",BF268="-"),"-",IF(BC268=BF268,"OK","NG"))</f>
        <v>OK</v>
      </c>
      <c r="BH268" s="160"/>
      <c r="BI268" s="162"/>
      <c r="BJ268" s="167" t="str">
        <f t="shared" si="446"/>
        <v xml:space="preserve">  </v>
      </c>
      <c r="BK268" s="174" t="str">
        <f t="shared" si="487"/>
        <v>NG</v>
      </c>
      <c r="BL268" s="162"/>
      <c r="BM268" s="276" t="str">
        <f>IF(OR(BI$8="判定対象外",BL$8="判定対象外",BL268="-"),"-",IF(BI268=BL268,"OK","NG"))</f>
        <v>OK</v>
      </c>
      <c r="BN268" s="160"/>
      <c r="BO268" s="162"/>
      <c r="BP268" s="167" t="str">
        <f t="shared" si="447"/>
        <v xml:space="preserve">  </v>
      </c>
      <c r="BQ268" s="174" t="str">
        <f t="shared" si="488"/>
        <v>NG</v>
      </c>
      <c r="BR268" s="162"/>
      <c r="BS268" s="276" t="str">
        <f>IF(OR(BO$8="判定対象外",BR$8="判定対象外",BR268="-"),"-",IF(BO268=BR268,"OK","NG"))</f>
        <v>OK</v>
      </c>
      <c r="BT268" s="160"/>
      <c r="BU268" s="162"/>
      <c r="BV268" s="167" t="str">
        <f t="shared" si="448"/>
        <v xml:space="preserve">  </v>
      </c>
      <c r="BW268" s="174" t="str">
        <f t="shared" si="489"/>
        <v>NG</v>
      </c>
      <c r="BX268" s="162"/>
      <c r="BY268" s="276" t="str">
        <f>IF(OR(BU$8="判定対象外",BX$8="判定対象外",BX268="-"),"-",IF(BU268=BX268,"OK","NG"))</f>
        <v>OK</v>
      </c>
      <c r="BZ268" s="160"/>
      <c r="CA268" s="162"/>
      <c r="CB268" s="167" t="str">
        <f t="shared" si="449"/>
        <v xml:space="preserve">  </v>
      </c>
      <c r="CC268" s="174" t="str">
        <f t="shared" si="490"/>
        <v>NG</v>
      </c>
      <c r="CD268" s="162"/>
      <c r="CE268" s="276" t="str">
        <f>IF(OR(CA$8="判定対象外",CD$8="判定対象外",CD268="-"),"-",IF(CA268=CD268,"OK","NG"))</f>
        <v>OK</v>
      </c>
      <c r="CF268" s="160"/>
      <c r="CG268" s="162"/>
      <c r="CH268" s="167" t="str">
        <f t="shared" si="450"/>
        <v xml:space="preserve">  </v>
      </c>
      <c r="CI268" s="174" t="str">
        <f t="shared" si="491"/>
        <v>NG</v>
      </c>
      <c r="CJ268" s="162"/>
      <c r="CK268" s="276" t="str">
        <f>IF(OR(CG$8="判定対象外",CJ$8="判定対象外",CJ268="-"),"-",IF(CG268=CJ268,"OK","NG"))</f>
        <v>OK</v>
      </c>
      <c r="CL268" s="160"/>
      <c r="CM268" s="162"/>
      <c r="CN268" s="167" t="str">
        <f t="shared" si="451"/>
        <v xml:space="preserve">  </v>
      </c>
      <c r="CO268" s="174" t="str">
        <f t="shared" si="492"/>
        <v>NG</v>
      </c>
      <c r="CP268" s="162"/>
      <c r="CQ268" s="276" t="str">
        <f>IF(OR(CM$8="判定対象外",CP$8="判定対象外",CP268="-"),"-",IF(CM268=CP268,"OK","NG"))</f>
        <v>OK</v>
      </c>
      <c r="CR268" s="160"/>
      <c r="CS268" s="162"/>
      <c r="CT268" s="167" t="str">
        <f t="shared" si="452"/>
        <v xml:space="preserve">  </v>
      </c>
      <c r="CU268" s="174" t="str">
        <f t="shared" si="493"/>
        <v>NG</v>
      </c>
      <c r="CV268" s="162"/>
      <c r="CW268" s="276" t="str">
        <f>IF(OR(CS$8="判定対象外",CV$8="判定対象外",CV268="-"),"-",IF(CS268=CV268,"OK","NG"))</f>
        <v>OK</v>
      </c>
      <c r="CX268" s="160"/>
      <c r="CY268" s="162"/>
      <c r="CZ268" s="167" t="str">
        <f t="shared" si="453"/>
        <v xml:space="preserve">  </v>
      </c>
      <c r="DA268" s="174" t="str">
        <f t="shared" si="494"/>
        <v>NG</v>
      </c>
      <c r="DB268" s="162"/>
      <c r="DC268" s="276" t="str">
        <f>IF(OR(CY$8="判定対象外",DB$8="判定対象外",DB268="-"),"-",IF(CY268=DB268,"OK","NG"))</f>
        <v>OK</v>
      </c>
      <c r="DD268" s="160"/>
      <c r="DE268" s="162"/>
      <c r="DF268" s="167" t="str">
        <f t="shared" si="454"/>
        <v xml:space="preserve">  </v>
      </c>
      <c r="DG268" s="174" t="str">
        <f t="shared" si="495"/>
        <v>NG</v>
      </c>
      <c r="DH268" s="162"/>
      <c r="DI268" s="276" t="str">
        <f>IF(OR(DE$8="判定対象外",DH$8="判定対象外",DH268="-"),"-",IF(DE268=DH268,"OK","NG"))</f>
        <v>OK</v>
      </c>
      <c r="DJ268" s="160"/>
      <c r="DK268" s="162"/>
      <c r="DL268" s="167" t="str">
        <f t="shared" si="455"/>
        <v xml:space="preserve">  </v>
      </c>
      <c r="DM268" s="174" t="str">
        <f t="shared" si="496"/>
        <v>NG</v>
      </c>
      <c r="DN268" s="162"/>
      <c r="DO268" s="276" t="str">
        <f>IF(OR(DK$8="判定対象外",DN$8="判定対象外",DN268="-"),"-",IF(DK268=DN268,"OK","NG"))</f>
        <v>OK</v>
      </c>
      <c r="DP268" s="160"/>
      <c r="DQ268" s="162"/>
      <c r="DR268" s="167" t="str">
        <f t="shared" si="456"/>
        <v xml:space="preserve">  </v>
      </c>
      <c r="DS268" s="174" t="str">
        <f t="shared" si="473"/>
        <v>NG</v>
      </c>
      <c r="DT268" s="162"/>
      <c r="DU268" s="276" t="str">
        <f>IF(OR(DQ$8="判定対象外",DT$8="判定対象外",DT268="-"),"-",IF(DQ268=DT268,"OK","NG"))</f>
        <v>OK</v>
      </c>
      <c r="DV268" s="160"/>
      <c r="DW268" s="162"/>
      <c r="DX268" s="167" t="str">
        <f t="shared" si="457"/>
        <v xml:space="preserve">  </v>
      </c>
      <c r="DY268" s="174" t="str">
        <f t="shared" si="474"/>
        <v>NG</v>
      </c>
      <c r="DZ268" s="162"/>
      <c r="EA268" s="276" t="str">
        <f>IF(OR(DW$8="判定対象外",DZ$8="判定対象外",DZ268="-"),"-",IF(DW268=DZ268,"OK","NG"))</f>
        <v>OK</v>
      </c>
      <c r="EB268" s="160"/>
      <c r="EC268" s="162"/>
      <c r="ED268" s="167" t="str">
        <f t="shared" si="458"/>
        <v xml:space="preserve">  </v>
      </c>
      <c r="EE268" s="174" t="str">
        <f t="shared" si="475"/>
        <v>NG</v>
      </c>
      <c r="EF268" s="162"/>
      <c r="EG268" s="276" t="str">
        <f>IF(OR(EC$8="判定対象外",EF$8="判定対象外",EF268="-"),"-",IF(EC268=EF268,"OK","NG"))</f>
        <v>OK</v>
      </c>
      <c r="EH268" s="160"/>
      <c r="EI268" s="162"/>
      <c r="EJ268" s="167" t="str">
        <f t="shared" si="459"/>
        <v xml:space="preserve">  </v>
      </c>
      <c r="EK268" s="174" t="str">
        <f t="shared" si="476"/>
        <v>NG</v>
      </c>
      <c r="EL268" s="162"/>
      <c r="EM268" s="276" t="str">
        <f>IF(OR(EI$8="判定対象外",EL$8="判定対象外",EL268="-"),"-",IF(EI268=EL268,"OK","NG"))</f>
        <v>OK</v>
      </c>
      <c r="EN268" s="160"/>
      <c r="EO268" s="162"/>
      <c r="EP268" s="167" t="str">
        <f t="shared" si="460"/>
        <v xml:space="preserve">  </v>
      </c>
      <c r="EQ268" s="174" t="str">
        <f t="shared" si="477"/>
        <v>NG</v>
      </c>
      <c r="ER268" s="162"/>
      <c r="ES268" s="276" t="str">
        <f>IF(OR(EO$8="判定対象外",ER$8="判定対象外",ER268="-"),"-",IF(EO268=ER268,"OK","NG"))</f>
        <v>OK</v>
      </c>
      <c r="ET268" s="160"/>
      <c r="EU268" s="162"/>
      <c r="EV268" s="167" t="str">
        <f t="shared" si="461"/>
        <v xml:space="preserve">  </v>
      </c>
      <c r="EW268" s="174" t="str">
        <f t="shared" si="478"/>
        <v>NG</v>
      </c>
      <c r="EX268" s="162"/>
      <c r="EY268" s="276" t="str">
        <f>IF(OR(EU$8="判定対象外",EX$8="判定対象外",EX268="-"),"-",IF(EU268=EX268,"OK","NG"))</f>
        <v>OK</v>
      </c>
      <c r="EZ268" s="160"/>
      <c r="FA268" s="162"/>
      <c r="FB268" s="167" t="str">
        <f t="shared" si="462"/>
        <v xml:space="preserve">  </v>
      </c>
      <c r="FC268" s="174" t="str">
        <f t="shared" si="479"/>
        <v>NG</v>
      </c>
      <c r="FD268" s="162"/>
      <c r="FE268" s="276" t="str">
        <f>IF(OR(FA$8="判定対象外",FD$8="判定対象外",FD268="-"),"-",IF(FA268=FD268,"OK","NG"))</f>
        <v>OK</v>
      </c>
      <c r="FF268" s="160"/>
      <c r="FG268" s="162"/>
      <c r="FH268" s="167" t="str">
        <f t="shared" si="463"/>
        <v xml:space="preserve">  </v>
      </c>
      <c r="FI268" s="174" t="str">
        <f t="shared" si="480"/>
        <v>NG</v>
      </c>
      <c r="FJ268" s="162"/>
      <c r="FK268" s="276" t="str">
        <f>IF(OR(FG$8="判定対象外",FJ$8="判定対象外",FJ268="-"),"-",IF(FG268=FJ268,"OK","NG"))</f>
        <v>OK</v>
      </c>
      <c r="FL268" s="160"/>
      <c r="FM268" s="162"/>
      <c r="FN268" s="167" t="str">
        <f t="shared" si="464"/>
        <v xml:space="preserve">  </v>
      </c>
      <c r="FO268" s="174" t="str">
        <f t="shared" si="497"/>
        <v>NG</v>
      </c>
      <c r="FP268" s="162"/>
      <c r="FQ268" s="276" t="str">
        <f>IF(OR(FM$8="判定対象外",FP$8="判定対象外",FP268="-"),"-",IF(FM268=FP268,"OK","NG"))</f>
        <v>OK</v>
      </c>
      <c r="FR268" s="160"/>
      <c r="FS268" s="162"/>
      <c r="FT268" s="167" t="str">
        <f t="shared" si="465"/>
        <v xml:space="preserve">  </v>
      </c>
      <c r="FU268" s="174" t="str">
        <f t="shared" si="498"/>
        <v>NG</v>
      </c>
      <c r="FV268" s="162"/>
      <c r="FW268" s="276" t="str">
        <f>IF(OR(FS$8="判定対象外",FV$8="判定対象外",FV268="-"),"-",IF(FS268=FV268,"OK","NG"))</f>
        <v>OK</v>
      </c>
      <c r="FX268" s="160"/>
      <c r="FY268" s="162"/>
      <c r="FZ268" s="167" t="str">
        <f t="shared" si="466"/>
        <v xml:space="preserve">  </v>
      </c>
      <c r="GA268" s="174" t="str">
        <f t="shared" si="499"/>
        <v>NG</v>
      </c>
      <c r="GB268" s="162"/>
      <c r="GC268" s="276" t="str">
        <f>IF(OR(FY$8="判定対象外",GB$8="判定対象外",GB268="-"),"-",IF(FY268=GB268,"OK","NG"))</f>
        <v>OK</v>
      </c>
    </row>
    <row r="269" spans="2:185" s="52" customFormat="1" ht="25.5">
      <c r="B269" s="216">
        <f t="shared" si="467"/>
        <v>262</v>
      </c>
      <c r="C269" s="37"/>
      <c r="D269" s="37"/>
      <c r="E269" s="25"/>
      <c r="F269" s="184" t="s">
        <v>344</v>
      </c>
      <c r="G269" s="27"/>
      <c r="H269" s="28"/>
      <c r="I269" s="42"/>
      <c r="J269" s="42"/>
      <c r="K269" s="42"/>
      <c r="L269" s="42"/>
      <c r="M269" s="63" t="s">
        <v>345</v>
      </c>
      <c r="N269" s="39"/>
      <c r="O269" s="143"/>
      <c r="P269" s="45">
        <f t="shared" si="481"/>
        <v>238</v>
      </c>
      <c r="Q269" s="46">
        <v>7</v>
      </c>
      <c r="R269" s="41" t="str">
        <f t="shared" si="482"/>
        <v>X</v>
      </c>
      <c r="S269" s="185" t="s">
        <v>240</v>
      </c>
      <c r="T269" s="43"/>
      <c r="U269" s="41" t="s">
        <v>80</v>
      </c>
      <c r="V269" s="44"/>
      <c r="W269" s="22">
        <v>3</v>
      </c>
      <c r="X269" s="47" t="s">
        <v>241</v>
      </c>
      <c r="Y269" s="47">
        <v>7</v>
      </c>
      <c r="Z269" s="47">
        <v>7</v>
      </c>
      <c r="AA269" s="42" t="s">
        <v>81</v>
      </c>
      <c r="AB269" s="42" t="s">
        <v>80</v>
      </c>
      <c r="AC269" s="219"/>
      <c r="AD269" s="160"/>
      <c r="AE269" s="141"/>
      <c r="AF269" s="203" t="str">
        <f t="shared" si="442"/>
        <v xml:space="preserve">       </v>
      </c>
      <c r="AG269" s="174" t="str">
        <f t="shared" si="483"/>
        <v>NG</v>
      </c>
      <c r="AH269" s="141"/>
      <c r="AI269" s="172" t="s">
        <v>71</v>
      </c>
      <c r="AJ269" s="160"/>
      <c r="AK269" s="141"/>
      <c r="AL269" s="203" t="str">
        <f t="shared" si="441"/>
        <v xml:space="preserve">       </v>
      </c>
      <c r="AM269" s="174" t="str">
        <f t="shared" si="468"/>
        <v>NG</v>
      </c>
      <c r="AN269" s="141"/>
      <c r="AO269" s="172" t="s">
        <v>71</v>
      </c>
      <c r="AP269" s="160"/>
      <c r="AQ269" s="141"/>
      <c r="AR269" s="203" t="str">
        <f t="shared" si="443"/>
        <v xml:space="preserve">       </v>
      </c>
      <c r="AS269" s="174" t="str">
        <f t="shared" si="484"/>
        <v>NG</v>
      </c>
      <c r="AT269" s="141"/>
      <c r="AU269" s="172" t="s">
        <v>71</v>
      </c>
      <c r="AV269" s="160"/>
      <c r="AW269" s="141"/>
      <c r="AX269" s="203" t="str">
        <f t="shared" si="444"/>
        <v xml:space="preserve">       </v>
      </c>
      <c r="AY269" s="174" t="str">
        <f t="shared" si="485"/>
        <v>NG</v>
      </c>
      <c r="AZ269" s="141"/>
      <c r="BA269" s="172" t="s">
        <v>71</v>
      </c>
      <c r="BB269" s="160"/>
      <c r="BC269" s="141"/>
      <c r="BD269" s="203" t="str">
        <f t="shared" si="445"/>
        <v xml:space="preserve">       </v>
      </c>
      <c r="BE269" s="174" t="str">
        <f t="shared" si="486"/>
        <v>NG</v>
      </c>
      <c r="BF269" s="141"/>
      <c r="BG269" s="172" t="s">
        <v>71</v>
      </c>
      <c r="BH269" s="160"/>
      <c r="BI269" s="141"/>
      <c r="BJ269" s="203" t="str">
        <f t="shared" si="446"/>
        <v xml:space="preserve">       </v>
      </c>
      <c r="BK269" s="174" t="str">
        <f t="shared" si="487"/>
        <v>NG</v>
      </c>
      <c r="BL269" s="141"/>
      <c r="BM269" s="172" t="s">
        <v>71</v>
      </c>
      <c r="BN269" s="160"/>
      <c r="BO269" s="141"/>
      <c r="BP269" s="203" t="str">
        <f t="shared" si="447"/>
        <v xml:space="preserve">       </v>
      </c>
      <c r="BQ269" s="174" t="str">
        <f t="shared" si="488"/>
        <v>NG</v>
      </c>
      <c r="BR269" s="141"/>
      <c r="BS269" s="172" t="s">
        <v>71</v>
      </c>
      <c r="BT269" s="160"/>
      <c r="BU269" s="141"/>
      <c r="BV269" s="203" t="str">
        <f t="shared" si="448"/>
        <v xml:space="preserve">       </v>
      </c>
      <c r="BW269" s="174" t="str">
        <f t="shared" si="489"/>
        <v>NG</v>
      </c>
      <c r="BX269" s="141"/>
      <c r="BY269" s="172" t="s">
        <v>71</v>
      </c>
      <c r="BZ269" s="160"/>
      <c r="CA269" s="141"/>
      <c r="CB269" s="203" t="str">
        <f t="shared" si="449"/>
        <v xml:space="preserve">       </v>
      </c>
      <c r="CC269" s="174" t="str">
        <f t="shared" si="490"/>
        <v>NG</v>
      </c>
      <c r="CD269" s="141"/>
      <c r="CE269" s="172" t="s">
        <v>71</v>
      </c>
      <c r="CF269" s="160"/>
      <c r="CG269" s="141"/>
      <c r="CH269" s="203" t="str">
        <f t="shared" si="450"/>
        <v xml:space="preserve">       </v>
      </c>
      <c r="CI269" s="174" t="str">
        <f t="shared" si="491"/>
        <v>NG</v>
      </c>
      <c r="CJ269" s="141"/>
      <c r="CK269" s="172" t="s">
        <v>71</v>
      </c>
      <c r="CL269" s="160"/>
      <c r="CM269" s="141"/>
      <c r="CN269" s="203" t="str">
        <f t="shared" si="451"/>
        <v xml:space="preserve">       </v>
      </c>
      <c r="CO269" s="174" t="str">
        <f t="shared" si="492"/>
        <v>NG</v>
      </c>
      <c r="CP269" s="141"/>
      <c r="CQ269" s="172" t="s">
        <v>71</v>
      </c>
      <c r="CR269" s="160"/>
      <c r="CS269" s="141"/>
      <c r="CT269" s="203" t="str">
        <f t="shared" si="452"/>
        <v xml:space="preserve">       </v>
      </c>
      <c r="CU269" s="174" t="str">
        <f t="shared" si="493"/>
        <v>NG</v>
      </c>
      <c r="CV269" s="141"/>
      <c r="CW269" s="172" t="s">
        <v>71</v>
      </c>
      <c r="CX269" s="160"/>
      <c r="CY269" s="141"/>
      <c r="CZ269" s="203" t="str">
        <f t="shared" si="453"/>
        <v xml:space="preserve">       </v>
      </c>
      <c r="DA269" s="174" t="str">
        <f t="shared" si="494"/>
        <v>NG</v>
      </c>
      <c r="DB269" s="141"/>
      <c r="DC269" s="172" t="s">
        <v>71</v>
      </c>
      <c r="DD269" s="160"/>
      <c r="DE269" s="141"/>
      <c r="DF269" s="203" t="str">
        <f t="shared" si="454"/>
        <v xml:space="preserve">       </v>
      </c>
      <c r="DG269" s="174" t="str">
        <f t="shared" si="495"/>
        <v>NG</v>
      </c>
      <c r="DH269" s="141"/>
      <c r="DI269" s="172" t="s">
        <v>71</v>
      </c>
      <c r="DJ269" s="160"/>
      <c r="DK269" s="141"/>
      <c r="DL269" s="203" t="str">
        <f t="shared" si="455"/>
        <v xml:space="preserve">       </v>
      </c>
      <c r="DM269" s="174" t="str">
        <f t="shared" si="496"/>
        <v>NG</v>
      </c>
      <c r="DN269" s="141"/>
      <c r="DO269" s="172" t="s">
        <v>71</v>
      </c>
      <c r="DP269" s="160"/>
      <c r="DQ269" s="141"/>
      <c r="DR269" s="203" t="str">
        <f t="shared" si="456"/>
        <v xml:space="preserve">       </v>
      </c>
      <c r="DS269" s="174" t="str">
        <f t="shared" si="473"/>
        <v>NG</v>
      </c>
      <c r="DT269" s="141"/>
      <c r="DU269" s="172" t="s">
        <v>71</v>
      </c>
      <c r="DV269" s="160"/>
      <c r="DW269" s="141"/>
      <c r="DX269" s="203" t="str">
        <f t="shared" si="457"/>
        <v xml:space="preserve">       </v>
      </c>
      <c r="DY269" s="174" t="str">
        <f t="shared" si="474"/>
        <v>NG</v>
      </c>
      <c r="DZ269" s="141"/>
      <c r="EA269" s="172" t="s">
        <v>71</v>
      </c>
      <c r="EB269" s="160"/>
      <c r="EC269" s="141"/>
      <c r="ED269" s="203" t="str">
        <f t="shared" si="458"/>
        <v xml:space="preserve">       </v>
      </c>
      <c r="EE269" s="174" t="str">
        <f t="shared" si="475"/>
        <v>NG</v>
      </c>
      <c r="EF269" s="141"/>
      <c r="EG269" s="172" t="s">
        <v>71</v>
      </c>
      <c r="EH269" s="160"/>
      <c r="EI269" s="141"/>
      <c r="EJ269" s="203" t="str">
        <f t="shared" si="459"/>
        <v xml:space="preserve">       </v>
      </c>
      <c r="EK269" s="174" t="str">
        <f t="shared" si="476"/>
        <v>NG</v>
      </c>
      <c r="EL269" s="141"/>
      <c r="EM269" s="172" t="s">
        <v>71</v>
      </c>
      <c r="EN269" s="160"/>
      <c r="EO269" s="141"/>
      <c r="EP269" s="203" t="str">
        <f t="shared" si="460"/>
        <v xml:space="preserve">       </v>
      </c>
      <c r="EQ269" s="174" t="str">
        <f t="shared" si="477"/>
        <v>NG</v>
      </c>
      <c r="ER269" s="141"/>
      <c r="ES269" s="172" t="s">
        <v>71</v>
      </c>
      <c r="ET269" s="160"/>
      <c r="EU269" s="141"/>
      <c r="EV269" s="203" t="str">
        <f t="shared" si="461"/>
        <v xml:space="preserve">       </v>
      </c>
      <c r="EW269" s="174" t="str">
        <f t="shared" si="478"/>
        <v>NG</v>
      </c>
      <c r="EX269" s="141"/>
      <c r="EY269" s="172" t="s">
        <v>71</v>
      </c>
      <c r="EZ269" s="160"/>
      <c r="FA269" s="141"/>
      <c r="FB269" s="203" t="str">
        <f t="shared" si="462"/>
        <v xml:space="preserve">       </v>
      </c>
      <c r="FC269" s="174" t="str">
        <f t="shared" si="479"/>
        <v>NG</v>
      </c>
      <c r="FD269" s="141"/>
      <c r="FE269" s="172" t="s">
        <v>71</v>
      </c>
      <c r="FF269" s="160"/>
      <c r="FG269" s="141"/>
      <c r="FH269" s="203" t="str">
        <f t="shared" si="463"/>
        <v xml:space="preserve">       </v>
      </c>
      <c r="FI269" s="174" t="str">
        <f t="shared" si="480"/>
        <v>NG</v>
      </c>
      <c r="FJ269" s="141"/>
      <c r="FK269" s="172" t="s">
        <v>71</v>
      </c>
      <c r="FL269" s="160"/>
      <c r="FM269" s="141"/>
      <c r="FN269" s="203" t="str">
        <f t="shared" si="464"/>
        <v xml:space="preserve">       </v>
      </c>
      <c r="FO269" s="174" t="str">
        <f t="shared" si="497"/>
        <v>NG</v>
      </c>
      <c r="FP269" s="141"/>
      <c r="FQ269" s="172" t="s">
        <v>71</v>
      </c>
      <c r="FR269" s="160"/>
      <c r="FS269" s="141"/>
      <c r="FT269" s="203" t="str">
        <f t="shared" si="465"/>
        <v xml:space="preserve">       </v>
      </c>
      <c r="FU269" s="174" t="str">
        <f t="shared" si="498"/>
        <v>NG</v>
      </c>
      <c r="FV269" s="141"/>
      <c r="FW269" s="172" t="s">
        <v>71</v>
      </c>
      <c r="FX269" s="160"/>
      <c r="FY269" s="141"/>
      <c r="FZ269" s="203" t="str">
        <f t="shared" si="466"/>
        <v xml:space="preserve">       </v>
      </c>
      <c r="GA269" s="174" t="str">
        <f t="shared" si="499"/>
        <v>NG</v>
      </c>
      <c r="GB269" s="141"/>
      <c r="GC269" s="172" t="s">
        <v>71</v>
      </c>
    </row>
    <row r="270" spans="2:185" s="237" customFormat="1" ht="25.5">
      <c r="B270" s="216">
        <f t="shared" si="467"/>
        <v>263</v>
      </c>
      <c r="C270" s="220"/>
      <c r="D270" s="220"/>
      <c r="E270" s="221"/>
      <c r="F270" s="222" t="s">
        <v>346</v>
      </c>
      <c r="G270" s="223"/>
      <c r="H270" s="224"/>
      <c r="I270" s="225"/>
      <c r="J270" s="225"/>
      <c r="K270" s="226"/>
      <c r="L270" s="226"/>
      <c r="M270" s="227" t="s">
        <v>345</v>
      </c>
      <c r="N270" s="228"/>
      <c r="O270" s="229"/>
      <c r="P270" s="45">
        <f t="shared" si="481"/>
        <v>239</v>
      </c>
      <c r="Q270" s="230">
        <v>10</v>
      </c>
      <c r="R270" s="41" t="str">
        <f t="shared" si="482"/>
        <v>X</v>
      </c>
      <c r="S270" s="185" t="s">
        <v>242</v>
      </c>
      <c r="T270" s="231"/>
      <c r="U270" s="41" t="s">
        <v>80</v>
      </c>
      <c r="V270" s="229"/>
      <c r="W270" s="232">
        <v>3</v>
      </c>
      <c r="X270" s="194" t="s">
        <v>243</v>
      </c>
      <c r="Y270" s="194">
        <v>10</v>
      </c>
      <c r="Z270" s="194">
        <v>10</v>
      </c>
      <c r="AA270" s="225" t="s">
        <v>163</v>
      </c>
      <c r="AB270" s="225" t="s">
        <v>57</v>
      </c>
      <c r="AC270" s="219"/>
      <c r="AD270" s="233"/>
      <c r="AE270" s="268"/>
      <c r="AF270" s="235" t="str">
        <f t="shared" si="442"/>
        <v xml:space="preserve">          </v>
      </c>
      <c r="AG270" s="174" t="str">
        <f t="shared" si="483"/>
        <v>NG</v>
      </c>
      <c r="AH270" s="268"/>
      <c r="AI270" s="172" t="s">
        <v>71</v>
      </c>
      <c r="AJ270" s="233"/>
      <c r="AK270" s="234"/>
      <c r="AL270" s="235" t="str">
        <f t="shared" ref="AL270:AL333" si="500">IF(AN270="-","-",AN270&amp;REPT(IF($R270="N","　",IF($R270="9","0"," ")),$Z270-LENB(AN270)))</f>
        <v xml:space="preserve">          </v>
      </c>
      <c r="AM270" s="174" t="str">
        <f t="shared" si="468"/>
        <v>NG</v>
      </c>
      <c r="AN270" s="268"/>
      <c r="AO270" s="172" t="s">
        <v>71</v>
      </c>
      <c r="AP270" s="233"/>
      <c r="AQ270" s="268"/>
      <c r="AR270" s="235" t="str">
        <f t="shared" si="443"/>
        <v xml:space="preserve">          </v>
      </c>
      <c r="AS270" s="174" t="str">
        <f t="shared" si="484"/>
        <v>NG</v>
      </c>
      <c r="AT270" s="268"/>
      <c r="AU270" s="172" t="s">
        <v>71</v>
      </c>
      <c r="AV270" s="233"/>
      <c r="AW270" s="268"/>
      <c r="AX270" s="235" t="str">
        <f t="shared" si="444"/>
        <v xml:space="preserve">          </v>
      </c>
      <c r="AY270" s="174" t="str">
        <f t="shared" si="485"/>
        <v>NG</v>
      </c>
      <c r="AZ270" s="268"/>
      <c r="BA270" s="172" t="s">
        <v>71</v>
      </c>
      <c r="BB270" s="233"/>
      <c r="BC270" s="268"/>
      <c r="BD270" s="235" t="str">
        <f t="shared" si="445"/>
        <v xml:space="preserve">          </v>
      </c>
      <c r="BE270" s="174" t="str">
        <f t="shared" si="486"/>
        <v>NG</v>
      </c>
      <c r="BF270" s="268"/>
      <c r="BG270" s="172" t="s">
        <v>71</v>
      </c>
      <c r="BH270" s="233"/>
      <c r="BI270" s="268"/>
      <c r="BJ270" s="235" t="str">
        <f t="shared" si="446"/>
        <v xml:space="preserve">          </v>
      </c>
      <c r="BK270" s="174" t="str">
        <f t="shared" si="487"/>
        <v>NG</v>
      </c>
      <c r="BL270" s="268"/>
      <c r="BM270" s="172" t="s">
        <v>71</v>
      </c>
      <c r="BN270" s="233"/>
      <c r="BO270" s="268"/>
      <c r="BP270" s="235" t="str">
        <f t="shared" si="447"/>
        <v xml:space="preserve">          </v>
      </c>
      <c r="BQ270" s="174" t="str">
        <f t="shared" si="488"/>
        <v>NG</v>
      </c>
      <c r="BR270" s="268"/>
      <c r="BS270" s="172" t="s">
        <v>71</v>
      </c>
      <c r="BT270" s="233"/>
      <c r="BU270" s="268"/>
      <c r="BV270" s="235" t="str">
        <f t="shared" si="448"/>
        <v xml:space="preserve">          </v>
      </c>
      <c r="BW270" s="174" t="str">
        <f t="shared" si="489"/>
        <v>NG</v>
      </c>
      <c r="BX270" s="268"/>
      <c r="BY270" s="172" t="s">
        <v>71</v>
      </c>
      <c r="BZ270" s="233"/>
      <c r="CA270" s="268"/>
      <c r="CB270" s="235" t="str">
        <f t="shared" si="449"/>
        <v xml:space="preserve">          </v>
      </c>
      <c r="CC270" s="174" t="str">
        <f t="shared" si="490"/>
        <v>NG</v>
      </c>
      <c r="CD270" s="268"/>
      <c r="CE270" s="172" t="s">
        <v>71</v>
      </c>
      <c r="CF270" s="233"/>
      <c r="CG270" s="268"/>
      <c r="CH270" s="235" t="str">
        <f t="shared" si="450"/>
        <v xml:space="preserve">          </v>
      </c>
      <c r="CI270" s="174" t="str">
        <f t="shared" si="491"/>
        <v>NG</v>
      </c>
      <c r="CJ270" s="268"/>
      <c r="CK270" s="172" t="s">
        <v>71</v>
      </c>
      <c r="CL270" s="233"/>
      <c r="CM270" s="268"/>
      <c r="CN270" s="235" t="str">
        <f t="shared" si="451"/>
        <v xml:space="preserve">          </v>
      </c>
      <c r="CO270" s="174" t="str">
        <f t="shared" si="492"/>
        <v>NG</v>
      </c>
      <c r="CP270" s="268"/>
      <c r="CQ270" s="172" t="s">
        <v>71</v>
      </c>
      <c r="CR270" s="233"/>
      <c r="CS270" s="268"/>
      <c r="CT270" s="235" t="str">
        <f t="shared" si="452"/>
        <v xml:space="preserve">          </v>
      </c>
      <c r="CU270" s="174" t="str">
        <f t="shared" si="493"/>
        <v>NG</v>
      </c>
      <c r="CV270" s="268"/>
      <c r="CW270" s="172" t="s">
        <v>71</v>
      </c>
      <c r="CX270" s="233"/>
      <c r="CY270" s="268"/>
      <c r="CZ270" s="235" t="str">
        <f t="shared" si="453"/>
        <v xml:space="preserve">          </v>
      </c>
      <c r="DA270" s="174" t="str">
        <f t="shared" si="494"/>
        <v>NG</v>
      </c>
      <c r="DB270" s="268"/>
      <c r="DC270" s="172" t="s">
        <v>71</v>
      </c>
      <c r="DD270" s="233"/>
      <c r="DE270" s="268"/>
      <c r="DF270" s="235" t="str">
        <f t="shared" si="454"/>
        <v xml:space="preserve">          </v>
      </c>
      <c r="DG270" s="174" t="str">
        <f t="shared" si="495"/>
        <v>NG</v>
      </c>
      <c r="DH270" s="268"/>
      <c r="DI270" s="172" t="s">
        <v>71</v>
      </c>
      <c r="DJ270" s="233"/>
      <c r="DK270" s="268"/>
      <c r="DL270" s="235" t="str">
        <f t="shared" si="455"/>
        <v xml:space="preserve">          </v>
      </c>
      <c r="DM270" s="174" t="str">
        <f t="shared" si="496"/>
        <v>NG</v>
      </c>
      <c r="DN270" s="268"/>
      <c r="DO270" s="172" t="s">
        <v>71</v>
      </c>
      <c r="DP270" s="233"/>
      <c r="DQ270" s="268"/>
      <c r="DR270" s="235" t="str">
        <f t="shared" si="456"/>
        <v xml:space="preserve">          </v>
      </c>
      <c r="DS270" s="174" t="str">
        <f t="shared" si="473"/>
        <v>NG</v>
      </c>
      <c r="DT270" s="268"/>
      <c r="DU270" s="172" t="s">
        <v>71</v>
      </c>
      <c r="DV270" s="233"/>
      <c r="DW270" s="268"/>
      <c r="DX270" s="235" t="str">
        <f t="shared" si="457"/>
        <v xml:space="preserve">          </v>
      </c>
      <c r="DY270" s="174" t="str">
        <f t="shared" si="474"/>
        <v>NG</v>
      </c>
      <c r="DZ270" s="268"/>
      <c r="EA270" s="172" t="s">
        <v>71</v>
      </c>
      <c r="EB270" s="233"/>
      <c r="EC270" s="268"/>
      <c r="ED270" s="235" t="str">
        <f t="shared" si="458"/>
        <v xml:space="preserve">          </v>
      </c>
      <c r="EE270" s="174" t="str">
        <f t="shared" si="475"/>
        <v>NG</v>
      </c>
      <c r="EF270" s="268"/>
      <c r="EG270" s="172" t="s">
        <v>71</v>
      </c>
      <c r="EH270" s="233"/>
      <c r="EI270" s="268"/>
      <c r="EJ270" s="235" t="str">
        <f t="shared" si="459"/>
        <v xml:space="preserve">          </v>
      </c>
      <c r="EK270" s="174" t="str">
        <f t="shared" si="476"/>
        <v>NG</v>
      </c>
      <c r="EL270" s="268"/>
      <c r="EM270" s="172" t="s">
        <v>71</v>
      </c>
      <c r="EN270" s="233"/>
      <c r="EO270" s="268"/>
      <c r="EP270" s="235" t="str">
        <f t="shared" si="460"/>
        <v xml:space="preserve">          </v>
      </c>
      <c r="EQ270" s="174" t="str">
        <f t="shared" si="477"/>
        <v>NG</v>
      </c>
      <c r="ER270" s="268"/>
      <c r="ES270" s="172" t="s">
        <v>71</v>
      </c>
      <c r="ET270" s="233"/>
      <c r="EU270" s="268"/>
      <c r="EV270" s="235" t="str">
        <f t="shared" si="461"/>
        <v xml:space="preserve">          </v>
      </c>
      <c r="EW270" s="174" t="str">
        <f t="shared" si="478"/>
        <v>NG</v>
      </c>
      <c r="EX270" s="268"/>
      <c r="EY270" s="172" t="s">
        <v>71</v>
      </c>
      <c r="EZ270" s="233"/>
      <c r="FA270" s="268"/>
      <c r="FB270" s="235" t="str">
        <f t="shared" si="462"/>
        <v xml:space="preserve">          </v>
      </c>
      <c r="FC270" s="174" t="str">
        <f t="shared" si="479"/>
        <v>NG</v>
      </c>
      <c r="FD270" s="268"/>
      <c r="FE270" s="172" t="s">
        <v>71</v>
      </c>
      <c r="FF270" s="233"/>
      <c r="FG270" s="268"/>
      <c r="FH270" s="235" t="str">
        <f t="shared" si="463"/>
        <v xml:space="preserve">          </v>
      </c>
      <c r="FI270" s="174" t="str">
        <f t="shared" si="480"/>
        <v>NG</v>
      </c>
      <c r="FJ270" s="268"/>
      <c r="FK270" s="172" t="s">
        <v>71</v>
      </c>
      <c r="FL270" s="233"/>
      <c r="FM270" s="268"/>
      <c r="FN270" s="235" t="str">
        <f t="shared" si="464"/>
        <v xml:space="preserve">          </v>
      </c>
      <c r="FO270" s="174" t="str">
        <f t="shared" si="497"/>
        <v>NG</v>
      </c>
      <c r="FP270" s="268"/>
      <c r="FQ270" s="172" t="s">
        <v>71</v>
      </c>
      <c r="FR270" s="233"/>
      <c r="FS270" s="268"/>
      <c r="FT270" s="235" t="str">
        <f t="shared" si="465"/>
        <v xml:space="preserve">          </v>
      </c>
      <c r="FU270" s="174" t="str">
        <f t="shared" si="498"/>
        <v>NG</v>
      </c>
      <c r="FV270" s="268"/>
      <c r="FW270" s="172" t="s">
        <v>71</v>
      </c>
      <c r="FX270" s="233"/>
      <c r="FY270" s="268"/>
      <c r="FZ270" s="235" t="str">
        <f t="shared" si="466"/>
        <v xml:space="preserve">          </v>
      </c>
      <c r="GA270" s="174" t="str">
        <f t="shared" si="499"/>
        <v>NG</v>
      </c>
      <c r="GB270" s="268"/>
      <c r="GC270" s="172" t="s">
        <v>71</v>
      </c>
    </row>
    <row r="271" spans="2:185" s="237" customFormat="1" ht="25.5">
      <c r="B271" s="216">
        <f t="shared" si="467"/>
        <v>264</v>
      </c>
      <c r="C271" s="220"/>
      <c r="D271" s="220"/>
      <c r="E271" s="220"/>
      <c r="F271" s="238" t="s">
        <v>244</v>
      </c>
      <c r="G271" s="168"/>
      <c r="H271" s="239"/>
      <c r="I271" s="225"/>
      <c r="J271" s="225"/>
      <c r="K271" s="226"/>
      <c r="L271" s="226"/>
      <c r="M271" s="227" t="s">
        <v>345</v>
      </c>
      <c r="N271" s="228"/>
      <c r="O271" s="229"/>
      <c r="P271" s="45">
        <f t="shared" si="481"/>
        <v>240</v>
      </c>
      <c r="Q271" s="230">
        <v>3</v>
      </c>
      <c r="R271" s="41" t="str">
        <f t="shared" si="482"/>
        <v>X</v>
      </c>
      <c r="S271" s="185" t="s">
        <v>245</v>
      </c>
      <c r="T271" s="231"/>
      <c r="U271" s="41" t="s">
        <v>80</v>
      </c>
      <c r="V271" s="229"/>
      <c r="W271" s="232">
        <v>3</v>
      </c>
      <c r="X271" s="194" t="s">
        <v>246</v>
      </c>
      <c r="Y271" s="194">
        <v>3</v>
      </c>
      <c r="Z271" s="194">
        <v>3</v>
      </c>
      <c r="AA271" s="225" t="s">
        <v>163</v>
      </c>
      <c r="AB271" s="225" t="s">
        <v>57</v>
      </c>
      <c r="AC271" s="219"/>
      <c r="AD271" s="233"/>
      <c r="AE271" s="268"/>
      <c r="AF271" s="235" t="str">
        <f t="shared" si="442"/>
        <v xml:space="preserve">   </v>
      </c>
      <c r="AG271" s="174" t="str">
        <f t="shared" si="483"/>
        <v>NG</v>
      </c>
      <c r="AH271" s="268"/>
      <c r="AI271" s="172" t="s">
        <v>71</v>
      </c>
      <c r="AJ271" s="233"/>
      <c r="AK271" s="234"/>
      <c r="AL271" s="235" t="str">
        <f t="shared" si="500"/>
        <v xml:space="preserve">   </v>
      </c>
      <c r="AM271" s="174" t="str">
        <f t="shared" si="468"/>
        <v>NG</v>
      </c>
      <c r="AN271" s="268"/>
      <c r="AO271" s="172" t="s">
        <v>71</v>
      </c>
      <c r="AP271" s="233"/>
      <c r="AQ271" s="268"/>
      <c r="AR271" s="235" t="str">
        <f t="shared" si="443"/>
        <v xml:space="preserve">   </v>
      </c>
      <c r="AS271" s="174" t="str">
        <f t="shared" si="484"/>
        <v>NG</v>
      </c>
      <c r="AT271" s="268"/>
      <c r="AU271" s="172" t="s">
        <v>71</v>
      </c>
      <c r="AV271" s="233"/>
      <c r="AW271" s="268"/>
      <c r="AX271" s="235" t="str">
        <f t="shared" si="444"/>
        <v xml:space="preserve">   </v>
      </c>
      <c r="AY271" s="174" t="str">
        <f t="shared" si="485"/>
        <v>NG</v>
      </c>
      <c r="AZ271" s="268"/>
      <c r="BA271" s="172" t="s">
        <v>71</v>
      </c>
      <c r="BB271" s="233"/>
      <c r="BC271" s="268"/>
      <c r="BD271" s="235" t="str">
        <f t="shared" si="445"/>
        <v xml:space="preserve">   </v>
      </c>
      <c r="BE271" s="174" t="str">
        <f t="shared" si="486"/>
        <v>NG</v>
      </c>
      <c r="BF271" s="268"/>
      <c r="BG271" s="172" t="s">
        <v>71</v>
      </c>
      <c r="BH271" s="233"/>
      <c r="BI271" s="268"/>
      <c r="BJ271" s="235" t="str">
        <f t="shared" si="446"/>
        <v xml:space="preserve">   </v>
      </c>
      <c r="BK271" s="174" t="str">
        <f t="shared" si="487"/>
        <v>NG</v>
      </c>
      <c r="BL271" s="268"/>
      <c r="BM271" s="172" t="s">
        <v>71</v>
      </c>
      <c r="BN271" s="233"/>
      <c r="BO271" s="268"/>
      <c r="BP271" s="235" t="str">
        <f t="shared" si="447"/>
        <v xml:space="preserve">   </v>
      </c>
      <c r="BQ271" s="174" t="str">
        <f t="shared" si="488"/>
        <v>NG</v>
      </c>
      <c r="BR271" s="268"/>
      <c r="BS271" s="172" t="s">
        <v>71</v>
      </c>
      <c r="BT271" s="233"/>
      <c r="BU271" s="268"/>
      <c r="BV271" s="235" t="str">
        <f t="shared" si="448"/>
        <v xml:space="preserve">   </v>
      </c>
      <c r="BW271" s="174" t="str">
        <f t="shared" si="489"/>
        <v>NG</v>
      </c>
      <c r="BX271" s="268"/>
      <c r="BY271" s="172" t="s">
        <v>71</v>
      </c>
      <c r="BZ271" s="233"/>
      <c r="CA271" s="268"/>
      <c r="CB271" s="235" t="str">
        <f t="shared" si="449"/>
        <v xml:space="preserve">   </v>
      </c>
      <c r="CC271" s="174" t="str">
        <f t="shared" si="490"/>
        <v>NG</v>
      </c>
      <c r="CD271" s="268"/>
      <c r="CE271" s="172" t="s">
        <v>71</v>
      </c>
      <c r="CF271" s="233"/>
      <c r="CG271" s="268"/>
      <c r="CH271" s="235" t="str">
        <f t="shared" si="450"/>
        <v xml:space="preserve">   </v>
      </c>
      <c r="CI271" s="174" t="str">
        <f t="shared" si="491"/>
        <v>NG</v>
      </c>
      <c r="CJ271" s="268"/>
      <c r="CK271" s="172" t="s">
        <v>71</v>
      </c>
      <c r="CL271" s="233"/>
      <c r="CM271" s="268"/>
      <c r="CN271" s="235" t="str">
        <f t="shared" si="451"/>
        <v xml:space="preserve">   </v>
      </c>
      <c r="CO271" s="174" t="str">
        <f t="shared" si="492"/>
        <v>NG</v>
      </c>
      <c r="CP271" s="268"/>
      <c r="CQ271" s="172" t="s">
        <v>71</v>
      </c>
      <c r="CR271" s="233"/>
      <c r="CS271" s="268"/>
      <c r="CT271" s="235" t="str">
        <f t="shared" si="452"/>
        <v xml:space="preserve">   </v>
      </c>
      <c r="CU271" s="174" t="str">
        <f t="shared" si="493"/>
        <v>NG</v>
      </c>
      <c r="CV271" s="268"/>
      <c r="CW271" s="172" t="s">
        <v>71</v>
      </c>
      <c r="CX271" s="233"/>
      <c r="CY271" s="268"/>
      <c r="CZ271" s="235" t="str">
        <f t="shared" si="453"/>
        <v xml:space="preserve">   </v>
      </c>
      <c r="DA271" s="174" t="str">
        <f t="shared" si="494"/>
        <v>NG</v>
      </c>
      <c r="DB271" s="268"/>
      <c r="DC271" s="172" t="s">
        <v>71</v>
      </c>
      <c r="DD271" s="233"/>
      <c r="DE271" s="268"/>
      <c r="DF271" s="235" t="str">
        <f t="shared" si="454"/>
        <v xml:space="preserve">   </v>
      </c>
      <c r="DG271" s="174" t="str">
        <f t="shared" si="495"/>
        <v>NG</v>
      </c>
      <c r="DH271" s="268"/>
      <c r="DI271" s="172" t="s">
        <v>71</v>
      </c>
      <c r="DJ271" s="233"/>
      <c r="DK271" s="268"/>
      <c r="DL271" s="235" t="str">
        <f t="shared" si="455"/>
        <v xml:space="preserve">   </v>
      </c>
      <c r="DM271" s="174" t="str">
        <f t="shared" si="496"/>
        <v>NG</v>
      </c>
      <c r="DN271" s="268"/>
      <c r="DO271" s="172" t="s">
        <v>71</v>
      </c>
      <c r="DP271" s="233"/>
      <c r="DQ271" s="268"/>
      <c r="DR271" s="235" t="str">
        <f t="shared" si="456"/>
        <v xml:space="preserve">   </v>
      </c>
      <c r="DS271" s="174" t="str">
        <f t="shared" si="473"/>
        <v>NG</v>
      </c>
      <c r="DT271" s="268"/>
      <c r="DU271" s="172" t="s">
        <v>71</v>
      </c>
      <c r="DV271" s="233"/>
      <c r="DW271" s="268"/>
      <c r="DX271" s="235" t="str">
        <f t="shared" si="457"/>
        <v xml:space="preserve">   </v>
      </c>
      <c r="DY271" s="174" t="str">
        <f t="shared" si="474"/>
        <v>NG</v>
      </c>
      <c r="DZ271" s="268"/>
      <c r="EA271" s="172" t="s">
        <v>71</v>
      </c>
      <c r="EB271" s="233"/>
      <c r="EC271" s="268"/>
      <c r="ED271" s="235" t="str">
        <f t="shared" si="458"/>
        <v xml:space="preserve">   </v>
      </c>
      <c r="EE271" s="174" t="str">
        <f t="shared" si="475"/>
        <v>NG</v>
      </c>
      <c r="EF271" s="268"/>
      <c r="EG271" s="172" t="s">
        <v>71</v>
      </c>
      <c r="EH271" s="233"/>
      <c r="EI271" s="268"/>
      <c r="EJ271" s="235" t="str">
        <f t="shared" si="459"/>
        <v xml:space="preserve">   </v>
      </c>
      <c r="EK271" s="174" t="str">
        <f t="shared" si="476"/>
        <v>NG</v>
      </c>
      <c r="EL271" s="268"/>
      <c r="EM271" s="172" t="s">
        <v>71</v>
      </c>
      <c r="EN271" s="233"/>
      <c r="EO271" s="268"/>
      <c r="EP271" s="235" t="str">
        <f t="shared" si="460"/>
        <v xml:space="preserve">   </v>
      </c>
      <c r="EQ271" s="174" t="str">
        <f t="shared" si="477"/>
        <v>NG</v>
      </c>
      <c r="ER271" s="268"/>
      <c r="ES271" s="172" t="s">
        <v>71</v>
      </c>
      <c r="ET271" s="233"/>
      <c r="EU271" s="268"/>
      <c r="EV271" s="235" t="str">
        <f t="shared" si="461"/>
        <v xml:space="preserve">   </v>
      </c>
      <c r="EW271" s="174" t="str">
        <f t="shared" si="478"/>
        <v>NG</v>
      </c>
      <c r="EX271" s="268"/>
      <c r="EY271" s="172" t="s">
        <v>71</v>
      </c>
      <c r="EZ271" s="233"/>
      <c r="FA271" s="268"/>
      <c r="FB271" s="235" t="str">
        <f t="shared" si="462"/>
        <v xml:space="preserve">   </v>
      </c>
      <c r="FC271" s="174" t="str">
        <f t="shared" si="479"/>
        <v>NG</v>
      </c>
      <c r="FD271" s="268"/>
      <c r="FE271" s="172" t="s">
        <v>71</v>
      </c>
      <c r="FF271" s="233"/>
      <c r="FG271" s="268"/>
      <c r="FH271" s="235" t="str">
        <f t="shared" si="463"/>
        <v xml:space="preserve">   </v>
      </c>
      <c r="FI271" s="174" t="str">
        <f t="shared" si="480"/>
        <v>NG</v>
      </c>
      <c r="FJ271" s="268"/>
      <c r="FK271" s="172" t="s">
        <v>71</v>
      </c>
      <c r="FL271" s="233"/>
      <c r="FM271" s="268"/>
      <c r="FN271" s="235" t="str">
        <f t="shared" si="464"/>
        <v xml:space="preserve">   </v>
      </c>
      <c r="FO271" s="174" t="str">
        <f t="shared" si="497"/>
        <v>NG</v>
      </c>
      <c r="FP271" s="268"/>
      <c r="FQ271" s="172" t="s">
        <v>71</v>
      </c>
      <c r="FR271" s="233"/>
      <c r="FS271" s="268"/>
      <c r="FT271" s="235" t="str">
        <f t="shared" si="465"/>
        <v xml:space="preserve">   </v>
      </c>
      <c r="FU271" s="174" t="str">
        <f t="shared" si="498"/>
        <v>NG</v>
      </c>
      <c r="FV271" s="268"/>
      <c r="FW271" s="172" t="s">
        <v>71</v>
      </c>
      <c r="FX271" s="233"/>
      <c r="FY271" s="268"/>
      <c r="FZ271" s="235" t="str">
        <f t="shared" si="466"/>
        <v xml:space="preserve">   </v>
      </c>
      <c r="GA271" s="174" t="str">
        <f t="shared" si="499"/>
        <v>NG</v>
      </c>
      <c r="GB271" s="268"/>
      <c r="GC271" s="172" t="s">
        <v>71</v>
      </c>
    </row>
    <row r="272" spans="2:185" s="237" customFormat="1" ht="25.5">
      <c r="B272" s="216">
        <f t="shared" si="467"/>
        <v>265</v>
      </c>
      <c r="C272" s="220"/>
      <c r="D272" s="220"/>
      <c r="E272" s="220"/>
      <c r="F272" s="238" t="s">
        <v>347</v>
      </c>
      <c r="G272" s="168"/>
      <c r="H272" s="239"/>
      <c r="I272" s="225"/>
      <c r="J272" s="225"/>
      <c r="K272" s="226"/>
      <c r="L272" s="226"/>
      <c r="M272" s="227" t="s">
        <v>345</v>
      </c>
      <c r="N272" s="228"/>
      <c r="O272" s="229"/>
      <c r="P272" s="45">
        <f t="shared" si="481"/>
        <v>241</v>
      </c>
      <c r="Q272" s="230">
        <v>2</v>
      </c>
      <c r="R272" s="41" t="str">
        <f t="shared" si="482"/>
        <v>X</v>
      </c>
      <c r="S272" s="185" t="s">
        <v>247</v>
      </c>
      <c r="T272" s="231"/>
      <c r="U272" s="41" t="s">
        <v>80</v>
      </c>
      <c r="V272" s="229"/>
      <c r="W272" s="232">
        <v>3</v>
      </c>
      <c r="X272" s="194" t="s">
        <v>248</v>
      </c>
      <c r="Y272" s="194">
        <v>2</v>
      </c>
      <c r="Z272" s="194">
        <v>2</v>
      </c>
      <c r="AA272" s="225" t="s">
        <v>163</v>
      </c>
      <c r="AB272" s="225" t="s">
        <v>57</v>
      </c>
      <c r="AC272" s="219"/>
      <c r="AD272" s="233"/>
      <c r="AE272" s="268"/>
      <c r="AF272" s="235" t="str">
        <f t="shared" si="442"/>
        <v xml:space="preserve">  </v>
      </c>
      <c r="AG272" s="174" t="str">
        <f t="shared" si="483"/>
        <v>NG</v>
      </c>
      <c r="AH272" s="268"/>
      <c r="AI272" s="172" t="s">
        <v>71</v>
      </c>
      <c r="AJ272" s="233"/>
      <c r="AK272" s="234"/>
      <c r="AL272" s="235" t="str">
        <f t="shared" si="500"/>
        <v xml:space="preserve">  </v>
      </c>
      <c r="AM272" s="174" t="str">
        <f t="shared" si="468"/>
        <v>NG</v>
      </c>
      <c r="AN272" s="268"/>
      <c r="AO272" s="172" t="s">
        <v>71</v>
      </c>
      <c r="AP272" s="233"/>
      <c r="AQ272" s="268"/>
      <c r="AR272" s="235" t="str">
        <f t="shared" si="443"/>
        <v xml:space="preserve">  </v>
      </c>
      <c r="AS272" s="174" t="str">
        <f t="shared" si="484"/>
        <v>NG</v>
      </c>
      <c r="AT272" s="268"/>
      <c r="AU272" s="172" t="s">
        <v>71</v>
      </c>
      <c r="AV272" s="233"/>
      <c r="AW272" s="268"/>
      <c r="AX272" s="235" t="str">
        <f t="shared" si="444"/>
        <v xml:space="preserve">  </v>
      </c>
      <c r="AY272" s="174" t="str">
        <f t="shared" si="485"/>
        <v>NG</v>
      </c>
      <c r="AZ272" s="268"/>
      <c r="BA272" s="172" t="s">
        <v>71</v>
      </c>
      <c r="BB272" s="233"/>
      <c r="BC272" s="268"/>
      <c r="BD272" s="235" t="str">
        <f t="shared" si="445"/>
        <v xml:space="preserve">  </v>
      </c>
      <c r="BE272" s="174" t="str">
        <f t="shared" si="486"/>
        <v>NG</v>
      </c>
      <c r="BF272" s="268"/>
      <c r="BG272" s="172" t="s">
        <v>71</v>
      </c>
      <c r="BH272" s="233"/>
      <c r="BI272" s="268"/>
      <c r="BJ272" s="235" t="str">
        <f t="shared" si="446"/>
        <v xml:space="preserve">  </v>
      </c>
      <c r="BK272" s="174" t="str">
        <f t="shared" si="487"/>
        <v>NG</v>
      </c>
      <c r="BL272" s="268"/>
      <c r="BM272" s="172" t="s">
        <v>71</v>
      </c>
      <c r="BN272" s="233"/>
      <c r="BO272" s="268"/>
      <c r="BP272" s="235" t="str">
        <f t="shared" si="447"/>
        <v xml:space="preserve">  </v>
      </c>
      <c r="BQ272" s="174" t="str">
        <f t="shared" si="488"/>
        <v>NG</v>
      </c>
      <c r="BR272" s="268"/>
      <c r="BS272" s="172" t="s">
        <v>71</v>
      </c>
      <c r="BT272" s="233"/>
      <c r="BU272" s="268"/>
      <c r="BV272" s="235" t="str">
        <f t="shared" si="448"/>
        <v xml:space="preserve">  </v>
      </c>
      <c r="BW272" s="174" t="str">
        <f t="shared" si="489"/>
        <v>NG</v>
      </c>
      <c r="BX272" s="268"/>
      <c r="BY272" s="172" t="s">
        <v>71</v>
      </c>
      <c r="BZ272" s="233"/>
      <c r="CA272" s="268"/>
      <c r="CB272" s="235" t="str">
        <f t="shared" si="449"/>
        <v xml:space="preserve">  </v>
      </c>
      <c r="CC272" s="174" t="str">
        <f t="shared" si="490"/>
        <v>NG</v>
      </c>
      <c r="CD272" s="268"/>
      <c r="CE272" s="172" t="s">
        <v>71</v>
      </c>
      <c r="CF272" s="233"/>
      <c r="CG272" s="268"/>
      <c r="CH272" s="235" t="str">
        <f t="shared" si="450"/>
        <v xml:space="preserve">  </v>
      </c>
      <c r="CI272" s="174" t="str">
        <f t="shared" si="491"/>
        <v>NG</v>
      </c>
      <c r="CJ272" s="268"/>
      <c r="CK272" s="172" t="s">
        <v>71</v>
      </c>
      <c r="CL272" s="233"/>
      <c r="CM272" s="268"/>
      <c r="CN272" s="235" t="str">
        <f t="shared" si="451"/>
        <v xml:space="preserve">  </v>
      </c>
      <c r="CO272" s="174" t="str">
        <f t="shared" si="492"/>
        <v>NG</v>
      </c>
      <c r="CP272" s="268"/>
      <c r="CQ272" s="172" t="s">
        <v>71</v>
      </c>
      <c r="CR272" s="233"/>
      <c r="CS272" s="268"/>
      <c r="CT272" s="235" t="str">
        <f t="shared" si="452"/>
        <v xml:space="preserve">  </v>
      </c>
      <c r="CU272" s="174" t="str">
        <f t="shared" si="493"/>
        <v>NG</v>
      </c>
      <c r="CV272" s="268"/>
      <c r="CW272" s="172" t="s">
        <v>71</v>
      </c>
      <c r="CX272" s="233"/>
      <c r="CY272" s="268"/>
      <c r="CZ272" s="235" t="str">
        <f t="shared" si="453"/>
        <v xml:space="preserve">  </v>
      </c>
      <c r="DA272" s="174" t="str">
        <f t="shared" si="494"/>
        <v>NG</v>
      </c>
      <c r="DB272" s="268"/>
      <c r="DC272" s="172" t="s">
        <v>71</v>
      </c>
      <c r="DD272" s="233"/>
      <c r="DE272" s="268"/>
      <c r="DF272" s="235" t="str">
        <f t="shared" si="454"/>
        <v xml:space="preserve">  </v>
      </c>
      <c r="DG272" s="174" t="str">
        <f t="shared" si="495"/>
        <v>NG</v>
      </c>
      <c r="DH272" s="268"/>
      <c r="DI272" s="172" t="s">
        <v>71</v>
      </c>
      <c r="DJ272" s="233"/>
      <c r="DK272" s="268"/>
      <c r="DL272" s="235" t="str">
        <f t="shared" si="455"/>
        <v xml:space="preserve">  </v>
      </c>
      <c r="DM272" s="174" t="str">
        <f t="shared" si="496"/>
        <v>NG</v>
      </c>
      <c r="DN272" s="268"/>
      <c r="DO272" s="172" t="s">
        <v>71</v>
      </c>
      <c r="DP272" s="233"/>
      <c r="DQ272" s="268"/>
      <c r="DR272" s="235" t="str">
        <f t="shared" si="456"/>
        <v xml:space="preserve">  </v>
      </c>
      <c r="DS272" s="174" t="str">
        <f t="shared" si="473"/>
        <v>NG</v>
      </c>
      <c r="DT272" s="268"/>
      <c r="DU272" s="172" t="s">
        <v>71</v>
      </c>
      <c r="DV272" s="233"/>
      <c r="DW272" s="268"/>
      <c r="DX272" s="235" t="str">
        <f t="shared" si="457"/>
        <v xml:space="preserve">  </v>
      </c>
      <c r="DY272" s="174" t="str">
        <f t="shared" si="474"/>
        <v>NG</v>
      </c>
      <c r="DZ272" s="268"/>
      <c r="EA272" s="172" t="s">
        <v>71</v>
      </c>
      <c r="EB272" s="233"/>
      <c r="EC272" s="268"/>
      <c r="ED272" s="235" t="str">
        <f t="shared" si="458"/>
        <v xml:space="preserve">  </v>
      </c>
      <c r="EE272" s="174" t="str">
        <f t="shared" si="475"/>
        <v>NG</v>
      </c>
      <c r="EF272" s="268"/>
      <c r="EG272" s="172" t="s">
        <v>71</v>
      </c>
      <c r="EH272" s="233"/>
      <c r="EI272" s="268"/>
      <c r="EJ272" s="235" t="str">
        <f t="shared" si="459"/>
        <v xml:space="preserve">  </v>
      </c>
      <c r="EK272" s="174" t="str">
        <f t="shared" si="476"/>
        <v>NG</v>
      </c>
      <c r="EL272" s="268"/>
      <c r="EM272" s="172" t="s">
        <v>71</v>
      </c>
      <c r="EN272" s="233"/>
      <c r="EO272" s="268"/>
      <c r="EP272" s="235" t="str">
        <f t="shared" si="460"/>
        <v xml:space="preserve">  </v>
      </c>
      <c r="EQ272" s="174" t="str">
        <f t="shared" si="477"/>
        <v>NG</v>
      </c>
      <c r="ER272" s="268"/>
      <c r="ES272" s="172" t="s">
        <v>71</v>
      </c>
      <c r="ET272" s="233"/>
      <c r="EU272" s="268"/>
      <c r="EV272" s="235" t="str">
        <f t="shared" si="461"/>
        <v xml:space="preserve">  </v>
      </c>
      <c r="EW272" s="174" t="str">
        <f t="shared" si="478"/>
        <v>NG</v>
      </c>
      <c r="EX272" s="268"/>
      <c r="EY272" s="172" t="s">
        <v>71</v>
      </c>
      <c r="EZ272" s="233"/>
      <c r="FA272" s="268"/>
      <c r="FB272" s="235" t="str">
        <f t="shared" si="462"/>
        <v xml:space="preserve">  </v>
      </c>
      <c r="FC272" s="174" t="str">
        <f t="shared" si="479"/>
        <v>NG</v>
      </c>
      <c r="FD272" s="268"/>
      <c r="FE272" s="172" t="s">
        <v>71</v>
      </c>
      <c r="FF272" s="233"/>
      <c r="FG272" s="268"/>
      <c r="FH272" s="235" t="str">
        <f t="shared" si="463"/>
        <v xml:space="preserve">  </v>
      </c>
      <c r="FI272" s="174" t="str">
        <f t="shared" si="480"/>
        <v>NG</v>
      </c>
      <c r="FJ272" s="268"/>
      <c r="FK272" s="172" t="s">
        <v>71</v>
      </c>
      <c r="FL272" s="233"/>
      <c r="FM272" s="268"/>
      <c r="FN272" s="235" t="str">
        <f t="shared" si="464"/>
        <v xml:space="preserve">  </v>
      </c>
      <c r="FO272" s="174" t="str">
        <f t="shared" si="497"/>
        <v>NG</v>
      </c>
      <c r="FP272" s="268"/>
      <c r="FQ272" s="172" t="s">
        <v>71</v>
      </c>
      <c r="FR272" s="233"/>
      <c r="FS272" s="268"/>
      <c r="FT272" s="235" t="str">
        <f t="shared" si="465"/>
        <v xml:space="preserve">  </v>
      </c>
      <c r="FU272" s="174" t="str">
        <f t="shared" si="498"/>
        <v>NG</v>
      </c>
      <c r="FV272" s="268"/>
      <c r="FW272" s="172" t="s">
        <v>71</v>
      </c>
      <c r="FX272" s="233"/>
      <c r="FY272" s="268"/>
      <c r="FZ272" s="235" t="str">
        <f t="shared" si="466"/>
        <v xml:space="preserve">  </v>
      </c>
      <c r="GA272" s="174" t="str">
        <f t="shared" si="499"/>
        <v>NG</v>
      </c>
      <c r="GB272" s="268"/>
      <c r="GC272" s="172" t="s">
        <v>71</v>
      </c>
    </row>
    <row r="273" spans="1:185" s="237" customFormat="1" ht="51.75" customHeight="1">
      <c r="B273" s="216">
        <f t="shared" si="467"/>
        <v>266</v>
      </c>
      <c r="C273" s="220"/>
      <c r="D273" s="220"/>
      <c r="E273" s="220"/>
      <c r="F273" s="240" t="s">
        <v>348</v>
      </c>
      <c r="G273" s="241"/>
      <c r="H273" s="242"/>
      <c r="I273" s="225"/>
      <c r="J273" s="225"/>
      <c r="K273" s="226"/>
      <c r="L273" s="226"/>
      <c r="M273" s="227" t="s">
        <v>349</v>
      </c>
      <c r="N273" s="228"/>
      <c r="O273" s="229"/>
      <c r="P273" s="45">
        <f t="shared" si="481"/>
        <v>242</v>
      </c>
      <c r="Q273" s="230">
        <v>5</v>
      </c>
      <c r="R273" s="41" t="str">
        <f t="shared" si="482"/>
        <v>X</v>
      </c>
      <c r="S273" s="185" t="s">
        <v>249</v>
      </c>
      <c r="T273" s="231"/>
      <c r="U273" s="41" t="s">
        <v>80</v>
      </c>
      <c r="V273" s="229"/>
      <c r="W273" s="232">
        <v>3</v>
      </c>
      <c r="X273" s="194" t="s">
        <v>250</v>
      </c>
      <c r="Y273" s="194">
        <v>5</v>
      </c>
      <c r="Z273" s="194">
        <v>5</v>
      </c>
      <c r="AA273" s="225" t="s">
        <v>163</v>
      </c>
      <c r="AB273" s="225" t="s">
        <v>57</v>
      </c>
      <c r="AC273" s="243"/>
      <c r="AD273" s="233"/>
      <c r="AE273" s="297"/>
      <c r="AF273" s="235" t="str">
        <f t="shared" si="442"/>
        <v xml:space="preserve">     </v>
      </c>
      <c r="AG273" s="174" t="str">
        <f t="shared" si="483"/>
        <v>NG</v>
      </c>
      <c r="AH273" s="297"/>
      <c r="AI273" s="276" t="str">
        <f>IF(OR(AE$8="判定対象外",AH$8="判定対象外",AH273="-"),"-",IF(AE273=AH273,"OK","NG"))</f>
        <v>OK</v>
      </c>
      <c r="AJ273" s="233"/>
      <c r="AK273" s="269"/>
      <c r="AL273" s="235" t="str">
        <f t="shared" si="500"/>
        <v xml:space="preserve">     </v>
      </c>
      <c r="AM273" s="174" t="str">
        <f t="shared" si="468"/>
        <v>NG</v>
      </c>
      <c r="AN273" s="297"/>
      <c r="AO273" s="276" t="str">
        <f>IF(OR(AK$8="判定対象外",AN$8="判定対象外",AN273="-"),"-",IF(AK273=AN273,"OK","NG"))</f>
        <v>OK</v>
      </c>
      <c r="AP273" s="233"/>
      <c r="AQ273" s="297"/>
      <c r="AR273" s="235" t="str">
        <f t="shared" si="443"/>
        <v xml:space="preserve">     </v>
      </c>
      <c r="AS273" s="174" t="str">
        <f t="shared" si="484"/>
        <v>NG</v>
      </c>
      <c r="AT273" s="297"/>
      <c r="AU273" s="276" t="str">
        <f>IF(OR(AQ$8="判定対象外",AT$8="判定対象外",AT273="-"),"-",IF(AQ273=AT273,"OK","NG"))</f>
        <v>OK</v>
      </c>
      <c r="AV273" s="233"/>
      <c r="AW273" s="297"/>
      <c r="AX273" s="235" t="str">
        <f t="shared" si="444"/>
        <v xml:space="preserve">     </v>
      </c>
      <c r="AY273" s="174" t="str">
        <f t="shared" si="485"/>
        <v>NG</v>
      </c>
      <c r="AZ273" s="297"/>
      <c r="BA273" s="276" t="str">
        <f>IF(OR(AW$8="判定対象外",AZ$8="判定対象外",AZ273="-"),"-",IF(AW273=AZ273,"OK","NG"))</f>
        <v>OK</v>
      </c>
      <c r="BB273" s="233"/>
      <c r="BC273" s="297"/>
      <c r="BD273" s="235" t="str">
        <f t="shared" si="445"/>
        <v xml:space="preserve">     </v>
      </c>
      <c r="BE273" s="174" t="str">
        <f t="shared" si="486"/>
        <v>NG</v>
      </c>
      <c r="BF273" s="297"/>
      <c r="BG273" s="276" t="str">
        <f>IF(OR(BC$8="判定対象外",BF$8="判定対象外",BF273="-"),"-",IF(BC273=BF273,"OK","NG"))</f>
        <v>OK</v>
      </c>
      <c r="BH273" s="233"/>
      <c r="BI273" s="297"/>
      <c r="BJ273" s="235" t="str">
        <f t="shared" si="446"/>
        <v xml:space="preserve">     </v>
      </c>
      <c r="BK273" s="174" t="str">
        <f t="shared" si="487"/>
        <v>NG</v>
      </c>
      <c r="BL273" s="297"/>
      <c r="BM273" s="276" t="str">
        <f>IF(OR(BI$8="判定対象外",BL$8="判定対象外",BL273="-"),"-",IF(BI273=BL273,"OK","NG"))</f>
        <v>OK</v>
      </c>
      <c r="BN273" s="233"/>
      <c r="BO273" s="297"/>
      <c r="BP273" s="235" t="str">
        <f t="shared" si="447"/>
        <v xml:space="preserve">     </v>
      </c>
      <c r="BQ273" s="174" t="str">
        <f t="shared" si="488"/>
        <v>NG</v>
      </c>
      <c r="BR273" s="297"/>
      <c r="BS273" s="276" t="str">
        <f>IF(OR(BO$8="判定対象外",BR$8="判定対象外",BR273="-"),"-",IF(BO273=BR273,"OK","NG"))</f>
        <v>OK</v>
      </c>
      <c r="BT273" s="233"/>
      <c r="BU273" s="297"/>
      <c r="BV273" s="235" t="str">
        <f t="shared" si="448"/>
        <v xml:space="preserve">     </v>
      </c>
      <c r="BW273" s="174" t="str">
        <f t="shared" si="489"/>
        <v>NG</v>
      </c>
      <c r="BX273" s="297"/>
      <c r="BY273" s="276" t="str">
        <f>IF(OR(BU$8="判定対象外",BX$8="判定対象外",BX273="-"),"-",IF(BU273=BX273,"OK","NG"))</f>
        <v>OK</v>
      </c>
      <c r="BZ273" s="233"/>
      <c r="CA273" s="297"/>
      <c r="CB273" s="235" t="str">
        <f t="shared" si="449"/>
        <v xml:space="preserve">     </v>
      </c>
      <c r="CC273" s="174" t="str">
        <f t="shared" si="490"/>
        <v>NG</v>
      </c>
      <c r="CD273" s="297"/>
      <c r="CE273" s="276" t="str">
        <f>IF(OR(CA$8="判定対象外",CD$8="判定対象外",CD273="-"),"-",IF(CA273=CD273,"OK","NG"))</f>
        <v>OK</v>
      </c>
      <c r="CF273" s="233"/>
      <c r="CG273" s="297"/>
      <c r="CH273" s="235" t="str">
        <f t="shared" si="450"/>
        <v xml:space="preserve">     </v>
      </c>
      <c r="CI273" s="174" t="str">
        <f t="shared" si="491"/>
        <v>NG</v>
      </c>
      <c r="CJ273" s="297"/>
      <c r="CK273" s="276" t="str">
        <f>IF(OR(CG$8="判定対象外",CJ$8="判定対象外",CJ273="-"),"-",IF(CG273=CJ273,"OK","NG"))</f>
        <v>OK</v>
      </c>
      <c r="CL273" s="233"/>
      <c r="CM273" s="297"/>
      <c r="CN273" s="235" t="str">
        <f t="shared" si="451"/>
        <v xml:space="preserve">     </v>
      </c>
      <c r="CO273" s="174" t="str">
        <f t="shared" si="492"/>
        <v>NG</v>
      </c>
      <c r="CP273" s="297"/>
      <c r="CQ273" s="276" t="str">
        <f>IF(OR(CM$8="判定対象外",CP$8="判定対象外",CP273="-"),"-",IF(CM273=CP273,"OK","NG"))</f>
        <v>OK</v>
      </c>
      <c r="CR273" s="233"/>
      <c r="CS273" s="297"/>
      <c r="CT273" s="235" t="str">
        <f t="shared" si="452"/>
        <v xml:space="preserve">     </v>
      </c>
      <c r="CU273" s="174" t="str">
        <f t="shared" si="493"/>
        <v>NG</v>
      </c>
      <c r="CV273" s="297"/>
      <c r="CW273" s="276" t="str">
        <f>IF(OR(CS$8="判定対象外",CV$8="判定対象外",CV273="-"),"-",IF(CS273=CV273,"OK","NG"))</f>
        <v>OK</v>
      </c>
      <c r="CX273" s="233"/>
      <c r="CY273" s="297"/>
      <c r="CZ273" s="235" t="str">
        <f t="shared" si="453"/>
        <v xml:space="preserve">     </v>
      </c>
      <c r="DA273" s="174" t="str">
        <f t="shared" si="494"/>
        <v>NG</v>
      </c>
      <c r="DB273" s="297"/>
      <c r="DC273" s="276" t="str">
        <f>IF(OR(CY$8="判定対象外",DB$8="判定対象外",DB273="-"),"-",IF(CY273=DB273,"OK","NG"))</f>
        <v>OK</v>
      </c>
      <c r="DD273" s="233"/>
      <c r="DE273" s="297"/>
      <c r="DF273" s="235" t="str">
        <f t="shared" si="454"/>
        <v xml:space="preserve">     </v>
      </c>
      <c r="DG273" s="174" t="str">
        <f t="shared" si="495"/>
        <v>NG</v>
      </c>
      <c r="DH273" s="297"/>
      <c r="DI273" s="276" t="str">
        <f>IF(OR(DE$8="判定対象外",DH$8="判定対象外",DH273="-"),"-",IF(DE273=DH273,"OK","NG"))</f>
        <v>OK</v>
      </c>
      <c r="DJ273" s="233"/>
      <c r="DK273" s="297"/>
      <c r="DL273" s="235" t="str">
        <f t="shared" si="455"/>
        <v xml:space="preserve">     </v>
      </c>
      <c r="DM273" s="174" t="str">
        <f t="shared" si="496"/>
        <v>NG</v>
      </c>
      <c r="DN273" s="297"/>
      <c r="DO273" s="276" t="str">
        <f>IF(OR(DK$8="判定対象外",DN$8="判定対象外",DN273="-"),"-",IF(DK273=DN273,"OK","NG"))</f>
        <v>OK</v>
      </c>
      <c r="DP273" s="233"/>
      <c r="DQ273" s="297"/>
      <c r="DR273" s="235" t="str">
        <f t="shared" si="456"/>
        <v xml:space="preserve">     </v>
      </c>
      <c r="DS273" s="174" t="str">
        <f t="shared" si="473"/>
        <v>NG</v>
      </c>
      <c r="DT273" s="297"/>
      <c r="DU273" s="276" t="str">
        <f>IF(OR(DQ$8="判定対象外",DT$8="判定対象外",DT273="-"),"-",IF(DQ273=DT273,"OK","NG"))</f>
        <v>OK</v>
      </c>
      <c r="DV273" s="233"/>
      <c r="DW273" s="297"/>
      <c r="DX273" s="235" t="str">
        <f t="shared" si="457"/>
        <v xml:space="preserve">     </v>
      </c>
      <c r="DY273" s="174" t="str">
        <f t="shared" si="474"/>
        <v>NG</v>
      </c>
      <c r="DZ273" s="297"/>
      <c r="EA273" s="276" t="str">
        <f>IF(OR(DW$8="判定対象外",DZ$8="判定対象外",DZ273="-"),"-",IF(DW273=DZ273,"OK","NG"))</f>
        <v>OK</v>
      </c>
      <c r="EB273" s="233"/>
      <c r="EC273" s="297"/>
      <c r="ED273" s="235" t="str">
        <f t="shared" si="458"/>
        <v xml:space="preserve">     </v>
      </c>
      <c r="EE273" s="174" t="str">
        <f t="shared" si="475"/>
        <v>NG</v>
      </c>
      <c r="EF273" s="297"/>
      <c r="EG273" s="276" t="str">
        <f>IF(OR(EC$8="判定対象外",EF$8="判定対象外",EF273="-"),"-",IF(EC273=EF273,"OK","NG"))</f>
        <v>OK</v>
      </c>
      <c r="EH273" s="233"/>
      <c r="EI273" s="297"/>
      <c r="EJ273" s="235" t="str">
        <f t="shared" si="459"/>
        <v xml:space="preserve">     </v>
      </c>
      <c r="EK273" s="174" t="str">
        <f t="shared" si="476"/>
        <v>NG</v>
      </c>
      <c r="EL273" s="297"/>
      <c r="EM273" s="276" t="str">
        <f>IF(OR(EI$8="判定対象外",EL$8="判定対象外",EL273="-"),"-",IF(EI273=EL273,"OK","NG"))</f>
        <v>OK</v>
      </c>
      <c r="EN273" s="233"/>
      <c r="EO273" s="297"/>
      <c r="EP273" s="235" t="str">
        <f t="shared" si="460"/>
        <v xml:space="preserve">     </v>
      </c>
      <c r="EQ273" s="174" t="str">
        <f t="shared" si="477"/>
        <v>NG</v>
      </c>
      <c r="ER273" s="297"/>
      <c r="ES273" s="276" t="str">
        <f>IF(OR(EO$8="判定対象外",ER$8="判定対象外",ER273="-"),"-",IF(EO273=ER273,"OK","NG"))</f>
        <v>OK</v>
      </c>
      <c r="ET273" s="233"/>
      <c r="EU273" s="297"/>
      <c r="EV273" s="235" t="str">
        <f t="shared" si="461"/>
        <v xml:space="preserve">     </v>
      </c>
      <c r="EW273" s="174" t="str">
        <f t="shared" si="478"/>
        <v>NG</v>
      </c>
      <c r="EX273" s="297"/>
      <c r="EY273" s="276" t="str">
        <f>IF(OR(EU$8="判定対象外",EX$8="判定対象外",EX273="-"),"-",IF(EU273=EX273,"OK","NG"))</f>
        <v>OK</v>
      </c>
      <c r="EZ273" s="233"/>
      <c r="FA273" s="297"/>
      <c r="FB273" s="235" t="str">
        <f t="shared" si="462"/>
        <v xml:space="preserve">     </v>
      </c>
      <c r="FC273" s="174" t="str">
        <f t="shared" si="479"/>
        <v>NG</v>
      </c>
      <c r="FD273" s="297"/>
      <c r="FE273" s="276" t="str">
        <f>IF(OR(FA$8="判定対象外",FD$8="判定対象外",FD273="-"),"-",IF(FA273=FD273,"OK","NG"))</f>
        <v>OK</v>
      </c>
      <c r="FF273" s="233"/>
      <c r="FG273" s="297"/>
      <c r="FH273" s="235" t="str">
        <f t="shared" si="463"/>
        <v xml:space="preserve">     </v>
      </c>
      <c r="FI273" s="174" t="str">
        <f t="shared" si="480"/>
        <v>NG</v>
      </c>
      <c r="FJ273" s="297"/>
      <c r="FK273" s="276" t="str">
        <f>IF(OR(FG$8="判定対象外",FJ$8="判定対象外",FJ273="-"),"-",IF(FG273=FJ273,"OK","NG"))</f>
        <v>OK</v>
      </c>
      <c r="FL273" s="233"/>
      <c r="FM273" s="297"/>
      <c r="FN273" s="235" t="str">
        <f t="shared" si="464"/>
        <v xml:space="preserve">     </v>
      </c>
      <c r="FO273" s="174" t="str">
        <f t="shared" si="497"/>
        <v>NG</v>
      </c>
      <c r="FP273" s="297"/>
      <c r="FQ273" s="276" t="str">
        <f>IF(OR(FM$8="判定対象外",FP$8="判定対象外",FP273="-"),"-",IF(FM273=FP273,"OK","NG"))</f>
        <v>OK</v>
      </c>
      <c r="FR273" s="233"/>
      <c r="FS273" s="297"/>
      <c r="FT273" s="235" t="str">
        <f t="shared" si="465"/>
        <v xml:space="preserve">     </v>
      </c>
      <c r="FU273" s="174" t="str">
        <f t="shared" si="498"/>
        <v>NG</v>
      </c>
      <c r="FV273" s="297"/>
      <c r="FW273" s="276" t="str">
        <f>IF(OR(FS$8="判定対象外",FV$8="判定対象外",FV273="-"),"-",IF(FS273=FV273,"OK","NG"))</f>
        <v>OK</v>
      </c>
      <c r="FX273" s="233"/>
      <c r="FY273" s="297"/>
      <c r="FZ273" s="235" t="str">
        <f t="shared" si="466"/>
        <v xml:space="preserve">     </v>
      </c>
      <c r="GA273" s="174" t="str">
        <f t="shared" si="499"/>
        <v>NG</v>
      </c>
      <c r="GB273" s="297"/>
      <c r="GC273" s="276" t="str">
        <f>IF(OR(FY$8="判定対象外",GB$8="判定対象外",GB273="-"),"-",IF(FY273=GB273,"OK","NG"))</f>
        <v>OK</v>
      </c>
    </row>
    <row r="274" spans="1:185" s="237" customFormat="1" ht="51.75" customHeight="1">
      <c r="B274" s="216">
        <f t="shared" si="467"/>
        <v>267</v>
      </c>
      <c r="C274" s="220"/>
      <c r="D274" s="220"/>
      <c r="E274" s="220"/>
      <c r="F274" s="240" t="s">
        <v>350</v>
      </c>
      <c r="G274" s="241"/>
      <c r="H274" s="242"/>
      <c r="I274" s="225"/>
      <c r="J274" s="225"/>
      <c r="K274" s="226"/>
      <c r="L274" s="226"/>
      <c r="M274" s="227" t="s">
        <v>351</v>
      </c>
      <c r="N274" s="228"/>
      <c r="O274" s="229"/>
      <c r="P274" s="45">
        <f t="shared" si="481"/>
        <v>243</v>
      </c>
      <c r="Q274" s="230">
        <v>64</v>
      </c>
      <c r="R274" s="41" t="str">
        <f t="shared" si="482"/>
        <v>NX</v>
      </c>
      <c r="S274" s="185" t="s">
        <v>251</v>
      </c>
      <c r="T274" s="231"/>
      <c r="U274" s="41" t="s">
        <v>80</v>
      </c>
      <c r="V274" s="229" t="s">
        <v>252</v>
      </c>
      <c r="W274" s="232">
        <v>3</v>
      </c>
      <c r="X274" s="194" t="s">
        <v>253</v>
      </c>
      <c r="Y274" s="194">
        <v>1</v>
      </c>
      <c r="Z274" s="194">
        <v>64</v>
      </c>
      <c r="AA274" s="225" t="s">
        <v>101</v>
      </c>
      <c r="AB274" s="225" t="s">
        <v>57</v>
      </c>
      <c r="AC274" s="243" t="s">
        <v>252</v>
      </c>
      <c r="AD274" s="233"/>
      <c r="AE274" s="297"/>
      <c r="AF274" s="235" t="str">
        <f t="shared" si="442"/>
        <v xml:space="preserve">                                                                </v>
      </c>
      <c r="AG274" s="174" t="str">
        <f t="shared" si="483"/>
        <v>NG</v>
      </c>
      <c r="AH274" s="299"/>
      <c r="AI274" s="276" t="str">
        <f>IF(OR(AE$8="判定対象外",AH$8="判定対象外",AH274="-"),"-",IF(AE274=AH274,"OK","NG"))</f>
        <v>OK</v>
      </c>
      <c r="AJ274" s="233"/>
      <c r="AK274" s="269"/>
      <c r="AL274" s="235" t="str">
        <f t="shared" si="500"/>
        <v xml:space="preserve">                                                                </v>
      </c>
      <c r="AM274" s="174" t="str">
        <f t="shared" si="468"/>
        <v>NG</v>
      </c>
      <c r="AN274" s="299"/>
      <c r="AO274" s="276" t="str">
        <f>IF(OR(AK$8="判定対象外",AN$8="判定対象外",AN274="-"),"-",IF(AK274=AN274,"OK","NG"))</f>
        <v>OK</v>
      </c>
      <c r="AP274" s="233"/>
      <c r="AQ274" s="297"/>
      <c r="AR274" s="235" t="str">
        <f t="shared" si="443"/>
        <v xml:space="preserve">                                                                </v>
      </c>
      <c r="AS274" s="174" t="str">
        <f t="shared" si="484"/>
        <v>NG</v>
      </c>
      <c r="AT274" s="299"/>
      <c r="AU274" s="276" t="str">
        <f>IF(OR(AQ$8="判定対象外",AT$8="判定対象外",AT274="-"),"-",IF(AQ274=AT274,"OK","NG"))</f>
        <v>OK</v>
      </c>
      <c r="AV274" s="233"/>
      <c r="AW274" s="297"/>
      <c r="AX274" s="235" t="str">
        <f t="shared" si="444"/>
        <v xml:space="preserve">                                                                </v>
      </c>
      <c r="AY274" s="174" t="str">
        <f t="shared" si="485"/>
        <v>NG</v>
      </c>
      <c r="AZ274" s="299"/>
      <c r="BA274" s="276" t="str">
        <f>IF(OR(AW$8="判定対象外",AZ$8="判定対象外",AZ274="-"),"-",IF(AW274=AZ274,"OK","NG"))</f>
        <v>OK</v>
      </c>
      <c r="BB274" s="233"/>
      <c r="BC274" s="297"/>
      <c r="BD274" s="235" t="str">
        <f t="shared" si="445"/>
        <v xml:space="preserve">                                                                </v>
      </c>
      <c r="BE274" s="174" t="str">
        <f t="shared" si="486"/>
        <v>NG</v>
      </c>
      <c r="BF274" s="299"/>
      <c r="BG274" s="276" t="str">
        <f>IF(OR(BC$8="判定対象外",BF$8="判定対象外",BF274="-"),"-",IF(BC274=BF274,"OK","NG"))</f>
        <v>OK</v>
      </c>
      <c r="BH274" s="233"/>
      <c r="BI274" s="297"/>
      <c r="BJ274" s="235" t="str">
        <f t="shared" si="446"/>
        <v xml:space="preserve">                                                                </v>
      </c>
      <c r="BK274" s="174" t="str">
        <f t="shared" si="487"/>
        <v>NG</v>
      </c>
      <c r="BL274" s="299"/>
      <c r="BM274" s="276" t="str">
        <f>IF(OR(BI$8="判定対象外",BL$8="判定対象外",BL274="-"),"-",IF(BI274=BL274,"OK","NG"))</f>
        <v>OK</v>
      </c>
      <c r="BN274" s="233"/>
      <c r="BO274" s="297"/>
      <c r="BP274" s="235" t="str">
        <f t="shared" si="447"/>
        <v xml:space="preserve">                                                                </v>
      </c>
      <c r="BQ274" s="174" t="str">
        <f t="shared" si="488"/>
        <v>NG</v>
      </c>
      <c r="BR274" s="299"/>
      <c r="BS274" s="276" t="str">
        <f>IF(OR(BO$8="判定対象外",BR$8="判定対象外",BR274="-"),"-",IF(BO274=BR274,"OK","NG"))</f>
        <v>OK</v>
      </c>
      <c r="BT274" s="233"/>
      <c r="BU274" s="297"/>
      <c r="BV274" s="235" t="str">
        <f t="shared" si="448"/>
        <v xml:space="preserve">                                                                </v>
      </c>
      <c r="BW274" s="174" t="str">
        <f t="shared" si="489"/>
        <v>NG</v>
      </c>
      <c r="BX274" s="299"/>
      <c r="BY274" s="276" t="str">
        <f>IF(OR(BU$8="判定対象外",BX$8="判定対象外",BX274="-"),"-",IF(BU274=BX274,"OK","NG"))</f>
        <v>OK</v>
      </c>
      <c r="BZ274" s="233"/>
      <c r="CA274" s="297"/>
      <c r="CB274" s="235" t="str">
        <f t="shared" si="449"/>
        <v xml:space="preserve">                                                                </v>
      </c>
      <c r="CC274" s="174" t="str">
        <f t="shared" si="490"/>
        <v>NG</v>
      </c>
      <c r="CD274" s="299"/>
      <c r="CE274" s="276" t="str">
        <f>IF(OR(CA$8="判定対象外",CD$8="判定対象外",CD274="-"),"-",IF(CA274=CD274,"OK","NG"))</f>
        <v>OK</v>
      </c>
      <c r="CF274" s="233"/>
      <c r="CG274" s="297"/>
      <c r="CH274" s="235" t="str">
        <f t="shared" si="450"/>
        <v xml:space="preserve">                                                                </v>
      </c>
      <c r="CI274" s="174" t="str">
        <f t="shared" si="491"/>
        <v>NG</v>
      </c>
      <c r="CJ274" s="299"/>
      <c r="CK274" s="276" t="str">
        <f>IF(OR(CG$8="判定対象外",CJ$8="判定対象外",CJ274="-"),"-",IF(CG274=CJ274,"OK","NG"))</f>
        <v>OK</v>
      </c>
      <c r="CL274" s="233"/>
      <c r="CM274" s="297"/>
      <c r="CN274" s="235" t="str">
        <f t="shared" si="451"/>
        <v xml:space="preserve">                                                                </v>
      </c>
      <c r="CO274" s="174" t="str">
        <f t="shared" si="492"/>
        <v>NG</v>
      </c>
      <c r="CP274" s="299"/>
      <c r="CQ274" s="276" t="str">
        <f>IF(OR(CM$8="判定対象外",CP$8="判定対象外",CP274="-"),"-",IF(CM274=CP274,"OK","NG"))</f>
        <v>OK</v>
      </c>
      <c r="CR274" s="233"/>
      <c r="CS274" s="297"/>
      <c r="CT274" s="235" t="str">
        <f t="shared" si="452"/>
        <v xml:space="preserve">                                                                </v>
      </c>
      <c r="CU274" s="174" t="str">
        <f t="shared" si="493"/>
        <v>NG</v>
      </c>
      <c r="CV274" s="299"/>
      <c r="CW274" s="276" t="str">
        <f>IF(OR(CS$8="判定対象外",CV$8="判定対象外",CV274="-"),"-",IF(CS274=CV274,"OK","NG"))</f>
        <v>OK</v>
      </c>
      <c r="CX274" s="233"/>
      <c r="CY274" s="297"/>
      <c r="CZ274" s="235" t="str">
        <f t="shared" si="453"/>
        <v xml:space="preserve">                                                                </v>
      </c>
      <c r="DA274" s="174" t="str">
        <f t="shared" si="494"/>
        <v>NG</v>
      </c>
      <c r="DB274" s="299"/>
      <c r="DC274" s="276" t="str">
        <f>IF(OR(CY$8="判定対象外",DB$8="判定対象外",DB274="-"),"-",IF(CY274=DB274,"OK","NG"))</f>
        <v>OK</v>
      </c>
      <c r="DD274" s="233"/>
      <c r="DE274" s="297"/>
      <c r="DF274" s="235" t="str">
        <f t="shared" si="454"/>
        <v xml:space="preserve">                                                                </v>
      </c>
      <c r="DG274" s="174" t="str">
        <f t="shared" si="495"/>
        <v>NG</v>
      </c>
      <c r="DH274" s="299"/>
      <c r="DI274" s="276" t="str">
        <f>IF(OR(DE$8="判定対象外",DH$8="判定対象外",DH274="-"),"-",IF(DE274=DH274,"OK","NG"))</f>
        <v>OK</v>
      </c>
      <c r="DJ274" s="233"/>
      <c r="DK274" s="297"/>
      <c r="DL274" s="235" t="str">
        <f t="shared" si="455"/>
        <v xml:space="preserve">                                                                </v>
      </c>
      <c r="DM274" s="174" t="str">
        <f t="shared" si="496"/>
        <v>NG</v>
      </c>
      <c r="DN274" s="299"/>
      <c r="DO274" s="276" t="str">
        <f>IF(OR(DK$8="判定対象外",DN$8="判定対象外",DN274="-"),"-",IF(DK274=DN274,"OK","NG"))</f>
        <v>OK</v>
      </c>
      <c r="DP274" s="233"/>
      <c r="DQ274" s="297"/>
      <c r="DR274" s="235" t="str">
        <f t="shared" si="456"/>
        <v xml:space="preserve">                                                                </v>
      </c>
      <c r="DS274" s="174" t="str">
        <f t="shared" si="473"/>
        <v>NG</v>
      </c>
      <c r="DT274" s="299"/>
      <c r="DU274" s="276" t="str">
        <f>IF(OR(DQ$8="判定対象外",DT$8="判定対象外",DT274="-"),"-",IF(DQ274=DT274,"OK","NG"))</f>
        <v>OK</v>
      </c>
      <c r="DV274" s="233"/>
      <c r="DW274" s="297"/>
      <c r="DX274" s="235" t="str">
        <f t="shared" si="457"/>
        <v xml:space="preserve">                                                                </v>
      </c>
      <c r="DY274" s="174" t="str">
        <f t="shared" si="474"/>
        <v>NG</v>
      </c>
      <c r="DZ274" s="299"/>
      <c r="EA274" s="276" t="str">
        <f>IF(OR(DW$8="判定対象外",DZ$8="判定対象外",DZ274="-"),"-",IF(DW274=DZ274,"OK","NG"))</f>
        <v>OK</v>
      </c>
      <c r="EB274" s="233"/>
      <c r="EC274" s="297"/>
      <c r="ED274" s="235" t="str">
        <f t="shared" si="458"/>
        <v xml:space="preserve">                                                                </v>
      </c>
      <c r="EE274" s="174" t="str">
        <f t="shared" si="475"/>
        <v>NG</v>
      </c>
      <c r="EF274" s="299"/>
      <c r="EG274" s="276" t="str">
        <f>IF(OR(EC$8="判定対象外",EF$8="判定対象外",EF274="-"),"-",IF(EC274=EF274,"OK","NG"))</f>
        <v>OK</v>
      </c>
      <c r="EH274" s="233"/>
      <c r="EI274" s="297"/>
      <c r="EJ274" s="235" t="str">
        <f t="shared" si="459"/>
        <v xml:space="preserve">                                                                </v>
      </c>
      <c r="EK274" s="174" t="str">
        <f t="shared" si="476"/>
        <v>NG</v>
      </c>
      <c r="EL274" s="299"/>
      <c r="EM274" s="276" t="str">
        <f>IF(OR(EI$8="判定対象外",EL$8="判定対象外",EL274="-"),"-",IF(EI274=EL274,"OK","NG"))</f>
        <v>OK</v>
      </c>
      <c r="EN274" s="233"/>
      <c r="EO274" s="297"/>
      <c r="EP274" s="235" t="str">
        <f t="shared" si="460"/>
        <v xml:space="preserve">                                                                </v>
      </c>
      <c r="EQ274" s="174" t="str">
        <f t="shared" si="477"/>
        <v>NG</v>
      </c>
      <c r="ER274" s="299"/>
      <c r="ES274" s="276" t="str">
        <f>IF(OR(EO$8="判定対象外",ER$8="判定対象外",ER274="-"),"-",IF(EO274=ER274,"OK","NG"))</f>
        <v>OK</v>
      </c>
      <c r="ET274" s="233"/>
      <c r="EU274" s="297"/>
      <c r="EV274" s="235" t="str">
        <f t="shared" si="461"/>
        <v xml:space="preserve">                                                                </v>
      </c>
      <c r="EW274" s="174" t="str">
        <f t="shared" si="478"/>
        <v>NG</v>
      </c>
      <c r="EX274" s="299"/>
      <c r="EY274" s="276" t="str">
        <f>IF(OR(EU$8="判定対象外",EX$8="判定対象外",EX274="-"),"-",IF(EU274=EX274,"OK","NG"))</f>
        <v>OK</v>
      </c>
      <c r="EZ274" s="233"/>
      <c r="FA274" s="297"/>
      <c r="FB274" s="235" t="str">
        <f t="shared" si="462"/>
        <v xml:space="preserve">                                                                </v>
      </c>
      <c r="FC274" s="174" t="str">
        <f t="shared" si="479"/>
        <v>NG</v>
      </c>
      <c r="FD274" s="299"/>
      <c r="FE274" s="276" t="str">
        <f>IF(OR(FA$8="判定対象外",FD$8="判定対象外",FD274="-"),"-",IF(FA274=FD274,"OK","NG"))</f>
        <v>OK</v>
      </c>
      <c r="FF274" s="233"/>
      <c r="FG274" s="297"/>
      <c r="FH274" s="235" t="str">
        <f t="shared" si="463"/>
        <v xml:space="preserve">                                                                </v>
      </c>
      <c r="FI274" s="174" t="str">
        <f t="shared" si="480"/>
        <v>NG</v>
      </c>
      <c r="FJ274" s="299"/>
      <c r="FK274" s="276" t="str">
        <f>IF(OR(FG$8="判定対象外",FJ$8="判定対象外",FJ274="-"),"-",IF(FG274=FJ274,"OK","NG"))</f>
        <v>OK</v>
      </c>
      <c r="FL274" s="233"/>
      <c r="FM274" s="297"/>
      <c r="FN274" s="235" t="str">
        <f t="shared" si="464"/>
        <v xml:space="preserve">                                                                </v>
      </c>
      <c r="FO274" s="174" t="str">
        <f t="shared" si="497"/>
        <v>NG</v>
      </c>
      <c r="FP274" s="299"/>
      <c r="FQ274" s="276" t="str">
        <f>IF(OR(FM$8="判定対象外",FP$8="判定対象外",FP274="-"),"-",IF(FM274=FP274,"OK","NG"))</f>
        <v>OK</v>
      </c>
      <c r="FR274" s="233"/>
      <c r="FS274" s="297"/>
      <c r="FT274" s="235" t="str">
        <f t="shared" si="465"/>
        <v xml:space="preserve">                                                                </v>
      </c>
      <c r="FU274" s="174" t="str">
        <f t="shared" si="498"/>
        <v>NG</v>
      </c>
      <c r="FV274" s="299"/>
      <c r="FW274" s="276" t="str">
        <f>IF(OR(FS$8="判定対象外",FV$8="判定対象外",FV274="-"),"-",IF(FS274=FV274,"OK","NG"))</f>
        <v>OK</v>
      </c>
      <c r="FX274" s="233"/>
      <c r="FY274" s="297"/>
      <c r="FZ274" s="235" t="str">
        <f t="shared" si="466"/>
        <v xml:space="preserve">                                                                </v>
      </c>
      <c r="GA274" s="174" t="str">
        <f t="shared" si="499"/>
        <v>NG</v>
      </c>
      <c r="GB274" s="299"/>
      <c r="GC274" s="276" t="str">
        <f>IF(OR(FY$8="判定対象外",GB$8="判定対象外",GB274="-"),"-",IF(FY274=GB274,"OK","NG"))</f>
        <v>OK</v>
      </c>
    </row>
    <row r="275" spans="1:185" s="237" customFormat="1" ht="92.25" customHeight="1">
      <c r="B275" s="216">
        <f t="shared" si="467"/>
        <v>268</v>
      </c>
      <c r="C275" s="220"/>
      <c r="D275" s="220"/>
      <c r="E275" s="220"/>
      <c r="F275" s="238" t="s">
        <v>352</v>
      </c>
      <c r="G275" s="168"/>
      <c r="H275" s="239"/>
      <c r="I275" s="225"/>
      <c r="J275" s="225"/>
      <c r="K275" s="226"/>
      <c r="L275" s="226"/>
      <c r="M275" s="279" t="s">
        <v>353</v>
      </c>
      <c r="N275" s="228"/>
      <c r="O275" s="229"/>
      <c r="P275" s="45">
        <f t="shared" si="481"/>
        <v>244</v>
      </c>
      <c r="Q275" s="230">
        <v>7</v>
      </c>
      <c r="R275" s="41" t="s">
        <v>81</v>
      </c>
      <c r="S275" s="185" t="s">
        <v>254</v>
      </c>
      <c r="T275" s="231"/>
      <c r="U275" s="41" t="s">
        <v>80</v>
      </c>
      <c r="V275" s="229"/>
      <c r="W275" s="232">
        <v>3</v>
      </c>
      <c r="X275" s="194" t="s">
        <v>255</v>
      </c>
      <c r="Y275" s="194">
        <v>7</v>
      </c>
      <c r="Z275" s="194">
        <v>7</v>
      </c>
      <c r="AA275" s="225" t="s">
        <v>81</v>
      </c>
      <c r="AB275" s="225" t="s">
        <v>57</v>
      </c>
      <c r="AC275" s="243"/>
      <c r="AD275" s="233"/>
      <c r="AE275" s="268"/>
      <c r="AF275" s="235" t="str">
        <f t="shared" si="442"/>
        <v xml:space="preserve">       </v>
      </c>
      <c r="AG275" s="174" t="str">
        <f t="shared" si="483"/>
        <v>NG</v>
      </c>
      <c r="AH275" s="268"/>
      <c r="AI275" s="276" t="str">
        <f>IF(OR(AE$8="判定対象外",AH$8="判定対象外",AH275="-"),"-",IF(AE275=AH275,"OK","NG"))</f>
        <v>OK</v>
      </c>
      <c r="AJ275" s="233"/>
      <c r="AK275" s="234"/>
      <c r="AL275" s="235" t="str">
        <f t="shared" si="500"/>
        <v xml:space="preserve">       </v>
      </c>
      <c r="AM275" s="174" t="str">
        <f t="shared" si="468"/>
        <v>NG</v>
      </c>
      <c r="AN275" s="268"/>
      <c r="AO275" s="276" t="str">
        <f>IF(OR(AK$8="判定対象外",AN$8="判定対象外",AN275="-"),"-",IF(AK275=AN275,"OK","NG"))</f>
        <v>OK</v>
      </c>
      <c r="AP275" s="233"/>
      <c r="AQ275" s="268"/>
      <c r="AR275" s="235" t="str">
        <f t="shared" si="443"/>
        <v xml:space="preserve">       </v>
      </c>
      <c r="AS275" s="174" t="str">
        <f t="shared" si="484"/>
        <v>NG</v>
      </c>
      <c r="AT275" s="268"/>
      <c r="AU275" s="276" t="str">
        <f>IF(OR(AQ$8="判定対象外",AT$8="判定対象外",AT275="-"),"-",IF(AQ275=AT275,"OK","NG"))</f>
        <v>OK</v>
      </c>
      <c r="AV275" s="233"/>
      <c r="AW275" s="268"/>
      <c r="AX275" s="235" t="str">
        <f t="shared" si="444"/>
        <v xml:space="preserve">       </v>
      </c>
      <c r="AY275" s="174" t="str">
        <f t="shared" si="485"/>
        <v>NG</v>
      </c>
      <c r="AZ275" s="268"/>
      <c r="BA275" s="276" t="str">
        <f>IF(OR(AW$8="判定対象外",AZ$8="判定対象外",AZ275="-"),"-",IF(AW275=AZ275,"OK","NG"))</f>
        <v>OK</v>
      </c>
      <c r="BB275" s="233"/>
      <c r="BC275" s="268"/>
      <c r="BD275" s="235" t="str">
        <f t="shared" si="445"/>
        <v xml:space="preserve">       </v>
      </c>
      <c r="BE275" s="174" t="str">
        <f t="shared" si="486"/>
        <v>NG</v>
      </c>
      <c r="BF275" s="268"/>
      <c r="BG275" s="276" t="str">
        <f>IF(OR(BC$8="判定対象外",BF$8="判定対象外",BF275="-"),"-",IF(BC275=BF275,"OK","NG"))</f>
        <v>OK</v>
      </c>
      <c r="BH275" s="233"/>
      <c r="BI275" s="268"/>
      <c r="BJ275" s="235" t="str">
        <f t="shared" si="446"/>
        <v xml:space="preserve">       </v>
      </c>
      <c r="BK275" s="174" t="str">
        <f t="shared" si="487"/>
        <v>NG</v>
      </c>
      <c r="BL275" s="268"/>
      <c r="BM275" s="276" t="str">
        <f>IF(OR(BI$8="判定対象外",BL$8="判定対象外",BL275="-"),"-",IF(BI275=BL275,"OK","NG"))</f>
        <v>OK</v>
      </c>
      <c r="BN275" s="233"/>
      <c r="BO275" s="268"/>
      <c r="BP275" s="235" t="str">
        <f t="shared" si="447"/>
        <v xml:space="preserve">       </v>
      </c>
      <c r="BQ275" s="174" t="str">
        <f t="shared" si="488"/>
        <v>NG</v>
      </c>
      <c r="BR275" s="268"/>
      <c r="BS275" s="276" t="str">
        <f>IF(OR(BO$8="判定対象外",BR$8="判定対象外",BR275="-"),"-",IF(BO275=BR275,"OK","NG"))</f>
        <v>OK</v>
      </c>
      <c r="BT275" s="233"/>
      <c r="BU275" s="268"/>
      <c r="BV275" s="235" t="str">
        <f t="shared" si="448"/>
        <v xml:space="preserve">       </v>
      </c>
      <c r="BW275" s="174" t="str">
        <f t="shared" si="489"/>
        <v>NG</v>
      </c>
      <c r="BX275" s="268"/>
      <c r="BY275" s="276" t="str">
        <f>IF(OR(BU$8="判定対象外",BX$8="判定対象外",BX275="-"),"-",IF(BU275=BX275,"OK","NG"))</f>
        <v>OK</v>
      </c>
      <c r="BZ275" s="233"/>
      <c r="CA275" s="268"/>
      <c r="CB275" s="235" t="str">
        <f t="shared" si="449"/>
        <v xml:space="preserve">       </v>
      </c>
      <c r="CC275" s="174" t="str">
        <f t="shared" si="490"/>
        <v>NG</v>
      </c>
      <c r="CD275" s="268"/>
      <c r="CE275" s="276" t="str">
        <f>IF(OR(CA$8="判定対象外",CD$8="判定対象外",CD275="-"),"-",IF(CA275=CD275,"OK","NG"))</f>
        <v>OK</v>
      </c>
      <c r="CF275" s="233"/>
      <c r="CG275" s="268"/>
      <c r="CH275" s="235" t="str">
        <f t="shared" si="450"/>
        <v xml:space="preserve">       </v>
      </c>
      <c r="CI275" s="174" t="str">
        <f t="shared" si="491"/>
        <v>NG</v>
      </c>
      <c r="CJ275" s="268"/>
      <c r="CK275" s="276" t="str">
        <f>IF(OR(CG$8="判定対象外",CJ$8="判定対象外",CJ275="-"),"-",IF(CG275=CJ275,"OK","NG"))</f>
        <v>OK</v>
      </c>
      <c r="CL275" s="233"/>
      <c r="CM275" s="268"/>
      <c r="CN275" s="235" t="str">
        <f t="shared" si="451"/>
        <v xml:space="preserve">       </v>
      </c>
      <c r="CO275" s="174" t="str">
        <f t="shared" si="492"/>
        <v>NG</v>
      </c>
      <c r="CP275" s="268"/>
      <c r="CQ275" s="276" t="str">
        <f>IF(OR(CM$8="判定対象外",CP$8="判定対象外",CP275="-"),"-",IF(CM275=CP275,"OK","NG"))</f>
        <v>OK</v>
      </c>
      <c r="CR275" s="233"/>
      <c r="CS275" s="268"/>
      <c r="CT275" s="235" t="str">
        <f t="shared" si="452"/>
        <v xml:space="preserve">       </v>
      </c>
      <c r="CU275" s="174" t="str">
        <f t="shared" si="493"/>
        <v>NG</v>
      </c>
      <c r="CV275" s="268"/>
      <c r="CW275" s="276" t="str">
        <f>IF(OR(CS$8="判定対象外",CV$8="判定対象外",CV275="-"),"-",IF(CS275=CV275,"OK","NG"))</f>
        <v>OK</v>
      </c>
      <c r="CX275" s="233"/>
      <c r="CY275" s="268"/>
      <c r="CZ275" s="235" t="str">
        <f t="shared" si="453"/>
        <v xml:space="preserve">       </v>
      </c>
      <c r="DA275" s="174" t="str">
        <f t="shared" si="494"/>
        <v>NG</v>
      </c>
      <c r="DB275" s="268"/>
      <c r="DC275" s="276" t="str">
        <f>IF(OR(CY$8="判定対象外",DB$8="判定対象外",DB275="-"),"-",IF(CY275=DB275,"OK","NG"))</f>
        <v>OK</v>
      </c>
      <c r="DD275" s="233"/>
      <c r="DE275" s="268"/>
      <c r="DF275" s="235" t="str">
        <f t="shared" si="454"/>
        <v xml:space="preserve">       </v>
      </c>
      <c r="DG275" s="174" t="str">
        <f t="shared" si="495"/>
        <v>NG</v>
      </c>
      <c r="DH275" s="268"/>
      <c r="DI275" s="276" t="str">
        <f>IF(OR(DE$8="判定対象外",DH$8="判定対象外",DH275="-"),"-",IF(DE275=DH275,"OK","NG"))</f>
        <v>OK</v>
      </c>
      <c r="DJ275" s="233"/>
      <c r="DK275" s="268"/>
      <c r="DL275" s="235" t="str">
        <f t="shared" si="455"/>
        <v xml:space="preserve">       </v>
      </c>
      <c r="DM275" s="174" t="str">
        <f t="shared" si="496"/>
        <v>NG</v>
      </c>
      <c r="DN275" s="268"/>
      <c r="DO275" s="276" t="str">
        <f>IF(OR(DK$8="判定対象外",DN$8="判定対象外",DN275="-"),"-",IF(DK275=DN275,"OK","NG"))</f>
        <v>OK</v>
      </c>
      <c r="DP275" s="233"/>
      <c r="DQ275" s="268"/>
      <c r="DR275" s="235" t="str">
        <f t="shared" si="456"/>
        <v xml:space="preserve">       </v>
      </c>
      <c r="DS275" s="174" t="str">
        <f t="shared" si="473"/>
        <v>NG</v>
      </c>
      <c r="DT275" s="268"/>
      <c r="DU275" s="276" t="str">
        <f>IF(OR(DQ$8="判定対象外",DT$8="判定対象外",DT275="-"),"-",IF(DQ275=DT275,"OK","NG"))</f>
        <v>OK</v>
      </c>
      <c r="DV275" s="233"/>
      <c r="DW275" s="268"/>
      <c r="DX275" s="235" t="str">
        <f t="shared" si="457"/>
        <v xml:space="preserve">       </v>
      </c>
      <c r="DY275" s="174" t="str">
        <f t="shared" si="474"/>
        <v>NG</v>
      </c>
      <c r="DZ275" s="268"/>
      <c r="EA275" s="276" t="str">
        <f>IF(OR(DW$8="判定対象外",DZ$8="判定対象外",DZ275="-"),"-",IF(DW275=DZ275,"OK","NG"))</f>
        <v>OK</v>
      </c>
      <c r="EB275" s="233"/>
      <c r="EC275" s="268"/>
      <c r="ED275" s="235" t="str">
        <f t="shared" si="458"/>
        <v xml:space="preserve">       </v>
      </c>
      <c r="EE275" s="174" t="str">
        <f t="shared" si="475"/>
        <v>NG</v>
      </c>
      <c r="EF275" s="268"/>
      <c r="EG275" s="276" t="str">
        <f>IF(OR(EC$8="判定対象外",EF$8="判定対象外",EF275="-"),"-",IF(EC275=EF275,"OK","NG"))</f>
        <v>OK</v>
      </c>
      <c r="EH275" s="233"/>
      <c r="EI275" s="268"/>
      <c r="EJ275" s="235" t="str">
        <f t="shared" si="459"/>
        <v xml:space="preserve">       </v>
      </c>
      <c r="EK275" s="174" t="str">
        <f t="shared" si="476"/>
        <v>NG</v>
      </c>
      <c r="EL275" s="268"/>
      <c r="EM275" s="276" t="str">
        <f>IF(OR(EI$8="判定対象外",EL$8="判定対象外",EL275="-"),"-",IF(EI275=EL275,"OK","NG"))</f>
        <v>OK</v>
      </c>
      <c r="EN275" s="233"/>
      <c r="EO275" s="268"/>
      <c r="EP275" s="235" t="str">
        <f t="shared" si="460"/>
        <v xml:space="preserve">       </v>
      </c>
      <c r="EQ275" s="174" t="str">
        <f t="shared" si="477"/>
        <v>NG</v>
      </c>
      <c r="ER275" s="268"/>
      <c r="ES275" s="276" t="str">
        <f>IF(OR(EO$8="判定対象外",ER$8="判定対象外",ER275="-"),"-",IF(EO275=ER275,"OK","NG"))</f>
        <v>OK</v>
      </c>
      <c r="ET275" s="233"/>
      <c r="EU275" s="268"/>
      <c r="EV275" s="235" t="str">
        <f t="shared" si="461"/>
        <v xml:space="preserve">       </v>
      </c>
      <c r="EW275" s="174" t="str">
        <f t="shared" si="478"/>
        <v>NG</v>
      </c>
      <c r="EX275" s="268"/>
      <c r="EY275" s="276" t="str">
        <f>IF(OR(EU$8="判定対象外",EX$8="判定対象外",EX275="-"),"-",IF(EU275=EX275,"OK","NG"))</f>
        <v>OK</v>
      </c>
      <c r="EZ275" s="233"/>
      <c r="FA275" s="268"/>
      <c r="FB275" s="235" t="str">
        <f t="shared" si="462"/>
        <v xml:space="preserve">       </v>
      </c>
      <c r="FC275" s="174" t="str">
        <f t="shared" si="479"/>
        <v>NG</v>
      </c>
      <c r="FD275" s="268"/>
      <c r="FE275" s="276" t="str">
        <f>IF(OR(FA$8="判定対象外",FD$8="判定対象外",FD275="-"),"-",IF(FA275=FD275,"OK","NG"))</f>
        <v>OK</v>
      </c>
      <c r="FF275" s="233"/>
      <c r="FG275" s="268"/>
      <c r="FH275" s="235" t="str">
        <f t="shared" si="463"/>
        <v xml:space="preserve">       </v>
      </c>
      <c r="FI275" s="174" t="str">
        <f t="shared" si="480"/>
        <v>NG</v>
      </c>
      <c r="FJ275" s="268"/>
      <c r="FK275" s="276" t="str">
        <f>IF(OR(FG$8="判定対象外",FJ$8="判定対象外",FJ275="-"),"-",IF(FG275=FJ275,"OK","NG"))</f>
        <v>OK</v>
      </c>
      <c r="FL275" s="233"/>
      <c r="FM275" s="268"/>
      <c r="FN275" s="235" t="str">
        <f t="shared" si="464"/>
        <v xml:space="preserve">       </v>
      </c>
      <c r="FO275" s="174" t="str">
        <f t="shared" si="497"/>
        <v>NG</v>
      </c>
      <c r="FP275" s="268"/>
      <c r="FQ275" s="276" t="str">
        <f>IF(OR(FM$8="判定対象外",FP$8="判定対象外",FP275="-"),"-",IF(FM275=FP275,"OK","NG"))</f>
        <v>OK</v>
      </c>
      <c r="FR275" s="233"/>
      <c r="FS275" s="268"/>
      <c r="FT275" s="235" t="str">
        <f t="shared" si="465"/>
        <v xml:space="preserve">       </v>
      </c>
      <c r="FU275" s="174" t="str">
        <f t="shared" si="498"/>
        <v>NG</v>
      </c>
      <c r="FV275" s="268"/>
      <c r="FW275" s="276" t="str">
        <f>IF(OR(FS$8="判定対象外",FV$8="判定対象外",FV275="-"),"-",IF(FS275=FV275,"OK","NG"))</f>
        <v>OK</v>
      </c>
      <c r="FX275" s="233"/>
      <c r="FY275" s="268"/>
      <c r="FZ275" s="235" t="str">
        <f t="shared" si="466"/>
        <v xml:space="preserve">       </v>
      </c>
      <c r="GA275" s="174" t="str">
        <f t="shared" si="499"/>
        <v>NG</v>
      </c>
      <c r="GB275" s="268"/>
      <c r="GC275" s="276" t="str">
        <f>IF(OR(FY$8="判定対象外",GB$8="判定対象外",GB275="-"),"-",IF(FY275=GB275,"OK","NG"))</f>
        <v>OK</v>
      </c>
    </row>
    <row r="276" spans="1:185" s="237" customFormat="1" ht="127.9" thickBot="1">
      <c r="A276" s="244"/>
      <c r="B276" s="286">
        <f t="shared" si="467"/>
        <v>269</v>
      </c>
      <c r="C276" s="245"/>
      <c r="D276" s="245"/>
      <c r="E276" s="245"/>
      <c r="F276" s="287" t="s">
        <v>354</v>
      </c>
      <c r="G276" s="288"/>
      <c r="H276" s="289"/>
      <c r="I276" s="290"/>
      <c r="J276" s="290"/>
      <c r="K276" s="290"/>
      <c r="L276" s="290"/>
      <c r="M276" s="291" t="s">
        <v>355</v>
      </c>
      <c r="N276" s="280"/>
      <c r="O276" s="284"/>
      <c r="P276" s="71">
        <f t="shared" si="481"/>
        <v>245</v>
      </c>
      <c r="Q276" s="74">
        <v>1</v>
      </c>
      <c r="R276" s="73">
        <v>9</v>
      </c>
      <c r="S276" s="74" t="s">
        <v>256</v>
      </c>
      <c r="T276" s="74"/>
      <c r="U276" s="73" t="s">
        <v>80</v>
      </c>
      <c r="V276" s="246"/>
      <c r="W276" s="76" t="str">
        <f>IF(C276&lt;&gt;"","0",IF(D276&lt;&gt;"","1",IF(E276&lt;&gt;"","2",IF(F276&lt;&gt;"","3",IF(G276&lt;&gt;"","4",IF(H276&lt;&gt;"","5"))))))</f>
        <v>3</v>
      </c>
      <c r="X276" s="77" t="s">
        <v>258</v>
      </c>
      <c r="Y276" s="77">
        <v>1</v>
      </c>
      <c r="Z276" s="77">
        <v>1</v>
      </c>
      <c r="AA276" s="247">
        <v>9</v>
      </c>
      <c r="AB276" s="68" t="s">
        <v>80</v>
      </c>
      <c r="AC276" s="248"/>
      <c r="AD276" s="249"/>
      <c r="AE276" s="300"/>
      <c r="AF276" s="253" t="str">
        <f t="shared" si="442"/>
        <v xml:space="preserve"> </v>
      </c>
      <c r="AG276" s="177" t="str">
        <f t="shared" si="483"/>
        <v>NG</v>
      </c>
      <c r="AH276" s="300"/>
      <c r="AI276" s="270" t="str">
        <f>IF(OR(AE$8="判定対象外",AH$8="判定対象外",AH276="-"),"-",IF(AE276=AH276,"OK","NG"))</f>
        <v>OK</v>
      </c>
      <c r="AJ276" s="249"/>
      <c r="AK276" s="250"/>
      <c r="AL276" s="253" t="str">
        <f t="shared" si="500"/>
        <v xml:space="preserve"> </v>
      </c>
      <c r="AM276" s="177" t="str">
        <f t="shared" si="468"/>
        <v>NG</v>
      </c>
      <c r="AN276" s="250"/>
      <c r="AO276" s="270" t="str">
        <f>IF(OR(AK$8="判定対象外",AN$8="判定対象外",AN276="-"),"-",IF(AK276=AN276,"OK","NG"))</f>
        <v>OK</v>
      </c>
      <c r="AP276" s="249"/>
      <c r="AQ276" s="300"/>
      <c r="AR276" s="253" t="str">
        <f t="shared" si="443"/>
        <v xml:space="preserve"> </v>
      </c>
      <c r="AS276" s="177" t="str">
        <f t="shared" si="484"/>
        <v>NG</v>
      </c>
      <c r="AT276" s="300"/>
      <c r="AU276" s="270" t="str">
        <f>IF(OR(AQ$8="判定対象外",AT$8="判定対象外",AT276="-"),"-",IF(AQ276=AT276,"OK","NG"))</f>
        <v>OK</v>
      </c>
      <c r="AV276" s="249"/>
      <c r="AW276" s="300"/>
      <c r="AX276" s="253" t="str">
        <f t="shared" si="444"/>
        <v xml:space="preserve"> </v>
      </c>
      <c r="AY276" s="177" t="str">
        <f t="shared" si="485"/>
        <v>NG</v>
      </c>
      <c r="AZ276" s="300"/>
      <c r="BA276" s="270" t="str">
        <f>IF(OR(AW$8="判定対象外",AZ$8="判定対象外",AZ276="-"),"-",IF(AW276=AZ276,"OK","NG"))</f>
        <v>OK</v>
      </c>
      <c r="BB276" s="249"/>
      <c r="BC276" s="300"/>
      <c r="BD276" s="253" t="str">
        <f t="shared" si="445"/>
        <v xml:space="preserve"> </v>
      </c>
      <c r="BE276" s="177" t="str">
        <f t="shared" si="486"/>
        <v>NG</v>
      </c>
      <c r="BF276" s="300"/>
      <c r="BG276" s="270" t="str">
        <f>IF(OR(BC$8="判定対象外",BF$8="判定対象外",BF276="-"),"-",IF(BC276=BF276,"OK","NG"))</f>
        <v>OK</v>
      </c>
      <c r="BH276" s="249"/>
      <c r="BI276" s="300"/>
      <c r="BJ276" s="253" t="str">
        <f t="shared" si="446"/>
        <v xml:space="preserve"> </v>
      </c>
      <c r="BK276" s="177" t="str">
        <f t="shared" si="487"/>
        <v>NG</v>
      </c>
      <c r="BL276" s="300"/>
      <c r="BM276" s="270" t="str">
        <f>IF(OR(BI$8="判定対象外",BL$8="判定対象外",BL276="-"),"-",IF(BI276=BL276,"OK","NG"))</f>
        <v>OK</v>
      </c>
      <c r="BN276" s="249"/>
      <c r="BO276" s="300"/>
      <c r="BP276" s="253" t="str">
        <f t="shared" si="447"/>
        <v xml:space="preserve"> </v>
      </c>
      <c r="BQ276" s="177" t="str">
        <f t="shared" si="488"/>
        <v>NG</v>
      </c>
      <c r="BR276" s="300"/>
      <c r="BS276" s="270" t="str">
        <f>IF(OR(BO$8="判定対象外",BR$8="判定対象外",BR276="-"),"-",IF(BO276=BR276,"OK","NG"))</f>
        <v>OK</v>
      </c>
      <c r="BT276" s="249"/>
      <c r="BU276" s="300"/>
      <c r="BV276" s="253" t="str">
        <f t="shared" si="448"/>
        <v xml:space="preserve"> </v>
      </c>
      <c r="BW276" s="177" t="str">
        <f t="shared" si="489"/>
        <v>NG</v>
      </c>
      <c r="BX276" s="300"/>
      <c r="BY276" s="270" t="str">
        <f>IF(OR(BU$8="判定対象外",BX$8="判定対象外",BX276="-"),"-",IF(BU276=BX276,"OK","NG"))</f>
        <v>OK</v>
      </c>
      <c r="BZ276" s="249"/>
      <c r="CA276" s="300"/>
      <c r="CB276" s="253" t="str">
        <f t="shared" si="449"/>
        <v xml:space="preserve"> </v>
      </c>
      <c r="CC276" s="177" t="str">
        <f t="shared" si="490"/>
        <v>NG</v>
      </c>
      <c r="CD276" s="300"/>
      <c r="CE276" s="270" t="str">
        <f>IF(OR(CA$8="判定対象外",CD$8="判定対象外",CD276="-"),"-",IF(CA276=CD276,"OK","NG"))</f>
        <v>OK</v>
      </c>
      <c r="CF276" s="249"/>
      <c r="CG276" s="300"/>
      <c r="CH276" s="253" t="str">
        <f t="shared" si="450"/>
        <v xml:space="preserve"> </v>
      </c>
      <c r="CI276" s="177" t="str">
        <f t="shared" si="491"/>
        <v>NG</v>
      </c>
      <c r="CJ276" s="300"/>
      <c r="CK276" s="270" t="str">
        <f>IF(OR(CG$8="判定対象外",CJ$8="判定対象外",CJ276="-"),"-",IF(CG276=CJ276,"OK","NG"))</f>
        <v>OK</v>
      </c>
      <c r="CL276" s="249"/>
      <c r="CM276" s="300"/>
      <c r="CN276" s="253" t="str">
        <f t="shared" si="451"/>
        <v xml:space="preserve"> </v>
      </c>
      <c r="CO276" s="177" t="str">
        <f t="shared" si="492"/>
        <v>NG</v>
      </c>
      <c r="CP276" s="300"/>
      <c r="CQ276" s="270" t="str">
        <f>IF(OR(CM$8="判定対象外",CP$8="判定対象外",CP276="-"),"-",IF(CM276=CP276,"OK","NG"))</f>
        <v>OK</v>
      </c>
      <c r="CR276" s="249"/>
      <c r="CS276" s="300"/>
      <c r="CT276" s="253" t="str">
        <f t="shared" si="452"/>
        <v xml:space="preserve"> </v>
      </c>
      <c r="CU276" s="177" t="str">
        <f t="shared" si="493"/>
        <v>NG</v>
      </c>
      <c r="CV276" s="300"/>
      <c r="CW276" s="270" t="str">
        <f>IF(OR(CS$8="判定対象外",CV$8="判定対象外",CV276="-"),"-",IF(CS276=CV276,"OK","NG"))</f>
        <v>OK</v>
      </c>
      <c r="CX276" s="249"/>
      <c r="CY276" s="300"/>
      <c r="CZ276" s="253" t="str">
        <f t="shared" si="453"/>
        <v xml:space="preserve"> </v>
      </c>
      <c r="DA276" s="177" t="str">
        <f t="shared" si="494"/>
        <v>NG</v>
      </c>
      <c r="DB276" s="300"/>
      <c r="DC276" s="270" t="str">
        <f>IF(OR(CY$8="判定対象外",DB$8="判定対象外",DB276="-"),"-",IF(CY276=DB276,"OK","NG"))</f>
        <v>OK</v>
      </c>
      <c r="DD276" s="249"/>
      <c r="DE276" s="300"/>
      <c r="DF276" s="253" t="str">
        <f t="shared" si="454"/>
        <v xml:space="preserve"> </v>
      </c>
      <c r="DG276" s="177" t="str">
        <f t="shared" si="495"/>
        <v>NG</v>
      </c>
      <c r="DH276" s="300"/>
      <c r="DI276" s="270" t="str">
        <f>IF(OR(DE$8="判定対象外",DH$8="判定対象外",DH276="-"),"-",IF(DE276=DH276,"OK","NG"))</f>
        <v>OK</v>
      </c>
      <c r="DJ276" s="249"/>
      <c r="DK276" s="300"/>
      <c r="DL276" s="253" t="str">
        <f t="shared" si="455"/>
        <v xml:space="preserve"> </v>
      </c>
      <c r="DM276" s="177" t="str">
        <f t="shared" si="496"/>
        <v>NG</v>
      </c>
      <c r="DN276" s="300"/>
      <c r="DO276" s="270" t="str">
        <f>IF(OR(DK$8="判定対象外",DN$8="判定対象外",DN276="-"),"-",IF(DK276=DN276,"OK","NG"))</f>
        <v>OK</v>
      </c>
      <c r="DP276" s="249"/>
      <c r="DQ276" s="300"/>
      <c r="DR276" s="253" t="str">
        <f t="shared" si="456"/>
        <v xml:space="preserve"> </v>
      </c>
      <c r="DS276" s="177" t="str">
        <f t="shared" si="473"/>
        <v>NG</v>
      </c>
      <c r="DT276" s="300"/>
      <c r="DU276" s="270" t="str">
        <f>IF(OR(DQ$8="判定対象外",DT$8="判定対象外",DT276="-"),"-",IF(DQ276=DT276,"OK","NG"))</f>
        <v>OK</v>
      </c>
      <c r="DV276" s="249"/>
      <c r="DW276" s="300"/>
      <c r="DX276" s="253" t="str">
        <f t="shared" si="457"/>
        <v xml:space="preserve"> </v>
      </c>
      <c r="DY276" s="177" t="str">
        <f t="shared" si="474"/>
        <v>NG</v>
      </c>
      <c r="DZ276" s="300"/>
      <c r="EA276" s="270" t="str">
        <f>IF(OR(DW$8="判定対象外",DZ$8="判定対象外",DZ276="-"),"-",IF(DW276=DZ276,"OK","NG"))</f>
        <v>OK</v>
      </c>
      <c r="EB276" s="249"/>
      <c r="EC276" s="300"/>
      <c r="ED276" s="253" t="str">
        <f t="shared" si="458"/>
        <v xml:space="preserve"> </v>
      </c>
      <c r="EE276" s="177" t="str">
        <f t="shared" si="475"/>
        <v>NG</v>
      </c>
      <c r="EF276" s="300"/>
      <c r="EG276" s="270" t="str">
        <f>IF(OR(EC$8="判定対象外",EF$8="判定対象外",EF276="-"),"-",IF(EC276=EF276,"OK","NG"))</f>
        <v>OK</v>
      </c>
      <c r="EH276" s="249"/>
      <c r="EI276" s="300"/>
      <c r="EJ276" s="253" t="str">
        <f t="shared" si="459"/>
        <v xml:space="preserve"> </v>
      </c>
      <c r="EK276" s="177" t="str">
        <f t="shared" si="476"/>
        <v>NG</v>
      </c>
      <c r="EL276" s="300"/>
      <c r="EM276" s="270" t="str">
        <f>IF(OR(EI$8="判定対象外",EL$8="判定対象外",EL276="-"),"-",IF(EI276=EL276,"OK","NG"))</f>
        <v>OK</v>
      </c>
      <c r="EN276" s="249"/>
      <c r="EO276" s="300"/>
      <c r="EP276" s="253" t="str">
        <f t="shared" si="460"/>
        <v xml:space="preserve"> </v>
      </c>
      <c r="EQ276" s="177" t="str">
        <f t="shared" si="477"/>
        <v>NG</v>
      </c>
      <c r="ER276" s="300"/>
      <c r="ES276" s="270" t="str">
        <f>IF(OR(EO$8="判定対象外",ER$8="判定対象外",ER276="-"),"-",IF(EO276=ER276,"OK","NG"))</f>
        <v>OK</v>
      </c>
      <c r="ET276" s="249"/>
      <c r="EU276" s="300"/>
      <c r="EV276" s="253" t="str">
        <f t="shared" si="461"/>
        <v xml:space="preserve"> </v>
      </c>
      <c r="EW276" s="177" t="str">
        <f t="shared" si="478"/>
        <v>NG</v>
      </c>
      <c r="EX276" s="300"/>
      <c r="EY276" s="270" t="str">
        <f>IF(OR(EU$8="判定対象外",EX$8="判定対象外",EX276="-"),"-",IF(EU276=EX276,"OK","NG"))</f>
        <v>OK</v>
      </c>
      <c r="EZ276" s="249"/>
      <c r="FA276" s="300"/>
      <c r="FB276" s="253" t="str">
        <f t="shared" si="462"/>
        <v xml:space="preserve"> </v>
      </c>
      <c r="FC276" s="177" t="str">
        <f t="shared" si="479"/>
        <v>NG</v>
      </c>
      <c r="FD276" s="300"/>
      <c r="FE276" s="270" t="str">
        <f>IF(OR(FA$8="判定対象外",FD$8="判定対象外",FD276="-"),"-",IF(FA276=FD276,"OK","NG"))</f>
        <v>OK</v>
      </c>
      <c r="FF276" s="249"/>
      <c r="FG276" s="300"/>
      <c r="FH276" s="253" t="str">
        <f t="shared" si="463"/>
        <v xml:space="preserve"> </v>
      </c>
      <c r="FI276" s="177" t="str">
        <f t="shared" si="480"/>
        <v>NG</v>
      </c>
      <c r="FJ276" s="300"/>
      <c r="FK276" s="270" t="str">
        <f>IF(OR(FG$8="判定対象外",FJ$8="判定対象外",FJ276="-"),"-",IF(FG276=FJ276,"OK","NG"))</f>
        <v>OK</v>
      </c>
      <c r="FL276" s="249"/>
      <c r="FM276" s="300"/>
      <c r="FN276" s="253" t="str">
        <f t="shared" si="464"/>
        <v xml:space="preserve"> </v>
      </c>
      <c r="FO276" s="177" t="str">
        <f t="shared" si="497"/>
        <v>NG</v>
      </c>
      <c r="FP276" s="300"/>
      <c r="FQ276" s="270" t="str">
        <f>IF(OR(FM$8="判定対象外",FP$8="判定対象外",FP276="-"),"-",IF(FM276=FP276,"OK","NG"))</f>
        <v>OK</v>
      </c>
      <c r="FR276" s="249"/>
      <c r="FS276" s="300"/>
      <c r="FT276" s="253" t="str">
        <f t="shared" si="465"/>
        <v xml:space="preserve"> </v>
      </c>
      <c r="FU276" s="177" t="str">
        <f t="shared" si="498"/>
        <v>NG</v>
      </c>
      <c r="FV276" s="300"/>
      <c r="FW276" s="270" t="str">
        <f>IF(OR(FS$8="判定対象外",FV$8="判定対象外",FV276="-"),"-",IF(FS276=FV276,"OK","NG"))</f>
        <v>OK</v>
      </c>
      <c r="FX276" s="249"/>
      <c r="FY276" s="300"/>
      <c r="FZ276" s="253" t="str">
        <f t="shared" si="466"/>
        <v xml:space="preserve"> </v>
      </c>
      <c r="GA276" s="177" t="str">
        <f t="shared" si="499"/>
        <v>NG</v>
      </c>
      <c r="GB276" s="300"/>
      <c r="GC276" s="270" t="str">
        <f>IF(OR(FY$8="判定対象外",GB$8="判定対象外",GB276="-"),"-",IF(FY276=GB276,"OK","NG"))</f>
        <v>OK</v>
      </c>
    </row>
    <row r="277" spans="1:185" s="52" customFormat="1" ht="18.75" customHeight="1" thickTop="1">
      <c r="B277" s="48">
        <f t="shared" si="467"/>
        <v>270</v>
      </c>
      <c r="C277" s="37"/>
      <c r="D277" s="37"/>
      <c r="E277" s="26" t="s">
        <v>315</v>
      </c>
      <c r="F277" s="254"/>
      <c r="G277" s="254"/>
      <c r="H277" s="28"/>
      <c r="I277" s="42" t="s">
        <v>1</v>
      </c>
      <c r="J277" s="42" t="s">
        <v>316</v>
      </c>
      <c r="K277" s="42"/>
      <c r="L277" s="42"/>
      <c r="M277" s="47" t="s">
        <v>317</v>
      </c>
      <c r="N277" s="281"/>
      <c r="O277" s="282"/>
      <c r="P277" s="20"/>
      <c r="Q277" s="21"/>
      <c r="R277" s="16"/>
      <c r="S277" s="283"/>
      <c r="T277" s="281"/>
      <c r="U277" s="16"/>
      <c r="V277" s="207"/>
      <c r="W277" s="22" t="str">
        <f>IF(C277&lt;&gt;"","0",IF(D277&lt;&gt;"","1",IF(E277&lt;&gt;"","2",IF(F277&lt;&gt;"","3",IF(G277&lt;&gt;"","4",IF(H277&lt;&gt;"","5"))))))</f>
        <v>2</v>
      </c>
      <c r="X277" s="47" t="s">
        <v>187</v>
      </c>
      <c r="Y277" s="47"/>
      <c r="Z277" s="47"/>
      <c r="AA277" s="42"/>
      <c r="AB277" s="42" t="s">
        <v>80</v>
      </c>
      <c r="AC277" s="251"/>
      <c r="AD277" s="160"/>
      <c r="AE277" s="141"/>
      <c r="AF277" s="203" t="str">
        <f t="shared" ref="AF277:AF340" si="501">IF(AH277="-","-",AH277&amp;REPT(IF($R277="N","　",IF($R277="9","0"," ")),$Z277-LENB(AH277)))</f>
        <v/>
      </c>
      <c r="AG277" s="174" t="str">
        <f t="shared" si="483"/>
        <v>OK</v>
      </c>
      <c r="AH277" s="141"/>
      <c r="AI277" s="276" t="s">
        <v>71</v>
      </c>
      <c r="AJ277" s="160"/>
      <c r="AK277" s="141"/>
      <c r="AL277" s="203" t="str">
        <f t="shared" si="500"/>
        <v/>
      </c>
      <c r="AM277" s="174" t="str">
        <f t="shared" si="468"/>
        <v>OK</v>
      </c>
      <c r="AN277" s="141"/>
      <c r="AO277" s="276" t="s">
        <v>71</v>
      </c>
      <c r="AP277" s="160"/>
      <c r="AQ277" s="141"/>
      <c r="AR277" s="203" t="str">
        <f t="shared" ref="AR277:AR340" si="502">IF(AT277="-","-",AT277&amp;REPT(IF($R277="N","　",IF($R277="9","0"," ")),$Z277-LENB(AT277)))</f>
        <v/>
      </c>
      <c r="AS277" s="174" t="str">
        <f t="shared" si="484"/>
        <v>OK</v>
      </c>
      <c r="AT277" s="141"/>
      <c r="AU277" s="276" t="s">
        <v>71</v>
      </c>
      <c r="AV277" s="160"/>
      <c r="AW277" s="141"/>
      <c r="AX277" s="203" t="str">
        <f t="shared" ref="AX277:AX340" si="503">IF(AZ277="-","-",AZ277&amp;REPT(IF($R277="N","　",IF($R277="9","0"," ")),$Z277-LENB(AZ277)))</f>
        <v/>
      </c>
      <c r="AY277" s="174" t="str">
        <f t="shared" si="485"/>
        <v>OK</v>
      </c>
      <c r="AZ277" s="141"/>
      <c r="BA277" s="276" t="s">
        <v>71</v>
      </c>
      <c r="BB277" s="160"/>
      <c r="BC277" s="141"/>
      <c r="BD277" s="203" t="str">
        <f t="shared" ref="BD277:BD340" si="504">IF(BF277="-","-",BF277&amp;REPT(IF($R277="N","　",IF($R277="9","0"," ")),$Z277-LENB(BF277)))</f>
        <v/>
      </c>
      <c r="BE277" s="174" t="str">
        <f t="shared" si="486"/>
        <v>OK</v>
      </c>
      <c r="BF277" s="141"/>
      <c r="BG277" s="276" t="s">
        <v>71</v>
      </c>
      <c r="BH277" s="160"/>
      <c r="BI277" s="141"/>
      <c r="BJ277" s="203" t="str">
        <f t="shared" ref="BJ277:BJ340" si="505">IF(BL277="-","-",BL277&amp;REPT(IF($R277="N","　",IF($R277="9","0"," ")),$Z277-LENB(BL277)))</f>
        <v/>
      </c>
      <c r="BK277" s="174" t="str">
        <f t="shared" si="487"/>
        <v>OK</v>
      </c>
      <c r="BL277" s="141"/>
      <c r="BM277" s="276" t="s">
        <v>71</v>
      </c>
      <c r="BN277" s="160"/>
      <c r="BO277" s="141"/>
      <c r="BP277" s="203" t="str">
        <f t="shared" ref="BP277:BP340" si="506">IF(BR277="-","-",BR277&amp;REPT(IF($R277="N","　",IF($R277="9","0"," ")),$Z277-LENB(BR277)))</f>
        <v/>
      </c>
      <c r="BQ277" s="174" t="str">
        <f t="shared" si="488"/>
        <v>OK</v>
      </c>
      <c r="BR277" s="141"/>
      <c r="BS277" s="276" t="s">
        <v>71</v>
      </c>
      <c r="BT277" s="160"/>
      <c r="BU277" s="141"/>
      <c r="BV277" s="203" t="str">
        <f t="shared" ref="BV277:BV340" si="507">IF(BX277="-","-",BX277&amp;REPT(IF($R277="N","　",IF($R277="9","0"," ")),$Z277-LENB(BX277)))</f>
        <v/>
      </c>
      <c r="BW277" s="174" t="str">
        <f t="shared" si="489"/>
        <v>OK</v>
      </c>
      <c r="BX277" s="141"/>
      <c r="BY277" s="276" t="s">
        <v>71</v>
      </c>
      <c r="BZ277" s="160"/>
      <c r="CA277" s="141"/>
      <c r="CB277" s="203" t="str">
        <f t="shared" ref="CB277:CB340" si="508">IF(CD277="-","-",CD277&amp;REPT(IF($R277="N","　",IF($R277="9","0"," ")),$Z277-LENB(CD277)))</f>
        <v/>
      </c>
      <c r="CC277" s="174" t="str">
        <f t="shared" si="490"/>
        <v>OK</v>
      </c>
      <c r="CD277" s="141"/>
      <c r="CE277" s="276" t="s">
        <v>71</v>
      </c>
      <c r="CF277" s="160"/>
      <c r="CG277" s="141"/>
      <c r="CH277" s="203" t="str">
        <f t="shared" ref="CH277:CH340" si="509">IF(CJ277="-","-",CJ277&amp;REPT(IF($R277="N","　",IF($R277="9","0"," ")),$Z277-LENB(CJ277)))</f>
        <v/>
      </c>
      <c r="CI277" s="174" t="str">
        <f t="shared" si="491"/>
        <v>OK</v>
      </c>
      <c r="CJ277" s="141"/>
      <c r="CK277" s="276" t="s">
        <v>71</v>
      </c>
      <c r="CL277" s="160"/>
      <c r="CM277" s="141"/>
      <c r="CN277" s="203" t="str">
        <f t="shared" ref="CN277:CN340" si="510">IF(CP277="-","-",CP277&amp;REPT(IF($R277="N","　",IF($R277="9","0"," ")),$Z277-LENB(CP277)))</f>
        <v/>
      </c>
      <c r="CO277" s="174" t="str">
        <f t="shared" si="492"/>
        <v>OK</v>
      </c>
      <c r="CP277" s="141"/>
      <c r="CQ277" s="276" t="s">
        <v>71</v>
      </c>
      <c r="CR277" s="160"/>
      <c r="CS277" s="141"/>
      <c r="CT277" s="203" t="str">
        <f t="shared" ref="CT277:CT340" si="511">IF(CV277="-","-",CV277&amp;REPT(IF($R277="N","　",IF($R277="9","0"," ")),$Z277-LENB(CV277)))</f>
        <v/>
      </c>
      <c r="CU277" s="174" t="str">
        <f t="shared" si="493"/>
        <v>OK</v>
      </c>
      <c r="CV277" s="141"/>
      <c r="CW277" s="276" t="s">
        <v>71</v>
      </c>
      <c r="CX277" s="160"/>
      <c r="CY277" s="141"/>
      <c r="CZ277" s="203" t="str">
        <f t="shared" ref="CZ277:CZ340" si="512">IF(DB277="-","-",DB277&amp;REPT(IF($R277="N","　",IF($R277="9","0"," ")),$Z277-LENB(DB277)))</f>
        <v/>
      </c>
      <c r="DA277" s="174" t="str">
        <f t="shared" si="494"/>
        <v>OK</v>
      </c>
      <c r="DB277" s="141"/>
      <c r="DC277" s="276" t="s">
        <v>71</v>
      </c>
      <c r="DD277" s="160"/>
      <c r="DE277" s="141"/>
      <c r="DF277" s="203" t="str">
        <f t="shared" ref="DF277:DF340" si="513">IF(DH277="-","-",DH277&amp;REPT(IF($R277="N","　",IF($R277="9","0"," ")),$Z277-LENB(DH277)))</f>
        <v/>
      </c>
      <c r="DG277" s="174" t="str">
        <f t="shared" si="495"/>
        <v>OK</v>
      </c>
      <c r="DH277" s="141"/>
      <c r="DI277" s="276" t="s">
        <v>71</v>
      </c>
      <c r="DJ277" s="160"/>
      <c r="DK277" s="141"/>
      <c r="DL277" s="203" t="str">
        <f t="shared" ref="DL277:DL340" si="514">IF(DN277="-","-",DN277&amp;REPT(IF($R277="N","　",IF($R277="9","0"," ")),$Z277-LENB(DN277)))</f>
        <v/>
      </c>
      <c r="DM277" s="174" t="str">
        <f t="shared" si="496"/>
        <v>OK</v>
      </c>
      <c r="DN277" s="141"/>
      <c r="DO277" s="276" t="s">
        <v>71</v>
      </c>
      <c r="DP277" s="160"/>
      <c r="DQ277" s="141"/>
      <c r="DR277" s="203" t="str">
        <f t="shared" ref="DR277:DR340" si="515">IF(DT277="-","-",DT277&amp;REPT(IF($R277="N","　",IF($R277="9","0"," ")),$Z277-LENB(DT277)))</f>
        <v/>
      </c>
      <c r="DS277" s="174" t="str">
        <f t="shared" si="473"/>
        <v>OK</v>
      </c>
      <c r="DT277" s="141"/>
      <c r="DU277" s="276" t="s">
        <v>71</v>
      </c>
      <c r="DV277" s="160"/>
      <c r="DW277" s="141"/>
      <c r="DX277" s="203" t="str">
        <f t="shared" ref="DX277:DX340" si="516">IF(DZ277="-","-",DZ277&amp;REPT(IF($R277="N","　",IF($R277="9","0"," ")),$Z277-LENB(DZ277)))</f>
        <v/>
      </c>
      <c r="DY277" s="174" t="str">
        <f t="shared" si="474"/>
        <v>OK</v>
      </c>
      <c r="DZ277" s="141"/>
      <c r="EA277" s="276" t="s">
        <v>71</v>
      </c>
      <c r="EB277" s="160"/>
      <c r="EC277" s="141"/>
      <c r="ED277" s="203" t="str">
        <f t="shared" ref="ED277:ED340" si="517">IF(EF277="-","-",EF277&amp;REPT(IF($R277="N","　",IF($R277="9","0"," ")),$Z277-LENB(EF277)))</f>
        <v/>
      </c>
      <c r="EE277" s="174" t="str">
        <f t="shared" si="475"/>
        <v>OK</v>
      </c>
      <c r="EF277" s="141"/>
      <c r="EG277" s="276" t="s">
        <v>71</v>
      </c>
      <c r="EH277" s="160"/>
      <c r="EI277" s="141"/>
      <c r="EJ277" s="203" t="str">
        <f t="shared" ref="EJ277:EJ340" si="518">IF(EL277="-","-",EL277&amp;REPT(IF($R277="N","　",IF($R277="9","0"," ")),$Z277-LENB(EL277)))</f>
        <v/>
      </c>
      <c r="EK277" s="174" t="str">
        <f t="shared" si="476"/>
        <v>OK</v>
      </c>
      <c r="EL277" s="141"/>
      <c r="EM277" s="276" t="s">
        <v>71</v>
      </c>
      <c r="EN277" s="160"/>
      <c r="EO277" s="141"/>
      <c r="EP277" s="203" t="str">
        <f t="shared" ref="EP277:EP340" si="519">IF(ER277="-","-",ER277&amp;REPT(IF($R277="N","　",IF($R277="9","0"," ")),$Z277-LENB(ER277)))</f>
        <v/>
      </c>
      <c r="EQ277" s="174" t="str">
        <f t="shared" si="477"/>
        <v>OK</v>
      </c>
      <c r="ER277" s="141"/>
      <c r="ES277" s="276" t="s">
        <v>71</v>
      </c>
      <c r="ET277" s="160"/>
      <c r="EU277" s="141"/>
      <c r="EV277" s="203" t="str">
        <f t="shared" ref="EV277:EV340" si="520">IF(EX277="-","-",EX277&amp;REPT(IF($R277="N","　",IF($R277="9","0"," ")),$Z277-LENB(EX277)))</f>
        <v/>
      </c>
      <c r="EW277" s="174" t="str">
        <f t="shared" si="478"/>
        <v>OK</v>
      </c>
      <c r="EX277" s="141"/>
      <c r="EY277" s="276" t="s">
        <v>71</v>
      </c>
      <c r="EZ277" s="160"/>
      <c r="FA277" s="141"/>
      <c r="FB277" s="203" t="str">
        <f t="shared" ref="FB277:FB340" si="521">IF(FD277="-","-",FD277&amp;REPT(IF($R277="N","　",IF($R277="9","0"," ")),$Z277-LENB(FD277)))</f>
        <v/>
      </c>
      <c r="FC277" s="174" t="str">
        <f t="shared" si="479"/>
        <v>OK</v>
      </c>
      <c r="FD277" s="141"/>
      <c r="FE277" s="276" t="s">
        <v>71</v>
      </c>
      <c r="FF277" s="160"/>
      <c r="FG277" s="141"/>
      <c r="FH277" s="203" t="str">
        <f t="shared" ref="FH277:FH340" si="522">IF(FJ277="-","-",FJ277&amp;REPT(IF($R277="N","　",IF($R277="9","0"," ")),$Z277-LENB(FJ277)))</f>
        <v/>
      </c>
      <c r="FI277" s="174" t="str">
        <f t="shared" si="480"/>
        <v>OK</v>
      </c>
      <c r="FJ277" s="141"/>
      <c r="FK277" s="276" t="s">
        <v>71</v>
      </c>
      <c r="FL277" s="160"/>
      <c r="FM277" s="141"/>
      <c r="FN277" s="203" t="str">
        <f t="shared" ref="FN277:FN340" si="523">IF(FP277="-","-",FP277&amp;REPT(IF($R277="N","　",IF($R277="9","0"," ")),$Z277-LENB(FP277)))</f>
        <v/>
      </c>
      <c r="FO277" s="174" t="str">
        <f t="shared" si="497"/>
        <v>OK</v>
      </c>
      <c r="FP277" s="141"/>
      <c r="FQ277" s="276" t="s">
        <v>71</v>
      </c>
      <c r="FR277" s="160"/>
      <c r="FS277" s="141"/>
      <c r="FT277" s="203" t="str">
        <f t="shared" ref="FT277:FT340" si="524">IF(FV277="-","-",FV277&amp;REPT(IF($R277="N","　",IF($R277="9","0"," ")),$Z277-LENB(FV277)))</f>
        <v/>
      </c>
      <c r="FU277" s="174" t="str">
        <f t="shared" si="498"/>
        <v>OK</v>
      </c>
      <c r="FV277" s="141"/>
      <c r="FW277" s="276" t="s">
        <v>71</v>
      </c>
      <c r="FX277" s="160"/>
      <c r="FY277" s="141"/>
      <c r="FZ277" s="203" t="str">
        <f t="shared" ref="FZ277:FZ340" si="525">IF(GB277="-","-",GB277&amp;REPT(IF($R277="N","　",IF($R277="9","0"," ")),$Z277-LENB(GB277)))</f>
        <v/>
      </c>
      <c r="GA277" s="174" t="str">
        <f t="shared" si="499"/>
        <v>OK</v>
      </c>
      <c r="GB277" s="141"/>
      <c r="GC277" s="276" t="s">
        <v>71</v>
      </c>
    </row>
    <row r="278" spans="1:185" s="52" customFormat="1" ht="63.75">
      <c r="B278" s="48">
        <f t="shared" si="467"/>
        <v>271</v>
      </c>
      <c r="C278" s="187"/>
      <c r="D278" s="37"/>
      <c r="E278" s="37"/>
      <c r="F278" s="188" t="s">
        <v>318</v>
      </c>
      <c r="G278" s="39"/>
      <c r="H278" s="40"/>
      <c r="I278" s="57"/>
      <c r="J278" s="57"/>
      <c r="K278" s="57"/>
      <c r="L278" s="42"/>
      <c r="M278" s="58" t="s">
        <v>319</v>
      </c>
      <c r="N278" s="47"/>
      <c r="O278" s="143"/>
      <c r="P278" s="45">
        <f>P276+1</f>
        <v>246</v>
      </c>
      <c r="Q278" s="200">
        <v>2</v>
      </c>
      <c r="R278" s="41" t="str">
        <f t="shared" ref="R278:R284" si="526">IF(AA278="M","NX",AA278)</f>
        <v>X</v>
      </c>
      <c r="S278" s="185" t="s">
        <v>99</v>
      </c>
      <c r="T278" s="43"/>
      <c r="U278" s="41" t="s">
        <v>80</v>
      </c>
      <c r="V278" s="212" t="s">
        <v>188</v>
      </c>
      <c r="W278" s="22" t="str">
        <f>IF(C278&lt;&gt;"","0",IF(D278&lt;&gt;"","1",IF(E278&lt;&gt;"","2",IF(F278&lt;&gt;"","3",IF(G278&lt;&gt;"","4",IF(H278&lt;&gt;"","5"))))))</f>
        <v>3</v>
      </c>
      <c r="X278" s="62" t="s">
        <v>189</v>
      </c>
      <c r="Y278" s="201">
        <v>2</v>
      </c>
      <c r="Z278" s="201">
        <v>2</v>
      </c>
      <c r="AA278" s="202" t="s">
        <v>163</v>
      </c>
      <c r="AB278" s="202" t="s">
        <v>57</v>
      </c>
      <c r="AC278" s="166"/>
      <c r="AD278" s="160"/>
      <c r="AE278" s="162"/>
      <c r="AF278" s="167" t="str">
        <f t="shared" si="501"/>
        <v xml:space="preserve">  </v>
      </c>
      <c r="AG278" s="174" t="str">
        <f t="shared" si="483"/>
        <v>NG</v>
      </c>
      <c r="AH278" s="162"/>
      <c r="AI278" s="276" t="str">
        <f>IF(OR(AE$8="判定対象外",AH$8="判定対象外",AH278="-"),"-",IF(AE278=AH278,"OK","NG"))</f>
        <v>OK</v>
      </c>
      <c r="AJ278" s="160"/>
      <c r="AK278" s="162"/>
      <c r="AL278" s="167" t="str">
        <f t="shared" si="500"/>
        <v xml:space="preserve">  </v>
      </c>
      <c r="AM278" s="174" t="str">
        <f t="shared" si="468"/>
        <v>NG</v>
      </c>
      <c r="AN278" s="162"/>
      <c r="AO278" s="276" t="str">
        <f>IF(OR(AK$8="判定対象外",AN$8="判定対象外",AN278="-"),"-",IF(AK278=AN278,"OK","NG"))</f>
        <v>OK</v>
      </c>
      <c r="AP278" s="160"/>
      <c r="AQ278" s="162"/>
      <c r="AR278" s="167" t="str">
        <f t="shared" si="502"/>
        <v xml:space="preserve">  </v>
      </c>
      <c r="AS278" s="174" t="str">
        <f t="shared" si="484"/>
        <v>NG</v>
      </c>
      <c r="AT278" s="162"/>
      <c r="AU278" s="276" t="str">
        <f>IF(OR(AQ$8="判定対象外",AT$8="判定対象外",AT278="-"),"-",IF(AQ278=AT278,"OK","NG"))</f>
        <v>OK</v>
      </c>
      <c r="AV278" s="160"/>
      <c r="AW278" s="162"/>
      <c r="AX278" s="167" t="str">
        <f t="shared" si="503"/>
        <v xml:space="preserve">  </v>
      </c>
      <c r="AY278" s="174" t="str">
        <f t="shared" si="485"/>
        <v>NG</v>
      </c>
      <c r="AZ278" s="162"/>
      <c r="BA278" s="276" t="str">
        <f>IF(OR(AW$8="判定対象外",AZ$8="判定対象外",AZ278="-"),"-",IF(AW278=AZ278,"OK","NG"))</f>
        <v>OK</v>
      </c>
      <c r="BB278" s="160"/>
      <c r="BC278" s="162"/>
      <c r="BD278" s="167" t="str">
        <f t="shared" si="504"/>
        <v xml:space="preserve">  </v>
      </c>
      <c r="BE278" s="174" t="str">
        <f t="shared" si="486"/>
        <v>NG</v>
      </c>
      <c r="BF278" s="162"/>
      <c r="BG278" s="276" t="str">
        <f>IF(OR(BC$8="判定対象外",BF$8="判定対象外",BF278="-"),"-",IF(BC278=BF278,"OK","NG"))</f>
        <v>OK</v>
      </c>
      <c r="BH278" s="160"/>
      <c r="BI278" s="162"/>
      <c r="BJ278" s="167" t="str">
        <f t="shared" si="505"/>
        <v xml:space="preserve">  </v>
      </c>
      <c r="BK278" s="174" t="str">
        <f t="shared" si="487"/>
        <v>NG</v>
      </c>
      <c r="BL278" s="162"/>
      <c r="BM278" s="276" t="str">
        <f>IF(OR(BI$8="判定対象外",BL$8="判定対象外",BL278="-"),"-",IF(BI278=BL278,"OK","NG"))</f>
        <v>OK</v>
      </c>
      <c r="BN278" s="160"/>
      <c r="BO278" s="162"/>
      <c r="BP278" s="167" t="str">
        <f t="shared" si="506"/>
        <v xml:space="preserve">  </v>
      </c>
      <c r="BQ278" s="174" t="str">
        <f t="shared" si="488"/>
        <v>NG</v>
      </c>
      <c r="BR278" s="162"/>
      <c r="BS278" s="276" t="str">
        <f>IF(OR(BO$8="判定対象外",BR$8="判定対象外",BR278="-"),"-",IF(BO278=BR278,"OK","NG"))</f>
        <v>OK</v>
      </c>
      <c r="BT278" s="160"/>
      <c r="BU278" s="162"/>
      <c r="BV278" s="167" t="str">
        <f t="shared" si="507"/>
        <v xml:space="preserve">  </v>
      </c>
      <c r="BW278" s="174" t="str">
        <f t="shared" si="489"/>
        <v>NG</v>
      </c>
      <c r="BX278" s="162"/>
      <c r="BY278" s="276" t="str">
        <f>IF(OR(BU$8="判定対象外",BX$8="判定対象外",BX278="-"),"-",IF(BU278=BX278,"OK","NG"))</f>
        <v>OK</v>
      </c>
      <c r="BZ278" s="160"/>
      <c r="CA278" s="162"/>
      <c r="CB278" s="167" t="str">
        <f t="shared" si="508"/>
        <v xml:space="preserve">  </v>
      </c>
      <c r="CC278" s="174" t="str">
        <f t="shared" si="490"/>
        <v>NG</v>
      </c>
      <c r="CD278" s="162"/>
      <c r="CE278" s="276" t="str">
        <f>IF(OR(CA$8="判定対象外",CD$8="判定対象外",CD278="-"),"-",IF(CA278=CD278,"OK","NG"))</f>
        <v>OK</v>
      </c>
      <c r="CF278" s="160"/>
      <c r="CG278" s="162"/>
      <c r="CH278" s="167" t="str">
        <f t="shared" si="509"/>
        <v xml:space="preserve">  </v>
      </c>
      <c r="CI278" s="174" t="str">
        <f t="shared" si="491"/>
        <v>NG</v>
      </c>
      <c r="CJ278" s="162"/>
      <c r="CK278" s="276" t="str">
        <f>IF(OR(CG$8="判定対象外",CJ$8="判定対象外",CJ278="-"),"-",IF(CG278=CJ278,"OK","NG"))</f>
        <v>OK</v>
      </c>
      <c r="CL278" s="160"/>
      <c r="CM278" s="162"/>
      <c r="CN278" s="167" t="str">
        <f t="shared" si="510"/>
        <v xml:space="preserve">  </v>
      </c>
      <c r="CO278" s="174" t="str">
        <f t="shared" si="492"/>
        <v>NG</v>
      </c>
      <c r="CP278" s="162"/>
      <c r="CQ278" s="276" t="str">
        <f>IF(OR(CM$8="判定対象外",CP$8="判定対象外",CP278="-"),"-",IF(CM278=CP278,"OK","NG"))</f>
        <v>OK</v>
      </c>
      <c r="CR278" s="160"/>
      <c r="CS278" s="162"/>
      <c r="CT278" s="167" t="str">
        <f t="shared" si="511"/>
        <v xml:space="preserve">  </v>
      </c>
      <c r="CU278" s="174" t="str">
        <f t="shared" si="493"/>
        <v>NG</v>
      </c>
      <c r="CV278" s="162"/>
      <c r="CW278" s="276" t="str">
        <f>IF(OR(CS$8="判定対象外",CV$8="判定対象外",CV278="-"),"-",IF(CS278=CV278,"OK","NG"))</f>
        <v>OK</v>
      </c>
      <c r="CX278" s="160"/>
      <c r="CY278" s="162"/>
      <c r="CZ278" s="167" t="str">
        <f t="shared" si="512"/>
        <v xml:space="preserve">  </v>
      </c>
      <c r="DA278" s="174" t="str">
        <f t="shared" si="494"/>
        <v>NG</v>
      </c>
      <c r="DB278" s="162"/>
      <c r="DC278" s="276" t="str">
        <f>IF(OR(CY$8="判定対象外",DB$8="判定対象外",DB278="-"),"-",IF(CY278=DB278,"OK","NG"))</f>
        <v>OK</v>
      </c>
      <c r="DD278" s="160"/>
      <c r="DE278" s="162"/>
      <c r="DF278" s="167" t="str">
        <f t="shared" si="513"/>
        <v xml:space="preserve">  </v>
      </c>
      <c r="DG278" s="174" t="str">
        <f t="shared" si="495"/>
        <v>NG</v>
      </c>
      <c r="DH278" s="162"/>
      <c r="DI278" s="276" t="str">
        <f>IF(OR(DE$8="判定対象外",DH$8="判定対象外",DH278="-"),"-",IF(DE278=DH278,"OK","NG"))</f>
        <v>OK</v>
      </c>
      <c r="DJ278" s="160"/>
      <c r="DK278" s="162"/>
      <c r="DL278" s="167" t="str">
        <f t="shared" si="514"/>
        <v xml:space="preserve">  </v>
      </c>
      <c r="DM278" s="174" t="str">
        <f t="shared" si="496"/>
        <v>NG</v>
      </c>
      <c r="DN278" s="162"/>
      <c r="DO278" s="276" t="str">
        <f>IF(OR(DK$8="判定対象外",DN$8="判定対象外",DN278="-"),"-",IF(DK278=DN278,"OK","NG"))</f>
        <v>OK</v>
      </c>
      <c r="DP278" s="160"/>
      <c r="DQ278" s="162"/>
      <c r="DR278" s="167" t="str">
        <f t="shared" si="515"/>
        <v xml:space="preserve">  </v>
      </c>
      <c r="DS278" s="174" t="str">
        <f t="shared" si="473"/>
        <v>NG</v>
      </c>
      <c r="DT278" s="162"/>
      <c r="DU278" s="276" t="str">
        <f>IF(OR(DQ$8="判定対象外",DT$8="判定対象外",DT278="-"),"-",IF(DQ278=DT278,"OK","NG"))</f>
        <v>OK</v>
      </c>
      <c r="DV278" s="160"/>
      <c r="DW278" s="162"/>
      <c r="DX278" s="167" t="str">
        <f t="shared" si="516"/>
        <v xml:space="preserve">  </v>
      </c>
      <c r="DY278" s="174" t="str">
        <f t="shared" si="474"/>
        <v>NG</v>
      </c>
      <c r="DZ278" s="162"/>
      <c r="EA278" s="276" t="str">
        <f>IF(OR(DW$8="判定対象外",DZ$8="判定対象外",DZ278="-"),"-",IF(DW278=DZ278,"OK","NG"))</f>
        <v>OK</v>
      </c>
      <c r="EB278" s="160"/>
      <c r="EC278" s="162"/>
      <c r="ED278" s="167" t="str">
        <f t="shared" si="517"/>
        <v xml:space="preserve">  </v>
      </c>
      <c r="EE278" s="174" t="str">
        <f t="shared" si="475"/>
        <v>NG</v>
      </c>
      <c r="EF278" s="162"/>
      <c r="EG278" s="276" t="str">
        <f>IF(OR(EC$8="判定対象外",EF$8="判定対象外",EF278="-"),"-",IF(EC278=EF278,"OK","NG"))</f>
        <v>OK</v>
      </c>
      <c r="EH278" s="160"/>
      <c r="EI278" s="162"/>
      <c r="EJ278" s="167" t="str">
        <f t="shared" si="518"/>
        <v xml:space="preserve">  </v>
      </c>
      <c r="EK278" s="174" t="str">
        <f t="shared" si="476"/>
        <v>NG</v>
      </c>
      <c r="EL278" s="162"/>
      <c r="EM278" s="276" t="str">
        <f>IF(OR(EI$8="判定対象外",EL$8="判定対象外",EL278="-"),"-",IF(EI278=EL278,"OK","NG"))</f>
        <v>OK</v>
      </c>
      <c r="EN278" s="160"/>
      <c r="EO278" s="162"/>
      <c r="EP278" s="167" t="str">
        <f t="shared" si="519"/>
        <v xml:space="preserve">  </v>
      </c>
      <c r="EQ278" s="174" t="str">
        <f t="shared" si="477"/>
        <v>NG</v>
      </c>
      <c r="ER278" s="162"/>
      <c r="ES278" s="276" t="str">
        <f>IF(OR(EO$8="判定対象外",ER$8="判定対象外",ER278="-"),"-",IF(EO278=ER278,"OK","NG"))</f>
        <v>OK</v>
      </c>
      <c r="ET278" s="160"/>
      <c r="EU278" s="162"/>
      <c r="EV278" s="167" t="str">
        <f t="shared" si="520"/>
        <v xml:space="preserve">  </v>
      </c>
      <c r="EW278" s="174" t="str">
        <f t="shared" si="478"/>
        <v>NG</v>
      </c>
      <c r="EX278" s="162"/>
      <c r="EY278" s="276" t="str">
        <f>IF(OR(EU$8="判定対象外",EX$8="判定対象外",EX278="-"),"-",IF(EU278=EX278,"OK","NG"))</f>
        <v>OK</v>
      </c>
      <c r="EZ278" s="160"/>
      <c r="FA278" s="162"/>
      <c r="FB278" s="167" t="str">
        <f t="shared" si="521"/>
        <v xml:space="preserve">  </v>
      </c>
      <c r="FC278" s="174" t="str">
        <f t="shared" si="479"/>
        <v>NG</v>
      </c>
      <c r="FD278" s="162"/>
      <c r="FE278" s="276" t="str">
        <f>IF(OR(FA$8="判定対象外",FD$8="判定対象外",FD278="-"),"-",IF(FA278=FD278,"OK","NG"))</f>
        <v>OK</v>
      </c>
      <c r="FF278" s="160"/>
      <c r="FG278" s="162"/>
      <c r="FH278" s="167" t="str">
        <f t="shared" si="522"/>
        <v xml:space="preserve">  </v>
      </c>
      <c r="FI278" s="174" t="str">
        <f t="shared" si="480"/>
        <v>NG</v>
      </c>
      <c r="FJ278" s="162"/>
      <c r="FK278" s="276" t="str">
        <f>IF(OR(FG$8="判定対象外",FJ$8="判定対象外",FJ278="-"),"-",IF(FG278=FJ278,"OK","NG"))</f>
        <v>OK</v>
      </c>
      <c r="FL278" s="160"/>
      <c r="FM278" s="162"/>
      <c r="FN278" s="167" t="str">
        <f t="shared" si="523"/>
        <v xml:space="preserve">  </v>
      </c>
      <c r="FO278" s="174" t="str">
        <f t="shared" si="497"/>
        <v>NG</v>
      </c>
      <c r="FP278" s="162"/>
      <c r="FQ278" s="276" t="str">
        <f>IF(OR(FM$8="判定対象外",FP$8="判定対象外",FP278="-"),"-",IF(FM278=FP278,"OK","NG"))</f>
        <v>OK</v>
      </c>
      <c r="FR278" s="160"/>
      <c r="FS278" s="162"/>
      <c r="FT278" s="167" t="str">
        <f t="shared" si="524"/>
        <v xml:space="preserve">  </v>
      </c>
      <c r="FU278" s="174" t="str">
        <f t="shared" si="498"/>
        <v>NG</v>
      </c>
      <c r="FV278" s="162"/>
      <c r="FW278" s="276" t="str">
        <f>IF(OR(FS$8="判定対象外",FV$8="判定対象外",FV278="-"),"-",IF(FS278=FV278,"OK","NG"))</f>
        <v>OK</v>
      </c>
      <c r="FX278" s="160"/>
      <c r="FY278" s="162"/>
      <c r="FZ278" s="167" t="str">
        <f t="shared" si="525"/>
        <v xml:space="preserve">  </v>
      </c>
      <c r="GA278" s="174" t="str">
        <f t="shared" si="499"/>
        <v>NG</v>
      </c>
      <c r="GB278" s="162"/>
      <c r="GC278" s="276" t="str">
        <f>IF(OR(FY$8="判定対象外",GB$8="判定対象外",GB278="-"),"-",IF(FY278=GB278,"OK","NG"))</f>
        <v>OK</v>
      </c>
    </row>
    <row r="279" spans="1:185" s="52" customFormat="1" ht="344.25">
      <c r="B279" s="48">
        <f t="shared" ref="B279:B342" si="527">ROW()-7</f>
        <v>272</v>
      </c>
      <c r="C279" s="37"/>
      <c r="D279" s="37"/>
      <c r="E279" s="37"/>
      <c r="F279" s="188" t="s">
        <v>320</v>
      </c>
      <c r="G279" s="39"/>
      <c r="H279" s="40"/>
      <c r="I279" s="42"/>
      <c r="J279" s="42" t="s">
        <v>316</v>
      </c>
      <c r="K279" s="42"/>
      <c r="L279" s="42"/>
      <c r="M279" s="189" t="s">
        <v>321</v>
      </c>
      <c r="N279" s="63"/>
      <c r="O279" s="143"/>
      <c r="P279" s="45">
        <f>P278+1</f>
        <v>247</v>
      </c>
      <c r="Q279" s="46">
        <v>2</v>
      </c>
      <c r="R279" s="41" t="str">
        <f t="shared" si="526"/>
        <v>X</v>
      </c>
      <c r="S279" s="185" t="s">
        <v>100</v>
      </c>
      <c r="T279" s="43"/>
      <c r="U279" s="41" t="s">
        <v>80</v>
      </c>
      <c r="V279" s="44"/>
      <c r="W279" s="22">
        <v>3</v>
      </c>
      <c r="X279" s="47" t="s">
        <v>162</v>
      </c>
      <c r="Y279" s="47">
        <v>2</v>
      </c>
      <c r="Z279" s="47">
        <v>2</v>
      </c>
      <c r="AA279" s="42" t="s">
        <v>163</v>
      </c>
      <c r="AB279" s="42" t="s">
        <v>57</v>
      </c>
      <c r="AC279" s="166"/>
      <c r="AD279" s="160"/>
      <c r="AE279" s="162"/>
      <c r="AF279" s="167" t="str">
        <f t="shared" si="501"/>
        <v xml:space="preserve">  </v>
      </c>
      <c r="AG279" s="174" t="str">
        <f t="shared" si="483"/>
        <v>NG</v>
      </c>
      <c r="AH279" s="162"/>
      <c r="AI279" s="276" t="str">
        <f>IF(OR(AE$8="判定対象外",AH$8="判定対象外",AH279="-"),"-",IF(AE279=AH279,"OK","NG"))</f>
        <v>OK</v>
      </c>
      <c r="AJ279" s="160"/>
      <c r="AK279" s="162"/>
      <c r="AL279" s="167" t="str">
        <f t="shared" si="500"/>
        <v xml:space="preserve">  </v>
      </c>
      <c r="AM279" s="174" t="str">
        <f t="shared" ref="AM279:AM342" si="528">IF(OR(AK$8="判定対象外",AL$8="判定対象外",AL279="-"),"-",IF(AK279=AL279,"OK","NG"))</f>
        <v>NG</v>
      </c>
      <c r="AN279" s="162"/>
      <c r="AO279" s="276" t="str">
        <f>IF(OR(AK$8="判定対象外",AN$8="判定対象外",AN279="-"),"-",IF(AK279=AN279,"OK","NG"))</f>
        <v>OK</v>
      </c>
      <c r="AP279" s="160"/>
      <c r="AQ279" s="162"/>
      <c r="AR279" s="167" t="str">
        <f t="shared" si="502"/>
        <v xml:space="preserve">  </v>
      </c>
      <c r="AS279" s="174" t="str">
        <f t="shared" si="484"/>
        <v>NG</v>
      </c>
      <c r="AT279" s="162"/>
      <c r="AU279" s="276" t="str">
        <f>IF(OR(AQ$8="判定対象外",AT$8="判定対象外",AT279="-"),"-",IF(AQ279=AT279,"OK","NG"))</f>
        <v>OK</v>
      </c>
      <c r="AV279" s="160"/>
      <c r="AW279" s="162"/>
      <c r="AX279" s="167" t="str">
        <f t="shared" si="503"/>
        <v xml:space="preserve">  </v>
      </c>
      <c r="AY279" s="174" t="str">
        <f t="shared" si="485"/>
        <v>NG</v>
      </c>
      <c r="AZ279" s="162"/>
      <c r="BA279" s="276" t="str">
        <f>IF(OR(AW$8="判定対象外",AZ$8="判定対象外",AZ279="-"),"-",IF(AW279=AZ279,"OK","NG"))</f>
        <v>OK</v>
      </c>
      <c r="BB279" s="160"/>
      <c r="BC279" s="162"/>
      <c r="BD279" s="167" t="str">
        <f t="shared" si="504"/>
        <v xml:space="preserve">  </v>
      </c>
      <c r="BE279" s="174" t="str">
        <f t="shared" si="486"/>
        <v>NG</v>
      </c>
      <c r="BF279" s="162"/>
      <c r="BG279" s="276" t="str">
        <f>IF(OR(BC$8="判定対象外",BF$8="判定対象外",BF279="-"),"-",IF(BC279=BF279,"OK","NG"))</f>
        <v>OK</v>
      </c>
      <c r="BH279" s="160"/>
      <c r="BI279" s="162"/>
      <c r="BJ279" s="167" t="str">
        <f t="shared" si="505"/>
        <v xml:space="preserve">  </v>
      </c>
      <c r="BK279" s="174" t="str">
        <f t="shared" si="487"/>
        <v>NG</v>
      </c>
      <c r="BL279" s="162"/>
      <c r="BM279" s="276" t="str">
        <f>IF(OR(BI$8="判定対象外",BL$8="判定対象外",BL279="-"),"-",IF(BI279=BL279,"OK","NG"))</f>
        <v>OK</v>
      </c>
      <c r="BN279" s="160"/>
      <c r="BO279" s="162"/>
      <c r="BP279" s="167" t="str">
        <f t="shared" si="506"/>
        <v xml:space="preserve">  </v>
      </c>
      <c r="BQ279" s="174" t="str">
        <f t="shared" si="488"/>
        <v>NG</v>
      </c>
      <c r="BR279" s="162"/>
      <c r="BS279" s="276" t="str">
        <f>IF(OR(BO$8="判定対象外",BR$8="判定対象外",BR279="-"),"-",IF(BO279=BR279,"OK","NG"))</f>
        <v>OK</v>
      </c>
      <c r="BT279" s="160"/>
      <c r="BU279" s="162"/>
      <c r="BV279" s="167" t="str">
        <f t="shared" si="507"/>
        <v xml:space="preserve">  </v>
      </c>
      <c r="BW279" s="174" t="str">
        <f t="shared" si="489"/>
        <v>NG</v>
      </c>
      <c r="BX279" s="162"/>
      <c r="BY279" s="276" t="str">
        <f>IF(OR(BU$8="判定対象外",BX$8="判定対象外",BX279="-"),"-",IF(BU279=BX279,"OK","NG"))</f>
        <v>OK</v>
      </c>
      <c r="BZ279" s="160"/>
      <c r="CA279" s="162"/>
      <c r="CB279" s="167" t="str">
        <f t="shared" si="508"/>
        <v xml:space="preserve">  </v>
      </c>
      <c r="CC279" s="174" t="str">
        <f t="shared" si="490"/>
        <v>NG</v>
      </c>
      <c r="CD279" s="162"/>
      <c r="CE279" s="276" t="str">
        <f>IF(OR(CA$8="判定対象外",CD$8="判定対象外",CD279="-"),"-",IF(CA279=CD279,"OK","NG"))</f>
        <v>OK</v>
      </c>
      <c r="CF279" s="160"/>
      <c r="CG279" s="162"/>
      <c r="CH279" s="167" t="str">
        <f t="shared" si="509"/>
        <v xml:space="preserve">  </v>
      </c>
      <c r="CI279" s="174" t="str">
        <f t="shared" si="491"/>
        <v>NG</v>
      </c>
      <c r="CJ279" s="162"/>
      <c r="CK279" s="276" t="str">
        <f>IF(OR(CG$8="判定対象外",CJ$8="判定対象外",CJ279="-"),"-",IF(CG279=CJ279,"OK","NG"))</f>
        <v>OK</v>
      </c>
      <c r="CL279" s="160"/>
      <c r="CM279" s="162"/>
      <c r="CN279" s="167" t="str">
        <f t="shared" si="510"/>
        <v xml:space="preserve">  </v>
      </c>
      <c r="CO279" s="174" t="str">
        <f t="shared" si="492"/>
        <v>NG</v>
      </c>
      <c r="CP279" s="162"/>
      <c r="CQ279" s="276" t="str">
        <f>IF(OR(CM$8="判定対象外",CP$8="判定対象外",CP279="-"),"-",IF(CM279=CP279,"OK","NG"))</f>
        <v>OK</v>
      </c>
      <c r="CR279" s="160"/>
      <c r="CS279" s="162"/>
      <c r="CT279" s="167" t="str">
        <f t="shared" si="511"/>
        <v xml:space="preserve">  </v>
      </c>
      <c r="CU279" s="174" t="str">
        <f t="shared" si="493"/>
        <v>NG</v>
      </c>
      <c r="CV279" s="162"/>
      <c r="CW279" s="276" t="str">
        <f>IF(OR(CS$8="判定対象外",CV$8="判定対象外",CV279="-"),"-",IF(CS279=CV279,"OK","NG"))</f>
        <v>OK</v>
      </c>
      <c r="CX279" s="160"/>
      <c r="CY279" s="162"/>
      <c r="CZ279" s="167" t="str">
        <f t="shared" si="512"/>
        <v xml:space="preserve">  </v>
      </c>
      <c r="DA279" s="174" t="str">
        <f t="shared" si="494"/>
        <v>NG</v>
      </c>
      <c r="DB279" s="162"/>
      <c r="DC279" s="276" t="str">
        <f>IF(OR(CY$8="判定対象外",DB$8="判定対象外",DB279="-"),"-",IF(CY279=DB279,"OK","NG"))</f>
        <v>OK</v>
      </c>
      <c r="DD279" s="160"/>
      <c r="DE279" s="162"/>
      <c r="DF279" s="167" t="str">
        <f t="shared" si="513"/>
        <v xml:space="preserve">  </v>
      </c>
      <c r="DG279" s="174" t="str">
        <f t="shared" si="495"/>
        <v>NG</v>
      </c>
      <c r="DH279" s="162"/>
      <c r="DI279" s="276" t="str">
        <f>IF(OR(DE$8="判定対象外",DH$8="判定対象外",DH279="-"),"-",IF(DE279=DH279,"OK","NG"))</f>
        <v>OK</v>
      </c>
      <c r="DJ279" s="160"/>
      <c r="DK279" s="162"/>
      <c r="DL279" s="167" t="str">
        <f t="shared" si="514"/>
        <v xml:space="preserve">  </v>
      </c>
      <c r="DM279" s="174" t="str">
        <f t="shared" si="496"/>
        <v>NG</v>
      </c>
      <c r="DN279" s="162"/>
      <c r="DO279" s="276" t="str">
        <f>IF(OR(DK$8="判定対象外",DN$8="判定対象外",DN279="-"),"-",IF(DK279=DN279,"OK","NG"))</f>
        <v>OK</v>
      </c>
      <c r="DP279" s="160"/>
      <c r="DQ279" s="162"/>
      <c r="DR279" s="167" t="str">
        <f t="shared" si="515"/>
        <v xml:space="preserve">  </v>
      </c>
      <c r="DS279" s="174" t="str">
        <f t="shared" si="473"/>
        <v>NG</v>
      </c>
      <c r="DT279" s="162"/>
      <c r="DU279" s="276" t="str">
        <f>IF(OR(DQ$8="判定対象外",DT$8="判定対象外",DT279="-"),"-",IF(DQ279=DT279,"OK","NG"))</f>
        <v>OK</v>
      </c>
      <c r="DV279" s="160"/>
      <c r="DW279" s="162"/>
      <c r="DX279" s="167" t="str">
        <f t="shared" si="516"/>
        <v xml:space="preserve">  </v>
      </c>
      <c r="DY279" s="174" t="str">
        <f t="shared" si="474"/>
        <v>NG</v>
      </c>
      <c r="DZ279" s="162"/>
      <c r="EA279" s="276" t="str">
        <f>IF(OR(DW$8="判定対象外",DZ$8="判定対象外",DZ279="-"),"-",IF(DW279=DZ279,"OK","NG"))</f>
        <v>OK</v>
      </c>
      <c r="EB279" s="160"/>
      <c r="EC279" s="162"/>
      <c r="ED279" s="167" t="str">
        <f t="shared" si="517"/>
        <v xml:space="preserve">  </v>
      </c>
      <c r="EE279" s="174" t="str">
        <f t="shared" si="475"/>
        <v>NG</v>
      </c>
      <c r="EF279" s="162"/>
      <c r="EG279" s="276" t="str">
        <f>IF(OR(EC$8="判定対象外",EF$8="判定対象外",EF279="-"),"-",IF(EC279=EF279,"OK","NG"))</f>
        <v>OK</v>
      </c>
      <c r="EH279" s="160"/>
      <c r="EI279" s="162"/>
      <c r="EJ279" s="167" t="str">
        <f t="shared" si="518"/>
        <v xml:space="preserve">  </v>
      </c>
      <c r="EK279" s="174" t="str">
        <f t="shared" si="476"/>
        <v>NG</v>
      </c>
      <c r="EL279" s="162"/>
      <c r="EM279" s="276" t="str">
        <f>IF(OR(EI$8="判定対象外",EL$8="判定対象外",EL279="-"),"-",IF(EI279=EL279,"OK","NG"))</f>
        <v>OK</v>
      </c>
      <c r="EN279" s="160"/>
      <c r="EO279" s="162"/>
      <c r="EP279" s="167" t="str">
        <f t="shared" si="519"/>
        <v xml:space="preserve">  </v>
      </c>
      <c r="EQ279" s="174" t="str">
        <f t="shared" si="477"/>
        <v>NG</v>
      </c>
      <c r="ER279" s="162"/>
      <c r="ES279" s="276" t="str">
        <f>IF(OR(EO$8="判定対象外",ER$8="判定対象外",ER279="-"),"-",IF(EO279=ER279,"OK","NG"))</f>
        <v>OK</v>
      </c>
      <c r="ET279" s="160"/>
      <c r="EU279" s="162"/>
      <c r="EV279" s="167" t="str">
        <f t="shared" si="520"/>
        <v xml:space="preserve">  </v>
      </c>
      <c r="EW279" s="174" t="str">
        <f t="shared" si="478"/>
        <v>NG</v>
      </c>
      <c r="EX279" s="162"/>
      <c r="EY279" s="276" t="str">
        <f>IF(OR(EU$8="判定対象外",EX$8="判定対象外",EX279="-"),"-",IF(EU279=EX279,"OK","NG"))</f>
        <v>OK</v>
      </c>
      <c r="EZ279" s="160"/>
      <c r="FA279" s="162"/>
      <c r="FB279" s="167" t="str">
        <f t="shared" si="521"/>
        <v xml:space="preserve">  </v>
      </c>
      <c r="FC279" s="174" t="str">
        <f t="shared" si="479"/>
        <v>NG</v>
      </c>
      <c r="FD279" s="162"/>
      <c r="FE279" s="276" t="str">
        <f>IF(OR(FA$8="判定対象外",FD$8="判定対象外",FD279="-"),"-",IF(FA279=FD279,"OK","NG"))</f>
        <v>OK</v>
      </c>
      <c r="FF279" s="160"/>
      <c r="FG279" s="162"/>
      <c r="FH279" s="167" t="str">
        <f t="shared" si="522"/>
        <v xml:space="preserve">  </v>
      </c>
      <c r="FI279" s="174" t="str">
        <f t="shared" si="480"/>
        <v>NG</v>
      </c>
      <c r="FJ279" s="162"/>
      <c r="FK279" s="276" t="str">
        <f>IF(OR(FG$8="判定対象外",FJ$8="判定対象外",FJ279="-"),"-",IF(FG279=FJ279,"OK","NG"))</f>
        <v>OK</v>
      </c>
      <c r="FL279" s="160"/>
      <c r="FM279" s="162"/>
      <c r="FN279" s="167" t="str">
        <f t="shared" si="523"/>
        <v xml:space="preserve">  </v>
      </c>
      <c r="FO279" s="174" t="str">
        <f t="shared" si="497"/>
        <v>NG</v>
      </c>
      <c r="FP279" s="162"/>
      <c r="FQ279" s="276" t="str">
        <f>IF(OR(FM$8="判定対象外",FP$8="判定対象外",FP279="-"),"-",IF(FM279=FP279,"OK","NG"))</f>
        <v>OK</v>
      </c>
      <c r="FR279" s="160"/>
      <c r="FS279" s="162"/>
      <c r="FT279" s="167" t="str">
        <f t="shared" si="524"/>
        <v xml:space="preserve">  </v>
      </c>
      <c r="FU279" s="174" t="str">
        <f t="shared" si="498"/>
        <v>NG</v>
      </c>
      <c r="FV279" s="162"/>
      <c r="FW279" s="276" t="str">
        <f>IF(OR(FS$8="判定対象外",FV$8="判定対象外",FV279="-"),"-",IF(FS279=FV279,"OK","NG"))</f>
        <v>OK</v>
      </c>
      <c r="FX279" s="160"/>
      <c r="FY279" s="162"/>
      <c r="FZ279" s="167" t="str">
        <f t="shared" si="525"/>
        <v xml:space="preserve">  </v>
      </c>
      <c r="GA279" s="174" t="str">
        <f t="shared" si="499"/>
        <v>NG</v>
      </c>
      <c r="GB279" s="162"/>
      <c r="GC279" s="276" t="str">
        <f>IF(OR(FY$8="判定対象外",GB$8="判定対象外",GB279="-"),"-",IF(FY279=GB279,"OK","NG"))</f>
        <v>OK</v>
      </c>
    </row>
    <row r="280" spans="1:185" s="52" customFormat="1">
      <c r="B280" s="48">
        <f t="shared" si="527"/>
        <v>273</v>
      </c>
      <c r="C280" s="37"/>
      <c r="D280" s="37"/>
      <c r="E280" s="37"/>
      <c r="F280" s="49" t="s">
        <v>322</v>
      </c>
      <c r="G280" s="39"/>
      <c r="H280" s="40"/>
      <c r="I280" s="42"/>
      <c r="J280" s="42"/>
      <c r="K280" s="42"/>
      <c r="L280" s="42"/>
      <c r="M280" s="213" t="s">
        <v>323</v>
      </c>
      <c r="N280" s="63"/>
      <c r="O280" s="143"/>
      <c r="P280" s="45">
        <f t="shared" ref="P280:P306" si="529">P279+1</f>
        <v>248</v>
      </c>
      <c r="Q280" s="46">
        <v>2</v>
      </c>
      <c r="R280" s="41" t="str">
        <f t="shared" si="526"/>
        <v>X</v>
      </c>
      <c r="S280" s="185" t="s">
        <v>190</v>
      </c>
      <c r="T280" s="43"/>
      <c r="U280" s="41" t="s">
        <v>80</v>
      </c>
      <c r="V280" s="44"/>
      <c r="W280" s="22">
        <v>3</v>
      </c>
      <c r="X280" s="47" t="s">
        <v>191</v>
      </c>
      <c r="Y280" s="47">
        <v>2</v>
      </c>
      <c r="Z280" s="47">
        <v>2</v>
      </c>
      <c r="AA280" s="42" t="s">
        <v>163</v>
      </c>
      <c r="AB280" s="42" t="s">
        <v>57</v>
      </c>
      <c r="AC280" s="166"/>
      <c r="AD280" s="160"/>
      <c r="AE280" s="141"/>
      <c r="AF280" s="203" t="str">
        <f t="shared" si="501"/>
        <v xml:space="preserve">  </v>
      </c>
      <c r="AG280" s="174" t="str">
        <f t="shared" si="483"/>
        <v>NG</v>
      </c>
      <c r="AH280" s="141"/>
      <c r="AI280" s="172" t="s">
        <v>71</v>
      </c>
      <c r="AJ280" s="160"/>
      <c r="AK280" s="141"/>
      <c r="AL280" s="203" t="str">
        <f t="shared" si="500"/>
        <v xml:space="preserve">  </v>
      </c>
      <c r="AM280" s="174" t="str">
        <f t="shared" si="528"/>
        <v>NG</v>
      </c>
      <c r="AN280" s="141"/>
      <c r="AO280" s="172" t="s">
        <v>71</v>
      </c>
      <c r="AP280" s="160"/>
      <c r="AQ280" s="141"/>
      <c r="AR280" s="203" t="str">
        <f t="shared" si="502"/>
        <v xml:space="preserve">  </v>
      </c>
      <c r="AS280" s="174" t="str">
        <f t="shared" si="484"/>
        <v>NG</v>
      </c>
      <c r="AT280" s="141"/>
      <c r="AU280" s="172" t="s">
        <v>71</v>
      </c>
      <c r="AV280" s="160"/>
      <c r="AW280" s="141"/>
      <c r="AX280" s="203" t="str">
        <f t="shared" si="503"/>
        <v xml:space="preserve">  </v>
      </c>
      <c r="AY280" s="174" t="str">
        <f t="shared" si="485"/>
        <v>NG</v>
      </c>
      <c r="AZ280" s="141"/>
      <c r="BA280" s="172" t="s">
        <v>71</v>
      </c>
      <c r="BB280" s="160"/>
      <c r="BC280" s="141"/>
      <c r="BD280" s="203" t="str">
        <f t="shared" si="504"/>
        <v xml:space="preserve">  </v>
      </c>
      <c r="BE280" s="174" t="str">
        <f t="shared" si="486"/>
        <v>NG</v>
      </c>
      <c r="BF280" s="141"/>
      <c r="BG280" s="172" t="s">
        <v>71</v>
      </c>
      <c r="BH280" s="160"/>
      <c r="BI280" s="141"/>
      <c r="BJ280" s="203" t="str">
        <f t="shared" si="505"/>
        <v xml:space="preserve">  </v>
      </c>
      <c r="BK280" s="174" t="str">
        <f t="shared" si="487"/>
        <v>NG</v>
      </c>
      <c r="BL280" s="141"/>
      <c r="BM280" s="172" t="s">
        <v>71</v>
      </c>
      <c r="BN280" s="160"/>
      <c r="BO280" s="141"/>
      <c r="BP280" s="203" t="str">
        <f t="shared" si="506"/>
        <v xml:space="preserve">  </v>
      </c>
      <c r="BQ280" s="174" t="str">
        <f t="shared" si="488"/>
        <v>NG</v>
      </c>
      <c r="BR280" s="141"/>
      <c r="BS280" s="172" t="s">
        <v>71</v>
      </c>
      <c r="BT280" s="160"/>
      <c r="BU280" s="141"/>
      <c r="BV280" s="203" t="str">
        <f t="shared" si="507"/>
        <v xml:space="preserve">  </v>
      </c>
      <c r="BW280" s="174" t="str">
        <f t="shared" si="489"/>
        <v>NG</v>
      </c>
      <c r="BX280" s="141"/>
      <c r="BY280" s="172" t="s">
        <v>71</v>
      </c>
      <c r="BZ280" s="160"/>
      <c r="CA280" s="141"/>
      <c r="CB280" s="203" t="str">
        <f t="shared" si="508"/>
        <v xml:space="preserve">  </v>
      </c>
      <c r="CC280" s="174" t="str">
        <f t="shared" si="490"/>
        <v>NG</v>
      </c>
      <c r="CD280" s="141"/>
      <c r="CE280" s="172" t="s">
        <v>71</v>
      </c>
      <c r="CF280" s="160"/>
      <c r="CG280" s="141"/>
      <c r="CH280" s="203" t="str">
        <f t="shared" si="509"/>
        <v xml:space="preserve">  </v>
      </c>
      <c r="CI280" s="174" t="str">
        <f t="shared" si="491"/>
        <v>NG</v>
      </c>
      <c r="CJ280" s="141"/>
      <c r="CK280" s="172" t="s">
        <v>71</v>
      </c>
      <c r="CL280" s="160"/>
      <c r="CM280" s="141"/>
      <c r="CN280" s="203" t="str">
        <f t="shared" si="510"/>
        <v xml:space="preserve">  </v>
      </c>
      <c r="CO280" s="174" t="str">
        <f t="shared" si="492"/>
        <v>NG</v>
      </c>
      <c r="CP280" s="141"/>
      <c r="CQ280" s="172" t="s">
        <v>71</v>
      </c>
      <c r="CR280" s="160"/>
      <c r="CS280" s="141"/>
      <c r="CT280" s="203" t="str">
        <f t="shared" si="511"/>
        <v xml:space="preserve">  </v>
      </c>
      <c r="CU280" s="174" t="str">
        <f t="shared" si="493"/>
        <v>NG</v>
      </c>
      <c r="CV280" s="141"/>
      <c r="CW280" s="172" t="s">
        <v>71</v>
      </c>
      <c r="CX280" s="160"/>
      <c r="CY280" s="141"/>
      <c r="CZ280" s="203" t="str">
        <f t="shared" si="512"/>
        <v xml:space="preserve">  </v>
      </c>
      <c r="DA280" s="174" t="str">
        <f t="shared" si="494"/>
        <v>NG</v>
      </c>
      <c r="DB280" s="141"/>
      <c r="DC280" s="172" t="s">
        <v>71</v>
      </c>
      <c r="DD280" s="160"/>
      <c r="DE280" s="141"/>
      <c r="DF280" s="203" t="str">
        <f t="shared" si="513"/>
        <v xml:space="preserve">  </v>
      </c>
      <c r="DG280" s="174" t="str">
        <f t="shared" si="495"/>
        <v>NG</v>
      </c>
      <c r="DH280" s="141"/>
      <c r="DI280" s="172" t="s">
        <v>71</v>
      </c>
      <c r="DJ280" s="160"/>
      <c r="DK280" s="141"/>
      <c r="DL280" s="203" t="str">
        <f t="shared" si="514"/>
        <v xml:space="preserve">  </v>
      </c>
      <c r="DM280" s="174" t="str">
        <f t="shared" si="496"/>
        <v>NG</v>
      </c>
      <c r="DN280" s="141"/>
      <c r="DO280" s="172" t="s">
        <v>71</v>
      </c>
      <c r="DP280" s="160"/>
      <c r="DQ280" s="141"/>
      <c r="DR280" s="203" t="str">
        <f t="shared" si="515"/>
        <v xml:space="preserve">  </v>
      </c>
      <c r="DS280" s="174" t="str">
        <f t="shared" si="473"/>
        <v>NG</v>
      </c>
      <c r="DT280" s="141"/>
      <c r="DU280" s="172" t="s">
        <v>71</v>
      </c>
      <c r="DV280" s="160"/>
      <c r="DW280" s="141"/>
      <c r="DX280" s="203" t="str">
        <f t="shared" si="516"/>
        <v xml:space="preserve">  </v>
      </c>
      <c r="DY280" s="174" t="str">
        <f t="shared" si="474"/>
        <v>NG</v>
      </c>
      <c r="DZ280" s="141"/>
      <c r="EA280" s="172" t="s">
        <v>71</v>
      </c>
      <c r="EB280" s="160"/>
      <c r="EC280" s="141"/>
      <c r="ED280" s="203" t="str">
        <f t="shared" si="517"/>
        <v xml:space="preserve">  </v>
      </c>
      <c r="EE280" s="174" t="str">
        <f t="shared" si="475"/>
        <v>NG</v>
      </c>
      <c r="EF280" s="141"/>
      <c r="EG280" s="172" t="s">
        <v>71</v>
      </c>
      <c r="EH280" s="160"/>
      <c r="EI280" s="141"/>
      <c r="EJ280" s="203" t="str">
        <f t="shared" si="518"/>
        <v xml:space="preserve">  </v>
      </c>
      <c r="EK280" s="174" t="str">
        <f t="shared" si="476"/>
        <v>NG</v>
      </c>
      <c r="EL280" s="141"/>
      <c r="EM280" s="172" t="s">
        <v>71</v>
      </c>
      <c r="EN280" s="160"/>
      <c r="EO280" s="141"/>
      <c r="EP280" s="203" t="str">
        <f t="shared" si="519"/>
        <v xml:space="preserve">  </v>
      </c>
      <c r="EQ280" s="174" t="str">
        <f t="shared" si="477"/>
        <v>NG</v>
      </c>
      <c r="ER280" s="141"/>
      <c r="ES280" s="172" t="s">
        <v>71</v>
      </c>
      <c r="ET280" s="160"/>
      <c r="EU280" s="141"/>
      <c r="EV280" s="203" t="str">
        <f t="shared" si="520"/>
        <v xml:space="preserve">  </v>
      </c>
      <c r="EW280" s="174" t="str">
        <f t="shared" si="478"/>
        <v>NG</v>
      </c>
      <c r="EX280" s="141"/>
      <c r="EY280" s="172" t="s">
        <v>71</v>
      </c>
      <c r="EZ280" s="160"/>
      <c r="FA280" s="141"/>
      <c r="FB280" s="203" t="str">
        <f t="shared" si="521"/>
        <v xml:space="preserve">  </v>
      </c>
      <c r="FC280" s="174" t="str">
        <f t="shared" si="479"/>
        <v>NG</v>
      </c>
      <c r="FD280" s="141"/>
      <c r="FE280" s="172" t="s">
        <v>71</v>
      </c>
      <c r="FF280" s="160"/>
      <c r="FG280" s="141"/>
      <c r="FH280" s="203" t="str">
        <f t="shared" si="522"/>
        <v xml:space="preserve">  </v>
      </c>
      <c r="FI280" s="174" t="str">
        <f t="shared" si="480"/>
        <v>NG</v>
      </c>
      <c r="FJ280" s="141"/>
      <c r="FK280" s="172" t="s">
        <v>71</v>
      </c>
      <c r="FL280" s="160"/>
      <c r="FM280" s="141"/>
      <c r="FN280" s="203" t="str">
        <f t="shared" si="523"/>
        <v xml:space="preserve">  </v>
      </c>
      <c r="FO280" s="174" t="str">
        <f t="shared" si="497"/>
        <v>NG</v>
      </c>
      <c r="FP280" s="141"/>
      <c r="FQ280" s="172" t="s">
        <v>71</v>
      </c>
      <c r="FR280" s="160"/>
      <c r="FS280" s="141"/>
      <c r="FT280" s="203" t="str">
        <f t="shared" si="524"/>
        <v xml:space="preserve">  </v>
      </c>
      <c r="FU280" s="174" t="str">
        <f t="shared" si="498"/>
        <v>NG</v>
      </c>
      <c r="FV280" s="141"/>
      <c r="FW280" s="172" t="s">
        <v>71</v>
      </c>
      <c r="FX280" s="160"/>
      <c r="FY280" s="141"/>
      <c r="FZ280" s="203" t="str">
        <f t="shared" si="525"/>
        <v xml:space="preserve">  </v>
      </c>
      <c r="GA280" s="174" t="str">
        <f t="shared" si="499"/>
        <v>NG</v>
      </c>
      <c r="GB280" s="141"/>
      <c r="GC280" s="172" t="s">
        <v>71</v>
      </c>
    </row>
    <row r="281" spans="1:185" s="52" customFormat="1">
      <c r="B281" s="48">
        <f t="shared" si="527"/>
        <v>274</v>
      </c>
      <c r="C281" s="37"/>
      <c r="D281" s="37"/>
      <c r="E281" s="37"/>
      <c r="F281" s="49" t="s">
        <v>192</v>
      </c>
      <c r="G281" s="39"/>
      <c r="H281" s="40"/>
      <c r="I281" s="42"/>
      <c r="J281" s="42" t="s">
        <v>316</v>
      </c>
      <c r="K281" s="42"/>
      <c r="L281" s="42"/>
      <c r="M281" s="47" t="s">
        <v>324</v>
      </c>
      <c r="N281" s="47"/>
      <c r="O281" s="143"/>
      <c r="P281" s="45">
        <f t="shared" si="529"/>
        <v>249</v>
      </c>
      <c r="Q281" s="46">
        <v>255</v>
      </c>
      <c r="R281" s="41" t="str">
        <f t="shared" si="526"/>
        <v>NX</v>
      </c>
      <c r="S281" s="185" t="s">
        <v>193</v>
      </c>
      <c r="T281" s="43"/>
      <c r="U281" s="41" t="s">
        <v>80</v>
      </c>
      <c r="V281" s="44"/>
      <c r="W281" s="22">
        <v>3</v>
      </c>
      <c r="X281" s="47" t="s">
        <v>194</v>
      </c>
      <c r="Y281" s="47">
        <v>1</v>
      </c>
      <c r="Z281" s="47">
        <v>255</v>
      </c>
      <c r="AA281" s="42" t="s">
        <v>195</v>
      </c>
      <c r="AB281" s="42" t="s">
        <v>57</v>
      </c>
      <c r="AC281" s="166"/>
      <c r="AD281" s="160"/>
      <c r="AE281" s="162"/>
      <c r="AF281" s="204" t="str">
        <f t="shared" si="501"/>
        <v xml:space="preserve">                                                                                                                                                                                                                                                               </v>
      </c>
      <c r="AG281" s="174" t="str">
        <f t="shared" si="483"/>
        <v>NG</v>
      </c>
      <c r="AH281" s="162"/>
      <c r="AI281" s="276" t="str">
        <f>IF(OR(AE$8="判定対象外",AH$8="判定対象外",AH281="-"),"-",IF(AE281=AH281,"OK","NG"))</f>
        <v>OK</v>
      </c>
      <c r="AJ281" s="160"/>
      <c r="AK281" s="162"/>
      <c r="AL281" s="204" t="str">
        <f t="shared" si="500"/>
        <v xml:space="preserve">                                                                                                                                                                                                                                                               </v>
      </c>
      <c r="AM281" s="174" t="str">
        <f t="shared" si="528"/>
        <v>NG</v>
      </c>
      <c r="AN281" s="162"/>
      <c r="AO281" s="276" t="str">
        <f>IF(OR(AK$8="判定対象外",AN$8="判定対象外",AN281="-"),"-",IF(AK281=AN281,"OK","NG"))</f>
        <v>OK</v>
      </c>
      <c r="AP281" s="160"/>
      <c r="AQ281" s="162"/>
      <c r="AR281" s="204" t="str">
        <f t="shared" si="502"/>
        <v xml:space="preserve">                                                                                                                                                                                                                                                               </v>
      </c>
      <c r="AS281" s="174" t="str">
        <f t="shared" si="484"/>
        <v>NG</v>
      </c>
      <c r="AT281" s="162"/>
      <c r="AU281" s="276" t="str">
        <f>IF(OR(AQ$8="判定対象外",AT$8="判定対象外",AT281="-"),"-",IF(AQ281=AT281,"OK","NG"))</f>
        <v>OK</v>
      </c>
      <c r="AV281" s="160"/>
      <c r="AW281" s="162"/>
      <c r="AX281" s="204" t="str">
        <f t="shared" si="503"/>
        <v xml:space="preserve">                                                                                                                                                                                                                                                               </v>
      </c>
      <c r="AY281" s="174" t="str">
        <f t="shared" si="485"/>
        <v>NG</v>
      </c>
      <c r="AZ281" s="162"/>
      <c r="BA281" s="276" t="str">
        <f>IF(OR(AW$8="判定対象外",AZ$8="判定対象外",AZ281="-"),"-",IF(AW281=AZ281,"OK","NG"))</f>
        <v>OK</v>
      </c>
      <c r="BB281" s="160"/>
      <c r="BC281" s="162"/>
      <c r="BD281" s="204" t="str">
        <f t="shared" si="504"/>
        <v xml:space="preserve">                                                                                                                                                                                                                                                               </v>
      </c>
      <c r="BE281" s="174" t="str">
        <f t="shared" si="486"/>
        <v>NG</v>
      </c>
      <c r="BF281" s="162"/>
      <c r="BG281" s="276" t="str">
        <f>IF(OR(BC$8="判定対象外",BF$8="判定対象外",BF281="-"),"-",IF(BC281=BF281,"OK","NG"))</f>
        <v>OK</v>
      </c>
      <c r="BH281" s="160"/>
      <c r="BI281" s="162"/>
      <c r="BJ281" s="204" t="str">
        <f t="shared" si="505"/>
        <v xml:space="preserve">                                                                                                                                                                                                                                                               </v>
      </c>
      <c r="BK281" s="174" t="str">
        <f t="shared" si="487"/>
        <v>NG</v>
      </c>
      <c r="BL281" s="162"/>
      <c r="BM281" s="276" t="str">
        <f>IF(OR(BI$8="判定対象外",BL$8="判定対象外",BL281="-"),"-",IF(BI281=BL281,"OK","NG"))</f>
        <v>OK</v>
      </c>
      <c r="BN281" s="160"/>
      <c r="BO281" s="162"/>
      <c r="BP281" s="204" t="str">
        <f t="shared" si="506"/>
        <v xml:space="preserve">                                                                                                                                                                                                                                                               </v>
      </c>
      <c r="BQ281" s="174" t="str">
        <f t="shared" si="488"/>
        <v>NG</v>
      </c>
      <c r="BR281" s="162"/>
      <c r="BS281" s="276" t="str">
        <f>IF(OR(BO$8="判定対象外",BR$8="判定対象外",BR281="-"),"-",IF(BO281=BR281,"OK","NG"))</f>
        <v>OK</v>
      </c>
      <c r="BT281" s="160"/>
      <c r="BU281" s="162"/>
      <c r="BV281" s="204" t="str">
        <f t="shared" si="507"/>
        <v xml:space="preserve">                                                                                                                                                                                                                                                               </v>
      </c>
      <c r="BW281" s="174" t="str">
        <f t="shared" si="489"/>
        <v>NG</v>
      </c>
      <c r="BX281" s="162"/>
      <c r="BY281" s="276" t="str">
        <f>IF(OR(BU$8="判定対象外",BX$8="判定対象外",BX281="-"),"-",IF(BU281=BX281,"OK","NG"))</f>
        <v>OK</v>
      </c>
      <c r="BZ281" s="160"/>
      <c r="CA281" s="162"/>
      <c r="CB281" s="204" t="str">
        <f t="shared" si="508"/>
        <v xml:space="preserve">                                                                                                                                                                                                                                                               </v>
      </c>
      <c r="CC281" s="174" t="str">
        <f t="shared" si="490"/>
        <v>NG</v>
      </c>
      <c r="CD281" s="162"/>
      <c r="CE281" s="276" t="str">
        <f>IF(OR(CA$8="判定対象外",CD$8="判定対象外",CD281="-"),"-",IF(CA281=CD281,"OK","NG"))</f>
        <v>OK</v>
      </c>
      <c r="CF281" s="160"/>
      <c r="CG281" s="162"/>
      <c r="CH281" s="204" t="str">
        <f t="shared" si="509"/>
        <v xml:space="preserve">                                                                                                                                                                                                                                                               </v>
      </c>
      <c r="CI281" s="174" t="str">
        <f t="shared" si="491"/>
        <v>NG</v>
      </c>
      <c r="CJ281" s="162"/>
      <c r="CK281" s="276" t="str">
        <f>IF(OR(CG$8="判定対象外",CJ$8="判定対象外",CJ281="-"),"-",IF(CG281=CJ281,"OK","NG"))</f>
        <v>OK</v>
      </c>
      <c r="CL281" s="160"/>
      <c r="CM281" s="162"/>
      <c r="CN281" s="204" t="str">
        <f t="shared" si="510"/>
        <v xml:space="preserve">                                                                                                                                                                                                                                                               </v>
      </c>
      <c r="CO281" s="174" t="str">
        <f t="shared" si="492"/>
        <v>NG</v>
      </c>
      <c r="CP281" s="162"/>
      <c r="CQ281" s="276" t="str">
        <f>IF(OR(CM$8="判定対象外",CP$8="判定対象外",CP281="-"),"-",IF(CM281=CP281,"OK","NG"))</f>
        <v>OK</v>
      </c>
      <c r="CR281" s="160"/>
      <c r="CS281" s="162"/>
      <c r="CT281" s="204" t="str">
        <f t="shared" si="511"/>
        <v xml:space="preserve">                                                                                                                                                                                                                                                               </v>
      </c>
      <c r="CU281" s="174" t="str">
        <f t="shared" si="493"/>
        <v>NG</v>
      </c>
      <c r="CV281" s="162"/>
      <c r="CW281" s="276" t="str">
        <f>IF(OR(CS$8="判定対象外",CV$8="判定対象外",CV281="-"),"-",IF(CS281=CV281,"OK","NG"))</f>
        <v>OK</v>
      </c>
      <c r="CX281" s="160"/>
      <c r="CY281" s="162"/>
      <c r="CZ281" s="204" t="str">
        <f t="shared" si="512"/>
        <v xml:space="preserve">                                                                                                                                                                                                                                                               </v>
      </c>
      <c r="DA281" s="174" t="str">
        <f t="shared" si="494"/>
        <v>NG</v>
      </c>
      <c r="DB281" s="162"/>
      <c r="DC281" s="276" t="str">
        <f>IF(OR(CY$8="判定対象外",DB$8="判定対象外",DB281="-"),"-",IF(CY281=DB281,"OK","NG"))</f>
        <v>OK</v>
      </c>
      <c r="DD281" s="160"/>
      <c r="DE281" s="162"/>
      <c r="DF281" s="204" t="str">
        <f t="shared" si="513"/>
        <v xml:space="preserve">                                                                                                                                                                                                                                                               </v>
      </c>
      <c r="DG281" s="174" t="str">
        <f t="shared" si="495"/>
        <v>NG</v>
      </c>
      <c r="DH281" s="162"/>
      <c r="DI281" s="276" t="str">
        <f>IF(OR(DE$8="判定対象外",DH$8="判定対象外",DH281="-"),"-",IF(DE281=DH281,"OK","NG"))</f>
        <v>OK</v>
      </c>
      <c r="DJ281" s="160"/>
      <c r="DK281" s="162"/>
      <c r="DL281" s="204" t="str">
        <f t="shared" si="514"/>
        <v xml:space="preserve">                                                                                                                                                                                                                                                               </v>
      </c>
      <c r="DM281" s="174" t="str">
        <f t="shared" si="496"/>
        <v>NG</v>
      </c>
      <c r="DN281" s="162"/>
      <c r="DO281" s="276" t="str">
        <f>IF(OR(DK$8="判定対象外",DN$8="判定対象外",DN281="-"),"-",IF(DK281=DN281,"OK","NG"))</f>
        <v>OK</v>
      </c>
      <c r="DP281" s="160"/>
      <c r="DQ281" s="162"/>
      <c r="DR281" s="204" t="str">
        <f t="shared" si="515"/>
        <v xml:space="preserve">                                                                                                                                                                                                                                                               </v>
      </c>
      <c r="DS281" s="174" t="str">
        <f t="shared" si="473"/>
        <v>NG</v>
      </c>
      <c r="DT281" s="162"/>
      <c r="DU281" s="276" t="str">
        <f>IF(OR(DQ$8="判定対象外",DT$8="判定対象外",DT281="-"),"-",IF(DQ281=DT281,"OK","NG"))</f>
        <v>OK</v>
      </c>
      <c r="DV281" s="160"/>
      <c r="DW281" s="162"/>
      <c r="DX281" s="204" t="str">
        <f t="shared" si="516"/>
        <v xml:space="preserve">                                                                                                                                                                                                                                                               </v>
      </c>
      <c r="DY281" s="174" t="str">
        <f t="shared" si="474"/>
        <v>NG</v>
      </c>
      <c r="DZ281" s="162"/>
      <c r="EA281" s="276" t="str">
        <f>IF(OR(DW$8="判定対象外",DZ$8="判定対象外",DZ281="-"),"-",IF(DW281=DZ281,"OK","NG"))</f>
        <v>OK</v>
      </c>
      <c r="EB281" s="160"/>
      <c r="EC281" s="162"/>
      <c r="ED281" s="204" t="str">
        <f t="shared" si="517"/>
        <v xml:space="preserve">                                                                                                                                                                                                                                                               </v>
      </c>
      <c r="EE281" s="174" t="str">
        <f t="shared" si="475"/>
        <v>NG</v>
      </c>
      <c r="EF281" s="162"/>
      <c r="EG281" s="276" t="str">
        <f>IF(OR(EC$8="判定対象外",EF$8="判定対象外",EF281="-"),"-",IF(EC281=EF281,"OK","NG"))</f>
        <v>OK</v>
      </c>
      <c r="EH281" s="160"/>
      <c r="EI281" s="162"/>
      <c r="EJ281" s="204" t="str">
        <f t="shared" si="518"/>
        <v xml:space="preserve">                                                                                                                                                                                                                                                               </v>
      </c>
      <c r="EK281" s="174" t="str">
        <f t="shared" si="476"/>
        <v>NG</v>
      </c>
      <c r="EL281" s="162"/>
      <c r="EM281" s="276" t="str">
        <f>IF(OR(EI$8="判定対象外",EL$8="判定対象外",EL281="-"),"-",IF(EI281=EL281,"OK","NG"))</f>
        <v>OK</v>
      </c>
      <c r="EN281" s="160"/>
      <c r="EO281" s="162"/>
      <c r="EP281" s="204" t="str">
        <f t="shared" si="519"/>
        <v xml:space="preserve">                                                                                                                                                                                                                                                               </v>
      </c>
      <c r="EQ281" s="174" t="str">
        <f t="shared" si="477"/>
        <v>NG</v>
      </c>
      <c r="ER281" s="162"/>
      <c r="ES281" s="276" t="str">
        <f>IF(OR(EO$8="判定対象外",ER$8="判定対象外",ER281="-"),"-",IF(EO281=ER281,"OK","NG"))</f>
        <v>OK</v>
      </c>
      <c r="ET281" s="160"/>
      <c r="EU281" s="162"/>
      <c r="EV281" s="204" t="str">
        <f t="shared" si="520"/>
        <v xml:space="preserve">                                                                                                                                                                                                                                                               </v>
      </c>
      <c r="EW281" s="174" t="str">
        <f t="shared" si="478"/>
        <v>NG</v>
      </c>
      <c r="EX281" s="162"/>
      <c r="EY281" s="276" t="str">
        <f>IF(OR(EU$8="判定対象外",EX$8="判定対象外",EX281="-"),"-",IF(EU281=EX281,"OK","NG"))</f>
        <v>OK</v>
      </c>
      <c r="EZ281" s="160"/>
      <c r="FA281" s="162"/>
      <c r="FB281" s="204" t="str">
        <f t="shared" si="521"/>
        <v xml:space="preserve">                                                                                                                                                                                                                                                               </v>
      </c>
      <c r="FC281" s="174" t="str">
        <f t="shared" si="479"/>
        <v>NG</v>
      </c>
      <c r="FD281" s="162"/>
      <c r="FE281" s="276" t="str">
        <f>IF(OR(FA$8="判定対象外",FD$8="判定対象外",FD281="-"),"-",IF(FA281=FD281,"OK","NG"))</f>
        <v>OK</v>
      </c>
      <c r="FF281" s="160"/>
      <c r="FG281" s="162"/>
      <c r="FH281" s="204" t="str">
        <f t="shared" si="522"/>
        <v xml:space="preserve">                                                                                                                                                                                                                                                               </v>
      </c>
      <c r="FI281" s="174" t="str">
        <f t="shared" si="480"/>
        <v>NG</v>
      </c>
      <c r="FJ281" s="162"/>
      <c r="FK281" s="276" t="str">
        <f>IF(OR(FG$8="判定対象外",FJ$8="判定対象外",FJ281="-"),"-",IF(FG281=FJ281,"OK","NG"))</f>
        <v>OK</v>
      </c>
      <c r="FL281" s="160"/>
      <c r="FM281" s="162"/>
      <c r="FN281" s="204" t="str">
        <f t="shared" si="523"/>
        <v xml:space="preserve">                                                                                                                                                                                                                                                               </v>
      </c>
      <c r="FO281" s="174" t="str">
        <f t="shared" si="497"/>
        <v>NG</v>
      </c>
      <c r="FP281" s="162"/>
      <c r="FQ281" s="276" t="str">
        <f>IF(OR(FM$8="判定対象外",FP$8="判定対象外",FP281="-"),"-",IF(FM281=FP281,"OK","NG"))</f>
        <v>OK</v>
      </c>
      <c r="FR281" s="160"/>
      <c r="FS281" s="162"/>
      <c r="FT281" s="204" t="str">
        <f t="shared" si="524"/>
        <v xml:space="preserve">                                                                                                                                                                                                                                                               </v>
      </c>
      <c r="FU281" s="174" t="str">
        <f t="shared" si="498"/>
        <v>NG</v>
      </c>
      <c r="FV281" s="162"/>
      <c r="FW281" s="276" t="str">
        <f>IF(OR(FS$8="判定対象外",FV$8="判定対象外",FV281="-"),"-",IF(FS281=FV281,"OK","NG"))</f>
        <v>OK</v>
      </c>
      <c r="FX281" s="160"/>
      <c r="FY281" s="162"/>
      <c r="FZ281" s="204" t="str">
        <f t="shared" si="525"/>
        <v xml:space="preserve">                                                                                                                                                                                                                                                               </v>
      </c>
      <c r="GA281" s="174" t="str">
        <f t="shared" si="499"/>
        <v>NG</v>
      </c>
      <c r="GB281" s="162"/>
      <c r="GC281" s="276" t="str">
        <f>IF(OR(FY$8="判定対象外",GB$8="判定対象外",GB281="-"),"-",IF(FY281=GB281,"OK","NG"))</f>
        <v>OK</v>
      </c>
    </row>
    <row r="282" spans="1:185" s="52" customFormat="1">
      <c r="B282" s="53">
        <f t="shared" si="527"/>
        <v>275</v>
      </c>
      <c r="C282" s="37"/>
      <c r="D282" s="37"/>
      <c r="E282" s="37"/>
      <c r="F282" s="54" t="s">
        <v>325</v>
      </c>
      <c r="G282" s="54"/>
      <c r="H282" s="55"/>
      <c r="I282" s="57"/>
      <c r="J282" s="57"/>
      <c r="K282" s="57"/>
      <c r="L282" s="57"/>
      <c r="M282" s="58" t="s">
        <v>326</v>
      </c>
      <c r="N282" s="62"/>
      <c r="O282" s="150"/>
      <c r="P282" s="45">
        <f t="shared" si="529"/>
        <v>250</v>
      </c>
      <c r="Q282" s="60">
        <v>256</v>
      </c>
      <c r="R282" s="41" t="str">
        <f t="shared" si="526"/>
        <v>NX</v>
      </c>
      <c r="S282" s="185" t="s">
        <v>196</v>
      </c>
      <c r="T282" s="43"/>
      <c r="U282" s="41" t="s">
        <v>80</v>
      </c>
      <c r="V282" s="44"/>
      <c r="W282" s="61">
        <v>3</v>
      </c>
      <c r="X282" s="62" t="s">
        <v>197</v>
      </c>
      <c r="Y282" s="62">
        <v>1</v>
      </c>
      <c r="Z282" s="62">
        <v>256</v>
      </c>
      <c r="AA282" s="57" t="s">
        <v>101</v>
      </c>
      <c r="AB282" s="57" t="s">
        <v>80</v>
      </c>
      <c r="AC282" s="214"/>
      <c r="AD282" s="160"/>
      <c r="AE282" s="141"/>
      <c r="AF282" s="203" t="str">
        <f t="shared" si="501"/>
        <v xml:space="preserve">                                                                                                                                                                                                                                                                </v>
      </c>
      <c r="AG282" s="174" t="str">
        <f t="shared" si="483"/>
        <v>NG</v>
      </c>
      <c r="AH282" s="141"/>
      <c r="AI282" s="172" t="s">
        <v>71</v>
      </c>
      <c r="AJ282" s="160"/>
      <c r="AK282" s="141"/>
      <c r="AL282" s="203" t="str">
        <f t="shared" si="500"/>
        <v xml:space="preserve">                                                                                                                                                                                                                                                                </v>
      </c>
      <c r="AM282" s="174" t="str">
        <f t="shared" si="528"/>
        <v>NG</v>
      </c>
      <c r="AN282" s="141"/>
      <c r="AO282" s="172" t="s">
        <v>71</v>
      </c>
      <c r="AP282" s="160"/>
      <c r="AQ282" s="141"/>
      <c r="AR282" s="203" t="str">
        <f t="shared" si="502"/>
        <v xml:space="preserve">                                                                                                                                                                                                                                                                </v>
      </c>
      <c r="AS282" s="174" t="str">
        <f t="shared" si="484"/>
        <v>NG</v>
      </c>
      <c r="AT282" s="141"/>
      <c r="AU282" s="172" t="s">
        <v>71</v>
      </c>
      <c r="AV282" s="160"/>
      <c r="AW282" s="141"/>
      <c r="AX282" s="203" t="str">
        <f t="shared" si="503"/>
        <v xml:space="preserve">                                                                                                                                                                                                                                                                </v>
      </c>
      <c r="AY282" s="174" t="str">
        <f t="shared" si="485"/>
        <v>NG</v>
      </c>
      <c r="AZ282" s="141"/>
      <c r="BA282" s="172" t="s">
        <v>71</v>
      </c>
      <c r="BB282" s="160"/>
      <c r="BC282" s="141"/>
      <c r="BD282" s="203" t="str">
        <f t="shared" si="504"/>
        <v xml:space="preserve">                                                                                                                                                                                                                                                                </v>
      </c>
      <c r="BE282" s="174" t="str">
        <f t="shared" si="486"/>
        <v>NG</v>
      </c>
      <c r="BF282" s="141"/>
      <c r="BG282" s="172" t="s">
        <v>71</v>
      </c>
      <c r="BH282" s="160"/>
      <c r="BI282" s="141"/>
      <c r="BJ282" s="203" t="str">
        <f t="shared" si="505"/>
        <v xml:space="preserve">                                                                                                                                                                                                                                                                </v>
      </c>
      <c r="BK282" s="174" t="str">
        <f t="shared" si="487"/>
        <v>NG</v>
      </c>
      <c r="BL282" s="141"/>
      <c r="BM282" s="172" t="s">
        <v>71</v>
      </c>
      <c r="BN282" s="160"/>
      <c r="BO282" s="141"/>
      <c r="BP282" s="203" t="str">
        <f t="shared" si="506"/>
        <v xml:space="preserve">                                                                                                                                                                                                                                                                </v>
      </c>
      <c r="BQ282" s="174" t="str">
        <f t="shared" si="488"/>
        <v>NG</v>
      </c>
      <c r="BR282" s="141"/>
      <c r="BS282" s="172" t="s">
        <v>71</v>
      </c>
      <c r="BT282" s="160"/>
      <c r="BU282" s="141"/>
      <c r="BV282" s="203" t="str">
        <f t="shared" si="507"/>
        <v xml:space="preserve">                                                                                                                                                                                                                                                                </v>
      </c>
      <c r="BW282" s="174" t="str">
        <f t="shared" si="489"/>
        <v>NG</v>
      </c>
      <c r="BX282" s="141"/>
      <c r="BY282" s="172" t="s">
        <v>71</v>
      </c>
      <c r="BZ282" s="160"/>
      <c r="CA282" s="141"/>
      <c r="CB282" s="203" t="str">
        <f t="shared" si="508"/>
        <v xml:space="preserve">                                                                                                                                                                                                                                                                </v>
      </c>
      <c r="CC282" s="174" t="str">
        <f t="shared" si="490"/>
        <v>NG</v>
      </c>
      <c r="CD282" s="141"/>
      <c r="CE282" s="172" t="s">
        <v>71</v>
      </c>
      <c r="CF282" s="160"/>
      <c r="CG282" s="141"/>
      <c r="CH282" s="203" t="str">
        <f t="shared" si="509"/>
        <v xml:space="preserve">                                                                                                                                                                                                                                                                </v>
      </c>
      <c r="CI282" s="174" t="str">
        <f t="shared" si="491"/>
        <v>NG</v>
      </c>
      <c r="CJ282" s="141"/>
      <c r="CK282" s="172" t="s">
        <v>71</v>
      </c>
      <c r="CL282" s="160"/>
      <c r="CM282" s="141"/>
      <c r="CN282" s="203" t="str">
        <f t="shared" si="510"/>
        <v xml:space="preserve">                                                                                                                                                                                                                                                                </v>
      </c>
      <c r="CO282" s="174" t="str">
        <f t="shared" si="492"/>
        <v>NG</v>
      </c>
      <c r="CP282" s="141"/>
      <c r="CQ282" s="172" t="s">
        <v>71</v>
      </c>
      <c r="CR282" s="160"/>
      <c r="CS282" s="141"/>
      <c r="CT282" s="203" t="str">
        <f t="shared" si="511"/>
        <v xml:space="preserve">                                                                                                                                                                                                                                                                </v>
      </c>
      <c r="CU282" s="174" t="str">
        <f t="shared" si="493"/>
        <v>NG</v>
      </c>
      <c r="CV282" s="141"/>
      <c r="CW282" s="172" t="s">
        <v>71</v>
      </c>
      <c r="CX282" s="160"/>
      <c r="CY282" s="141"/>
      <c r="CZ282" s="203" t="str">
        <f t="shared" si="512"/>
        <v xml:space="preserve">                                                                                                                                                                                                                                                                </v>
      </c>
      <c r="DA282" s="174" t="str">
        <f t="shared" si="494"/>
        <v>NG</v>
      </c>
      <c r="DB282" s="141"/>
      <c r="DC282" s="172" t="s">
        <v>71</v>
      </c>
      <c r="DD282" s="160"/>
      <c r="DE282" s="141"/>
      <c r="DF282" s="203" t="str">
        <f t="shared" si="513"/>
        <v xml:space="preserve">                                                                                                                                                                                                                                                                </v>
      </c>
      <c r="DG282" s="174" t="str">
        <f t="shared" si="495"/>
        <v>NG</v>
      </c>
      <c r="DH282" s="141"/>
      <c r="DI282" s="172" t="s">
        <v>71</v>
      </c>
      <c r="DJ282" s="160"/>
      <c r="DK282" s="141"/>
      <c r="DL282" s="203" t="str">
        <f t="shared" si="514"/>
        <v xml:space="preserve">                                                                                                                                                                                                                                                                </v>
      </c>
      <c r="DM282" s="174" t="str">
        <f t="shared" si="496"/>
        <v>NG</v>
      </c>
      <c r="DN282" s="141"/>
      <c r="DO282" s="172" t="s">
        <v>71</v>
      </c>
      <c r="DP282" s="160"/>
      <c r="DQ282" s="141"/>
      <c r="DR282" s="203" t="str">
        <f t="shared" si="515"/>
        <v xml:space="preserve">                                                                                                                                                                                                                                                                </v>
      </c>
      <c r="DS282" s="174" t="str">
        <f t="shared" si="473"/>
        <v>NG</v>
      </c>
      <c r="DT282" s="141"/>
      <c r="DU282" s="172" t="s">
        <v>71</v>
      </c>
      <c r="DV282" s="160"/>
      <c r="DW282" s="141"/>
      <c r="DX282" s="203" t="str">
        <f t="shared" si="516"/>
        <v xml:space="preserve">                                                                                                                                                                                                                                                                </v>
      </c>
      <c r="DY282" s="174" t="str">
        <f t="shared" si="474"/>
        <v>NG</v>
      </c>
      <c r="DZ282" s="141"/>
      <c r="EA282" s="172" t="s">
        <v>71</v>
      </c>
      <c r="EB282" s="160"/>
      <c r="EC282" s="141"/>
      <c r="ED282" s="203" t="str">
        <f t="shared" si="517"/>
        <v xml:space="preserve">                                                                                                                                                                                                                                                                </v>
      </c>
      <c r="EE282" s="174" t="str">
        <f t="shared" si="475"/>
        <v>NG</v>
      </c>
      <c r="EF282" s="141"/>
      <c r="EG282" s="172" t="s">
        <v>71</v>
      </c>
      <c r="EH282" s="160"/>
      <c r="EI282" s="141"/>
      <c r="EJ282" s="203" t="str">
        <f t="shared" si="518"/>
        <v xml:space="preserve">                                                                                                                                                                                                                                                                </v>
      </c>
      <c r="EK282" s="174" t="str">
        <f t="shared" si="476"/>
        <v>NG</v>
      </c>
      <c r="EL282" s="141"/>
      <c r="EM282" s="172" t="s">
        <v>71</v>
      </c>
      <c r="EN282" s="160"/>
      <c r="EO282" s="141"/>
      <c r="EP282" s="203" t="str">
        <f t="shared" si="519"/>
        <v xml:space="preserve">                                                                                                                                                                                                                                                                </v>
      </c>
      <c r="EQ282" s="174" t="str">
        <f t="shared" si="477"/>
        <v>NG</v>
      </c>
      <c r="ER282" s="141"/>
      <c r="ES282" s="172" t="s">
        <v>71</v>
      </c>
      <c r="ET282" s="160"/>
      <c r="EU282" s="141"/>
      <c r="EV282" s="203" t="str">
        <f t="shared" si="520"/>
        <v xml:space="preserve">                                                                                                                                                                                                                                                                </v>
      </c>
      <c r="EW282" s="174" t="str">
        <f t="shared" si="478"/>
        <v>NG</v>
      </c>
      <c r="EX282" s="141"/>
      <c r="EY282" s="172" t="s">
        <v>71</v>
      </c>
      <c r="EZ282" s="160"/>
      <c r="FA282" s="141"/>
      <c r="FB282" s="203" t="str">
        <f t="shared" si="521"/>
        <v xml:space="preserve">                                                                                                                                                                                                                                                                </v>
      </c>
      <c r="FC282" s="174" t="str">
        <f t="shared" si="479"/>
        <v>NG</v>
      </c>
      <c r="FD282" s="141"/>
      <c r="FE282" s="172" t="s">
        <v>71</v>
      </c>
      <c r="FF282" s="160"/>
      <c r="FG282" s="141"/>
      <c r="FH282" s="203" t="str">
        <f t="shared" si="522"/>
        <v xml:space="preserve">                                                                                                                                                                                                                                                                </v>
      </c>
      <c r="FI282" s="174" t="str">
        <f t="shared" si="480"/>
        <v>NG</v>
      </c>
      <c r="FJ282" s="141"/>
      <c r="FK282" s="172" t="s">
        <v>71</v>
      </c>
      <c r="FL282" s="160"/>
      <c r="FM282" s="141"/>
      <c r="FN282" s="203" t="str">
        <f t="shared" si="523"/>
        <v xml:space="preserve">                                                                                                                                                                                                                                                                </v>
      </c>
      <c r="FO282" s="174" t="str">
        <f t="shared" si="497"/>
        <v>NG</v>
      </c>
      <c r="FP282" s="141"/>
      <c r="FQ282" s="172" t="s">
        <v>71</v>
      </c>
      <c r="FR282" s="160"/>
      <c r="FS282" s="141"/>
      <c r="FT282" s="203" t="str">
        <f t="shared" si="524"/>
        <v xml:space="preserve">                                                                                                                                                                                                                                                                </v>
      </c>
      <c r="FU282" s="174" t="str">
        <f t="shared" si="498"/>
        <v>NG</v>
      </c>
      <c r="FV282" s="141"/>
      <c r="FW282" s="172" t="s">
        <v>71</v>
      </c>
      <c r="FX282" s="160"/>
      <c r="FY282" s="141"/>
      <c r="FZ282" s="203" t="str">
        <f t="shared" si="525"/>
        <v xml:space="preserve">                                                                                                                                                                                                                                                                </v>
      </c>
      <c r="GA282" s="174" t="str">
        <f t="shared" si="499"/>
        <v>NG</v>
      </c>
      <c r="GB282" s="141"/>
      <c r="GC282" s="172" t="s">
        <v>71</v>
      </c>
    </row>
    <row r="283" spans="1:185" s="52" customFormat="1" ht="63.75">
      <c r="B283" s="48">
        <f t="shared" si="527"/>
        <v>276</v>
      </c>
      <c r="C283" s="37"/>
      <c r="D283" s="37"/>
      <c r="E283" s="37"/>
      <c r="F283" s="49" t="s">
        <v>198</v>
      </c>
      <c r="G283" s="39"/>
      <c r="H283" s="40"/>
      <c r="I283" s="42"/>
      <c r="J283" s="42"/>
      <c r="K283" s="42"/>
      <c r="L283" s="42"/>
      <c r="M283" s="63" t="s">
        <v>327</v>
      </c>
      <c r="N283" s="47"/>
      <c r="O283" s="143"/>
      <c r="P283" s="45">
        <f t="shared" si="529"/>
        <v>251</v>
      </c>
      <c r="Q283" s="46">
        <v>256</v>
      </c>
      <c r="R283" s="41" t="str">
        <f t="shared" si="526"/>
        <v>NX</v>
      </c>
      <c r="S283" s="185" t="s">
        <v>199</v>
      </c>
      <c r="T283" s="43"/>
      <c r="U283" s="41" t="s">
        <v>80</v>
      </c>
      <c r="V283" s="44"/>
      <c r="W283" s="22">
        <v>3</v>
      </c>
      <c r="X283" s="47" t="s">
        <v>200</v>
      </c>
      <c r="Y283" s="47">
        <v>1</v>
      </c>
      <c r="Z283" s="47">
        <v>256</v>
      </c>
      <c r="AA283" s="42" t="s">
        <v>195</v>
      </c>
      <c r="AB283" s="42" t="s">
        <v>80</v>
      </c>
      <c r="AC283" s="166"/>
      <c r="AD283" s="160"/>
      <c r="AE283" s="162"/>
      <c r="AF283" s="167" t="str">
        <f t="shared" si="501"/>
        <v xml:space="preserve">                                                                                                                                                                                                                                                                </v>
      </c>
      <c r="AG283" s="174" t="str">
        <f t="shared" si="483"/>
        <v>NG</v>
      </c>
      <c r="AH283" s="162"/>
      <c r="AI283" s="172" t="s">
        <v>71</v>
      </c>
      <c r="AJ283" s="160"/>
      <c r="AK283" s="162"/>
      <c r="AL283" s="167" t="str">
        <f t="shared" si="500"/>
        <v xml:space="preserve">                                                                                                                                                                                                                                                                </v>
      </c>
      <c r="AM283" s="174" t="str">
        <f t="shared" si="528"/>
        <v>NG</v>
      </c>
      <c r="AN283" s="162"/>
      <c r="AO283" s="172" t="s">
        <v>71</v>
      </c>
      <c r="AP283" s="160"/>
      <c r="AQ283" s="162"/>
      <c r="AR283" s="167" t="str">
        <f t="shared" si="502"/>
        <v xml:space="preserve">                                                                                                                                                                                                                                                                </v>
      </c>
      <c r="AS283" s="174" t="str">
        <f t="shared" si="484"/>
        <v>NG</v>
      </c>
      <c r="AT283" s="162"/>
      <c r="AU283" s="172" t="s">
        <v>71</v>
      </c>
      <c r="AV283" s="160"/>
      <c r="AW283" s="162"/>
      <c r="AX283" s="167" t="str">
        <f t="shared" si="503"/>
        <v xml:space="preserve">                                                                                                                                                                                                                                                                </v>
      </c>
      <c r="AY283" s="174" t="str">
        <f t="shared" si="485"/>
        <v>NG</v>
      </c>
      <c r="AZ283" s="162"/>
      <c r="BA283" s="172" t="s">
        <v>71</v>
      </c>
      <c r="BB283" s="160"/>
      <c r="BC283" s="162"/>
      <c r="BD283" s="167" t="str">
        <f t="shared" si="504"/>
        <v xml:space="preserve">                                                                                                                                                                                                                                                                </v>
      </c>
      <c r="BE283" s="174" t="str">
        <f t="shared" si="486"/>
        <v>NG</v>
      </c>
      <c r="BF283" s="162"/>
      <c r="BG283" s="172" t="s">
        <v>71</v>
      </c>
      <c r="BH283" s="160"/>
      <c r="BI283" s="162"/>
      <c r="BJ283" s="167" t="str">
        <f t="shared" si="505"/>
        <v xml:space="preserve">                                                                                                                                                                                                                                                                </v>
      </c>
      <c r="BK283" s="174" t="str">
        <f t="shared" si="487"/>
        <v>NG</v>
      </c>
      <c r="BL283" s="162"/>
      <c r="BM283" s="172" t="s">
        <v>71</v>
      </c>
      <c r="BN283" s="160"/>
      <c r="BO283" s="162"/>
      <c r="BP283" s="167" t="str">
        <f t="shared" si="506"/>
        <v xml:space="preserve">                                                                                                                                                                                                                                                                </v>
      </c>
      <c r="BQ283" s="174" t="str">
        <f t="shared" si="488"/>
        <v>NG</v>
      </c>
      <c r="BR283" s="162"/>
      <c r="BS283" s="172" t="s">
        <v>71</v>
      </c>
      <c r="BT283" s="160"/>
      <c r="BU283" s="162"/>
      <c r="BV283" s="167" t="str">
        <f t="shared" si="507"/>
        <v xml:space="preserve">                                                                                                                                                                                                                                                                </v>
      </c>
      <c r="BW283" s="174" t="str">
        <f t="shared" si="489"/>
        <v>NG</v>
      </c>
      <c r="BX283" s="162"/>
      <c r="BY283" s="172" t="s">
        <v>71</v>
      </c>
      <c r="BZ283" s="160"/>
      <c r="CA283" s="162"/>
      <c r="CB283" s="167" t="str">
        <f t="shared" si="508"/>
        <v xml:space="preserve">                                                                                                                                                                                                                                                                </v>
      </c>
      <c r="CC283" s="174" t="str">
        <f t="shared" si="490"/>
        <v>NG</v>
      </c>
      <c r="CD283" s="162"/>
      <c r="CE283" s="172" t="s">
        <v>71</v>
      </c>
      <c r="CF283" s="160"/>
      <c r="CG283" s="162"/>
      <c r="CH283" s="167" t="str">
        <f t="shared" si="509"/>
        <v xml:space="preserve">                                                                                                                                                                                                                                                                </v>
      </c>
      <c r="CI283" s="174" t="str">
        <f t="shared" si="491"/>
        <v>NG</v>
      </c>
      <c r="CJ283" s="162"/>
      <c r="CK283" s="172" t="s">
        <v>71</v>
      </c>
      <c r="CL283" s="160"/>
      <c r="CM283" s="162"/>
      <c r="CN283" s="167" t="str">
        <f t="shared" si="510"/>
        <v xml:space="preserve">                                                                                                                                                                                                                                                                </v>
      </c>
      <c r="CO283" s="174" t="str">
        <f t="shared" si="492"/>
        <v>NG</v>
      </c>
      <c r="CP283" s="162"/>
      <c r="CQ283" s="172" t="s">
        <v>71</v>
      </c>
      <c r="CR283" s="160"/>
      <c r="CS283" s="162"/>
      <c r="CT283" s="167" t="str">
        <f t="shared" si="511"/>
        <v xml:space="preserve">                                                                                                                                                                                                                                                                </v>
      </c>
      <c r="CU283" s="174" t="str">
        <f t="shared" si="493"/>
        <v>NG</v>
      </c>
      <c r="CV283" s="162"/>
      <c r="CW283" s="172" t="s">
        <v>71</v>
      </c>
      <c r="CX283" s="160"/>
      <c r="CY283" s="162"/>
      <c r="CZ283" s="167" t="str">
        <f t="shared" si="512"/>
        <v xml:space="preserve">                                                                                                                                                                                                                                                                </v>
      </c>
      <c r="DA283" s="174" t="str">
        <f t="shared" si="494"/>
        <v>NG</v>
      </c>
      <c r="DB283" s="162"/>
      <c r="DC283" s="172" t="s">
        <v>71</v>
      </c>
      <c r="DD283" s="160"/>
      <c r="DE283" s="162"/>
      <c r="DF283" s="167" t="str">
        <f t="shared" si="513"/>
        <v xml:space="preserve">                                                                                                                                                                                                                                                                </v>
      </c>
      <c r="DG283" s="174" t="str">
        <f t="shared" si="495"/>
        <v>NG</v>
      </c>
      <c r="DH283" s="162"/>
      <c r="DI283" s="172" t="s">
        <v>71</v>
      </c>
      <c r="DJ283" s="160"/>
      <c r="DK283" s="162"/>
      <c r="DL283" s="167" t="str">
        <f t="shared" si="514"/>
        <v xml:space="preserve">                                                                                                                                                                                                                                                                </v>
      </c>
      <c r="DM283" s="174" t="str">
        <f t="shared" si="496"/>
        <v>NG</v>
      </c>
      <c r="DN283" s="162"/>
      <c r="DO283" s="172" t="s">
        <v>71</v>
      </c>
      <c r="DP283" s="160"/>
      <c r="DQ283" s="162"/>
      <c r="DR283" s="167" t="str">
        <f t="shared" si="515"/>
        <v xml:space="preserve">                                                                                                                                                                                                                                                                </v>
      </c>
      <c r="DS283" s="174" t="str">
        <f t="shared" si="473"/>
        <v>NG</v>
      </c>
      <c r="DT283" s="162"/>
      <c r="DU283" s="172" t="s">
        <v>71</v>
      </c>
      <c r="DV283" s="160"/>
      <c r="DW283" s="162"/>
      <c r="DX283" s="167" t="str">
        <f t="shared" si="516"/>
        <v xml:space="preserve">                                                                                                                                                                                                                                                                </v>
      </c>
      <c r="DY283" s="174" t="str">
        <f t="shared" si="474"/>
        <v>NG</v>
      </c>
      <c r="DZ283" s="162"/>
      <c r="EA283" s="172" t="s">
        <v>71</v>
      </c>
      <c r="EB283" s="160"/>
      <c r="EC283" s="162"/>
      <c r="ED283" s="167" t="str">
        <f t="shared" si="517"/>
        <v xml:space="preserve">                                                                                                                                                                                                                                                                </v>
      </c>
      <c r="EE283" s="174" t="str">
        <f t="shared" si="475"/>
        <v>NG</v>
      </c>
      <c r="EF283" s="162"/>
      <c r="EG283" s="172" t="s">
        <v>71</v>
      </c>
      <c r="EH283" s="160"/>
      <c r="EI283" s="162"/>
      <c r="EJ283" s="167" t="str">
        <f t="shared" si="518"/>
        <v xml:space="preserve">                                                                                                                                                                                                                                                                </v>
      </c>
      <c r="EK283" s="174" t="str">
        <f t="shared" si="476"/>
        <v>NG</v>
      </c>
      <c r="EL283" s="162"/>
      <c r="EM283" s="172" t="s">
        <v>71</v>
      </c>
      <c r="EN283" s="160"/>
      <c r="EO283" s="162"/>
      <c r="EP283" s="167" t="str">
        <f t="shared" si="519"/>
        <v xml:space="preserve">                                                                                                                                                                                                                                                                </v>
      </c>
      <c r="EQ283" s="174" t="str">
        <f t="shared" si="477"/>
        <v>NG</v>
      </c>
      <c r="ER283" s="162"/>
      <c r="ES283" s="172" t="s">
        <v>71</v>
      </c>
      <c r="ET283" s="160"/>
      <c r="EU283" s="162"/>
      <c r="EV283" s="167" t="str">
        <f t="shared" si="520"/>
        <v xml:space="preserve">                                                                                                                                                                                                                                                                </v>
      </c>
      <c r="EW283" s="174" t="str">
        <f t="shared" si="478"/>
        <v>NG</v>
      </c>
      <c r="EX283" s="162"/>
      <c r="EY283" s="172" t="s">
        <v>71</v>
      </c>
      <c r="EZ283" s="160"/>
      <c r="FA283" s="162"/>
      <c r="FB283" s="167" t="str">
        <f t="shared" si="521"/>
        <v xml:space="preserve">                                                                                                                                                                                                                                                                </v>
      </c>
      <c r="FC283" s="174" t="str">
        <f t="shared" si="479"/>
        <v>NG</v>
      </c>
      <c r="FD283" s="162"/>
      <c r="FE283" s="172" t="s">
        <v>71</v>
      </c>
      <c r="FF283" s="160"/>
      <c r="FG283" s="162"/>
      <c r="FH283" s="167" t="str">
        <f t="shared" si="522"/>
        <v xml:space="preserve">                                                                                                                                                                                                                                                                </v>
      </c>
      <c r="FI283" s="174" t="str">
        <f t="shared" si="480"/>
        <v>NG</v>
      </c>
      <c r="FJ283" s="162"/>
      <c r="FK283" s="172" t="s">
        <v>71</v>
      </c>
      <c r="FL283" s="160"/>
      <c r="FM283" s="162"/>
      <c r="FN283" s="167" t="str">
        <f t="shared" si="523"/>
        <v xml:space="preserve">                                                                                                                                                                                                                                                                </v>
      </c>
      <c r="FO283" s="174" t="str">
        <f t="shared" si="497"/>
        <v>NG</v>
      </c>
      <c r="FP283" s="162"/>
      <c r="FQ283" s="172" t="s">
        <v>71</v>
      </c>
      <c r="FR283" s="160"/>
      <c r="FS283" s="162"/>
      <c r="FT283" s="167" t="str">
        <f t="shared" si="524"/>
        <v xml:space="preserve">                                                                                                                                                                                                                                                                </v>
      </c>
      <c r="FU283" s="174" t="str">
        <f t="shared" si="498"/>
        <v>NG</v>
      </c>
      <c r="FV283" s="162"/>
      <c r="FW283" s="172" t="s">
        <v>71</v>
      </c>
      <c r="FX283" s="160"/>
      <c r="FY283" s="162"/>
      <c r="FZ283" s="167" t="str">
        <f t="shared" si="525"/>
        <v xml:space="preserve">                                                                                                                                                                                                                                                                </v>
      </c>
      <c r="GA283" s="174" t="str">
        <f t="shared" si="499"/>
        <v>NG</v>
      </c>
      <c r="GB283" s="162"/>
      <c r="GC283" s="172" t="s">
        <v>71</v>
      </c>
    </row>
    <row r="284" spans="1:185" s="52" customFormat="1" ht="63.75">
      <c r="B284" s="48">
        <f t="shared" si="527"/>
        <v>277</v>
      </c>
      <c r="C284" s="37"/>
      <c r="D284" s="37"/>
      <c r="E284" s="37"/>
      <c r="F284" s="49" t="s">
        <v>201</v>
      </c>
      <c r="G284" s="39"/>
      <c r="H284" s="40"/>
      <c r="I284" s="42"/>
      <c r="J284" s="42"/>
      <c r="K284" s="42"/>
      <c r="L284" s="42"/>
      <c r="M284" s="63" t="s">
        <v>328</v>
      </c>
      <c r="N284" s="47"/>
      <c r="O284" s="143"/>
      <c r="P284" s="45">
        <f t="shared" si="529"/>
        <v>252</v>
      </c>
      <c r="Q284" s="46">
        <v>256</v>
      </c>
      <c r="R284" s="41" t="str">
        <f t="shared" si="526"/>
        <v>NX</v>
      </c>
      <c r="S284" s="185" t="s">
        <v>202</v>
      </c>
      <c r="T284" s="43"/>
      <c r="U284" s="41" t="s">
        <v>80</v>
      </c>
      <c r="V284" s="44"/>
      <c r="W284" s="22">
        <v>3</v>
      </c>
      <c r="X284" s="47" t="s">
        <v>203</v>
      </c>
      <c r="Y284" s="47">
        <v>1</v>
      </c>
      <c r="Z284" s="47">
        <v>256</v>
      </c>
      <c r="AA284" s="42" t="s">
        <v>195</v>
      </c>
      <c r="AB284" s="42" t="s">
        <v>80</v>
      </c>
      <c r="AC284" s="166"/>
      <c r="AD284" s="160"/>
      <c r="AE284" s="162"/>
      <c r="AF284" s="167" t="str">
        <f t="shared" si="501"/>
        <v xml:space="preserve">                                                                                                                                                                                                                                                                </v>
      </c>
      <c r="AG284" s="174" t="str">
        <f t="shared" si="483"/>
        <v>NG</v>
      </c>
      <c r="AH284" s="162"/>
      <c r="AI284" s="172" t="s">
        <v>71</v>
      </c>
      <c r="AJ284" s="160"/>
      <c r="AK284" s="162"/>
      <c r="AL284" s="167" t="str">
        <f t="shared" si="500"/>
        <v xml:space="preserve">                                                                                                                                                                                                                                                                </v>
      </c>
      <c r="AM284" s="174" t="str">
        <f t="shared" si="528"/>
        <v>NG</v>
      </c>
      <c r="AN284" s="162"/>
      <c r="AO284" s="172" t="s">
        <v>71</v>
      </c>
      <c r="AP284" s="160"/>
      <c r="AQ284" s="162"/>
      <c r="AR284" s="167" t="str">
        <f t="shared" si="502"/>
        <v xml:space="preserve">                                                                                                                                                                                                                                                                </v>
      </c>
      <c r="AS284" s="174" t="str">
        <f t="shared" si="484"/>
        <v>NG</v>
      </c>
      <c r="AT284" s="162"/>
      <c r="AU284" s="172" t="s">
        <v>71</v>
      </c>
      <c r="AV284" s="160"/>
      <c r="AW284" s="162"/>
      <c r="AX284" s="167" t="str">
        <f t="shared" si="503"/>
        <v xml:space="preserve">                                                                                                                                                                                                                                                                </v>
      </c>
      <c r="AY284" s="174" t="str">
        <f t="shared" si="485"/>
        <v>NG</v>
      </c>
      <c r="AZ284" s="162"/>
      <c r="BA284" s="172" t="s">
        <v>71</v>
      </c>
      <c r="BB284" s="160"/>
      <c r="BC284" s="162"/>
      <c r="BD284" s="167" t="str">
        <f t="shared" si="504"/>
        <v xml:space="preserve">                                                                                                                                                                                                                                                                </v>
      </c>
      <c r="BE284" s="174" t="str">
        <f t="shared" si="486"/>
        <v>NG</v>
      </c>
      <c r="BF284" s="162"/>
      <c r="BG284" s="172" t="s">
        <v>71</v>
      </c>
      <c r="BH284" s="160"/>
      <c r="BI284" s="162"/>
      <c r="BJ284" s="167" t="str">
        <f t="shared" si="505"/>
        <v xml:space="preserve">                                                                                                                                                                                                                                                                </v>
      </c>
      <c r="BK284" s="174" t="str">
        <f t="shared" si="487"/>
        <v>NG</v>
      </c>
      <c r="BL284" s="162"/>
      <c r="BM284" s="172" t="s">
        <v>71</v>
      </c>
      <c r="BN284" s="160"/>
      <c r="BO284" s="162"/>
      <c r="BP284" s="167" t="str">
        <f t="shared" si="506"/>
        <v xml:space="preserve">                                                                                                                                                                                                                                                                </v>
      </c>
      <c r="BQ284" s="174" t="str">
        <f t="shared" si="488"/>
        <v>NG</v>
      </c>
      <c r="BR284" s="162"/>
      <c r="BS284" s="172" t="s">
        <v>71</v>
      </c>
      <c r="BT284" s="160"/>
      <c r="BU284" s="162"/>
      <c r="BV284" s="167" t="str">
        <f t="shared" si="507"/>
        <v xml:space="preserve">                                                                                                                                                                                                                                                                </v>
      </c>
      <c r="BW284" s="174" t="str">
        <f t="shared" si="489"/>
        <v>NG</v>
      </c>
      <c r="BX284" s="162"/>
      <c r="BY284" s="172" t="s">
        <v>71</v>
      </c>
      <c r="BZ284" s="160"/>
      <c r="CA284" s="162"/>
      <c r="CB284" s="167" t="str">
        <f t="shared" si="508"/>
        <v xml:space="preserve">                                                                                                                                                                                                                                                                </v>
      </c>
      <c r="CC284" s="174" t="str">
        <f t="shared" si="490"/>
        <v>NG</v>
      </c>
      <c r="CD284" s="162"/>
      <c r="CE284" s="172" t="s">
        <v>71</v>
      </c>
      <c r="CF284" s="160"/>
      <c r="CG284" s="162"/>
      <c r="CH284" s="167" t="str">
        <f t="shared" si="509"/>
        <v xml:space="preserve">                                                                                                                                                                                                                                                                </v>
      </c>
      <c r="CI284" s="174" t="str">
        <f t="shared" si="491"/>
        <v>NG</v>
      </c>
      <c r="CJ284" s="162"/>
      <c r="CK284" s="172" t="s">
        <v>71</v>
      </c>
      <c r="CL284" s="160"/>
      <c r="CM284" s="162"/>
      <c r="CN284" s="167" t="str">
        <f t="shared" si="510"/>
        <v xml:space="preserve">                                                                                                                                                                                                                                                                </v>
      </c>
      <c r="CO284" s="174" t="str">
        <f t="shared" si="492"/>
        <v>NG</v>
      </c>
      <c r="CP284" s="162"/>
      <c r="CQ284" s="172" t="s">
        <v>71</v>
      </c>
      <c r="CR284" s="160"/>
      <c r="CS284" s="162"/>
      <c r="CT284" s="167" t="str">
        <f t="shared" si="511"/>
        <v xml:space="preserve">                                                                                                                                                                                                                                                                </v>
      </c>
      <c r="CU284" s="174" t="str">
        <f t="shared" si="493"/>
        <v>NG</v>
      </c>
      <c r="CV284" s="162"/>
      <c r="CW284" s="172" t="s">
        <v>71</v>
      </c>
      <c r="CX284" s="160"/>
      <c r="CY284" s="162"/>
      <c r="CZ284" s="167" t="str">
        <f t="shared" si="512"/>
        <v xml:space="preserve">                                                                                                                                                                                                                                                                </v>
      </c>
      <c r="DA284" s="174" t="str">
        <f t="shared" si="494"/>
        <v>NG</v>
      </c>
      <c r="DB284" s="162"/>
      <c r="DC284" s="172" t="s">
        <v>71</v>
      </c>
      <c r="DD284" s="160"/>
      <c r="DE284" s="162"/>
      <c r="DF284" s="167" t="str">
        <f t="shared" si="513"/>
        <v xml:space="preserve">                                                                                                                                                                                                                                                                </v>
      </c>
      <c r="DG284" s="174" t="str">
        <f t="shared" si="495"/>
        <v>NG</v>
      </c>
      <c r="DH284" s="162"/>
      <c r="DI284" s="172" t="s">
        <v>71</v>
      </c>
      <c r="DJ284" s="160"/>
      <c r="DK284" s="162"/>
      <c r="DL284" s="167" t="str">
        <f t="shared" si="514"/>
        <v xml:space="preserve">                                                                                                                                                                                                                                                                </v>
      </c>
      <c r="DM284" s="174" t="str">
        <f t="shared" si="496"/>
        <v>NG</v>
      </c>
      <c r="DN284" s="162"/>
      <c r="DO284" s="172" t="s">
        <v>71</v>
      </c>
      <c r="DP284" s="160"/>
      <c r="DQ284" s="162"/>
      <c r="DR284" s="167" t="str">
        <f t="shared" si="515"/>
        <v xml:space="preserve">                                                                                                                                                                                                                                                                </v>
      </c>
      <c r="DS284" s="174" t="str">
        <f t="shared" si="473"/>
        <v>NG</v>
      </c>
      <c r="DT284" s="162"/>
      <c r="DU284" s="172" t="s">
        <v>71</v>
      </c>
      <c r="DV284" s="160"/>
      <c r="DW284" s="162"/>
      <c r="DX284" s="167" t="str">
        <f t="shared" si="516"/>
        <v xml:space="preserve">                                                                                                                                                                                                                                                                </v>
      </c>
      <c r="DY284" s="174" t="str">
        <f t="shared" si="474"/>
        <v>NG</v>
      </c>
      <c r="DZ284" s="162"/>
      <c r="EA284" s="172" t="s">
        <v>71</v>
      </c>
      <c r="EB284" s="160"/>
      <c r="EC284" s="162"/>
      <c r="ED284" s="167" t="str">
        <f t="shared" si="517"/>
        <v xml:space="preserve">                                                                                                                                                                                                                                                                </v>
      </c>
      <c r="EE284" s="174" t="str">
        <f t="shared" si="475"/>
        <v>NG</v>
      </c>
      <c r="EF284" s="162"/>
      <c r="EG284" s="172" t="s">
        <v>71</v>
      </c>
      <c r="EH284" s="160"/>
      <c r="EI284" s="162"/>
      <c r="EJ284" s="167" t="str">
        <f t="shared" si="518"/>
        <v xml:space="preserve">                                                                                                                                                                                                                                                                </v>
      </c>
      <c r="EK284" s="174" t="str">
        <f t="shared" si="476"/>
        <v>NG</v>
      </c>
      <c r="EL284" s="162"/>
      <c r="EM284" s="172" t="s">
        <v>71</v>
      </c>
      <c r="EN284" s="160"/>
      <c r="EO284" s="162"/>
      <c r="EP284" s="167" t="str">
        <f t="shared" si="519"/>
        <v xml:space="preserve">                                                                                                                                                                                                                                                                </v>
      </c>
      <c r="EQ284" s="174" t="str">
        <f t="shared" si="477"/>
        <v>NG</v>
      </c>
      <c r="ER284" s="162"/>
      <c r="ES284" s="172" t="s">
        <v>71</v>
      </c>
      <c r="ET284" s="160"/>
      <c r="EU284" s="162"/>
      <c r="EV284" s="167" t="str">
        <f t="shared" si="520"/>
        <v xml:space="preserve">                                                                                                                                                                                                                                                                </v>
      </c>
      <c r="EW284" s="174" t="str">
        <f t="shared" si="478"/>
        <v>NG</v>
      </c>
      <c r="EX284" s="162"/>
      <c r="EY284" s="172" t="s">
        <v>71</v>
      </c>
      <c r="EZ284" s="160"/>
      <c r="FA284" s="162"/>
      <c r="FB284" s="167" t="str">
        <f t="shared" si="521"/>
        <v xml:space="preserve">                                                                                                                                                                                                                                                                </v>
      </c>
      <c r="FC284" s="174" t="str">
        <f t="shared" si="479"/>
        <v>NG</v>
      </c>
      <c r="FD284" s="162"/>
      <c r="FE284" s="172" t="s">
        <v>71</v>
      </c>
      <c r="FF284" s="160"/>
      <c r="FG284" s="162"/>
      <c r="FH284" s="167" t="str">
        <f t="shared" si="522"/>
        <v xml:space="preserve">                                                                                                                                                                                                                                                                </v>
      </c>
      <c r="FI284" s="174" t="str">
        <f t="shared" si="480"/>
        <v>NG</v>
      </c>
      <c r="FJ284" s="162"/>
      <c r="FK284" s="172" t="s">
        <v>71</v>
      </c>
      <c r="FL284" s="160"/>
      <c r="FM284" s="162"/>
      <c r="FN284" s="167" t="str">
        <f t="shared" si="523"/>
        <v xml:space="preserve">                                                                                                                                                                                                                                                                </v>
      </c>
      <c r="FO284" s="174" t="str">
        <f t="shared" si="497"/>
        <v>NG</v>
      </c>
      <c r="FP284" s="162"/>
      <c r="FQ284" s="172" t="s">
        <v>71</v>
      </c>
      <c r="FR284" s="160"/>
      <c r="FS284" s="162"/>
      <c r="FT284" s="167" t="str">
        <f t="shared" si="524"/>
        <v xml:space="preserve">                                                                                                                                                                                                                                                                </v>
      </c>
      <c r="FU284" s="174" t="str">
        <f t="shared" si="498"/>
        <v>NG</v>
      </c>
      <c r="FV284" s="162"/>
      <c r="FW284" s="172" t="s">
        <v>71</v>
      </c>
      <c r="FX284" s="160"/>
      <c r="FY284" s="162"/>
      <c r="FZ284" s="167" t="str">
        <f t="shared" si="525"/>
        <v xml:space="preserve">                                                                                                                                                                                                                                                                </v>
      </c>
      <c r="GA284" s="174" t="str">
        <f t="shared" si="499"/>
        <v>NG</v>
      </c>
      <c r="GB284" s="162"/>
      <c r="GC284" s="172" t="s">
        <v>71</v>
      </c>
    </row>
    <row r="285" spans="1:185" s="52" customFormat="1" ht="69" customHeight="1">
      <c r="B285" s="53">
        <f t="shared" si="527"/>
        <v>278</v>
      </c>
      <c r="C285" s="37"/>
      <c r="D285" s="37"/>
      <c r="E285" s="37"/>
      <c r="F285" s="188" t="s">
        <v>329</v>
      </c>
      <c r="G285" s="39"/>
      <c r="H285" s="40"/>
      <c r="I285" s="42"/>
      <c r="J285" s="42" t="s">
        <v>316</v>
      </c>
      <c r="K285" s="42"/>
      <c r="L285" s="42"/>
      <c r="M285" s="63" t="s">
        <v>330</v>
      </c>
      <c r="N285" s="47"/>
      <c r="O285" s="143"/>
      <c r="P285" s="45">
        <f t="shared" si="529"/>
        <v>253</v>
      </c>
      <c r="Q285" s="46">
        <v>1</v>
      </c>
      <c r="R285" s="41" t="s">
        <v>81</v>
      </c>
      <c r="S285" s="185" t="s">
        <v>204</v>
      </c>
      <c r="T285" s="43"/>
      <c r="U285" s="41" t="s">
        <v>80</v>
      </c>
      <c r="V285" s="44"/>
      <c r="W285" s="22">
        <v>3</v>
      </c>
      <c r="X285" s="47" t="s">
        <v>205</v>
      </c>
      <c r="Y285" s="47">
        <v>1</v>
      </c>
      <c r="Z285" s="47">
        <v>1</v>
      </c>
      <c r="AA285" s="42">
        <v>9</v>
      </c>
      <c r="AB285" s="42" t="s">
        <v>57</v>
      </c>
      <c r="AC285" s="166"/>
      <c r="AD285" s="160"/>
      <c r="AE285" s="162"/>
      <c r="AF285" s="203" t="str">
        <f t="shared" si="501"/>
        <v xml:space="preserve"> </v>
      </c>
      <c r="AG285" s="174" t="str">
        <f t="shared" si="483"/>
        <v>NG</v>
      </c>
      <c r="AH285" s="162"/>
      <c r="AI285" s="276" t="str">
        <f>IF(OR(AE$8="判定対象外",AH$8="判定対象外",AH285="-"),"-",IF(AE285=AH285,"OK","NG"))</f>
        <v>OK</v>
      </c>
      <c r="AJ285" s="160"/>
      <c r="AK285" s="162"/>
      <c r="AL285" s="203" t="str">
        <f t="shared" si="500"/>
        <v xml:space="preserve"> </v>
      </c>
      <c r="AM285" s="174" t="str">
        <f t="shared" si="528"/>
        <v>NG</v>
      </c>
      <c r="AN285" s="162"/>
      <c r="AO285" s="276" t="str">
        <f>IF(OR(AK$8="判定対象外",AN$8="判定対象外",AN285="-"),"-",IF(AK285=AN285,"OK","NG"))</f>
        <v>OK</v>
      </c>
      <c r="AP285" s="160"/>
      <c r="AQ285" s="162"/>
      <c r="AR285" s="203" t="str">
        <f t="shared" si="502"/>
        <v xml:space="preserve"> </v>
      </c>
      <c r="AS285" s="174" t="str">
        <f t="shared" si="484"/>
        <v>NG</v>
      </c>
      <c r="AT285" s="162"/>
      <c r="AU285" s="276" t="str">
        <f>IF(OR(AQ$8="判定対象外",AT$8="判定対象外",AT285="-"),"-",IF(AQ285=AT285,"OK","NG"))</f>
        <v>OK</v>
      </c>
      <c r="AV285" s="160"/>
      <c r="AW285" s="162"/>
      <c r="AX285" s="203" t="str">
        <f t="shared" si="503"/>
        <v xml:space="preserve"> </v>
      </c>
      <c r="AY285" s="174" t="str">
        <f t="shared" si="485"/>
        <v>NG</v>
      </c>
      <c r="AZ285" s="162"/>
      <c r="BA285" s="276" t="str">
        <f>IF(OR(AW$8="判定対象外",AZ$8="判定対象外",AZ285="-"),"-",IF(AW285=AZ285,"OK","NG"))</f>
        <v>OK</v>
      </c>
      <c r="BB285" s="160"/>
      <c r="BC285" s="162"/>
      <c r="BD285" s="203" t="str">
        <f t="shared" si="504"/>
        <v xml:space="preserve"> </v>
      </c>
      <c r="BE285" s="174" t="str">
        <f t="shared" si="486"/>
        <v>NG</v>
      </c>
      <c r="BF285" s="162"/>
      <c r="BG285" s="276" t="str">
        <f>IF(OR(BC$8="判定対象外",BF$8="判定対象外",BF285="-"),"-",IF(BC285=BF285,"OK","NG"))</f>
        <v>OK</v>
      </c>
      <c r="BH285" s="160"/>
      <c r="BI285" s="162"/>
      <c r="BJ285" s="203" t="str">
        <f t="shared" si="505"/>
        <v xml:space="preserve"> </v>
      </c>
      <c r="BK285" s="174" t="str">
        <f t="shared" si="487"/>
        <v>NG</v>
      </c>
      <c r="BL285" s="162"/>
      <c r="BM285" s="276" t="str">
        <f>IF(OR(BI$8="判定対象外",BL$8="判定対象外",BL285="-"),"-",IF(BI285=BL285,"OK","NG"))</f>
        <v>OK</v>
      </c>
      <c r="BN285" s="160"/>
      <c r="BO285" s="162"/>
      <c r="BP285" s="203" t="str">
        <f t="shared" si="506"/>
        <v xml:space="preserve"> </v>
      </c>
      <c r="BQ285" s="174" t="str">
        <f t="shared" si="488"/>
        <v>NG</v>
      </c>
      <c r="BR285" s="162"/>
      <c r="BS285" s="276" t="str">
        <f>IF(OR(BO$8="判定対象外",BR$8="判定対象外",BR285="-"),"-",IF(BO285=BR285,"OK","NG"))</f>
        <v>OK</v>
      </c>
      <c r="BT285" s="160"/>
      <c r="BU285" s="162"/>
      <c r="BV285" s="203" t="str">
        <f t="shared" si="507"/>
        <v xml:space="preserve"> </v>
      </c>
      <c r="BW285" s="174" t="str">
        <f t="shared" si="489"/>
        <v>NG</v>
      </c>
      <c r="BX285" s="162"/>
      <c r="BY285" s="276" t="str">
        <f>IF(OR(BU$8="判定対象外",BX$8="判定対象外",BX285="-"),"-",IF(BU285=BX285,"OK","NG"))</f>
        <v>OK</v>
      </c>
      <c r="BZ285" s="160"/>
      <c r="CA285" s="162"/>
      <c r="CB285" s="203" t="str">
        <f t="shared" si="508"/>
        <v xml:space="preserve"> </v>
      </c>
      <c r="CC285" s="174" t="str">
        <f t="shared" si="490"/>
        <v>NG</v>
      </c>
      <c r="CD285" s="162"/>
      <c r="CE285" s="276" t="str">
        <f>IF(OR(CA$8="判定対象外",CD$8="判定対象外",CD285="-"),"-",IF(CA285=CD285,"OK","NG"))</f>
        <v>OK</v>
      </c>
      <c r="CF285" s="160"/>
      <c r="CG285" s="162"/>
      <c r="CH285" s="203" t="str">
        <f t="shared" si="509"/>
        <v xml:space="preserve"> </v>
      </c>
      <c r="CI285" s="174" t="str">
        <f t="shared" si="491"/>
        <v>NG</v>
      </c>
      <c r="CJ285" s="162"/>
      <c r="CK285" s="276" t="str">
        <f>IF(OR(CG$8="判定対象外",CJ$8="判定対象外",CJ285="-"),"-",IF(CG285=CJ285,"OK","NG"))</f>
        <v>OK</v>
      </c>
      <c r="CL285" s="160"/>
      <c r="CM285" s="162"/>
      <c r="CN285" s="203" t="str">
        <f t="shared" si="510"/>
        <v xml:space="preserve"> </v>
      </c>
      <c r="CO285" s="174" t="str">
        <f t="shared" si="492"/>
        <v>NG</v>
      </c>
      <c r="CP285" s="162"/>
      <c r="CQ285" s="276" t="str">
        <f>IF(OR(CM$8="判定対象外",CP$8="判定対象外",CP285="-"),"-",IF(CM285=CP285,"OK","NG"))</f>
        <v>OK</v>
      </c>
      <c r="CR285" s="160"/>
      <c r="CS285" s="162"/>
      <c r="CT285" s="203" t="str">
        <f t="shared" si="511"/>
        <v xml:space="preserve"> </v>
      </c>
      <c r="CU285" s="174" t="str">
        <f t="shared" si="493"/>
        <v>NG</v>
      </c>
      <c r="CV285" s="162"/>
      <c r="CW285" s="276" t="str">
        <f>IF(OR(CS$8="判定対象外",CV$8="判定対象外",CV285="-"),"-",IF(CS285=CV285,"OK","NG"))</f>
        <v>OK</v>
      </c>
      <c r="CX285" s="160"/>
      <c r="CY285" s="162"/>
      <c r="CZ285" s="203" t="str">
        <f t="shared" si="512"/>
        <v xml:space="preserve"> </v>
      </c>
      <c r="DA285" s="174" t="str">
        <f t="shared" si="494"/>
        <v>NG</v>
      </c>
      <c r="DB285" s="162"/>
      <c r="DC285" s="276" t="str">
        <f>IF(OR(CY$8="判定対象外",DB$8="判定対象外",DB285="-"),"-",IF(CY285=DB285,"OK","NG"))</f>
        <v>OK</v>
      </c>
      <c r="DD285" s="160"/>
      <c r="DE285" s="162"/>
      <c r="DF285" s="203" t="str">
        <f t="shared" si="513"/>
        <v xml:space="preserve"> </v>
      </c>
      <c r="DG285" s="174" t="str">
        <f t="shared" si="495"/>
        <v>NG</v>
      </c>
      <c r="DH285" s="162"/>
      <c r="DI285" s="276" t="str">
        <f>IF(OR(DE$8="判定対象外",DH$8="判定対象外",DH285="-"),"-",IF(DE285=DH285,"OK","NG"))</f>
        <v>OK</v>
      </c>
      <c r="DJ285" s="160"/>
      <c r="DK285" s="162"/>
      <c r="DL285" s="203" t="str">
        <f t="shared" si="514"/>
        <v xml:space="preserve"> </v>
      </c>
      <c r="DM285" s="174" t="str">
        <f t="shared" si="496"/>
        <v>NG</v>
      </c>
      <c r="DN285" s="162"/>
      <c r="DO285" s="276" t="str">
        <f>IF(OR(DK$8="判定対象外",DN$8="判定対象外",DN285="-"),"-",IF(DK285=DN285,"OK","NG"))</f>
        <v>OK</v>
      </c>
      <c r="DP285" s="160"/>
      <c r="DQ285" s="162"/>
      <c r="DR285" s="203" t="str">
        <f t="shared" si="515"/>
        <v xml:space="preserve"> </v>
      </c>
      <c r="DS285" s="174" t="str">
        <f t="shared" si="473"/>
        <v>NG</v>
      </c>
      <c r="DT285" s="162"/>
      <c r="DU285" s="276" t="str">
        <f>IF(OR(DQ$8="判定対象外",DT$8="判定対象外",DT285="-"),"-",IF(DQ285=DT285,"OK","NG"))</f>
        <v>OK</v>
      </c>
      <c r="DV285" s="160"/>
      <c r="DW285" s="162"/>
      <c r="DX285" s="203" t="str">
        <f t="shared" si="516"/>
        <v xml:space="preserve"> </v>
      </c>
      <c r="DY285" s="174" t="str">
        <f t="shared" si="474"/>
        <v>NG</v>
      </c>
      <c r="DZ285" s="162"/>
      <c r="EA285" s="276" t="str">
        <f>IF(OR(DW$8="判定対象外",DZ$8="判定対象外",DZ285="-"),"-",IF(DW285=DZ285,"OK","NG"))</f>
        <v>OK</v>
      </c>
      <c r="EB285" s="160"/>
      <c r="EC285" s="162"/>
      <c r="ED285" s="203" t="str">
        <f t="shared" si="517"/>
        <v xml:space="preserve"> </v>
      </c>
      <c r="EE285" s="174" t="str">
        <f t="shared" si="475"/>
        <v>NG</v>
      </c>
      <c r="EF285" s="162"/>
      <c r="EG285" s="276" t="str">
        <f>IF(OR(EC$8="判定対象外",EF$8="判定対象外",EF285="-"),"-",IF(EC285=EF285,"OK","NG"))</f>
        <v>OK</v>
      </c>
      <c r="EH285" s="160"/>
      <c r="EI285" s="162"/>
      <c r="EJ285" s="203" t="str">
        <f t="shared" si="518"/>
        <v xml:space="preserve"> </v>
      </c>
      <c r="EK285" s="174" t="str">
        <f t="shared" si="476"/>
        <v>NG</v>
      </c>
      <c r="EL285" s="162"/>
      <c r="EM285" s="276" t="str">
        <f>IF(OR(EI$8="判定対象外",EL$8="判定対象外",EL285="-"),"-",IF(EI285=EL285,"OK","NG"))</f>
        <v>OK</v>
      </c>
      <c r="EN285" s="160"/>
      <c r="EO285" s="162"/>
      <c r="EP285" s="203" t="str">
        <f t="shared" si="519"/>
        <v xml:space="preserve"> </v>
      </c>
      <c r="EQ285" s="174" t="str">
        <f t="shared" si="477"/>
        <v>NG</v>
      </c>
      <c r="ER285" s="162"/>
      <c r="ES285" s="276" t="str">
        <f>IF(OR(EO$8="判定対象外",ER$8="判定対象外",ER285="-"),"-",IF(EO285=ER285,"OK","NG"))</f>
        <v>OK</v>
      </c>
      <c r="ET285" s="160"/>
      <c r="EU285" s="162"/>
      <c r="EV285" s="203" t="str">
        <f t="shared" si="520"/>
        <v xml:space="preserve"> </v>
      </c>
      <c r="EW285" s="174" t="str">
        <f t="shared" si="478"/>
        <v>NG</v>
      </c>
      <c r="EX285" s="162"/>
      <c r="EY285" s="276" t="str">
        <f>IF(OR(EU$8="判定対象外",EX$8="判定対象外",EX285="-"),"-",IF(EU285=EX285,"OK","NG"))</f>
        <v>OK</v>
      </c>
      <c r="EZ285" s="160"/>
      <c r="FA285" s="162"/>
      <c r="FB285" s="203" t="str">
        <f t="shared" si="521"/>
        <v xml:space="preserve"> </v>
      </c>
      <c r="FC285" s="174" t="str">
        <f t="shared" si="479"/>
        <v>NG</v>
      </c>
      <c r="FD285" s="162"/>
      <c r="FE285" s="276" t="str">
        <f>IF(OR(FA$8="判定対象外",FD$8="判定対象外",FD285="-"),"-",IF(FA285=FD285,"OK","NG"))</f>
        <v>OK</v>
      </c>
      <c r="FF285" s="160"/>
      <c r="FG285" s="162"/>
      <c r="FH285" s="203" t="str">
        <f t="shared" si="522"/>
        <v xml:space="preserve"> </v>
      </c>
      <c r="FI285" s="174" t="str">
        <f t="shared" si="480"/>
        <v>NG</v>
      </c>
      <c r="FJ285" s="162"/>
      <c r="FK285" s="276" t="str">
        <f>IF(OR(FG$8="判定対象外",FJ$8="判定対象外",FJ285="-"),"-",IF(FG285=FJ285,"OK","NG"))</f>
        <v>OK</v>
      </c>
      <c r="FL285" s="160"/>
      <c r="FM285" s="162"/>
      <c r="FN285" s="203" t="str">
        <f t="shared" si="523"/>
        <v xml:space="preserve"> </v>
      </c>
      <c r="FO285" s="174" t="str">
        <f t="shared" si="497"/>
        <v>NG</v>
      </c>
      <c r="FP285" s="162"/>
      <c r="FQ285" s="276" t="str">
        <f>IF(OR(FM$8="判定対象外",FP$8="判定対象外",FP285="-"),"-",IF(FM285=FP285,"OK","NG"))</f>
        <v>OK</v>
      </c>
      <c r="FR285" s="160"/>
      <c r="FS285" s="162"/>
      <c r="FT285" s="203" t="str">
        <f t="shared" si="524"/>
        <v xml:space="preserve"> </v>
      </c>
      <c r="FU285" s="174" t="str">
        <f t="shared" si="498"/>
        <v>NG</v>
      </c>
      <c r="FV285" s="162"/>
      <c r="FW285" s="276" t="str">
        <f>IF(OR(FS$8="判定対象外",FV$8="判定対象外",FV285="-"),"-",IF(FS285=FV285,"OK","NG"))</f>
        <v>OK</v>
      </c>
      <c r="FX285" s="160"/>
      <c r="FY285" s="162"/>
      <c r="FZ285" s="203" t="str">
        <f t="shared" si="525"/>
        <v xml:space="preserve"> </v>
      </c>
      <c r="GA285" s="174" t="str">
        <f t="shared" si="499"/>
        <v>NG</v>
      </c>
      <c r="GB285" s="162"/>
      <c r="GC285" s="276" t="str">
        <f>IF(OR(FY$8="判定対象外",GB$8="判定対象外",GB285="-"),"-",IF(FY285=GB285,"OK","NG"))</f>
        <v>OK</v>
      </c>
    </row>
    <row r="286" spans="1:185" s="52" customFormat="1" ht="114.75">
      <c r="B286" s="48">
        <f t="shared" si="527"/>
        <v>279</v>
      </c>
      <c r="C286" s="37"/>
      <c r="D286" s="37"/>
      <c r="E286" s="37"/>
      <c r="F286" s="49" t="s">
        <v>206</v>
      </c>
      <c r="G286" s="39"/>
      <c r="H286" s="40"/>
      <c r="I286" s="42"/>
      <c r="J286" s="42"/>
      <c r="K286" s="42"/>
      <c r="L286" s="42"/>
      <c r="M286" s="163" t="s">
        <v>331</v>
      </c>
      <c r="N286" s="47"/>
      <c r="O286" s="143"/>
      <c r="P286" s="45">
        <f t="shared" si="529"/>
        <v>254</v>
      </c>
      <c r="Q286" s="46">
        <v>1</v>
      </c>
      <c r="R286" s="41" t="s">
        <v>81</v>
      </c>
      <c r="S286" s="185" t="s">
        <v>207</v>
      </c>
      <c r="T286" s="43"/>
      <c r="U286" s="41" t="s">
        <v>80</v>
      </c>
      <c r="V286" s="44"/>
      <c r="W286" s="22">
        <v>3</v>
      </c>
      <c r="X286" s="47" t="s">
        <v>98</v>
      </c>
      <c r="Y286" s="47">
        <v>1</v>
      </c>
      <c r="Z286" s="47">
        <v>1</v>
      </c>
      <c r="AA286" s="42">
        <v>9</v>
      </c>
      <c r="AB286" s="42" t="s">
        <v>57</v>
      </c>
      <c r="AC286" s="215"/>
      <c r="AD286" s="160"/>
      <c r="AE286" s="162"/>
      <c r="AF286" s="203" t="str">
        <f t="shared" si="501"/>
        <v xml:space="preserve"> </v>
      </c>
      <c r="AG286" s="174" t="str">
        <f t="shared" si="483"/>
        <v>NG</v>
      </c>
      <c r="AH286" s="162"/>
      <c r="AI286" s="172" t="s">
        <v>71</v>
      </c>
      <c r="AJ286" s="160"/>
      <c r="AK286" s="162"/>
      <c r="AL286" s="203" t="str">
        <f t="shared" si="500"/>
        <v xml:space="preserve"> </v>
      </c>
      <c r="AM286" s="174" t="str">
        <f t="shared" si="528"/>
        <v>NG</v>
      </c>
      <c r="AN286" s="162"/>
      <c r="AO286" s="172" t="s">
        <v>71</v>
      </c>
      <c r="AP286" s="160"/>
      <c r="AQ286" s="162"/>
      <c r="AR286" s="203" t="str">
        <f t="shared" si="502"/>
        <v xml:space="preserve"> </v>
      </c>
      <c r="AS286" s="174" t="str">
        <f t="shared" si="484"/>
        <v>NG</v>
      </c>
      <c r="AT286" s="162"/>
      <c r="AU286" s="172" t="s">
        <v>71</v>
      </c>
      <c r="AV286" s="160"/>
      <c r="AW286" s="162"/>
      <c r="AX286" s="203" t="str">
        <f t="shared" si="503"/>
        <v xml:space="preserve"> </v>
      </c>
      <c r="AY286" s="174" t="str">
        <f t="shared" si="485"/>
        <v>NG</v>
      </c>
      <c r="AZ286" s="162"/>
      <c r="BA286" s="172" t="s">
        <v>71</v>
      </c>
      <c r="BB286" s="160"/>
      <c r="BC286" s="162"/>
      <c r="BD286" s="203" t="str">
        <f t="shared" si="504"/>
        <v xml:space="preserve"> </v>
      </c>
      <c r="BE286" s="174" t="str">
        <f t="shared" si="486"/>
        <v>NG</v>
      </c>
      <c r="BF286" s="162"/>
      <c r="BG286" s="172" t="s">
        <v>71</v>
      </c>
      <c r="BH286" s="160"/>
      <c r="BI286" s="162"/>
      <c r="BJ286" s="203" t="str">
        <f t="shared" si="505"/>
        <v xml:space="preserve"> </v>
      </c>
      <c r="BK286" s="174" t="str">
        <f t="shared" si="487"/>
        <v>NG</v>
      </c>
      <c r="BL286" s="162"/>
      <c r="BM286" s="172" t="s">
        <v>71</v>
      </c>
      <c r="BN286" s="160"/>
      <c r="BO286" s="162"/>
      <c r="BP286" s="203" t="str">
        <f t="shared" si="506"/>
        <v xml:space="preserve"> </v>
      </c>
      <c r="BQ286" s="174" t="str">
        <f t="shared" si="488"/>
        <v>NG</v>
      </c>
      <c r="BR286" s="162"/>
      <c r="BS286" s="172" t="s">
        <v>71</v>
      </c>
      <c r="BT286" s="160"/>
      <c r="BU286" s="162"/>
      <c r="BV286" s="203" t="str">
        <f t="shared" si="507"/>
        <v xml:space="preserve"> </v>
      </c>
      <c r="BW286" s="174" t="str">
        <f t="shared" si="489"/>
        <v>NG</v>
      </c>
      <c r="BX286" s="162"/>
      <c r="BY286" s="172" t="s">
        <v>71</v>
      </c>
      <c r="BZ286" s="160"/>
      <c r="CA286" s="162"/>
      <c r="CB286" s="203" t="str">
        <f t="shared" si="508"/>
        <v xml:space="preserve"> </v>
      </c>
      <c r="CC286" s="174" t="str">
        <f t="shared" si="490"/>
        <v>NG</v>
      </c>
      <c r="CD286" s="162"/>
      <c r="CE286" s="172" t="s">
        <v>71</v>
      </c>
      <c r="CF286" s="160"/>
      <c r="CG286" s="162"/>
      <c r="CH286" s="203" t="str">
        <f t="shared" si="509"/>
        <v xml:space="preserve"> </v>
      </c>
      <c r="CI286" s="174" t="str">
        <f t="shared" si="491"/>
        <v>NG</v>
      </c>
      <c r="CJ286" s="162"/>
      <c r="CK286" s="172" t="s">
        <v>71</v>
      </c>
      <c r="CL286" s="160"/>
      <c r="CM286" s="162"/>
      <c r="CN286" s="203" t="str">
        <f t="shared" si="510"/>
        <v xml:space="preserve"> </v>
      </c>
      <c r="CO286" s="174" t="str">
        <f t="shared" si="492"/>
        <v>NG</v>
      </c>
      <c r="CP286" s="162"/>
      <c r="CQ286" s="172" t="s">
        <v>71</v>
      </c>
      <c r="CR286" s="160"/>
      <c r="CS286" s="162"/>
      <c r="CT286" s="203" t="str">
        <f t="shared" si="511"/>
        <v xml:space="preserve"> </v>
      </c>
      <c r="CU286" s="174" t="str">
        <f t="shared" si="493"/>
        <v>NG</v>
      </c>
      <c r="CV286" s="162"/>
      <c r="CW286" s="172" t="s">
        <v>71</v>
      </c>
      <c r="CX286" s="160"/>
      <c r="CY286" s="162"/>
      <c r="CZ286" s="203" t="str">
        <f t="shared" si="512"/>
        <v xml:space="preserve"> </v>
      </c>
      <c r="DA286" s="174" t="str">
        <f t="shared" si="494"/>
        <v>NG</v>
      </c>
      <c r="DB286" s="162"/>
      <c r="DC286" s="172" t="s">
        <v>71</v>
      </c>
      <c r="DD286" s="160"/>
      <c r="DE286" s="162"/>
      <c r="DF286" s="203" t="str">
        <f t="shared" si="513"/>
        <v xml:space="preserve"> </v>
      </c>
      <c r="DG286" s="174" t="str">
        <f t="shared" si="495"/>
        <v>NG</v>
      </c>
      <c r="DH286" s="162"/>
      <c r="DI286" s="172" t="s">
        <v>71</v>
      </c>
      <c r="DJ286" s="160"/>
      <c r="DK286" s="162"/>
      <c r="DL286" s="203" t="str">
        <f t="shared" si="514"/>
        <v xml:space="preserve"> </v>
      </c>
      <c r="DM286" s="174" t="str">
        <f t="shared" si="496"/>
        <v>NG</v>
      </c>
      <c r="DN286" s="162"/>
      <c r="DO286" s="172" t="s">
        <v>71</v>
      </c>
      <c r="DP286" s="160"/>
      <c r="DQ286" s="162"/>
      <c r="DR286" s="203" t="str">
        <f t="shared" si="515"/>
        <v xml:space="preserve"> </v>
      </c>
      <c r="DS286" s="174" t="str">
        <f t="shared" si="473"/>
        <v>NG</v>
      </c>
      <c r="DT286" s="162"/>
      <c r="DU286" s="172" t="s">
        <v>71</v>
      </c>
      <c r="DV286" s="160"/>
      <c r="DW286" s="162"/>
      <c r="DX286" s="203" t="str">
        <f t="shared" si="516"/>
        <v xml:space="preserve"> </v>
      </c>
      <c r="DY286" s="174" t="str">
        <f t="shared" si="474"/>
        <v>NG</v>
      </c>
      <c r="DZ286" s="162"/>
      <c r="EA286" s="172" t="s">
        <v>71</v>
      </c>
      <c r="EB286" s="160"/>
      <c r="EC286" s="162"/>
      <c r="ED286" s="203" t="str">
        <f t="shared" si="517"/>
        <v xml:space="preserve"> </v>
      </c>
      <c r="EE286" s="174" t="str">
        <f t="shared" si="475"/>
        <v>NG</v>
      </c>
      <c r="EF286" s="162"/>
      <c r="EG286" s="172" t="s">
        <v>71</v>
      </c>
      <c r="EH286" s="160"/>
      <c r="EI286" s="162"/>
      <c r="EJ286" s="203" t="str">
        <f t="shared" si="518"/>
        <v xml:space="preserve"> </v>
      </c>
      <c r="EK286" s="174" t="str">
        <f t="shared" si="476"/>
        <v>NG</v>
      </c>
      <c r="EL286" s="162"/>
      <c r="EM286" s="172" t="s">
        <v>71</v>
      </c>
      <c r="EN286" s="160"/>
      <c r="EO286" s="162"/>
      <c r="EP286" s="203" t="str">
        <f t="shared" si="519"/>
        <v xml:space="preserve"> </v>
      </c>
      <c r="EQ286" s="174" t="str">
        <f t="shared" si="477"/>
        <v>NG</v>
      </c>
      <c r="ER286" s="162"/>
      <c r="ES286" s="172" t="s">
        <v>71</v>
      </c>
      <c r="ET286" s="160"/>
      <c r="EU286" s="162"/>
      <c r="EV286" s="203" t="str">
        <f t="shared" si="520"/>
        <v xml:space="preserve"> </v>
      </c>
      <c r="EW286" s="174" t="str">
        <f t="shared" si="478"/>
        <v>NG</v>
      </c>
      <c r="EX286" s="162"/>
      <c r="EY286" s="172" t="s">
        <v>71</v>
      </c>
      <c r="EZ286" s="160"/>
      <c r="FA286" s="162"/>
      <c r="FB286" s="203" t="str">
        <f t="shared" si="521"/>
        <v xml:space="preserve"> </v>
      </c>
      <c r="FC286" s="174" t="str">
        <f t="shared" si="479"/>
        <v>NG</v>
      </c>
      <c r="FD286" s="162"/>
      <c r="FE286" s="172" t="s">
        <v>71</v>
      </c>
      <c r="FF286" s="160"/>
      <c r="FG286" s="162"/>
      <c r="FH286" s="203" t="str">
        <f t="shared" si="522"/>
        <v xml:space="preserve"> </v>
      </c>
      <c r="FI286" s="174" t="str">
        <f t="shared" si="480"/>
        <v>NG</v>
      </c>
      <c r="FJ286" s="162"/>
      <c r="FK286" s="172" t="s">
        <v>71</v>
      </c>
      <c r="FL286" s="160"/>
      <c r="FM286" s="162"/>
      <c r="FN286" s="203" t="str">
        <f t="shared" si="523"/>
        <v xml:space="preserve"> </v>
      </c>
      <c r="FO286" s="174" t="str">
        <f t="shared" si="497"/>
        <v>NG</v>
      </c>
      <c r="FP286" s="162"/>
      <c r="FQ286" s="172" t="s">
        <v>71</v>
      </c>
      <c r="FR286" s="160"/>
      <c r="FS286" s="162"/>
      <c r="FT286" s="203" t="str">
        <f t="shared" si="524"/>
        <v xml:space="preserve"> </v>
      </c>
      <c r="FU286" s="174" t="str">
        <f t="shared" si="498"/>
        <v>NG</v>
      </c>
      <c r="FV286" s="162"/>
      <c r="FW286" s="172" t="s">
        <v>71</v>
      </c>
      <c r="FX286" s="160"/>
      <c r="FY286" s="162"/>
      <c r="FZ286" s="203" t="str">
        <f t="shared" si="525"/>
        <v xml:space="preserve"> </v>
      </c>
      <c r="GA286" s="174" t="str">
        <f t="shared" si="499"/>
        <v>NG</v>
      </c>
      <c r="GB286" s="162"/>
      <c r="GC286" s="172" t="s">
        <v>71</v>
      </c>
    </row>
    <row r="287" spans="1:185" s="52" customFormat="1" ht="126.75" customHeight="1">
      <c r="B287" s="216">
        <f t="shared" si="527"/>
        <v>280</v>
      </c>
      <c r="C287" s="37"/>
      <c r="D287" s="37"/>
      <c r="E287" s="37"/>
      <c r="F287" s="188" t="s">
        <v>332</v>
      </c>
      <c r="G287" s="39"/>
      <c r="H287" s="40"/>
      <c r="I287" s="42"/>
      <c r="J287" s="42"/>
      <c r="K287" s="42"/>
      <c r="L287" s="42"/>
      <c r="M287" s="63" t="s">
        <v>333</v>
      </c>
      <c r="N287" s="47"/>
      <c r="O287" s="143"/>
      <c r="P287" s="45">
        <f t="shared" si="529"/>
        <v>255</v>
      </c>
      <c r="Q287" s="46">
        <v>1</v>
      </c>
      <c r="R287" s="41" t="str">
        <f t="shared" ref="R287:R304" si="530">IF(AA287="M","NX",AA287)</f>
        <v>X</v>
      </c>
      <c r="S287" s="185" t="s">
        <v>208</v>
      </c>
      <c r="T287" s="43"/>
      <c r="U287" s="41" t="s">
        <v>80</v>
      </c>
      <c r="V287" s="44"/>
      <c r="W287" s="22">
        <v>3</v>
      </c>
      <c r="X287" s="47" t="s">
        <v>209</v>
      </c>
      <c r="Y287" s="47">
        <v>1</v>
      </c>
      <c r="Z287" s="47">
        <v>1</v>
      </c>
      <c r="AA287" s="42" t="s">
        <v>81</v>
      </c>
      <c r="AB287" s="42" t="s">
        <v>80</v>
      </c>
      <c r="AC287" s="166"/>
      <c r="AD287" s="160"/>
      <c r="AE287" s="162"/>
      <c r="AF287" s="203" t="str">
        <f t="shared" si="501"/>
        <v xml:space="preserve"> </v>
      </c>
      <c r="AG287" s="174" t="str">
        <f t="shared" si="483"/>
        <v>NG</v>
      </c>
      <c r="AH287" s="162"/>
      <c r="AI287" s="276" t="str">
        <f>IF(OR(AE$8="判定対象外",AH$8="判定対象外",AH287="-"),"-",IF(AE287=AH287,"OK","NG"))</f>
        <v>OK</v>
      </c>
      <c r="AJ287" s="160"/>
      <c r="AK287" s="162"/>
      <c r="AL287" s="203" t="str">
        <f t="shared" si="500"/>
        <v xml:space="preserve"> </v>
      </c>
      <c r="AM287" s="174" t="str">
        <f t="shared" si="528"/>
        <v>NG</v>
      </c>
      <c r="AN287" s="162"/>
      <c r="AO287" s="276" t="str">
        <f>IF(OR(AK$8="判定対象外",AN$8="判定対象外",AN287="-"),"-",IF(AK287=AN287,"OK","NG"))</f>
        <v>OK</v>
      </c>
      <c r="AP287" s="160"/>
      <c r="AQ287" s="162"/>
      <c r="AR287" s="203" t="str">
        <f t="shared" si="502"/>
        <v xml:space="preserve"> </v>
      </c>
      <c r="AS287" s="174" t="str">
        <f t="shared" si="484"/>
        <v>NG</v>
      </c>
      <c r="AT287" s="162"/>
      <c r="AU287" s="276" t="str">
        <f>IF(OR(AQ$8="判定対象外",AT$8="判定対象外",AT287="-"),"-",IF(AQ287=AT287,"OK","NG"))</f>
        <v>OK</v>
      </c>
      <c r="AV287" s="160"/>
      <c r="AW287" s="162"/>
      <c r="AX287" s="203" t="str">
        <f t="shared" si="503"/>
        <v xml:space="preserve"> </v>
      </c>
      <c r="AY287" s="174" t="str">
        <f t="shared" si="485"/>
        <v>NG</v>
      </c>
      <c r="AZ287" s="162"/>
      <c r="BA287" s="276" t="str">
        <f>IF(OR(AW$8="判定対象外",AZ$8="判定対象外",AZ287="-"),"-",IF(AW287=AZ287,"OK","NG"))</f>
        <v>OK</v>
      </c>
      <c r="BB287" s="160"/>
      <c r="BC287" s="162"/>
      <c r="BD287" s="203" t="str">
        <f t="shared" si="504"/>
        <v xml:space="preserve"> </v>
      </c>
      <c r="BE287" s="174" t="str">
        <f t="shared" si="486"/>
        <v>NG</v>
      </c>
      <c r="BF287" s="162"/>
      <c r="BG287" s="276" t="str">
        <f>IF(OR(BC$8="判定対象外",BF$8="判定対象外",BF287="-"),"-",IF(BC287=BF287,"OK","NG"))</f>
        <v>OK</v>
      </c>
      <c r="BH287" s="160"/>
      <c r="BI287" s="162"/>
      <c r="BJ287" s="203" t="str">
        <f t="shared" si="505"/>
        <v xml:space="preserve"> </v>
      </c>
      <c r="BK287" s="174" t="str">
        <f t="shared" si="487"/>
        <v>NG</v>
      </c>
      <c r="BL287" s="162"/>
      <c r="BM287" s="276" t="str">
        <f>IF(OR(BI$8="判定対象外",BL$8="判定対象外",BL287="-"),"-",IF(BI287=BL287,"OK","NG"))</f>
        <v>OK</v>
      </c>
      <c r="BN287" s="160"/>
      <c r="BO287" s="162"/>
      <c r="BP287" s="203" t="str">
        <f t="shared" si="506"/>
        <v xml:space="preserve"> </v>
      </c>
      <c r="BQ287" s="174" t="str">
        <f t="shared" si="488"/>
        <v>NG</v>
      </c>
      <c r="BR287" s="162"/>
      <c r="BS287" s="276" t="str">
        <f>IF(OR(BO$8="判定対象外",BR$8="判定対象外",BR287="-"),"-",IF(BO287=BR287,"OK","NG"))</f>
        <v>OK</v>
      </c>
      <c r="BT287" s="160"/>
      <c r="BU287" s="162"/>
      <c r="BV287" s="203" t="str">
        <f t="shared" si="507"/>
        <v xml:space="preserve"> </v>
      </c>
      <c r="BW287" s="174" t="str">
        <f t="shared" si="489"/>
        <v>NG</v>
      </c>
      <c r="BX287" s="162"/>
      <c r="BY287" s="276" t="str">
        <f>IF(OR(BU$8="判定対象外",BX$8="判定対象外",BX287="-"),"-",IF(BU287=BX287,"OK","NG"))</f>
        <v>OK</v>
      </c>
      <c r="BZ287" s="160"/>
      <c r="CA287" s="162"/>
      <c r="CB287" s="203" t="str">
        <f t="shared" si="508"/>
        <v xml:space="preserve"> </v>
      </c>
      <c r="CC287" s="174" t="str">
        <f t="shared" si="490"/>
        <v>NG</v>
      </c>
      <c r="CD287" s="162"/>
      <c r="CE287" s="276" t="str">
        <f>IF(OR(CA$8="判定対象外",CD$8="判定対象外",CD287="-"),"-",IF(CA287=CD287,"OK","NG"))</f>
        <v>OK</v>
      </c>
      <c r="CF287" s="160"/>
      <c r="CG287" s="162"/>
      <c r="CH287" s="203" t="str">
        <f t="shared" si="509"/>
        <v xml:space="preserve"> </v>
      </c>
      <c r="CI287" s="174" t="str">
        <f t="shared" si="491"/>
        <v>NG</v>
      </c>
      <c r="CJ287" s="162"/>
      <c r="CK287" s="276" t="str">
        <f>IF(OR(CG$8="判定対象外",CJ$8="判定対象外",CJ287="-"),"-",IF(CG287=CJ287,"OK","NG"))</f>
        <v>OK</v>
      </c>
      <c r="CL287" s="160"/>
      <c r="CM287" s="162"/>
      <c r="CN287" s="203" t="str">
        <f t="shared" si="510"/>
        <v xml:space="preserve"> </v>
      </c>
      <c r="CO287" s="174" t="str">
        <f t="shared" si="492"/>
        <v>NG</v>
      </c>
      <c r="CP287" s="162"/>
      <c r="CQ287" s="276" t="str">
        <f>IF(OR(CM$8="判定対象外",CP$8="判定対象外",CP287="-"),"-",IF(CM287=CP287,"OK","NG"))</f>
        <v>OK</v>
      </c>
      <c r="CR287" s="160"/>
      <c r="CS287" s="162"/>
      <c r="CT287" s="203" t="str">
        <f t="shared" si="511"/>
        <v xml:space="preserve"> </v>
      </c>
      <c r="CU287" s="174" t="str">
        <f t="shared" si="493"/>
        <v>NG</v>
      </c>
      <c r="CV287" s="162"/>
      <c r="CW287" s="276" t="str">
        <f>IF(OR(CS$8="判定対象外",CV$8="判定対象外",CV287="-"),"-",IF(CS287=CV287,"OK","NG"))</f>
        <v>OK</v>
      </c>
      <c r="CX287" s="160"/>
      <c r="CY287" s="162"/>
      <c r="CZ287" s="203" t="str">
        <f t="shared" si="512"/>
        <v xml:space="preserve"> </v>
      </c>
      <c r="DA287" s="174" t="str">
        <f t="shared" si="494"/>
        <v>NG</v>
      </c>
      <c r="DB287" s="162"/>
      <c r="DC287" s="276" t="str">
        <f>IF(OR(CY$8="判定対象外",DB$8="判定対象外",DB287="-"),"-",IF(CY287=DB287,"OK","NG"))</f>
        <v>OK</v>
      </c>
      <c r="DD287" s="160"/>
      <c r="DE287" s="162"/>
      <c r="DF287" s="203" t="str">
        <f t="shared" si="513"/>
        <v xml:space="preserve"> </v>
      </c>
      <c r="DG287" s="174" t="str">
        <f t="shared" si="495"/>
        <v>NG</v>
      </c>
      <c r="DH287" s="162"/>
      <c r="DI287" s="276" t="str">
        <f>IF(OR(DE$8="判定対象外",DH$8="判定対象外",DH287="-"),"-",IF(DE287=DH287,"OK","NG"))</f>
        <v>OK</v>
      </c>
      <c r="DJ287" s="160"/>
      <c r="DK287" s="162"/>
      <c r="DL287" s="203" t="str">
        <f t="shared" si="514"/>
        <v xml:space="preserve"> </v>
      </c>
      <c r="DM287" s="174" t="str">
        <f t="shared" si="496"/>
        <v>NG</v>
      </c>
      <c r="DN287" s="162"/>
      <c r="DO287" s="276" t="str">
        <f>IF(OR(DK$8="判定対象外",DN$8="判定対象外",DN287="-"),"-",IF(DK287=DN287,"OK","NG"))</f>
        <v>OK</v>
      </c>
      <c r="DP287" s="160"/>
      <c r="DQ287" s="162"/>
      <c r="DR287" s="203" t="str">
        <f t="shared" si="515"/>
        <v xml:space="preserve"> </v>
      </c>
      <c r="DS287" s="174" t="str">
        <f t="shared" si="473"/>
        <v>NG</v>
      </c>
      <c r="DT287" s="162"/>
      <c r="DU287" s="276" t="str">
        <f>IF(OR(DQ$8="判定対象外",DT$8="判定対象外",DT287="-"),"-",IF(DQ287=DT287,"OK","NG"))</f>
        <v>OK</v>
      </c>
      <c r="DV287" s="160"/>
      <c r="DW287" s="162"/>
      <c r="DX287" s="203" t="str">
        <f t="shared" si="516"/>
        <v xml:space="preserve"> </v>
      </c>
      <c r="DY287" s="174" t="str">
        <f t="shared" si="474"/>
        <v>NG</v>
      </c>
      <c r="DZ287" s="162"/>
      <c r="EA287" s="276" t="str">
        <f>IF(OR(DW$8="判定対象外",DZ$8="判定対象外",DZ287="-"),"-",IF(DW287=DZ287,"OK","NG"))</f>
        <v>OK</v>
      </c>
      <c r="EB287" s="160"/>
      <c r="EC287" s="162"/>
      <c r="ED287" s="203" t="str">
        <f t="shared" si="517"/>
        <v xml:space="preserve"> </v>
      </c>
      <c r="EE287" s="174" t="str">
        <f t="shared" si="475"/>
        <v>NG</v>
      </c>
      <c r="EF287" s="162"/>
      <c r="EG287" s="276" t="str">
        <f>IF(OR(EC$8="判定対象外",EF$8="判定対象外",EF287="-"),"-",IF(EC287=EF287,"OK","NG"))</f>
        <v>OK</v>
      </c>
      <c r="EH287" s="160"/>
      <c r="EI287" s="162"/>
      <c r="EJ287" s="203" t="str">
        <f t="shared" si="518"/>
        <v xml:space="preserve"> </v>
      </c>
      <c r="EK287" s="174" t="str">
        <f t="shared" si="476"/>
        <v>NG</v>
      </c>
      <c r="EL287" s="162"/>
      <c r="EM287" s="276" t="str">
        <f>IF(OR(EI$8="判定対象外",EL$8="判定対象外",EL287="-"),"-",IF(EI287=EL287,"OK","NG"))</f>
        <v>OK</v>
      </c>
      <c r="EN287" s="160"/>
      <c r="EO287" s="162"/>
      <c r="EP287" s="203" t="str">
        <f t="shared" si="519"/>
        <v xml:space="preserve"> </v>
      </c>
      <c r="EQ287" s="174" t="str">
        <f t="shared" si="477"/>
        <v>NG</v>
      </c>
      <c r="ER287" s="162"/>
      <c r="ES287" s="276" t="str">
        <f>IF(OR(EO$8="判定対象外",ER$8="判定対象外",ER287="-"),"-",IF(EO287=ER287,"OK","NG"))</f>
        <v>OK</v>
      </c>
      <c r="ET287" s="160"/>
      <c r="EU287" s="162"/>
      <c r="EV287" s="203" t="str">
        <f t="shared" si="520"/>
        <v xml:space="preserve"> </v>
      </c>
      <c r="EW287" s="174" t="str">
        <f t="shared" si="478"/>
        <v>NG</v>
      </c>
      <c r="EX287" s="162"/>
      <c r="EY287" s="276" t="str">
        <f>IF(OR(EU$8="判定対象外",EX$8="判定対象外",EX287="-"),"-",IF(EU287=EX287,"OK","NG"))</f>
        <v>OK</v>
      </c>
      <c r="EZ287" s="160"/>
      <c r="FA287" s="162"/>
      <c r="FB287" s="203" t="str">
        <f t="shared" si="521"/>
        <v xml:space="preserve"> </v>
      </c>
      <c r="FC287" s="174" t="str">
        <f t="shared" si="479"/>
        <v>NG</v>
      </c>
      <c r="FD287" s="162"/>
      <c r="FE287" s="276" t="str">
        <f>IF(OR(FA$8="判定対象外",FD$8="判定対象外",FD287="-"),"-",IF(FA287=FD287,"OK","NG"))</f>
        <v>OK</v>
      </c>
      <c r="FF287" s="160"/>
      <c r="FG287" s="162"/>
      <c r="FH287" s="203" t="str">
        <f t="shared" si="522"/>
        <v xml:space="preserve"> </v>
      </c>
      <c r="FI287" s="174" t="str">
        <f t="shared" si="480"/>
        <v>NG</v>
      </c>
      <c r="FJ287" s="162"/>
      <c r="FK287" s="276" t="str">
        <f>IF(OR(FG$8="判定対象外",FJ$8="判定対象外",FJ287="-"),"-",IF(FG287=FJ287,"OK","NG"))</f>
        <v>OK</v>
      </c>
      <c r="FL287" s="160"/>
      <c r="FM287" s="162"/>
      <c r="FN287" s="203" t="str">
        <f t="shared" si="523"/>
        <v xml:space="preserve"> </v>
      </c>
      <c r="FO287" s="174" t="str">
        <f t="shared" si="497"/>
        <v>NG</v>
      </c>
      <c r="FP287" s="162"/>
      <c r="FQ287" s="276" t="str">
        <f>IF(OR(FM$8="判定対象外",FP$8="判定対象外",FP287="-"),"-",IF(FM287=FP287,"OK","NG"))</f>
        <v>OK</v>
      </c>
      <c r="FR287" s="160"/>
      <c r="FS287" s="162"/>
      <c r="FT287" s="203" t="str">
        <f t="shared" si="524"/>
        <v xml:space="preserve"> </v>
      </c>
      <c r="FU287" s="174" t="str">
        <f t="shared" si="498"/>
        <v>NG</v>
      </c>
      <c r="FV287" s="162"/>
      <c r="FW287" s="276" t="str">
        <f>IF(OR(FS$8="判定対象外",FV$8="判定対象外",FV287="-"),"-",IF(FS287=FV287,"OK","NG"))</f>
        <v>OK</v>
      </c>
      <c r="FX287" s="160"/>
      <c r="FY287" s="162"/>
      <c r="FZ287" s="203" t="str">
        <f t="shared" si="525"/>
        <v xml:space="preserve"> </v>
      </c>
      <c r="GA287" s="174" t="str">
        <f t="shared" si="499"/>
        <v>NG</v>
      </c>
      <c r="GB287" s="162"/>
      <c r="GC287" s="276" t="str">
        <f>IF(OR(FY$8="判定対象外",GB$8="判定対象外",GB287="-"),"-",IF(FY287=GB287,"OK","NG"))</f>
        <v>OK</v>
      </c>
    </row>
    <row r="288" spans="1:185" s="52" customFormat="1">
      <c r="B288" s="216">
        <f t="shared" si="527"/>
        <v>281</v>
      </c>
      <c r="C288" s="37"/>
      <c r="D288" s="37"/>
      <c r="E288" s="37"/>
      <c r="F288" s="49" t="s">
        <v>210</v>
      </c>
      <c r="G288" s="39"/>
      <c r="H288" s="40"/>
      <c r="I288" s="42"/>
      <c r="J288" s="42"/>
      <c r="K288" s="42"/>
      <c r="L288" s="42"/>
      <c r="M288" s="163" t="s">
        <v>334</v>
      </c>
      <c r="N288" s="47"/>
      <c r="O288" s="143"/>
      <c r="P288" s="45">
        <f t="shared" si="529"/>
        <v>256</v>
      </c>
      <c r="Q288" s="46">
        <v>400</v>
      </c>
      <c r="R288" s="41" t="str">
        <f t="shared" si="530"/>
        <v>NX</v>
      </c>
      <c r="S288" s="185" t="s">
        <v>211</v>
      </c>
      <c r="T288" s="43"/>
      <c r="U288" s="41" t="s">
        <v>80</v>
      </c>
      <c r="V288" s="44"/>
      <c r="W288" s="22">
        <v>3</v>
      </c>
      <c r="X288" s="47" t="s">
        <v>212</v>
      </c>
      <c r="Y288" s="47">
        <v>1</v>
      </c>
      <c r="Z288" s="47">
        <v>400</v>
      </c>
      <c r="AA288" s="42" t="s">
        <v>195</v>
      </c>
      <c r="AB288" s="42" t="s">
        <v>80</v>
      </c>
      <c r="AC288" s="166"/>
      <c r="AD288" s="160"/>
      <c r="AE288" s="162"/>
      <c r="AF288" s="175" t="str">
        <f t="shared" si="501"/>
        <v xml:space="preserve">                                                                                                                                                                                                                                                                                                                                                                                                                </v>
      </c>
      <c r="AG288" s="174" t="str">
        <f t="shared" si="483"/>
        <v>NG</v>
      </c>
      <c r="AH288" s="162"/>
      <c r="AI288" s="276" t="str">
        <f>IF(OR(AE$8="判定対象外",AH$8="判定対象外",AH288="-"),"-",IF(AE288=AH288,"OK","NG"))</f>
        <v>OK</v>
      </c>
      <c r="AJ288" s="160"/>
      <c r="AK288" s="162"/>
      <c r="AL288" s="175" t="str">
        <f t="shared" si="500"/>
        <v xml:space="preserve">                                                                                                                                                                                                                                                                                                                                                                                                                </v>
      </c>
      <c r="AM288" s="174" t="str">
        <f t="shared" si="528"/>
        <v>NG</v>
      </c>
      <c r="AN288" s="162"/>
      <c r="AO288" s="276" t="str">
        <f>IF(OR(AK$8="判定対象外",AN$8="判定対象外",AN288="-"),"-",IF(AK288=AN288,"OK","NG"))</f>
        <v>OK</v>
      </c>
      <c r="AP288" s="160"/>
      <c r="AQ288" s="162"/>
      <c r="AR288" s="175" t="str">
        <f t="shared" si="502"/>
        <v xml:space="preserve">                                                                                                                                                                                                                                                                                                                                                                                                                </v>
      </c>
      <c r="AS288" s="174" t="str">
        <f t="shared" si="484"/>
        <v>NG</v>
      </c>
      <c r="AT288" s="162"/>
      <c r="AU288" s="276" t="str">
        <f>IF(OR(AQ$8="判定対象外",AT$8="判定対象外",AT288="-"),"-",IF(AQ288=AT288,"OK","NG"))</f>
        <v>OK</v>
      </c>
      <c r="AV288" s="160"/>
      <c r="AW288" s="162"/>
      <c r="AX288" s="175" t="str">
        <f t="shared" si="503"/>
        <v xml:space="preserve">                                                                                                                                                                                                                                                                                                                                                                                                                </v>
      </c>
      <c r="AY288" s="174" t="str">
        <f t="shared" si="485"/>
        <v>NG</v>
      </c>
      <c r="AZ288" s="162"/>
      <c r="BA288" s="276" t="str">
        <f>IF(OR(AW$8="判定対象外",AZ$8="判定対象外",AZ288="-"),"-",IF(AW288=AZ288,"OK","NG"))</f>
        <v>OK</v>
      </c>
      <c r="BB288" s="160"/>
      <c r="BC288" s="162"/>
      <c r="BD288" s="175" t="str">
        <f t="shared" si="504"/>
        <v xml:space="preserve">                                                                                                                                                                                                                                                                                                                                                                                                                </v>
      </c>
      <c r="BE288" s="174" t="str">
        <f t="shared" si="486"/>
        <v>NG</v>
      </c>
      <c r="BF288" s="162"/>
      <c r="BG288" s="276" t="str">
        <f>IF(OR(BC$8="判定対象外",BF$8="判定対象外",BF288="-"),"-",IF(BC288=BF288,"OK","NG"))</f>
        <v>OK</v>
      </c>
      <c r="BH288" s="160"/>
      <c r="BI288" s="162"/>
      <c r="BJ288" s="175" t="str">
        <f t="shared" si="505"/>
        <v xml:space="preserve">                                                                                                                                                                                                                                                                                                                                                                                                                </v>
      </c>
      <c r="BK288" s="174" t="str">
        <f t="shared" si="487"/>
        <v>NG</v>
      </c>
      <c r="BL288" s="162"/>
      <c r="BM288" s="276" t="str">
        <f>IF(OR(BI$8="判定対象外",BL$8="判定対象外",BL288="-"),"-",IF(BI288=BL288,"OK","NG"))</f>
        <v>OK</v>
      </c>
      <c r="BN288" s="160"/>
      <c r="BO288" s="162"/>
      <c r="BP288" s="175" t="str">
        <f t="shared" si="506"/>
        <v xml:space="preserve">                                                                                                                                                                                                                                                                                                                                                                                                                </v>
      </c>
      <c r="BQ288" s="174" t="str">
        <f t="shared" si="488"/>
        <v>NG</v>
      </c>
      <c r="BR288" s="162"/>
      <c r="BS288" s="276" t="str">
        <f>IF(OR(BO$8="判定対象外",BR$8="判定対象外",BR288="-"),"-",IF(BO288=BR288,"OK","NG"))</f>
        <v>OK</v>
      </c>
      <c r="BT288" s="160"/>
      <c r="BU288" s="162"/>
      <c r="BV288" s="175" t="str">
        <f t="shared" si="507"/>
        <v xml:space="preserve">                                                                                                                                                                                                                                                                                                                                                                                                                </v>
      </c>
      <c r="BW288" s="174" t="str">
        <f t="shared" si="489"/>
        <v>NG</v>
      </c>
      <c r="BX288" s="162"/>
      <c r="BY288" s="276" t="str">
        <f>IF(OR(BU$8="判定対象外",BX$8="判定対象外",BX288="-"),"-",IF(BU288=BX288,"OK","NG"))</f>
        <v>OK</v>
      </c>
      <c r="BZ288" s="160"/>
      <c r="CA288" s="162"/>
      <c r="CB288" s="175" t="str">
        <f t="shared" si="508"/>
        <v xml:space="preserve">                                                                                                                                                                                                                                                                                                                                                                                                                </v>
      </c>
      <c r="CC288" s="174" t="str">
        <f t="shared" si="490"/>
        <v>NG</v>
      </c>
      <c r="CD288" s="162"/>
      <c r="CE288" s="276" t="str">
        <f>IF(OR(CA$8="判定対象外",CD$8="判定対象外",CD288="-"),"-",IF(CA288=CD288,"OK","NG"))</f>
        <v>OK</v>
      </c>
      <c r="CF288" s="160"/>
      <c r="CG288" s="162"/>
      <c r="CH288" s="175" t="str">
        <f t="shared" si="509"/>
        <v xml:space="preserve">                                                                                                                                                                                                                                                                                                                                                                                                                </v>
      </c>
      <c r="CI288" s="174" t="str">
        <f t="shared" si="491"/>
        <v>NG</v>
      </c>
      <c r="CJ288" s="162"/>
      <c r="CK288" s="276" t="str">
        <f>IF(OR(CG$8="判定対象外",CJ$8="判定対象外",CJ288="-"),"-",IF(CG288=CJ288,"OK","NG"))</f>
        <v>OK</v>
      </c>
      <c r="CL288" s="160"/>
      <c r="CM288" s="162"/>
      <c r="CN288" s="175" t="str">
        <f t="shared" si="510"/>
        <v xml:space="preserve">                                                                                                                                                                                                                                                                                                                                                                                                                </v>
      </c>
      <c r="CO288" s="174" t="str">
        <f t="shared" si="492"/>
        <v>NG</v>
      </c>
      <c r="CP288" s="162"/>
      <c r="CQ288" s="276" t="str">
        <f>IF(OR(CM$8="判定対象外",CP$8="判定対象外",CP288="-"),"-",IF(CM288=CP288,"OK","NG"))</f>
        <v>OK</v>
      </c>
      <c r="CR288" s="160"/>
      <c r="CS288" s="162"/>
      <c r="CT288" s="175" t="str">
        <f t="shared" si="511"/>
        <v xml:space="preserve">                                                                                                                                                                                                                                                                                                                                                                                                                </v>
      </c>
      <c r="CU288" s="174" t="str">
        <f t="shared" si="493"/>
        <v>NG</v>
      </c>
      <c r="CV288" s="162"/>
      <c r="CW288" s="276" t="str">
        <f>IF(OR(CS$8="判定対象外",CV$8="判定対象外",CV288="-"),"-",IF(CS288=CV288,"OK","NG"))</f>
        <v>OK</v>
      </c>
      <c r="CX288" s="160"/>
      <c r="CY288" s="162"/>
      <c r="CZ288" s="175" t="str">
        <f t="shared" si="512"/>
        <v xml:space="preserve">                                                                                                                                                                                                                                                                                                                                                                                                                </v>
      </c>
      <c r="DA288" s="174" t="str">
        <f t="shared" si="494"/>
        <v>NG</v>
      </c>
      <c r="DB288" s="162"/>
      <c r="DC288" s="276" t="str">
        <f>IF(OR(CY$8="判定対象外",DB$8="判定対象外",DB288="-"),"-",IF(CY288=DB288,"OK","NG"))</f>
        <v>OK</v>
      </c>
      <c r="DD288" s="160"/>
      <c r="DE288" s="162"/>
      <c r="DF288" s="175" t="str">
        <f t="shared" si="513"/>
        <v xml:space="preserve">                                                                                                                                                                                                                                                                                                                                                                                                                </v>
      </c>
      <c r="DG288" s="174" t="str">
        <f t="shared" si="495"/>
        <v>NG</v>
      </c>
      <c r="DH288" s="162"/>
      <c r="DI288" s="276" t="str">
        <f>IF(OR(DE$8="判定対象外",DH$8="判定対象外",DH288="-"),"-",IF(DE288=DH288,"OK","NG"))</f>
        <v>OK</v>
      </c>
      <c r="DJ288" s="160"/>
      <c r="DK288" s="162"/>
      <c r="DL288" s="175" t="str">
        <f t="shared" si="514"/>
        <v xml:space="preserve">                                                                                                                                                                                                                                                                                                                                                                                                                </v>
      </c>
      <c r="DM288" s="174" t="str">
        <f t="shared" si="496"/>
        <v>NG</v>
      </c>
      <c r="DN288" s="162"/>
      <c r="DO288" s="276" t="str">
        <f>IF(OR(DK$8="判定対象外",DN$8="判定対象外",DN288="-"),"-",IF(DK288=DN288,"OK","NG"))</f>
        <v>OK</v>
      </c>
      <c r="DP288" s="160"/>
      <c r="DQ288" s="162"/>
      <c r="DR288" s="175" t="str">
        <f t="shared" si="515"/>
        <v xml:space="preserve">                                                                                                                                                                                                                                                                                                                                                                                                                </v>
      </c>
      <c r="DS288" s="174" t="str">
        <f t="shared" si="473"/>
        <v>NG</v>
      </c>
      <c r="DT288" s="162"/>
      <c r="DU288" s="276" t="str">
        <f>IF(OR(DQ$8="判定対象外",DT$8="判定対象外",DT288="-"),"-",IF(DQ288=DT288,"OK","NG"))</f>
        <v>OK</v>
      </c>
      <c r="DV288" s="160"/>
      <c r="DW288" s="162"/>
      <c r="DX288" s="175" t="str">
        <f t="shared" si="516"/>
        <v xml:space="preserve">                                                                                                                                                                                                                                                                                                                                                                                                                </v>
      </c>
      <c r="DY288" s="174" t="str">
        <f t="shared" si="474"/>
        <v>NG</v>
      </c>
      <c r="DZ288" s="162"/>
      <c r="EA288" s="276" t="str">
        <f>IF(OR(DW$8="判定対象外",DZ$8="判定対象外",DZ288="-"),"-",IF(DW288=DZ288,"OK","NG"))</f>
        <v>OK</v>
      </c>
      <c r="EB288" s="160"/>
      <c r="EC288" s="162"/>
      <c r="ED288" s="175" t="str">
        <f t="shared" si="517"/>
        <v xml:space="preserve">                                                                                                                                                                                                                                                                                                                                                                                                                </v>
      </c>
      <c r="EE288" s="174" t="str">
        <f t="shared" si="475"/>
        <v>NG</v>
      </c>
      <c r="EF288" s="162"/>
      <c r="EG288" s="276" t="str">
        <f>IF(OR(EC$8="判定対象外",EF$8="判定対象外",EF288="-"),"-",IF(EC288=EF288,"OK","NG"))</f>
        <v>OK</v>
      </c>
      <c r="EH288" s="160"/>
      <c r="EI288" s="162"/>
      <c r="EJ288" s="175" t="str">
        <f t="shared" si="518"/>
        <v xml:space="preserve">                                                                                                                                                                                                                                                                                                                                                                                                                </v>
      </c>
      <c r="EK288" s="174" t="str">
        <f t="shared" si="476"/>
        <v>NG</v>
      </c>
      <c r="EL288" s="162"/>
      <c r="EM288" s="276" t="str">
        <f>IF(OR(EI$8="判定対象外",EL$8="判定対象外",EL288="-"),"-",IF(EI288=EL288,"OK","NG"))</f>
        <v>OK</v>
      </c>
      <c r="EN288" s="160"/>
      <c r="EO288" s="162"/>
      <c r="EP288" s="175" t="str">
        <f t="shared" si="519"/>
        <v xml:space="preserve">                                                                                                                                                                                                                                                                                                                                                                                                                </v>
      </c>
      <c r="EQ288" s="174" t="str">
        <f t="shared" si="477"/>
        <v>NG</v>
      </c>
      <c r="ER288" s="162"/>
      <c r="ES288" s="276" t="str">
        <f>IF(OR(EO$8="判定対象外",ER$8="判定対象外",ER288="-"),"-",IF(EO288=ER288,"OK","NG"))</f>
        <v>OK</v>
      </c>
      <c r="ET288" s="160"/>
      <c r="EU288" s="162"/>
      <c r="EV288" s="175" t="str">
        <f t="shared" si="520"/>
        <v xml:space="preserve">                                                                                                                                                                                                                                                                                                                                                                                                                </v>
      </c>
      <c r="EW288" s="174" t="str">
        <f t="shared" si="478"/>
        <v>NG</v>
      </c>
      <c r="EX288" s="162"/>
      <c r="EY288" s="276" t="str">
        <f>IF(OR(EU$8="判定対象外",EX$8="判定対象外",EX288="-"),"-",IF(EU288=EX288,"OK","NG"))</f>
        <v>OK</v>
      </c>
      <c r="EZ288" s="160"/>
      <c r="FA288" s="162"/>
      <c r="FB288" s="175" t="str">
        <f t="shared" si="521"/>
        <v xml:space="preserve">                                                                                                                                                                                                                                                                                                                                                                                                                </v>
      </c>
      <c r="FC288" s="174" t="str">
        <f t="shared" si="479"/>
        <v>NG</v>
      </c>
      <c r="FD288" s="162"/>
      <c r="FE288" s="276" t="str">
        <f>IF(OR(FA$8="判定対象外",FD$8="判定対象外",FD288="-"),"-",IF(FA288=FD288,"OK","NG"))</f>
        <v>OK</v>
      </c>
      <c r="FF288" s="160"/>
      <c r="FG288" s="162"/>
      <c r="FH288" s="175" t="str">
        <f t="shared" si="522"/>
        <v xml:space="preserve">                                                                                                                                                                                                                                                                                                                                                                                                                </v>
      </c>
      <c r="FI288" s="174" t="str">
        <f t="shared" si="480"/>
        <v>NG</v>
      </c>
      <c r="FJ288" s="162"/>
      <c r="FK288" s="276" t="str">
        <f>IF(OR(FG$8="判定対象外",FJ$8="判定対象外",FJ288="-"),"-",IF(FG288=FJ288,"OK","NG"))</f>
        <v>OK</v>
      </c>
      <c r="FL288" s="160"/>
      <c r="FM288" s="162"/>
      <c r="FN288" s="175" t="str">
        <f t="shared" si="523"/>
        <v xml:space="preserve">                                                                                                                                                                                                                                                                                                                                                                                                                </v>
      </c>
      <c r="FO288" s="174" t="str">
        <f t="shared" si="497"/>
        <v>NG</v>
      </c>
      <c r="FP288" s="162"/>
      <c r="FQ288" s="276" t="str">
        <f>IF(OR(FM$8="判定対象外",FP$8="判定対象外",FP288="-"),"-",IF(FM288=FP288,"OK","NG"))</f>
        <v>OK</v>
      </c>
      <c r="FR288" s="160"/>
      <c r="FS288" s="162"/>
      <c r="FT288" s="175" t="str">
        <f t="shared" si="524"/>
        <v xml:space="preserve">                                                                                                                                                                                                                                                                                                                                                                                                                </v>
      </c>
      <c r="FU288" s="174" t="str">
        <f t="shared" si="498"/>
        <v>NG</v>
      </c>
      <c r="FV288" s="162"/>
      <c r="FW288" s="276" t="str">
        <f>IF(OR(FS$8="判定対象外",FV$8="判定対象外",FV288="-"),"-",IF(FS288=FV288,"OK","NG"))</f>
        <v>OK</v>
      </c>
      <c r="FX288" s="160"/>
      <c r="FY288" s="162"/>
      <c r="FZ288" s="175" t="str">
        <f t="shared" si="525"/>
        <v xml:space="preserve">                                                                                                                                                                                                                                                                                                                                                                                                                </v>
      </c>
      <c r="GA288" s="174" t="str">
        <f t="shared" si="499"/>
        <v>NG</v>
      </c>
      <c r="GB288" s="162"/>
      <c r="GC288" s="276" t="str">
        <f>IF(OR(FY$8="判定対象外",GB$8="判定対象外",GB288="-"),"-",IF(FY288=GB288,"OK","NG"))</f>
        <v>OK</v>
      </c>
    </row>
    <row r="289" spans="2:185" s="52" customFormat="1" ht="63.75">
      <c r="B289" s="216">
        <f t="shared" si="527"/>
        <v>282</v>
      </c>
      <c r="C289" s="37"/>
      <c r="D289" s="37"/>
      <c r="E289" s="37"/>
      <c r="F289" s="49" t="s">
        <v>213</v>
      </c>
      <c r="G289" s="39"/>
      <c r="H289" s="40"/>
      <c r="I289" s="42"/>
      <c r="J289" s="42"/>
      <c r="K289" s="42"/>
      <c r="L289" s="42"/>
      <c r="M289" s="163" t="s">
        <v>335</v>
      </c>
      <c r="N289" s="47"/>
      <c r="O289" s="143"/>
      <c r="P289" s="45">
        <f t="shared" si="529"/>
        <v>257</v>
      </c>
      <c r="Q289" s="46">
        <v>400</v>
      </c>
      <c r="R289" s="41" t="str">
        <f t="shared" si="530"/>
        <v>NX</v>
      </c>
      <c r="S289" s="185" t="s">
        <v>214</v>
      </c>
      <c r="T289" s="43"/>
      <c r="U289" s="41" t="s">
        <v>80</v>
      </c>
      <c r="V289" s="44"/>
      <c r="W289" s="22">
        <v>3</v>
      </c>
      <c r="X289" s="47" t="s">
        <v>215</v>
      </c>
      <c r="Y289" s="47">
        <v>1</v>
      </c>
      <c r="Z289" s="47">
        <v>400</v>
      </c>
      <c r="AA289" s="42" t="s">
        <v>195</v>
      </c>
      <c r="AB289" s="42" t="s">
        <v>80</v>
      </c>
      <c r="AC289" s="166"/>
      <c r="AD289" s="160"/>
      <c r="AE289" s="162"/>
      <c r="AF289" s="146" t="str">
        <f t="shared" si="501"/>
        <v xml:space="preserve">                                                                                                                                                                                                                                                                                                                                                                                                                </v>
      </c>
      <c r="AG289" s="174" t="str">
        <f t="shared" si="483"/>
        <v>NG</v>
      </c>
      <c r="AH289" s="162"/>
      <c r="AI289" s="172" t="s">
        <v>71</v>
      </c>
      <c r="AJ289" s="160"/>
      <c r="AK289" s="162"/>
      <c r="AL289" s="146" t="str">
        <f t="shared" si="500"/>
        <v xml:space="preserve">                                                                                                                                                                                                                                                                                                                                                                                                                </v>
      </c>
      <c r="AM289" s="174" t="str">
        <f t="shared" si="528"/>
        <v>NG</v>
      </c>
      <c r="AN289" s="162"/>
      <c r="AO289" s="172" t="s">
        <v>71</v>
      </c>
      <c r="AP289" s="160"/>
      <c r="AQ289" s="162"/>
      <c r="AR289" s="146" t="str">
        <f t="shared" si="502"/>
        <v xml:space="preserve">                                                                                                                                                                                                                                                                                                                                                                                                                </v>
      </c>
      <c r="AS289" s="174" t="str">
        <f t="shared" si="484"/>
        <v>NG</v>
      </c>
      <c r="AT289" s="162"/>
      <c r="AU289" s="172" t="s">
        <v>71</v>
      </c>
      <c r="AV289" s="160"/>
      <c r="AW289" s="162"/>
      <c r="AX289" s="146" t="str">
        <f t="shared" si="503"/>
        <v xml:space="preserve">                                                                                                                                                                                                                                                                                                                                                                                                                </v>
      </c>
      <c r="AY289" s="174" t="str">
        <f t="shared" si="485"/>
        <v>NG</v>
      </c>
      <c r="AZ289" s="162"/>
      <c r="BA289" s="172" t="s">
        <v>71</v>
      </c>
      <c r="BB289" s="160"/>
      <c r="BC289" s="162"/>
      <c r="BD289" s="146" t="str">
        <f t="shared" si="504"/>
        <v xml:space="preserve">                                                                                                                                                                                                                                                                                                                                                                                                                </v>
      </c>
      <c r="BE289" s="174" t="str">
        <f t="shared" si="486"/>
        <v>NG</v>
      </c>
      <c r="BF289" s="162"/>
      <c r="BG289" s="172" t="s">
        <v>71</v>
      </c>
      <c r="BH289" s="160"/>
      <c r="BI289" s="162"/>
      <c r="BJ289" s="146" t="str">
        <f t="shared" si="505"/>
        <v xml:space="preserve">                                                                                                                                                                                                                                                                                                                                                                                                                </v>
      </c>
      <c r="BK289" s="174" t="str">
        <f t="shared" si="487"/>
        <v>NG</v>
      </c>
      <c r="BL289" s="162"/>
      <c r="BM289" s="172" t="s">
        <v>71</v>
      </c>
      <c r="BN289" s="160"/>
      <c r="BO289" s="162"/>
      <c r="BP289" s="146" t="str">
        <f t="shared" si="506"/>
        <v xml:space="preserve">                                                                                                                                                                                                                                                                                                                                                                                                                </v>
      </c>
      <c r="BQ289" s="174" t="str">
        <f t="shared" si="488"/>
        <v>NG</v>
      </c>
      <c r="BR289" s="162"/>
      <c r="BS289" s="172" t="s">
        <v>71</v>
      </c>
      <c r="BT289" s="160"/>
      <c r="BU289" s="162"/>
      <c r="BV289" s="146" t="str">
        <f t="shared" si="507"/>
        <v xml:space="preserve">                                                                                                                                                                                                                                                                                                                                                                                                                </v>
      </c>
      <c r="BW289" s="174" t="str">
        <f t="shared" si="489"/>
        <v>NG</v>
      </c>
      <c r="BX289" s="162"/>
      <c r="BY289" s="172" t="s">
        <v>71</v>
      </c>
      <c r="BZ289" s="160"/>
      <c r="CA289" s="162"/>
      <c r="CB289" s="146" t="str">
        <f t="shared" si="508"/>
        <v xml:space="preserve">                                                                                                                                                                                                                                                                                                                                                                                                                </v>
      </c>
      <c r="CC289" s="174" t="str">
        <f t="shared" si="490"/>
        <v>NG</v>
      </c>
      <c r="CD289" s="162"/>
      <c r="CE289" s="172" t="s">
        <v>71</v>
      </c>
      <c r="CF289" s="160"/>
      <c r="CG289" s="162"/>
      <c r="CH289" s="146" t="str">
        <f t="shared" si="509"/>
        <v xml:space="preserve">                                                                                                                                                                                                                                                                                                                                                                                                                </v>
      </c>
      <c r="CI289" s="174" t="str">
        <f t="shared" si="491"/>
        <v>NG</v>
      </c>
      <c r="CJ289" s="162"/>
      <c r="CK289" s="172" t="s">
        <v>71</v>
      </c>
      <c r="CL289" s="160"/>
      <c r="CM289" s="162"/>
      <c r="CN289" s="146" t="str">
        <f t="shared" si="510"/>
        <v xml:space="preserve">                                                                                                                                                                                                                                                                                                                                                                                                                </v>
      </c>
      <c r="CO289" s="174" t="str">
        <f t="shared" si="492"/>
        <v>NG</v>
      </c>
      <c r="CP289" s="162"/>
      <c r="CQ289" s="172" t="s">
        <v>71</v>
      </c>
      <c r="CR289" s="160"/>
      <c r="CS289" s="162"/>
      <c r="CT289" s="146" t="str">
        <f t="shared" si="511"/>
        <v xml:space="preserve">                                                                                                                                                                                                                                                                                                                                                                                                                </v>
      </c>
      <c r="CU289" s="174" t="str">
        <f t="shared" si="493"/>
        <v>NG</v>
      </c>
      <c r="CV289" s="162"/>
      <c r="CW289" s="172" t="s">
        <v>71</v>
      </c>
      <c r="CX289" s="160"/>
      <c r="CY289" s="162"/>
      <c r="CZ289" s="146" t="str">
        <f t="shared" si="512"/>
        <v xml:space="preserve">                                                                                                                                                                                                                                                                                                                                                                                                                </v>
      </c>
      <c r="DA289" s="174" t="str">
        <f t="shared" si="494"/>
        <v>NG</v>
      </c>
      <c r="DB289" s="162"/>
      <c r="DC289" s="172" t="s">
        <v>71</v>
      </c>
      <c r="DD289" s="160"/>
      <c r="DE289" s="162"/>
      <c r="DF289" s="146" t="str">
        <f t="shared" si="513"/>
        <v xml:space="preserve">                                                                                                                                                                                                                                                                                                                                                                                                                </v>
      </c>
      <c r="DG289" s="174" t="str">
        <f t="shared" si="495"/>
        <v>NG</v>
      </c>
      <c r="DH289" s="162"/>
      <c r="DI289" s="172" t="s">
        <v>71</v>
      </c>
      <c r="DJ289" s="160"/>
      <c r="DK289" s="162"/>
      <c r="DL289" s="146" t="str">
        <f t="shared" si="514"/>
        <v xml:space="preserve">                                                                                                                                                                                                                                                                                                                                                                                                                </v>
      </c>
      <c r="DM289" s="174" t="str">
        <f t="shared" si="496"/>
        <v>NG</v>
      </c>
      <c r="DN289" s="162"/>
      <c r="DO289" s="172" t="s">
        <v>71</v>
      </c>
      <c r="DP289" s="160"/>
      <c r="DQ289" s="162"/>
      <c r="DR289" s="146" t="str">
        <f t="shared" si="515"/>
        <v xml:space="preserve">                                                                                                                                                                                                                                                                                                                                                                                                                </v>
      </c>
      <c r="DS289" s="174" t="str">
        <f t="shared" si="473"/>
        <v>NG</v>
      </c>
      <c r="DT289" s="162"/>
      <c r="DU289" s="172" t="s">
        <v>71</v>
      </c>
      <c r="DV289" s="160"/>
      <c r="DW289" s="162"/>
      <c r="DX289" s="146" t="str">
        <f t="shared" si="516"/>
        <v xml:space="preserve">                                                                                                                                                                                                                                                                                                                                                                                                                </v>
      </c>
      <c r="DY289" s="174" t="str">
        <f t="shared" si="474"/>
        <v>NG</v>
      </c>
      <c r="DZ289" s="162"/>
      <c r="EA289" s="172" t="s">
        <v>71</v>
      </c>
      <c r="EB289" s="160"/>
      <c r="EC289" s="162"/>
      <c r="ED289" s="146" t="str">
        <f t="shared" si="517"/>
        <v xml:space="preserve">                                                                                                                                                                                                                                                                                                                                                                                                                </v>
      </c>
      <c r="EE289" s="174" t="str">
        <f t="shared" si="475"/>
        <v>NG</v>
      </c>
      <c r="EF289" s="162"/>
      <c r="EG289" s="172" t="s">
        <v>71</v>
      </c>
      <c r="EH289" s="160"/>
      <c r="EI289" s="162"/>
      <c r="EJ289" s="146" t="str">
        <f t="shared" si="518"/>
        <v xml:space="preserve">                                                                                                                                                                                                                                                                                                                                                                                                                </v>
      </c>
      <c r="EK289" s="174" t="str">
        <f t="shared" si="476"/>
        <v>NG</v>
      </c>
      <c r="EL289" s="162"/>
      <c r="EM289" s="172" t="s">
        <v>71</v>
      </c>
      <c r="EN289" s="160"/>
      <c r="EO289" s="162"/>
      <c r="EP289" s="146" t="str">
        <f t="shared" si="519"/>
        <v xml:space="preserve">                                                                                                                                                                                                                                                                                                                                                                                                                </v>
      </c>
      <c r="EQ289" s="174" t="str">
        <f t="shared" si="477"/>
        <v>NG</v>
      </c>
      <c r="ER289" s="162"/>
      <c r="ES289" s="172" t="s">
        <v>71</v>
      </c>
      <c r="ET289" s="160"/>
      <c r="EU289" s="162"/>
      <c r="EV289" s="146" t="str">
        <f t="shared" si="520"/>
        <v xml:space="preserve">                                                                                                                                                                                                                                                                                                                                                                                                                </v>
      </c>
      <c r="EW289" s="174" t="str">
        <f t="shared" si="478"/>
        <v>NG</v>
      </c>
      <c r="EX289" s="162"/>
      <c r="EY289" s="172" t="s">
        <v>71</v>
      </c>
      <c r="EZ289" s="160"/>
      <c r="FA289" s="162"/>
      <c r="FB289" s="146" t="str">
        <f t="shared" si="521"/>
        <v xml:space="preserve">                                                                                                                                                                                                                                                                                                                                                                                                                </v>
      </c>
      <c r="FC289" s="174" t="str">
        <f t="shared" si="479"/>
        <v>NG</v>
      </c>
      <c r="FD289" s="162"/>
      <c r="FE289" s="172" t="s">
        <v>71</v>
      </c>
      <c r="FF289" s="160"/>
      <c r="FG289" s="162"/>
      <c r="FH289" s="146" t="str">
        <f t="shared" si="522"/>
        <v xml:space="preserve">                                                                                                                                                                                                                                                                                                                                                                                                                </v>
      </c>
      <c r="FI289" s="174" t="str">
        <f t="shared" si="480"/>
        <v>NG</v>
      </c>
      <c r="FJ289" s="162"/>
      <c r="FK289" s="172" t="s">
        <v>71</v>
      </c>
      <c r="FL289" s="160"/>
      <c r="FM289" s="162"/>
      <c r="FN289" s="146" t="str">
        <f t="shared" si="523"/>
        <v xml:space="preserve">                                                                                                                                                                                                                                                                                                                                                                                                                </v>
      </c>
      <c r="FO289" s="174" t="str">
        <f t="shared" si="497"/>
        <v>NG</v>
      </c>
      <c r="FP289" s="162"/>
      <c r="FQ289" s="172" t="s">
        <v>71</v>
      </c>
      <c r="FR289" s="160"/>
      <c r="FS289" s="162"/>
      <c r="FT289" s="146" t="str">
        <f t="shared" si="524"/>
        <v xml:space="preserve">                                                                                                                                                                                                                                                                                                                                                                                                                </v>
      </c>
      <c r="FU289" s="174" t="str">
        <f t="shared" si="498"/>
        <v>NG</v>
      </c>
      <c r="FV289" s="162"/>
      <c r="FW289" s="172" t="s">
        <v>71</v>
      </c>
      <c r="FX289" s="160"/>
      <c r="FY289" s="162"/>
      <c r="FZ289" s="146" t="str">
        <f t="shared" si="525"/>
        <v xml:space="preserve">                                                                                                                                                                                                                                                                                                                                                                                                                </v>
      </c>
      <c r="GA289" s="174" t="str">
        <f t="shared" si="499"/>
        <v>NG</v>
      </c>
      <c r="GB289" s="162"/>
      <c r="GC289" s="172" t="s">
        <v>71</v>
      </c>
    </row>
    <row r="290" spans="2:185" s="52" customFormat="1">
      <c r="B290" s="216">
        <f t="shared" si="527"/>
        <v>283</v>
      </c>
      <c r="C290" s="37"/>
      <c r="D290" s="37"/>
      <c r="E290" s="37"/>
      <c r="F290" s="49" t="s">
        <v>216</v>
      </c>
      <c r="G290" s="39"/>
      <c r="H290" s="40"/>
      <c r="I290" s="42"/>
      <c r="J290" s="42"/>
      <c r="K290" s="42"/>
      <c r="L290" s="42"/>
      <c r="M290" s="63" t="s">
        <v>336</v>
      </c>
      <c r="N290" s="47"/>
      <c r="O290" s="143"/>
      <c r="P290" s="45">
        <f t="shared" si="529"/>
        <v>258</v>
      </c>
      <c r="Q290" s="46">
        <v>400</v>
      </c>
      <c r="R290" s="41" t="str">
        <f t="shared" si="530"/>
        <v>NX</v>
      </c>
      <c r="S290" s="185" t="s">
        <v>217</v>
      </c>
      <c r="T290" s="43"/>
      <c r="U290" s="41" t="s">
        <v>80</v>
      </c>
      <c r="V290" s="44"/>
      <c r="W290" s="22">
        <v>3</v>
      </c>
      <c r="X290" s="47" t="s">
        <v>218</v>
      </c>
      <c r="Y290" s="47">
        <v>1</v>
      </c>
      <c r="Z290" s="47">
        <v>400</v>
      </c>
      <c r="AA290" s="42" t="s">
        <v>195</v>
      </c>
      <c r="AB290" s="42" t="s">
        <v>80</v>
      </c>
      <c r="AC290" s="166"/>
      <c r="AD290" s="160"/>
      <c r="AE290" s="141"/>
      <c r="AF290" s="146" t="str">
        <f t="shared" si="501"/>
        <v xml:space="preserve">                                                                                                                                                                                                                                                                                                                                                                                                                </v>
      </c>
      <c r="AG290" s="174" t="str">
        <f t="shared" si="483"/>
        <v>NG</v>
      </c>
      <c r="AH290" s="141"/>
      <c r="AI290" s="172" t="s">
        <v>71</v>
      </c>
      <c r="AJ290" s="160"/>
      <c r="AK290" s="141"/>
      <c r="AL290" s="146" t="str">
        <f t="shared" si="500"/>
        <v xml:space="preserve">                                                                                                                                                                                                                                                                                                                                                                                                                </v>
      </c>
      <c r="AM290" s="174" t="str">
        <f t="shared" si="528"/>
        <v>NG</v>
      </c>
      <c r="AN290" s="141"/>
      <c r="AO290" s="172" t="s">
        <v>71</v>
      </c>
      <c r="AP290" s="160"/>
      <c r="AQ290" s="141"/>
      <c r="AR290" s="146" t="str">
        <f t="shared" si="502"/>
        <v xml:space="preserve">                                                                                                                                                                                                                                                                                                                                                                                                                </v>
      </c>
      <c r="AS290" s="174" t="str">
        <f t="shared" si="484"/>
        <v>NG</v>
      </c>
      <c r="AT290" s="141"/>
      <c r="AU290" s="172" t="s">
        <v>71</v>
      </c>
      <c r="AV290" s="160"/>
      <c r="AW290" s="141"/>
      <c r="AX290" s="146" t="str">
        <f t="shared" si="503"/>
        <v xml:space="preserve">                                                                                                                                                                                                                                                                                                                                                                                                                </v>
      </c>
      <c r="AY290" s="174" t="str">
        <f t="shared" si="485"/>
        <v>NG</v>
      </c>
      <c r="AZ290" s="141"/>
      <c r="BA290" s="172" t="s">
        <v>71</v>
      </c>
      <c r="BB290" s="160"/>
      <c r="BC290" s="141"/>
      <c r="BD290" s="146" t="str">
        <f t="shared" si="504"/>
        <v xml:space="preserve">                                                                                                                                                                                                                                                                                                                                                                                                                </v>
      </c>
      <c r="BE290" s="174" t="str">
        <f t="shared" si="486"/>
        <v>NG</v>
      </c>
      <c r="BF290" s="141"/>
      <c r="BG290" s="172" t="s">
        <v>71</v>
      </c>
      <c r="BH290" s="160"/>
      <c r="BI290" s="141"/>
      <c r="BJ290" s="146" t="str">
        <f t="shared" si="505"/>
        <v xml:space="preserve">                                                                                                                                                                                                                                                                                                                                                                                                                </v>
      </c>
      <c r="BK290" s="174" t="str">
        <f t="shared" si="487"/>
        <v>NG</v>
      </c>
      <c r="BL290" s="141"/>
      <c r="BM290" s="172" t="s">
        <v>71</v>
      </c>
      <c r="BN290" s="160"/>
      <c r="BO290" s="141"/>
      <c r="BP290" s="146" t="str">
        <f t="shared" si="506"/>
        <v xml:space="preserve">                                                                                                                                                                                                                                                                                                                                                                                                                </v>
      </c>
      <c r="BQ290" s="174" t="str">
        <f t="shared" si="488"/>
        <v>NG</v>
      </c>
      <c r="BR290" s="141"/>
      <c r="BS290" s="172" t="s">
        <v>71</v>
      </c>
      <c r="BT290" s="160"/>
      <c r="BU290" s="141"/>
      <c r="BV290" s="146" t="str">
        <f t="shared" si="507"/>
        <v xml:space="preserve">                                                                                                                                                                                                                                                                                                                                                                                                                </v>
      </c>
      <c r="BW290" s="174" t="str">
        <f t="shared" si="489"/>
        <v>NG</v>
      </c>
      <c r="BX290" s="141"/>
      <c r="BY290" s="172" t="s">
        <v>71</v>
      </c>
      <c r="BZ290" s="160"/>
      <c r="CA290" s="141"/>
      <c r="CB290" s="146" t="str">
        <f t="shared" si="508"/>
        <v xml:space="preserve">                                                                                                                                                                                                                                                                                                                                                                                                                </v>
      </c>
      <c r="CC290" s="174" t="str">
        <f t="shared" si="490"/>
        <v>NG</v>
      </c>
      <c r="CD290" s="141"/>
      <c r="CE290" s="172" t="s">
        <v>71</v>
      </c>
      <c r="CF290" s="160"/>
      <c r="CG290" s="141"/>
      <c r="CH290" s="146" t="str">
        <f t="shared" si="509"/>
        <v xml:space="preserve">                                                                                                                                                                                                                                                                                                                                                                                                                </v>
      </c>
      <c r="CI290" s="174" t="str">
        <f t="shared" si="491"/>
        <v>NG</v>
      </c>
      <c r="CJ290" s="141"/>
      <c r="CK290" s="172" t="s">
        <v>71</v>
      </c>
      <c r="CL290" s="160"/>
      <c r="CM290" s="141"/>
      <c r="CN290" s="146" t="str">
        <f t="shared" si="510"/>
        <v xml:space="preserve">                                                                                                                                                                                                                                                                                                                                                                                                                </v>
      </c>
      <c r="CO290" s="174" t="str">
        <f t="shared" si="492"/>
        <v>NG</v>
      </c>
      <c r="CP290" s="141"/>
      <c r="CQ290" s="172" t="s">
        <v>71</v>
      </c>
      <c r="CR290" s="160"/>
      <c r="CS290" s="141"/>
      <c r="CT290" s="146" t="str">
        <f t="shared" si="511"/>
        <v xml:space="preserve">                                                                                                                                                                                                                                                                                                                                                                                                                </v>
      </c>
      <c r="CU290" s="174" t="str">
        <f t="shared" si="493"/>
        <v>NG</v>
      </c>
      <c r="CV290" s="141"/>
      <c r="CW290" s="172" t="s">
        <v>71</v>
      </c>
      <c r="CX290" s="160"/>
      <c r="CY290" s="141"/>
      <c r="CZ290" s="146" t="str">
        <f t="shared" si="512"/>
        <v xml:space="preserve">                                                                                                                                                                                                                                                                                                                                                                                                                </v>
      </c>
      <c r="DA290" s="174" t="str">
        <f t="shared" si="494"/>
        <v>NG</v>
      </c>
      <c r="DB290" s="141"/>
      <c r="DC290" s="172" t="s">
        <v>71</v>
      </c>
      <c r="DD290" s="160"/>
      <c r="DE290" s="141"/>
      <c r="DF290" s="146" t="str">
        <f t="shared" si="513"/>
        <v xml:space="preserve">                                                                                                                                                                                                                                                                                                                                                                                                                </v>
      </c>
      <c r="DG290" s="174" t="str">
        <f t="shared" si="495"/>
        <v>NG</v>
      </c>
      <c r="DH290" s="141"/>
      <c r="DI290" s="172" t="s">
        <v>71</v>
      </c>
      <c r="DJ290" s="160"/>
      <c r="DK290" s="141"/>
      <c r="DL290" s="146" t="str">
        <f t="shared" si="514"/>
        <v xml:space="preserve">                                                                                                                                                                                                                                                                                                                                                                                                                </v>
      </c>
      <c r="DM290" s="174" t="str">
        <f t="shared" si="496"/>
        <v>NG</v>
      </c>
      <c r="DN290" s="141"/>
      <c r="DO290" s="172" t="s">
        <v>71</v>
      </c>
      <c r="DP290" s="160"/>
      <c r="DQ290" s="141"/>
      <c r="DR290" s="146" t="str">
        <f t="shared" si="515"/>
        <v xml:space="preserve">                                                                                                                                                                                                                                                                                                                                                                                                                </v>
      </c>
      <c r="DS290" s="174" t="str">
        <f t="shared" si="473"/>
        <v>NG</v>
      </c>
      <c r="DT290" s="141"/>
      <c r="DU290" s="172" t="s">
        <v>71</v>
      </c>
      <c r="DV290" s="160"/>
      <c r="DW290" s="141"/>
      <c r="DX290" s="146" t="str">
        <f t="shared" si="516"/>
        <v xml:space="preserve">                                                                                                                                                                                                                                                                                                                                                                                                                </v>
      </c>
      <c r="DY290" s="174" t="str">
        <f t="shared" si="474"/>
        <v>NG</v>
      </c>
      <c r="DZ290" s="141"/>
      <c r="EA290" s="172" t="s">
        <v>71</v>
      </c>
      <c r="EB290" s="160"/>
      <c r="EC290" s="141"/>
      <c r="ED290" s="146" t="str">
        <f t="shared" si="517"/>
        <v xml:space="preserve">                                                                                                                                                                                                                                                                                                                                                                                                                </v>
      </c>
      <c r="EE290" s="174" t="str">
        <f t="shared" si="475"/>
        <v>NG</v>
      </c>
      <c r="EF290" s="141"/>
      <c r="EG290" s="172" t="s">
        <v>71</v>
      </c>
      <c r="EH290" s="160"/>
      <c r="EI290" s="141"/>
      <c r="EJ290" s="146" t="str">
        <f t="shared" si="518"/>
        <v xml:space="preserve">                                                                                                                                                                                                                                                                                                                                                                                                                </v>
      </c>
      <c r="EK290" s="174" t="str">
        <f t="shared" si="476"/>
        <v>NG</v>
      </c>
      <c r="EL290" s="141"/>
      <c r="EM290" s="172" t="s">
        <v>71</v>
      </c>
      <c r="EN290" s="160"/>
      <c r="EO290" s="141"/>
      <c r="EP290" s="146" t="str">
        <f t="shared" si="519"/>
        <v xml:space="preserve">                                                                                                                                                                                                                                                                                                                                                                                                                </v>
      </c>
      <c r="EQ290" s="174" t="str">
        <f t="shared" si="477"/>
        <v>NG</v>
      </c>
      <c r="ER290" s="141"/>
      <c r="ES290" s="172" t="s">
        <v>71</v>
      </c>
      <c r="ET290" s="160"/>
      <c r="EU290" s="141"/>
      <c r="EV290" s="146" t="str">
        <f t="shared" si="520"/>
        <v xml:space="preserve">                                                                                                                                                                                                                                                                                                                                                                                                                </v>
      </c>
      <c r="EW290" s="174" t="str">
        <f t="shared" si="478"/>
        <v>NG</v>
      </c>
      <c r="EX290" s="141"/>
      <c r="EY290" s="172" t="s">
        <v>71</v>
      </c>
      <c r="EZ290" s="160"/>
      <c r="FA290" s="141"/>
      <c r="FB290" s="146" t="str">
        <f t="shared" si="521"/>
        <v xml:space="preserve">                                                                                                                                                                                                                                                                                                                                                                                                                </v>
      </c>
      <c r="FC290" s="174" t="str">
        <f t="shared" si="479"/>
        <v>NG</v>
      </c>
      <c r="FD290" s="141"/>
      <c r="FE290" s="172" t="s">
        <v>71</v>
      </c>
      <c r="FF290" s="160"/>
      <c r="FG290" s="141"/>
      <c r="FH290" s="146" t="str">
        <f t="shared" si="522"/>
        <v xml:space="preserve">                                                                                                                                                                                                                                                                                                                                                                                                                </v>
      </c>
      <c r="FI290" s="174" t="str">
        <f t="shared" si="480"/>
        <v>NG</v>
      </c>
      <c r="FJ290" s="141"/>
      <c r="FK290" s="172" t="s">
        <v>71</v>
      </c>
      <c r="FL290" s="160"/>
      <c r="FM290" s="141"/>
      <c r="FN290" s="146" t="str">
        <f t="shared" si="523"/>
        <v xml:space="preserve">                                                                                                                                                                                                                                                                                                                                                                                                                </v>
      </c>
      <c r="FO290" s="174" t="str">
        <f t="shared" si="497"/>
        <v>NG</v>
      </c>
      <c r="FP290" s="141"/>
      <c r="FQ290" s="172" t="s">
        <v>71</v>
      </c>
      <c r="FR290" s="160"/>
      <c r="FS290" s="141"/>
      <c r="FT290" s="146" t="str">
        <f t="shared" si="524"/>
        <v xml:space="preserve">                                                                                                                                                                                                                                                                                                                                                                                                                </v>
      </c>
      <c r="FU290" s="174" t="str">
        <f t="shared" si="498"/>
        <v>NG</v>
      </c>
      <c r="FV290" s="141"/>
      <c r="FW290" s="172" t="s">
        <v>71</v>
      </c>
      <c r="FX290" s="160"/>
      <c r="FY290" s="141"/>
      <c r="FZ290" s="146" t="str">
        <f t="shared" si="525"/>
        <v xml:space="preserve">                                                                                                                                                                                                                                                                                                                                                                                                                </v>
      </c>
      <c r="GA290" s="174" t="str">
        <f t="shared" si="499"/>
        <v>NG</v>
      </c>
      <c r="GB290" s="141"/>
      <c r="GC290" s="172" t="s">
        <v>71</v>
      </c>
    </row>
    <row r="291" spans="2:185" s="52" customFormat="1" ht="76.5">
      <c r="B291" s="216">
        <f t="shared" si="527"/>
        <v>284</v>
      </c>
      <c r="C291" s="37"/>
      <c r="D291" s="37"/>
      <c r="E291" s="37"/>
      <c r="F291" s="49" t="s">
        <v>219</v>
      </c>
      <c r="G291" s="39"/>
      <c r="H291" s="40"/>
      <c r="I291" s="42"/>
      <c r="J291" s="42"/>
      <c r="K291" s="42"/>
      <c r="L291" s="42"/>
      <c r="M291" s="63" t="s">
        <v>337</v>
      </c>
      <c r="N291" s="47"/>
      <c r="O291" s="143"/>
      <c r="P291" s="45">
        <f t="shared" si="529"/>
        <v>259</v>
      </c>
      <c r="Q291" s="46">
        <v>400</v>
      </c>
      <c r="R291" s="41" t="str">
        <f t="shared" si="530"/>
        <v>NX</v>
      </c>
      <c r="S291" s="185" t="s">
        <v>220</v>
      </c>
      <c r="T291" s="43"/>
      <c r="U291" s="41" t="s">
        <v>80</v>
      </c>
      <c r="V291" s="44"/>
      <c r="W291" s="22">
        <v>3</v>
      </c>
      <c r="X291" s="47" t="s">
        <v>221</v>
      </c>
      <c r="Y291" s="47">
        <v>1</v>
      </c>
      <c r="Z291" s="47">
        <v>400</v>
      </c>
      <c r="AA291" s="42" t="s">
        <v>195</v>
      </c>
      <c r="AB291" s="42" t="s">
        <v>80</v>
      </c>
      <c r="AC291" s="166"/>
      <c r="AD291" s="160"/>
      <c r="AE291" s="141"/>
      <c r="AF291" s="146" t="str">
        <f t="shared" si="501"/>
        <v xml:space="preserve">                                                                                                                                                                                                                                                                                                                                                                                                                </v>
      </c>
      <c r="AG291" s="174" t="str">
        <f t="shared" si="483"/>
        <v>NG</v>
      </c>
      <c r="AH291" s="141"/>
      <c r="AI291" s="172" t="s">
        <v>71</v>
      </c>
      <c r="AJ291" s="160"/>
      <c r="AK291" s="141"/>
      <c r="AL291" s="146" t="str">
        <f t="shared" si="500"/>
        <v xml:space="preserve">                                                                                                                                                                                                                                                                                                                                                                                                                </v>
      </c>
      <c r="AM291" s="174" t="str">
        <f t="shared" si="528"/>
        <v>NG</v>
      </c>
      <c r="AN291" s="141"/>
      <c r="AO291" s="172" t="s">
        <v>71</v>
      </c>
      <c r="AP291" s="160"/>
      <c r="AQ291" s="141"/>
      <c r="AR291" s="146" t="str">
        <f t="shared" si="502"/>
        <v xml:space="preserve">                                                                                                                                                                                                                                                                                                                                                                                                                </v>
      </c>
      <c r="AS291" s="174" t="str">
        <f t="shared" si="484"/>
        <v>NG</v>
      </c>
      <c r="AT291" s="141"/>
      <c r="AU291" s="172" t="s">
        <v>71</v>
      </c>
      <c r="AV291" s="160"/>
      <c r="AW291" s="141"/>
      <c r="AX291" s="146" t="str">
        <f t="shared" si="503"/>
        <v xml:space="preserve">                                                                                                                                                                                                                                                                                                                                                                                                                </v>
      </c>
      <c r="AY291" s="174" t="str">
        <f t="shared" si="485"/>
        <v>NG</v>
      </c>
      <c r="AZ291" s="141"/>
      <c r="BA291" s="172" t="s">
        <v>71</v>
      </c>
      <c r="BB291" s="160"/>
      <c r="BC291" s="141"/>
      <c r="BD291" s="146" t="str">
        <f t="shared" si="504"/>
        <v xml:space="preserve">                                                                                                                                                                                                                                                                                                                                                                                                                </v>
      </c>
      <c r="BE291" s="174" t="str">
        <f t="shared" si="486"/>
        <v>NG</v>
      </c>
      <c r="BF291" s="141"/>
      <c r="BG291" s="172" t="s">
        <v>71</v>
      </c>
      <c r="BH291" s="160"/>
      <c r="BI291" s="141"/>
      <c r="BJ291" s="146" t="str">
        <f t="shared" si="505"/>
        <v xml:space="preserve">                                                                                                                                                                                                                                                                                                                                                                                                                </v>
      </c>
      <c r="BK291" s="174" t="str">
        <f t="shared" si="487"/>
        <v>NG</v>
      </c>
      <c r="BL291" s="141"/>
      <c r="BM291" s="172" t="s">
        <v>71</v>
      </c>
      <c r="BN291" s="160"/>
      <c r="BO291" s="141"/>
      <c r="BP291" s="146" t="str">
        <f t="shared" si="506"/>
        <v xml:space="preserve">                                                                                                                                                                                                                                                                                                                                                                                                                </v>
      </c>
      <c r="BQ291" s="174" t="str">
        <f t="shared" si="488"/>
        <v>NG</v>
      </c>
      <c r="BR291" s="141"/>
      <c r="BS291" s="172" t="s">
        <v>71</v>
      </c>
      <c r="BT291" s="160"/>
      <c r="BU291" s="141"/>
      <c r="BV291" s="146" t="str">
        <f t="shared" si="507"/>
        <v xml:space="preserve">                                                                                                                                                                                                                                                                                                                                                                                                                </v>
      </c>
      <c r="BW291" s="174" t="str">
        <f t="shared" si="489"/>
        <v>NG</v>
      </c>
      <c r="BX291" s="141"/>
      <c r="BY291" s="172" t="s">
        <v>71</v>
      </c>
      <c r="BZ291" s="160"/>
      <c r="CA291" s="141"/>
      <c r="CB291" s="146" t="str">
        <f t="shared" si="508"/>
        <v xml:space="preserve">                                                                                                                                                                                                                                                                                                                                                                                                                </v>
      </c>
      <c r="CC291" s="174" t="str">
        <f t="shared" si="490"/>
        <v>NG</v>
      </c>
      <c r="CD291" s="141"/>
      <c r="CE291" s="172" t="s">
        <v>71</v>
      </c>
      <c r="CF291" s="160"/>
      <c r="CG291" s="141"/>
      <c r="CH291" s="146" t="str">
        <f t="shared" si="509"/>
        <v xml:space="preserve">                                                                                                                                                                                                                                                                                                                                                                                                                </v>
      </c>
      <c r="CI291" s="174" t="str">
        <f t="shared" si="491"/>
        <v>NG</v>
      </c>
      <c r="CJ291" s="141"/>
      <c r="CK291" s="172" t="s">
        <v>71</v>
      </c>
      <c r="CL291" s="160"/>
      <c r="CM291" s="141"/>
      <c r="CN291" s="146" t="str">
        <f t="shared" si="510"/>
        <v xml:space="preserve">                                                                                                                                                                                                                                                                                                                                                                                                                </v>
      </c>
      <c r="CO291" s="174" t="str">
        <f t="shared" si="492"/>
        <v>NG</v>
      </c>
      <c r="CP291" s="141"/>
      <c r="CQ291" s="172" t="s">
        <v>71</v>
      </c>
      <c r="CR291" s="160"/>
      <c r="CS291" s="141"/>
      <c r="CT291" s="146" t="str">
        <f t="shared" si="511"/>
        <v xml:space="preserve">                                                                                                                                                                                                                                                                                                                                                                                                                </v>
      </c>
      <c r="CU291" s="174" t="str">
        <f t="shared" si="493"/>
        <v>NG</v>
      </c>
      <c r="CV291" s="141"/>
      <c r="CW291" s="172" t="s">
        <v>71</v>
      </c>
      <c r="CX291" s="160"/>
      <c r="CY291" s="141"/>
      <c r="CZ291" s="146" t="str">
        <f t="shared" si="512"/>
        <v xml:space="preserve">                                                                                                                                                                                                                                                                                                                                                                                                                </v>
      </c>
      <c r="DA291" s="174" t="str">
        <f t="shared" si="494"/>
        <v>NG</v>
      </c>
      <c r="DB291" s="141"/>
      <c r="DC291" s="172" t="s">
        <v>71</v>
      </c>
      <c r="DD291" s="160"/>
      <c r="DE291" s="141"/>
      <c r="DF291" s="146" t="str">
        <f t="shared" si="513"/>
        <v xml:space="preserve">                                                                                                                                                                                                                                                                                                                                                                                                                </v>
      </c>
      <c r="DG291" s="174" t="str">
        <f t="shared" si="495"/>
        <v>NG</v>
      </c>
      <c r="DH291" s="141"/>
      <c r="DI291" s="172" t="s">
        <v>71</v>
      </c>
      <c r="DJ291" s="160"/>
      <c r="DK291" s="141"/>
      <c r="DL291" s="146" t="str">
        <f t="shared" si="514"/>
        <v xml:space="preserve">                                                                                                                                                                                                                                                                                                                                                                                                                </v>
      </c>
      <c r="DM291" s="174" t="str">
        <f t="shared" si="496"/>
        <v>NG</v>
      </c>
      <c r="DN291" s="141"/>
      <c r="DO291" s="172" t="s">
        <v>71</v>
      </c>
      <c r="DP291" s="160"/>
      <c r="DQ291" s="141"/>
      <c r="DR291" s="146" t="str">
        <f t="shared" si="515"/>
        <v xml:space="preserve">                                                                                                                                                                                                                                                                                                                                                                                                                </v>
      </c>
      <c r="DS291" s="174" t="str">
        <f t="shared" si="473"/>
        <v>NG</v>
      </c>
      <c r="DT291" s="141"/>
      <c r="DU291" s="172" t="s">
        <v>71</v>
      </c>
      <c r="DV291" s="160"/>
      <c r="DW291" s="141"/>
      <c r="DX291" s="146" t="str">
        <f t="shared" si="516"/>
        <v xml:space="preserve">                                                                                                                                                                                                                                                                                                                                                                                                                </v>
      </c>
      <c r="DY291" s="174" t="str">
        <f t="shared" si="474"/>
        <v>NG</v>
      </c>
      <c r="DZ291" s="141"/>
      <c r="EA291" s="172" t="s">
        <v>71</v>
      </c>
      <c r="EB291" s="160"/>
      <c r="EC291" s="141"/>
      <c r="ED291" s="146" t="str">
        <f t="shared" si="517"/>
        <v xml:space="preserve">                                                                                                                                                                                                                                                                                                                                                                                                                </v>
      </c>
      <c r="EE291" s="174" t="str">
        <f t="shared" si="475"/>
        <v>NG</v>
      </c>
      <c r="EF291" s="141"/>
      <c r="EG291" s="172" t="s">
        <v>71</v>
      </c>
      <c r="EH291" s="160"/>
      <c r="EI291" s="141"/>
      <c r="EJ291" s="146" t="str">
        <f t="shared" si="518"/>
        <v xml:space="preserve">                                                                                                                                                                                                                                                                                                                                                                                                                </v>
      </c>
      <c r="EK291" s="174" t="str">
        <f t="shared" si="476"/>
        <v>NG</v>
      </c>
      <c r="EL291" s="141"/>
      <c r="EM291" s="172" t="s">
        <v>71</v>
      </c>
      <c r="EN291" s="160"/>
      <c r="EO291" s="141"/>
      <c r="EP291" s="146" t="str">
        <f t="shared" si="519"/>
        <v xml:space="preserve">                                                                                                                                                                                                                                                                                                                                                                                                                </v>
      </c>
      <c r="EQ291" s="174" t="str">
        <f t="shared" si="477"/>
        <v>NG</v>
      </c>
      <c r="ER291" s="141"/>
      <c r="ES291" s="172" t="s">
        <v>71</v>
      </c>
      <c r="ET291" s="160"/>
      <c r="EU291" s="141"/>
      <c r="EV291" s="146" t="str">
        <f t="shared" si="520"/>
        <v xml:space="preserve">                                                                                                                                                                                                                                                                                                                                                                                                                </v>
      </c>
      <c r="EW291" s="174" t="str">
        <f t="shared" si="478"/>
        <v>NG</v>
      </c>
      <c r="EX291" s="141"/>
      <c r="EY291" s="172" t="s">
        <v>71</v>
      </c>
      <c r="EZ291" s="160"/>
      <c r="FA291" s="141"/>
      <c r="FB291" s="146" t="str">
        <f t="shared" si="521"/>
        <v xml:space="preserve">                                                                                                                                                                                                                                                                                                                                                                                                                </v>
      </c>
      <c r="FC291" s="174" t="str">
        <f t="shared" si="479"/>
        <v>NG</v>
      </c>
      <c r="FD291" s="141"/>
      <c r="FE291" s="172" t="s">
        <v>71</v>
      </c>
      <c r="FF291" s="160"/>
      <c r="FG291" s="141"/>
      <c r="FH291" s="146" t="str">
        <f t="shared" si="522"/>
        <v xml:space="preserve">                                                                                                                                                                                                                                                                                                                                                                                                                </v>
      </c>
      <c r="FI291" s="174" t="str">
        <f t="shared" si="480"/>
        <v>NG</v>
      </c>
      <c r="FJ291" s="141"/>
      <c r="FK291" s="172" t="s">
        <v>71</v>
      </c>
      <c r="FL291" s="160"/>
      <c r="FM291" s="141"/>
      <c r="FN291" s="146" t="str">
        <f t="shared" si="523"/>
        <v xml:space="preserve">                                                                                                                                                                                                                                                                                                                                                                                                                </v>
      </c>
      <c r="FO291" s="174" t="str">
        <f t="shared" si="497"/>
        <v>NG</v>
      </c>
      <c r="FP291" s="141"/>
      <c r="FQ291" s="172" t="s">
        <v>71</v>
      </c>
      <c r="FR291" s="160"/>
      <c r="FS291" s="141"/>
      <c r="FT291" s="146" t="str">
        <f t="shared" si="524"/>
        <v xml:space="preserve">                                                                                                                                                                                                                                                                                                                                                                                                                </v>
      </c>
      <c r="FU291" s="174" t="str">
        <f t="shared" si="498"/>
        <v>NG</v>
      </c>
      <c r="FV291" s="141"/>
      <c r="FW291" s="172" t="s">
        <v>71</v>
      </c>
      <c r="FX291" s="160"/>
      <c r="FY291" s="141"/>
      <c r="FZ291" s="146" t="str">
        <f t="shared" si="525"/>
        <v xml:space="preserve">                                                                                                                                                                                                                                                                                                                                                                                                                </v>
      </c>
      <c r="GA291" s="174" t="str">
        <f t="shared" si="499"/>
        <v>NG</v>
      </c>
      <c r="GB291" s="141"/>
      <c r="GC291" s="172" t="s">
        <v>71</v>
      </c>
    </row>
    <row r="292" spans="2:185" s="52" customFormat="1">
      <c r="B292" s="216">
        <f t="shared" si="527"/>
        <v>285</v>
      </c>
      <c r="C292" s="37"/>
      <c r="D292" s="37"/>
      <c r="E292" s="37"/>
      <c r="F292" s="49" t="s">
        <v>222</v>
      </c>
      <c r="G292" s="39"/>
      <c r="H292" s="40"/>
      <c r="I292" s="42"/>
      <c r="J292" s="42"/>
      <c r="K292" s="42"/>
      <c r="L292" s="42"/>
      <c r="M292" s="63" t="s">
        <v>336</v>
      </c>
      <c r="N292" s="47"/>
      <c r="O292" s="143"/>
      <c r="P292" s="45">
        <f t="shared" si="529"/>
        <v>260</v>
      </c>
      <c r="Q292" s="46">
        <v>400</v>
      </c>
      <c r="R292" s="41" t="str">
        <f t="shared" si="530"/>
        <v>NX</v>
      </c>
      <c r="S292" s="185" t="s">
        <v>223</v>
      </c>
      <c r="T292" s="43"/>
      <c r="U292" s="41" t="s">
        <v>80</v>
      </c>
      <c r="V292" s="44"/>
      <c r="W292" s="22">
        <v>3</v>
      </c>
      <c r="X292" s="47" t="s">
        <v>224</v>
      </c>
      <c r="Y292" s="47">
        <v>1</v>
      </c>
      <c r="Z292" s="47">
        <v>400</v>
      </c>
      <c r="AA292" s="42" t="s">
        <v>195</v>
      </c>
      <c r="AB292" s="42" t="s">
        <v>80</v>
      </c>
      <c r="AC292" s="166"/>
      <c r="AD292" s="160"/>
      <c r="AE292" s="141"/>
      <c r="AF292" s="146" t="str">
        <f t="shared" si="501"/>
        <v xml:space="preserve">                                                                                                                                                                                                                                                                                                                                                                                                                </v>
      </c>
      <c r="AG292" s="174" t="str">
        <f t="shared" si="483"/>
        <v>NG</v>
      </c>
      <c r="AH292" s="141"/>
      <c r="AI292" s="172" t="s">
        <v>71</v>
      </c>
      <c r="AJ292" s="160"/>
      <c r="AK292" s="141"/>
      <c r="AL292" s="146" t="str">
        <f t="shared" si="500"/>
        <v xml:space="preserve">                                                                                                                                                                                                                                                                                                                                                                                                                </v>
      </c>
      <c r="AM292" s="174" t="str">
        <f t="shared" si="528"/>
        <v>NG</v>
      </c>
      <c r="AN292" s="141"/>
      <c r="AO292" s="172" t="s">
        <v>71</v>
      </c>
      <c r="AP292" s="160"/>
      <c r="AQ292" s="141"/>
      <c r="AR292" s="146" t="str">
        <f t="shared" si="502"/>
        <v xml:space="preserve">                                                                                                                                                                                                                                                                                                                                                                                                                </v>
      </c>
      <c r="AS292" s="174" t="str">
        <f t="shared" si="484"/>
        <v>NG</v>
      </c>
      <c r="AT292" s="141"/>
      <c r="AU292" s="172" t="s">
        <v>71</v>
      </c>
      <c r="AV292" s="160"/>
      <c r="AW292" s="141"/>
      <c r="AX292" s="146" t="str">
        <f t="shared" si="503"/>
        <v xml:space="preserve">                                                                                                                                                                                                                                                                                                                                                                                                                </v>
      </c>
      <c r="AY292" s="174" t="str">
        <f t="shared" si="485"/>
        <v>NG</v>
      </c>
      <c r="AZ292" s="141"/>
      <c r="BA292" s="172" t="s">
        <v>71</v>
      </c>
      <c r="BB292" s="160"/>
      <c r="BC292" s="141"/>
      <c r="BD292" s="146" t="str">
        <f t="shared" si="504"/>
        <v xml:space="preserve">                                                                                                                                                                                                                                                                                                                                                                                                                </v>
      </c>
      <c r="BE292" s="174" t="str">
        <f t="shared" si="486"/>
        <v>NG</v>
      </c>
      <c r="BF292" s="141"/>
      <c r="BG292" s="172" t="s">
        <v>71</v>
      </c>
      <c r="BH292" s="160"/>
      <c r="BI292" s="141"/>
      <c r="BJ292" s="146" t="str">
        <f t="shared" si="505"/>
        <v xml:space="preserve">                                                                                                                                                                                                                                                                                                                                                                                                                </v>
      </c>
      <c r="BK292" s="174" t="str">
        <f t="shared" si="487"/>
        <v>NG</v>
      </c>
      <c r="BL292" s="141"/>
      <c r="BM292" s="172" t="s">
        <v>71</v>
      </c>
      <c r="BN292" s="160"/>
      <c r="BO292" s="141"/>
      <c r="BP292" s="146" t="str">
        <f t="shared" si="506"/>
        <v xml:space="preserve">                                                                                                                                                                                                                                                                                                                                                                                                                </v>
      </c>
      <c r="BQ292" s="174" t="str">
        <f t="shared" si="488"/>
        <v>NG</v>
      </c>
      <c r="BR292" s="141"/>
      <c r="BS292" s="172" t="s">
        <v>71</v>
      </c>
      <c r="BT292" s="160"/>
      <c r="BU292" s="141"/>
      <c r="BV292" s="146" t="str">
        <f t="shared" si="507"/>
        <v xml:space="preserve">                                                                                                                                                                                                                                                                                                                                                                                                                </v>
      </c>
      <c r="BW292" s="174" t="str">
        <f t="shared" si="489"/>
        <v>NG</v>
      </c>
      <c r="BX292" s="141"/>
      <c r="BY292" s="172" t="s">
        <v>71</v>
      </c>
      <c r="BZ292" s="160"/>
      <c r="CA292" s="141"/>
      <c r="CB292" s="146" t="str">
        <f t="shared" si="508"/>
        <v xml:space="preserve">                                                                                                                                                                                                                                                                                                                                                                                                                </v>
      </c>
      <c r="CC292" s="174" t="str">
        <f t="shared" si="490"/>
        <v>NG</v>
      </c>
      <c r="CD292" s="141"/>
      <c r="CE292" s="172" t="s">
        <v>71</v>
      </c>
      <c r="CF292" s="160"/>
      <c r="CG292" s="141"/>
      <c r="CH292" s="146" t="str">
        <f t="shared" si="509"/>
        <v xml:space="preserve">                                                                                                                                                                                                                                                                                                                                                                                                                </v>
      </c>
      <c r="CI292" s="174" t="str">
        <f t="shared" si="491"/>
        <v>NG</v>
      </c>
      <c r="CJ292" s="141"/>
      <c r="CK292" s="172" t="s">
        <v>71</v>
      </c>
      <c r="CL292" s="160"/>
      <c r="CM292" s="141"/>
      <c r="CN292" s="146" t="str">
        <f t="shared" si="510"/>
        <v xml:space="preserve">                                                                                                                                                                                                                                                                                                                                                                                                                </v>
      </c>
      <c r="CO292" s="174" t="str">
        <f t="shared" si="492"/>
        <v>NG</v>
      </c>
      <c r="CP292" s="141"/>
      <c r="CQ292" s="172" t="s">
        <v>71</v>
      </c>
      <c r="CR292" s="160"/>
      <c r="CS292" s="141"/>
      <c r="CT292" s="146" t="str">
        <f t="shared" si="511"/>
        <v xml:space="preserve">                                                                                                                                                                                                                                                                                                                                                                                                                </v>
      </c>
      <c r="CU292" s="174" t="str">
        <f t="shared" si="493"/>
        <v>NG</v>
      </c>
      <c r="CV292" s="141"/>
      <c r="CW292" s="172" t="s">
        <v>71</v>
      </c>
      <c r="CX292" s="160"/>
      <c r="CY292" s="141"/>
      <c r="CZ292" s="146" t="str">
        <f t="shared" si="512"/>
        <v xml:space="preserve">                                                                                                                                                                                                                                                                                                                                                                                                                </v>
      </c>
      <c r="DA292" s="174" t="str">
        <f t="shared" si="494"/>
        <v>NG</v>
      </c>
      <c r="DB292" s="141"/>
      <c r="DC292" s="172" t="s">
        <v>71</v>
      </c>
      <c r="DD292" s="160"/>
      <c r="DE292" s="141"/>
      <c r="DF292" s="146" t="str">
        <f t="shared" si="513"/>
        <v xml:space="preserve">                                                                                                                                                                                                                                                                                                                                                                                                                </v>
      </c>
      <c r="DG292" s="174" t="str">
        <f t="shared" si="495"/>
        <v>NG</v>
      </c>
      <c r="DH292" s="141"/>
      <c r="DI292" s="172" t="s">
        <v>71</v>
      </c>
      <c r="DJ292" s="160"/>
      <c r="DK292" s="141"/>
      <c r="DL292" s="146" t="str">
        <f t="shared" si="514"/>
        <v xml:space="preserve">                                                                                                                                                                                                                                                                                                                                                                                                                </v>
      </c>
      <c r="DM292" s="174" t="str">
        <f t="shared" si="496"/>
        <v>NG</v>
      </c>
      <c r="DN292" s="141"/>
      <c r="DO292" s="172" t="s">
        <v>71</v>
      </c>
      <c r="DP292" s="160"/>
      <c r="DQ292" s="141"/>
      <c r="DR292" s="146" t="str">
        <f t="shared" si="515"/>
        <v xml:space="preserve">                                                                                                                                                                                                                                                                                                                                                                                                                </v>
      </c>
      <c r="DS292" s="174" t="str">
        <f t="shared" si="473"/>
        <v>NG</v>
      </c>
      <c r="DT292" s="141"/>
      <c r="DU292" s="172" t="s">
        <v>71</v>
      </c>
      <c r="DV292" s="160"/>
      <c r="DW292" s="141"/>
      <c r="DX292" s="146" t="str">
        <f t="shared" si="516"/>
        <v xml:space="preserve">                                                                                                                                                                                                                                                                                                                                                                                                                </v>
      </c>
      <c r="DY292" s="174" t="str">
        <f t="shared" si="474"/>
        <v>NG</v>
      </c>
      <c r="DZ292" s="141"/>
      <c r="EA292" s="172" t="s">
        <v>71</v>
      </c>
      <c r="EB292" s="160"/>
      <c r="EC292" s="141"/>
      <c r="ED292" s="146" t="str">
        <f t="shared" si="517"/>
        <v xml:space="preserve">                                                                                                                                                                                                                                                                                                                                                                                                                </v>
      </c>
      <c r="EE292" s="174" t="str">
        <f t="shared" si="475"/>
        <v>NG</v>
      </c>
      <c r="EF292" s="141"/>
      <c r="EG292" s="172" t="s">
        <v>71</v>
      </c>
      <c r="EH292" s="160"/>
      <c r="EI292" s="141"/>
      <c r="EJ292" s="146" t="str">
        <f t="shared" si="518"/>
        <v xml:space="preserve">                                                                                                                                                                                                                                                                                                                                                                                                                </v>
      </c>
      <c r="EK292" s="174" t="str">
        <f t="shared" si="476"/>
        <v>NG</v>
      </c>
      <c r="EL292" s="141"/>
      <c r="EM292" s="172" t="s">
        <v>71</v>
      </c>
      <c r="EN292" s="160"/>
      <c r="EO292" s="141"/>
      <c r="EP292" s="146" t="str">
        <f t="shared" si="519"/>
        <v xml:space="preserve">                                                                                                                                                                                                                                                                                                                                                                                                                </v>
      </c>
      <c r="EQ292" s="174" t="str">
        <f t="shared" si="477"/>
        <v>NG</v>
      </c>
      <c r="ER292" s="141"/>
      <c r="ES292" s="172" t="s">
        <v>71</v>
      </c>
      <c r="ET292" s="160"/>
      <c r="EU292" s="141"/>
      <c r="EV292" s="146" t="str">
        <f t="shared" si="520"/>
        <v xml:space="preserve">                                                                                                                                                                                                                                                                                                                                                                                                                </v>
      </c>
      <c r="EW292" s="174" t="str">
        <f t="shared" si="478"/>
        <v>NG</v>
      </c>
      <c r="EX292" s="141"/>
      <c r="EY292" s="172" t="s">
        <v>71</v>
      </c>
      <c r="EZ292" s="160"/>
      <c r="FA292" s="141"/>
      <c r="FB292" s="146" t="str">
        <f t="shared" si="521"/>
        <v xml:space="preserve">                                                                                                                                                                                                                                                                                                                                                                                                                </v>
      </c>
      <c r="FC292" s="174" t="str">
        <f t="shared" si="479"/>
        <v>NG</v>
      </c>
      <c r="FD292" s="141"/>
      <c r="FE292" s="172" t="s">
        <v>71</v>
      </c>
      <c r="FF292" s="160"/>
      <c r="FG292" s="141"/>
      <c r="FH292" s="146" t="str">
        <f t="shared" si="522"/>
        <v xml:space="preserve">                                                                                                                                                                                                                                                                                                                                                                                                                </v>
      </c>
      <c r="FI292" s="174" t="str">
        <f t="shared" si="480"/>
        <v>NG</v>
      </c>
      <c r="FJ292" s="141"/>
      <c r="FK292" s="172" t="s">
        <v>71</v>
      </c>
      <c r="FL292" s="160"/>
      <c r="FM292" s="141"/>
      <c r="FN292" s="146" t="str">
        <f t="shared" si="523"/>
        <v xml:space="preserve">                                                                                                                                                                                                                                                                                                                                                                                                                </v>
      </c>
      <c r="FO292" s="174" t="str">
        <f t="shared" si="497"/>
        <v>NG</v>
      </c>
      <c r="FP292" s="141"/>
      <c r="FQ292" s="172" t="s">
        <v>71</v>
      </c>
      <c r="FR292" s="160"/>
      <c r="FS292" s="141"/>
      <c r="FT292" s="146" t="str">
        <f t="shared" si="524"/>
        <v xml:space="preserve">                                                                                                                                                                                                                                                                                                                                                                                                                </v>
      </c>
      <c r="FU292" s="174" t="str">
        <f t="shared" si="498"/>
        <v>NG</v>
      </c>
      <c r="FV292" s="141"/>
      <c r="FW292" s="172" t="s">
        <v>71</v>
      </c>
      <c r="FX292" s="160"/>
      <c r="FY292" s="141"/>
      <c r="FZ292" s="146" t="str">
        <f t="shared" si="525"/>
        <v xml:space="preserve">                                                                                                                                                                                                                                                                                                                                                                                                                </v>
      </c>
      <c r="GA292" s="174" t="str">
        <f t="shared" si="499"/>
        <v>NG</v>
      </c>
      <c r="GB292" s="141"/>
      <c r="GC292" s="172" t="s">
        <v>71</v>
      </c>
    </row>
    <row r="293" spans="2:185" s="52" customFormat="1">
      <c r="B293" s="216">
        <f t="shared" si="527"/>
        <v>286</v>
      </c>
      <c r="C293" s="37"/>
      <c r="D293" s="37"/>
      <c r="E293" s="37"/>
      <c r="F293" s="49" t="s">
        <v>225</v>
      </c>
      <c r="G293" s="39"/>
      <c r="H293" s="40"/>
      <c r="I293" s="42"/>
      <c r="J293" s="42"/>
      <c r="K293" s="42"/>
      <c r="L293" s="42"/>
      <c r="M293" s="63" t="s">
        <v>336</v>
      </c>
      <c r="N293" s="47"/>
      <c r="O293" s="143"/>
      <c r="P293" s="45">
        <f t="shared" si="529"/>
        <v>261</v>
      </c>
      <c r="Q293" s="46">
        <v>400</v>
      </c>
      <c r="R293" s="41" t="str">
        <f t="shared" si="530"/>
        <v>NX</v>
      </c>
      <c r="S293" s="185" t="s">
        <v>226</v>
      </c>
      <c r="T293" s="43"/>
      <c r="U293" s="41" t="s">
        <v>80</v>
      </c>
      <c r="V293" s="44"/>
      <c r="W293" s="22">
        <v>3</v>
      </c>
      <c r="X293" s="47" t="s">
        <v>227</v>
      </c>
      <c r="Y293" s="47">
        <v>1</v>
      </c>
      <c r="Z293" s="47">
        <v>400</v>
      </c>
      <c r="AA293" s="42" t="s">
        <v>195</v>
      </c>
      <c r="AB293" s="42" t="s">
        <v>80</v>
      </c>
      <c r="AC293" s="166"/>
      <c r="AD293" s="160"/>
      <c r="AE293" s="141"/>
      <c r="AF293" s="146" t="str">
        <f t="shared" si="501"/>
        <v xml:space="preserve">                                                                                                                                                                                                                                                                                                                                                                                                                </v>
      </c>
      <c r="AG293" s="174" t="str">
        <f t="shared" si="483"/>
        <v>NG</v>
      </c>
      <c r="AH293" s="141"/>
      <c r="AI293" s="172" t="s">
        <v>71</v>
      </c>
      <c r="AJ293" s="160"/>
      <c r="AK293" s="141"/>
      <c r="AL293" s="146" t="str">
        <f t="shared" si="500"/>
        <v xml:space="preserve">                                                                                                                                                                                                                                                                                                                                                                                                                </v>
      </c>
      <c r="AM293" s="174" t="str">
        <f t="shared" si="528"/>
        <v>NG</v>
      </c>
      <c r="AN293" s="141"/>
      <c r="AO293" s="172" t="s">
        <v>71</v>
      </c>
      <c r="AP293" s="160"/>
      <c r="AQ293" s="141"/>
      <c r="AR293" s="146" t="str">
        <f t="shared" si="502"/>
        <v xml:space="preserve">                                                                                                                                                                                                                                                                                                                                                                                                                </v>
      </c>
      <c r="AS293" s="174" t="str">
        <f t="shared" si="484"/>
        <v>NG</v>
      </c>
      <c r="AT293" s="141"/>
      <c r="AU293" s="172" t="s">
        <v>71</v>
      </c>
      <c r="AV293" s="160"/>
      <c r="AW293" s="141"/>
      <c r="AX293" s="146" t="str">
        <f t="shared" si="503"/>
        <v xml:space="preserve">                                                                                                                                                                                                                                                                                                                                                                                                                </v>
      </c>
      <c r="AY293" s="174" t="str">
        <f t="shared" si="485"/>
        <v>NG</v>
      </c>
      <c r="AZ293" s="141"/>
      <c r="BA293" s="172" t="s">
        <v>71</v>
      </c>
      <c r="BB293" s="160"/>
      <c r="BC293" s="141"/>
      <c r="BD293" s="146" t="str">
        <f t="shared" si="504"/>
        <v xml:space="preserve">                                                                                                                                                                                                                                                                                                                                                                                                                </v>
      </c>
      <c r="BE293" s="174" t="str">
        <f t="shared" si="486"/>
        <v>NG</v>
      </c>
      <c r="BF293" s="141"/>
      <c r="BG293" s="172" t="s">
        <v>71</v>
      </c>
      <c r="BH293" s="160"/>
      <c r="BI293" s="141"/>
      <c r="BJ293" s="146" t="str">
        <f t="shared" si="505"/>
        <v xml:space="preserve">                                                                                                                                                                                                                                                                                                                                                                                                                </v>
      </c>
      <c r="BK293" s="174" t="str">
        <f t="shared" si="487"/>
        <v>NG</v>
      </c>
      <c r="BL293" s="141"/>
      <c r="BM293" s="172" t="s">
        <v>71</v>
      </c>
      <c r="BN293" s="160"/>
      <c r="BO293" s="141"/>
      <c r="BP293" s="146" t="str">
        <f t="shared" si="506"/>
        <v xml:space="preserve">                                                                                                                                                                                                                                                                                                                                                                                                                </v>
      </c>
      <c r="BQ293" s="174" t="str">
        <f t="shared" si="488"/>
        <v>NG</v>
      </c>
      <c r="BR293" s="141"/>
      <c r="BS293" s="172" t="s">
        <v>71</v>
      </c>
      <c r="BT293" s="160"/>
      <c r="BU293" s="141"/>
      <c r="BV293" s="146" t="str">
        <f t="shared" si="507"/>
        <v xml:space="preserve">                                                                                                                                                                                                                                                                                                                                                                                                                </v>
      </c>
      <c r="BW293" s="174" t="str">
        <f t="shared" si="489"/>
        <v>NG</v>
      </c>
      <c r="BX293" s="141"/>
      <c r="BY293" s="172" t="s">
        <v>71</v>
      </c>
      <c r="BZ293" s="160"/>
      <c r="CA293" s="141"/>
      <c r="CB293" s="146" t="str">
        <f t="shared" si="508"/>
        <v xml:space="preserve">                                                                                                                                                                                                                                                                                                                                                                                                                </v>
      </c>
      <c r="CC293" s="174" t="str">
        <f t="shared" si="490"/>
        <v>NG</v>
      </c>
      <c r="CD293" s="141"/>
      <c r="CE293" s="172" t="s">
        <v>71</v>
      </c>
      <c r="CF293" s="160"/>
      <c r="CG293" s="141"/>
      <c r="CH293" s="146" t="str">
        <f t="shared" si="509"/>
        <v xml:space="preserve">                                                                                                                                                                                                                                                                                                                                                                                                                </v>
      </c>
      <c r="CI293" s="174" t="str">
        <f t="shared" si="491"/>
        <v>NG</v>
      </c>
      <c r="CJ293" s="141"/>
      <c r="CK293" s="172" t="s">
        <v>71</v>
      </c>
      <c r="CL293" s="160"/>
      <c r="CM293" s="141"/>
      <c r="CN293" s="146" t="str">
        <f t="shared" si="510"/>
        <v xml:space="preserve">                                                                                                                                                                                                                                                                                                                                                                                                                </v>
      </c>
      <c r="CO293" s="174" t="str">
        <f t="shared" si="492"/>
        <v>NG</v>
      </c>
      <c r="CP293" s="141"/>
      <c r="CQ293" s="172" t="s">
        <v>71</v>
      </c>
      <c r="CR293" s="160"/>
      <c r="CS293" s="141"/>
      <c r="CT293" s="146" t="str">
        <f t="shared" si="511"/>
        <v xml:space="preserve">                                                                                                                                                                                                                                                                                                                                                                                                                </v>
      </c>
      <c r="CU293" s="174" t="str">
        <f t="shared" si="493"/>
        <v>NG</v>
      </c>
      <c r="CV293" s="141"/>
      <c r="CW293" s="172" t="s">
        <v>71</v>
      </c>
      <c r="CX293" s="160"/>
      <c r="CY293" s="141"/>
      <c r="CZ293" s="146" t="str">
        <f t="shared" si="512"/>
        <v xml:space="preserve">                                                                                                                                                                                                                                                                                                                                                                                                                </v>
      </c>
      <c r="DA293" s="174" t="str">
        <f t="shared" si="494"/>
        <v>NG</v>
      </c>
      <c r="DB293" s="141"/>
      <c r="DC293" s="172" t="s">
        <v>71</v>
      </c>
      <c r="DD293" s="160"/>
      <c r="DE293" s="141"/>
      <c r="DF293" s="146" t="str">
        <f t="shared" si="513"/>
        <v xml:space="preserve">                                                                                                                                                                                                                                                                                                                                                                                                                </v>
      </c>
      <c r="DG293" s="174" t="str">
        <f t="shared" si="495"/>
        <v>NG</v>
      </c>
      <c r="DH293" s="141"/>
      <c r="DI293" s="172" t="s">
        <v>71</v>
      </c>
      <c r="DJ293" s="160"/>
      <c r="DK293" s="141"/>
      <c r="DL293" s="146" t="str">
        <f t="shared" si="514"/>
        <v xml:space="preserve">                                                                                                                                                                                                                                                                                                                                                                                                                </v>
      </c>
      <c r="DM293" s="174" t="str">
        <f t="shared" si="496"/>
        <v>NG</v>
      </c>
      <c r="DN293" s="141"/>
      <c r="DO293" s="172" t="s">
        <v>71</v>
      </c>
      <c r="DP293" s="160"/>
      <c r="DQ293" s="141"/>
      <c r="DR293" s="146" t="str">
        <f t="shared" si="515"/>
        <v xml:space="preserve">                                                                                                                                                                                                                                                                                                                                                                                                                </v>
      </c>
      <c r="DS293" s="174" t="str">
        <f t="shared" si="473"/>
        <v>NG</v>
      </c>
      <c r="DT293" s="141"/>
      <c r="DU293" s="172" t="s">
        <v>71</v>
      </c>
      <c r="DV293" s="160"/>
      <c r="DW293" s="141"/>
      <c r="DX293" s="146" t="str">
        <f t="shared" si="516"/>
        <v xml:space="preserve">                                                                                                                                                                                                                                                                                                                                                                                                                </v>
      </c>
      <c r="DY293" s="174" t="str">
        <f t="shared" si="474"/>
        <v>NG</v>
      </c>
      <c r="DZ293" s="141"/>
      <c r="EA293" s="172" t="s">
        <v>71</v>
      </c>
      <c r="EB293" s="160"/>
      <c r="EC293" s="141"/>
      <c r="ED293" s="146" t="str">
        <f t="shared" si="517"/>
        <v xml:space="preserve">                                                                                                                                                                                                                                                                                                                                                                                                                </v>
      </c>
      <c r="EE293" s="174" t="str">
        <f t="shared" si="475"/>
        <v>NG</v>
      </c>
      <c r="EF293" s="141"/>
      <c r="EG293" s="172" t="s">
        <v>71</v>
      </c>
      <c r="EH293" s="160"/>
      <c r="EI293" s="141"/>
      <c r="EJ293" s="146" t="str">
        <f t="shared" si="518"/>
        <v xml:space="preserve">                                                                                                                                                                                                                                                                                                                                                                                                                </v>
      </c>
      <c r="EK293" s="174" t="str">
        <f t="shared" si="476"/>
        <v>NG</v>
      </c>
      <c r="EL293" s="141"/>
      <c r="EM293" s="172" t="s">
        <v>71</v>
      </c>
      <c r="EN293" s="160"/>
      <c r="EO293" s="141"/>
      <c r="EP293" s="146" t="str">
        <f t="shared" si="519"/>
        <v xml:space="preserve">                                                                                                                                                                                                                                                                                                                                                                                                                </v>
      </c>
      <c r="EQ293" s="174" t="str">
        <f t="shared" si="477"/>
        <v>NG</v>
      </c>
      <c r="ER293" s="141"/>
      <c r="ES293" s="172" t="s">
        <v>71</v>
      </c>
      <c r="ET293" s="160"/>
      <c r="EU293" s="141"/>
      <c r="EV293" s="146" t="str">
        <f t="shared" si="520"/>
        <v xml:space="preserve">                                                                                                                                                                                                                                                                                                                                                                                                                </v>
      </c>
      <c r="EW293" s="174" t="str">
        <f t="shared" si="478"/>
        <v>NG</v>
      </c>
      <c r="EX293" s="141"/>
      <c r="EY293" s="172" t="s">
        <v>71</v>
      </c>
      <c r="EZ293" s="160"/>
      <c r="FA293" s="141"/>
      <c r="FB293" s="146" t="str">
        <f t="shared" si="521"/>
        <v xml:space="preserve">                                                                                                                                                                                                                                                                                                                                                                                                                </v>
      </c>
      <c r="FC293" s="174" t="str">
        <f t="shared" si="479"/>
        <v>NG</v>
      </c>
      <c r="FD293" s="141"/>
      <c r="FE293" s="172" t="s">
        <v>71</v>
      </c>
      <c r="FF293" s="160"/>
      <c r="FG293" s="141"/>
      <c r="FH293" s="146" t="str">
        <f t="shared" si="522"/>
        <v xml:space="preserve">                                                                                                                                                                                                                                                                                                                                                                                                                </v>
      </c>
      <c r="FI293" s="174" t="str">
        <f t="shared" si="480"/>
        <v>NG</v>
      </c>
      <c r="FJ293" s="141"/>
      <c r="FK293" s="172" t="s">
        <v>71</v>
      </c>
      <c r="FL293" s="160"/>
      <c r="FM293" s="141"/>
      <c r="FN293" s="146" t="str">
        <f t="shared" si="523"/>
        <v xml:space="preserve">                                                                                                                                                                                                                                                                                                                                                                                                                </v>
      </c>
      <c r="FO293" s="174" t="str">
        <f t="shared" si="497"/>
        <v>NG</v>
      </c>
      <c r="FP293" s="141"/>
      <c r="FQ293" s="172" t="s">
        <v>71</v>
      </c>
      <c r="FR293" s="160"/>
      <c r="FS293" s="141"/>
      <c r="FT293" s="146" t="str">
        <f t="shared" si="524"/>
        <v xml:space="preserve">                                                                                                                                                                                                                                                                                                                                                                                                                </v>
      </c>
      <c r="FU293" s="174" t="str">
        <f t="shared" si="498"/>
        <v>NG</v>
      </c>
      <c r="FV293" s="141"/>
      <c r="FW293" s="172" t="s">
        <v>71</v>
      </c>
      <c r="FX293" s="160"/>
      <c r="FY293" s="141"/>
      <c r="FZ293" s="146" t="str">
        <f t="shared" si="525"/>
        <v xml:space="preserve">                                                                                                                                                                                                                                                                                                                                                                                                                </v>
      </c>
      <c r="GA293" s="174" t="str">
        <f t="shared" si="499"/>
        <v>NG</v>
      </c>
      <c r="GB293" s="141"/>
      <c r="GC293" s="172" t="s">
        <v>71</v>
      </c>
    </row>
    <row r="294" spans="2:185" s="52" customFormat="1" ht="89.25">
      <c r="B294" s="216">
        <f t="shared" si="527"/>
        <v>287</v>
      </c>
      <c r="C294" s="37"/>
      <c r="D294" s="37"/>
      <c r="E294" s="37"/>
      <c r="F294" s="49" t="s">
        <v>228</v>
      </c>
      <c r="G294" s="39"/>
      <c r="H294" s="40"/>
      <c r="I294" s="42"/>
      <c r="J294" s="42"/>
      <c r="K294" s="42"/>
      <c r="L294" s="42"/>
      <c r="M294" s="63" t="s">
        <v>338</v>
      </c>
      <c r="N294" s="47"/>
      <c r="O294" s="143"/>
      <c r="P294" s="45">
        <f t="shared" si="529"/>
        <v>262</v>
      </c>
      <c r="Q294" s="46">
        <v>1</v>
      </c>
      <c r="R294" s="41" t="str">
        <f t="shared" si="530"/>
        <v>X</v>
      </c>
      <c r="S294" s="185" t="s">
        <v>229</v>
      </c>
      <c r="T294" s="43"/>
      <c r="U294" s="41" t="s">
        <v>80</v>
      </c>
      <c r="V294" s="44"/>
      <c r="W294" s="22">
        <v>3</v>
      </c>
      <c r="X294" s="47" t="s">
        <v>230</v>
      </c>
      <c r="Y294" s="47">
        <v>1</v>
      </c>
      <c r="Z294" s="47">
        <v>1</v>
      </c>
      <c r="AA294" s="42" t="s">
        <v>163</v>
      </c>
      <c r="AB294" s="42" t="s">
        <v>57</v>
      </c>
      <c r="AC294" s="217"/>
      <c r="AD294" s="160"/>
      <c r="AE294" s="162"/>
      <c r="AF294" s="203" t="str">
        <f t="shared" si="501"/>
        <v xml:space="preserve"> </v>
      </c>
      <c r="AG294" s="174" t="str">
        <f t="shared" si="483"/>
        <v>NG</v>
      </c>
      <c r="AH294" s="162"/>
      <c r="AI294" s="172" t="s">
        <v>71</v>
      </c>
      <c r="AJ294" s="160"/>
      <c r="AK294" s="162"/>
      <c r="AL294" s="203" t="str">
        <f t="shared" si="500"/>
        <v xml:space="preserve"> </v>
      </c>
      <c r="AM294" s="174" t="str">
        <f t="shared" si="528"/>
        <v>NG</v>
      </c>
      <c r="AN294" s="162"/>
      <c r="AO294" s="172" t="s">
        <v>71</v>
      </c>
      <c r="AP294" s="160"/>
      <c r="AQ294" s="162"/>
      <c r="AR294" s="203" t="str">
        <f t="shared" si="502"/>
        <v xml:space="preserve"> </v>
      </c>
      <c r="AS294" s="174" t="str">
        <f t="shared" si="484"/>
        <v>NG</v>
      </c>
      <c r="AT294" s="162"/>
      <c r="AU294" s="172" t="s">
        <v>71</v>
      </c>
      <c r="AV294" s="160"/>
      <c r="AW294" s="162"/>
      <c r="AX294" s="203" t="str">
        <f t="shared" si="503"/>
        <v xml:space="preserve"> </v>
      </c>
      <c r="AY294" s="174" t="str">
        <f t="shared" si="485"/>
        <v>NG</v>
      </c>
      <c r="AZ294" s="162"/>
      <c r="BA294" s="172" t="s">
        <v>71</v>
      </c>
      <c r="BB294" s="160"/>
      <c r="BC294" s="162"/>
      <c r="BD294" s="203" t="str">
        <f t="shared" si="504"/>
        <v xml:space="preserve"> </v>
      </c>
      <c r="BE294" s="174" t="str">
        <f t="shared" si="486"/>
        <v>NG</v>
      </c>
      <c r="BF294" s="162"/>
      <c r="BG294" s="172" t="s">
        <v>71</v>
      </c>
      <c r="BH294" s="160"/>
      <c r="BI294" s="162"/>
      <c r="BJ294" s="203" t="str">
        <f t="shared" si="505"/>
        <v xml:space="preserve"> </v>
      </c>
      <c r="BK294" s="174" t="str">
        <f t="shared" si="487"/>
        <v>NG</v>
      </c>
      <c r="BL294" s="162"/>
      <c r="BM294" s="172" t="s">
        <v>71</v>
      </c>
      <c r="BN294" s="160"/>
      <c r="BO294" s="162"/>
      <c r="BP294" s="203" t="str">
        <f t="shared" si="506"/>
        <v xml:space="preserve"> </v>
      </c>
      <c r="BQ294" s="174" t="str">
        <f t="shared" si="488"/>
        <v>NG</v>
      </c>
      <c r="BR294" s="162"/>
      <c r="BS294" s="172" t="s">
        <v>71</v>
      </c>
      <c r="BT294" s="160"/>
      <c r="BU294" s="162"/>
      <c r="BV294" s="203" t="str">
        <f t="shared" si="507"/>
        <v xml:space="preserve"> </v>
      </c>
      <c r="BW294" s="174" t="str">
        <f t="shared" si="489"/>
        <v>NG</v>
      </c>
      <c r="BX294" s="162"/>
      <c r="BY294" s="172" t="s">
        <v>71</v>
      </c>
      <c r="BZ294" s="160"/>
      <c r="CA294" s="162"/>
      <c r="CB294" s="203" t="str">
        <f t="shared" si="508"/>
        <v xml:space="preserve"> </v>
      </c>
      <c r="CC294" s="174" t="str">
        <f t="shared" si="490"/>
        <v>NG</v>
      </c>
      <c r="CD294" s="162"/>
      <c r="CE294" s="172" t="s">
        <v>71</v>
      </c>
      <c r="CF294" s="160"/>
      <c r="CG294" s="162"/>
      <c r="CH294" s="203" t="str">
        <f t="shared" si="509"/>
        <v xml:space="preserve"> </v>
      </c>
      <c r="CI294" s="174" t="str">
        <f t="shared" si="491"/>
        <v>NG</v>
      </c>
      <c r="CJ294" s="162"/>
      <c r="CK294" s="172" t="s">
        <v>71</v>
      </c>
      <c r="CL294" s="160"/>
      <c r="CM294" s="162"/>
      <c r="CN294" s="203" t="str">
        <f t="shared" si="510"/>
        <v xml:space="preserve"> </v>
      </c>
      <c r="CO294" s="174" t="str">
        <f t="shared" si="492"/>
        <v>NG</v>
      </c>
      <c r="CP294" s="162"/>
      <c r="CQ294" s="172" t="s">
        <v>71</v>
      </c>
      <c r="CR294" s="160"/>
      <c r="CS294" s="162"/>
      <c r="CT294" s="203" t="str">
        <f t="shared" si="511"/>
        <v xml:space="preserve"> </v>
      </c>
      <c r="CU294" s="174" t="str">
        <f t="shared" si="493"/>
        <v>NG</v>
      </c>
      <c r="CV294" s="162"/>
      <c r="CW294" s="172" t="s">
        <v>71</v>
      </c>
      <c r="CX294" s="160"/>
      <c r="CY294" s="162"/>
      <c r="CZ294" s="203" t="str">
        <f t="shared" si="512"/>
        <v xml:space="preserve"> </v>
      </c>
      <c r="DA294" s="174" t="str">
        <f t="shared" si="494"/>
        <v>NG</v>
      </c>
      <c r="DB294" s="162"/>
      <c r="DC294" s="172" t="s">
        <v>71</v>
      </c>
      <c r="DD294" s="160"/>
      <c r="DE294" s="162"/>
      <c r="DF294" s="203" t="str">
        <f t="shared" si="513"/>
        <v xml:space="preserve"> </v>
      </c>
      <c r="DG294" s="174" t="str">
        <f t="shared" si="495"/>
        <v>NG</v>
      </c>
      <c r="DH294" s="162"/>
      <c r="DI294" s="172" t="s">
        <v>71</v>
      </c>
      <c r="DJ294" s="160"/>
      <c r="DK294" s="162"/>
      <c r="DL294" s="203" t="str">
        <f t="shared" si="514"/>
        <v xml:space="preserve"> </v>
      </c>
      <c r="DM294" s="174" t="str">
        <f t="shared" si="496"/>
        <v>NG</v>
      </c>
      <c r="DN294" s="162"/>
      <c r="DO294" s="172" t="s">
        <v>71</v>
      </c>
      <c r="DP294" s="160"/>
      <c r="DQ294" s="162"/>
      <c r="DR294" s="203" t="str">
        <f t="shared" si="515"/>
        <v xml:space="preserve"> </v>
      </c>
      <c r="DS294" s="174" t="str">
        <f t="shared" si="473"/>
        <v>NG</v>
      </c>
      <c r="DT294" s="162"/>
      <c r="DU294" s="172" t="s">
        <v>71</v>
      </c>
      <c r="DV294" s="160"/>
      <c r="DW294" s="162"/>
      <c r="DX294" s="203" t="str">
        <f t="shared" si="516"/>
        <v xml:space="preserve"> </v>
      </c>
      <c r="DY294" s="174" t="str">
        <f t="shared" si="474"/>
        <v>NG</v>
      </c>
      <c r="DZ294" s="162"/>
      <c r="EA294" s="172" t="s">
        <v>71</v>
      </c>
      <c r="EB294" s="160"/>
      <c r="EC294" s="162"/>
      <c r="ED294" s="203" t="str">
        <f t="shared" si="517"/>
        <v xml:space="preserve"> </v>
      </c>
      <c r="EE294" s="174" t="str">
        <f t="shared" si="475"/>
        <v>NG</v>
      </c>
      <c r="EF294" s="162"/>
      <c r="EG294" s="172" t="s">
        <v>71</v>
      </c>
      <c r="EH294" s="160"/>
      <c r="EI294" s="162"/>
      <c r="EJ294" s="203" t="str">
        <f t="shared" si="518"/>
        <v xml:space="preserve"> </v>
      </c>
      <c r="EK294" s="174" t="str">
        <f t="shared" si="476"/>
        <v>NG</v>
      </c>
      <c r="EL294" s="162"/>
      <c r="EM294" s="172" t="s">
        <v>71</v>
      </c>
      <c r="EN294" s="160"/>
      <c r="EO294" s="162"/>
      <c r="EP294" s="203" t="str">
        <f t="shared" si="519"/>
        <v xml:space="preserve"> </v>
      </c>
      <c r="EQ294" s="174" t="str">
        <f t="shared" si="477"/>
        <v>NG</v>
      </c>
      <c r="ER294" s="162"/>
      <c r="ES294" s="172" t="s">
        <v>71</v>
      </c>
      <c r="ET294" s="160"/>
      <c r="EU294" s="162"/>
      <c r="EV294" s="203" t="str">
        <f t="shared" si="520"/>
        <v xml:space="preserve"> </v>
      </c>
      <c r="EW294" s="174" t="str">
        <f t="shared" si="478"/>
        <v>NG</v>
      </c>
      <c r="EX294" s="162"/>
      <c r="EY294" s="172" t="s">
        <v>71</v>
      </c>
      <c r="EZ294" s="160"/>
      <c r="FA294" s="162"/>
      <c r="FB294" s="203" t="str">
        <f t="shared" si="521"/>
        <v xml:space="preserve"> </v>
      </c>
      <c r="FC294" s="174" t="str">
        <f t="shared" si="479"/>
        <v>NG</v>
      </c>
      <c r="FD294" s="162"/>
      <c r="FE294" s="172" t="s">
        <v>71</v>
      </c>
      <c r="FF294" s="160"/>
      <c r="FG294" s="162"/>
      <c r="FH294" s="203" t="str">
        <f t="shared" si="522"/>
        <v xml:space="preserve"> </v>
      </c>
      <c r="FI294" s="174" t="str">
        <f t="shared" si="480"/>
        <v>NG</v>
      </c>
      <c r="FJ294" s="162"/>
      <c r="FK294" s="172" t="s">
        <v>71</v>
      </c>
      <c r="FL294" s="160"/>
      <c r="FM294" s="162"/>
      <c r="FN294" s="203" t="str">
        <f t="shared" si="523"/>
        <v xml:space="preserve"> </v>
      </c>
      <c r="FO294" s="174" t="str">
        <f t="shared" si="497"/>
        <v>NG</v>
      </c>
      <c r="FP294" s="162"/>
      <c r="FQ294" s="172" t="s">
        <v>71</v>
      </c>
      <c r="FR294" s="160"/>
      <c r="FS294" s="162"/>
      <c r="FT294" s="203" t="str">
        <f t="shared" si="524"/>
        <v xml:space="preserve"> </v>
      </c>
      <c r="FU294" s="174" t="str">
        <f t="shared" si="498"/>
        <v>NG</v>
      </c>
      <c r="FV294" s="162"/>
      <c r="FW294" s="172" t="s">
        <v>71</v>
      </c>
      <c r="FX294" s="160"/>
      <c r="FY294" s="162"/>
      <c r="FZ294" s="203" t="str">
        <f t="shared" si="525"/>
        <v xml:space="preserve"> </v>
      </c>
      <c r="GA294" s="174" t="str">
        <f t="shared" si="499"/>
        <v>NG</v>
      </c>
      <c r="GB294" s="162"/>
      <c r="GC294" s="172" t="s">
        <v>71</v>
      </c>
    </row>
    <row r="295" spans="2:185" s="52" customFormat="1">
      <c r="B295" s="216">
        <f t="shared" si="527"/>
        <v>288</v>
      </c>
      <c r="C295" s="37"/>
      <c r="D295" s="37"/>
      <c r="E295" s="37"/>
      <c r="F295" s="49" t="s">
        <v>231</v>
      </c>
      <c r="G295" s="39"/>
      <c r="H295" s="40"/>
      <c r="I295" s="42"/>
      <c r="J295" s="42"/>
      <c r="K295" s="42"/>
      <c r="L295" s="42"/>
      <c r="M295" s="63"/>
      <c r="N295" s="47"/>
      <c r="O295" s="143"/>
      <c r="P295" s="45">
        <f t="shared" si="529"/>
        <v>263</v>
      </c>
      <c r="Q295" s="46">
        <v>128</v>
      </c>
      <c r="R295" s="41" t="str">
        <f t="shared" si="530"/>
        <v>X</v>
      </c>
      <c r="S295" s="185" t="s">
        <v>232</v>
      </c>
      <c r="T295" s="43"/>
      <c r="U295" s="41" t="s">
        <v>80</v>
      </c>
      <c r="V295" s="44"/>
      <c r="W295" s="22">
        <v>3</v>
      </c>
      <c r="X295" s="47" t="s">
        <v>233</v>
      </c>
      <c r="Y295" s="47">
        <v>1</v>
      </c>
      <c r="Z295" s="47">
        <v>128</v>
      </c>
      <c r="AA295" s="42" t="s">
        <v>163</v>
      </c>
      <c r="AB295" s="42" t="s">
        <v>57</v>
      </c>
      <c r="AC295" s="166"/>
      <c r="AD295" s="160"/>
      <c r="AE295" s="141"/>
      <c r="AF295" s="203" t="str">
        <f t="shared" si="501"/>
        <v xml:space="preserve">                                                                                                                                </v>
      </c>
      <c r="AG295" s="174" t="str">
        <f t="shared" si="483"/>
        <v>NG</v>
      </c>
      <c r="AH295" s="141"/>
      <c r="AI295" s="276" t="str">
        <f>IF(OR(AE$8="判定対象外",AH$8="判定対象外",AH295="-"),"-",IF(AE295=AH295,"OK","NG"))</f>
        <v>OK</v>
      </c>
      <c r="AJ295" s="160"/>
      <c r="AK295" s="141"/>
      <c r="AL295" s="203" t="str">
        <f t="shared" si="500"/>
        <v xml:space="preserve">                                                                                                                                </v>
      </c>
      <c r="AM295" s="174" t="str">
        <f t="shared" si="528"/>
        <v>NG</v>
      </c>
      <c r="AN295" s="141"/>
      <c r="AO295" s="276" t="str">
        <f>IF(OR(AK$8="判定対象外",AN$8="判定対象外",AN295="-"),"-",IF(AK295=AN295,"OK","NG"))</f>
        <v>OK</v>
      </c>
      <c r="AP295" s="160"/>
      <c r="AQ295" s="141"/>
      <c r="AR295" s="203" t="str">
        <f t="shared" si="502"/>
        <v xml:space="preserve">                                                                                                                                </v>
      </c>
      <c r="AS295" s="174" t="str">
        <f t="shared" si="484"/>
        <v>NG</v>
      </c>
      <c r="AT295" s="141"/>
      <c r="AU295" s="276" t="str">
        <f>IF(OR(AQ$8="判定対象外",AT$8="判定対象外",AT295="-"),"-",IF(AQ295=AT295,"OK","NG"))</f>
        <v>OK</v>
      </c>
      <c r="AV295" s="160"/>
      <c r="AW295" s="141"/>
      <c r="AX295" s="203" t="str">
        <f t="shared" si="503"/>
        <v xml:space="preserve">                                                                                                                                </v>
      </c>
      <c r="AY295" s="174" t="str">
        <f t="shared" si="485"/>
        <v>NG</v>
      </c>
      <c r="AZ295" s="141"/>
      <c r="BA295" s="276" t="str">
        <f>IF(OR(AW$8="判定対象外",AZ$8="判定対象外",AZ295="-"),"-",IF(AW295=AZ295,"OK","NG"))</f>
        <v>OK</v>
      </c>
      <c r="BB295" s="160"/>
      <c r="BC295" s="141"/>
      <c r="BD295" s="203" t="str">
        <f t="shared" si="504"/>
        <v xml:space="preserve">                                                                                                                                </v>
      </c>
      <c r="BE295" s="174" t="str">
        <f t="shared" si="486"/>
        <v>NG</v>
      </c>
      <c r="BF295" s="141"/>
      <c r="BG295" s="276" t="str">
        <f>IF(OR(BC$8="判定対象外",BF$8="判定対象外",BF295="-"),"-",IF(BC295=BF295,"OK","NG"))</f>
        <v>OK</v>
      </c>
      <c r="BH295" s="160"/>
      <c r="BI295" s="141"/>
      <c r="BJ295" s="203" t="str">
        <f t="shared" si="505"/>
        <v xml:space="preserve">                                                                                                                                </v>
      </c>
      <c r="BK295" s="174" t="str">
        <f t="shared" si="487"/>
        <v>NG</v>
      </c>
      <c r="BL295" s="141"/>
      <c r="BM295" s="276" t="str">
        <f>IF(OR(BI$8="判定対象外",BL$8="判定対象外",BL295="-"),"-",IF(BI295=BL295,"OK","NG"))</f>
        <v>OK</v>
      </c>
      <c r="BN295" s="160"/>
      <c r="BO295" s="141"/>
      <c r="BP295" s="203" t="str">
        <f t="shared" si="506"/>
        <v xml:space="preserve">                                                                                                                                </v>
      </c>
      <c r="BQ295" s="174" t="str">
        <f t="shared" si="488"/>
        <v>NG</v>
      </c>
      <c r="BR295" s="141"/>
      <c r="BS295" s="276" t="str">
        <f>IF(OR(BO$8="判定対象外",BR$8="判定対象外",BR295="-"),"-",IF(BO295=BR295,"OK","NG"))</f>
        <v>OK</v>
      </c>
      <c r="BT295" s="160"/>
      <c r="BU295" s="141"/>
      <c r="BV295" s="203" t="str">
        <f t="shared" si="507"/>
        <v xml:space="preserve">                                                                                                                                </v>
      </c>
      <c r="BW295" s="174" t="str">
        <f t="shared" si="489"/>
        <v>NG</v>
      </c>
      <c r="BX295" s="141"/>
      <c r="BY295" s="276" t="str">
        <f>IF(OR(BU$8="判定対象外",BX$8="判定対象外",BX295="-"),"-",IF(BU295=BX295,"OK","NG"))</f>
        <v>OK</v>
      </c>
      <c r="BZ295" s="160"/>
      <c r="CA295" s="141"/>
      <c r="CB295" s="203" t="str">
        <f t="shared" si="508"/>
        <v xml:space="preserve">                                                                                                                                </v>
      </c>
      <c r="CC295" s="174" t="str">
        <f t="shared" si="490"/>
        <v>NG</v>
      </c>
      <c r="CD295" s="141"/>
      <c r="CE295" s="276" t="str">
        <f>IF(OR(CA$8="判定対象外",CD$8="判定対象外",CD295="-"),"-",IF(CA295=CD295,"OK","NG"))</f>
        <v>OK</v>
      </c>
      <c r="CF295" s="160"/>
      <c r="CG295" s="141"/>
      <c r="CH295" s="203" t="str">
        <f t="shared" si="509"/>
        <v xml:space="preserve">                                                                                                                                </v>
      </c>
      <c r="CI295" s="174" t="str">
        <f t="shared" si="491"/>
        <v>NG</v>
      </c>
      <c r="CJ295" s="141"/>
      <c r="CK295" s="276" t="str">
        <f>IF(OR(CG$8="判定対象外",CJ$8="判定対象外",CJ295="-"),"-",IF(CG295=CJ295,"OK","NG"))</f>
        <v>OK</v>
      </c>
      <c r="CL295" s="160"/>
      <c r="CM295" s="141"/>
      <c r="CN295" s="203" t="str">
        <f t="shared" si="510"/>
        <v xml:space="preserve">                                                                                                                                </v>
      </c>
      <c r="CO295" s="174" t="str">
        <f t="shared" si="492"/>
        <v>NG</v>
      </c>
      <c r="CP295" s="141"/>
      <c r="CQ295" s="276" t="str">
        <f>IF(OR(CM$8="判定対象外",CP$8="判定対象外",CP295="-"),"-",IF(CM295=CP295,"OK","NG"))</f>
        <v>OK</v>
      </c>
      <c r="CR295" s="160"/>
      <c r="CS295" s="141"/>
      <c r="CT295" s="203" t="str">
        <f t="shared" si="511"/>
        <v xml:space="preserve">                                                                                                                                </v>
      </c>
      <c r="CU295" s="174" t="str">
        <f t="shared" si="493"/>
        <v>NG</v>
      </c>
      <c r="CV295" s="141"/>
      <c r="CW295" s="276" t="str">
        <f>IF(OR(CS$8="判定対象外",CV$8="判定対象外",CV295="-"),"-",IF(CS295=CV295,"OK","NG"))</f>
        <v>OK</v>
      </c>
      <c r="CX295" s="160"/>
      <c r="CY295" s="141"/>
      <c r="CZ295" s="203" t="str">
        <f t="shared" si="512"/>
        <v xml:space="preserve">                                                                                                                                </v>
      </c>
      <c r="DA295" s="174" t="str">
        <f t="shared" si="494"/>
        <v>NG</v>
      </c>
      <c r="DB295" s="141"/>
      <c r="DC295" s="276" t="str">
        <f>IF(OR(CY$8="判定対象外",DB$8="判定対象外",DB295="-"),"-",IF(CY295=DB295,"OK","NG"))</f>
        <v>OK</v>
      </c>
      <c r="DD295" s="160"/>
      <c r="DE295" s="141"/>
      <c r="DF295" s="203" t="str">
        <f t="shared" si="513"/>
        <v xml:space="preserve">                                                                                                                                </v>
      </c>
      <c r="DG295" s="174" t="str">
        <f t="shared" si="495"/>
        <v>NG</v>
      </c>
      <c r="DH295" s="141"/>
      <c r="DI295" s="276" t="str">
        <f>IF(OR(DE$8="判定対象外",DH$8="判定対象外",DH295="-"),"-",IF(DE295=DH295,"OK","NG"))</f>
        <v>OK</v>
      </c>
      <c r="DJ295" s="160"/>
      <c r="DK295" s="141"/>
      <c r="DL295" s="203" t="str">
        <f t="shared" si="514"/>
        <v xml:space="preserve">                                                                                                                                </v>
      </c>
      <c r="DM295" s="174" t="str">
        <f t="shared" si="496"/>
        <v>NG</v>
      </c>
      <c r="DN295" s="141"/>
      <c r="DO295" s="276" t="str">
        <f>IF(OR(DK$8="判定対象外",DN$8="判定対象外",DN295="-"),"-",IF(DK295=DN295,"OK","NG"))</f>
        <v>OK</v>
      </c>
      <c r="DP295" s="160"/>
      <c r="DQ295" s="141"/>
      <c r="DR295" s="203" t="str">
        <f t="shared" si="515"/>
        <v xml:space="preserve">                                                                                                                                </v>
      </c>
      <c r="DS295" s="174" t="str">
        <f t="shared" si="473"/>
        <v>NG</v>
      </c>
      <c r="DT295" s="141"/>
      <c r="DU295" s="276" t="str">
        <f>IF(OR(DQ$8="判定対象外",DT$8="判定対象外",DT295="-"),"-",IF(DQ295=DT295,"OK","NG"))</f>
        <v>OK</v>
      </c>
      <c r="DV295" s="160"/>
      <c r="DW295" s="141"/>
      <c r="DX295" s="203" t="str">
        <f t="shared" si="516"/>
        <v xml:space="preserve">                                                                                                                                </v>
      </c>
      <c r="DY295" s="174" t="str">
        <f t="shared" si="474"/>
        <v>NG</v>
      </c>
      <c r="DZ295" s="141"/>
      <c r="EA295" s="276" t="str">
        <f>IF(OR(DW$8="判定対象外",DZ$8="判定対象外",DZ295="-"),"-",IF(DW295=DZ295,"OK","NG"))</f>
        <v>OK</v>
      </c>
      <c r="EB295" s="160"/>
      <c r="EC295" s="141"/>
      <c r="ED295" s="203" t="str">
        <f t="shared" si="517"/>
        <v xml:space="preserve">                                                                                                                                </v>
      </c>
      <c r="EE295" s="174" t="str">
        <f t="shared" si="475"/>
        <v>NG</v>
      </c>
      <c r="EF295" s="141"/>
      <c r="EG295" s="276" t="str">
        <f>IF(OR(EC$8="判定対象外",EF$8="判定対象外",EF295="-"),"-",IF(EC295=EF295,"OK","NG"))</f>
        <v>OK</v>
      </c>
      <c r="EH295" s="160"/>
      <c r="EI295" s="141"/>
      <c r="EJ295" s="203" t="str">
        <f t="shared" si="518"/>
        <v xml:space="preserve">                                                                                                                                </v>
      </c>
      <c r="EK295" s="174" t="str">
        <f t="shared" si="476"/>
        <v>NG</v>
      </c>
      <c r="EL295" s="141"/>
      <c r="EM295" s="276" t="str">
        <f>IF(OR(EI$8="判定対象外",EL$8="判定対象外",EL295="-"),"-",IF(EI295=EL295,"OK","NG"))</f>
        <v>OK</v>
      </c>
      <c r="EN295" s="160"/>
      <c r="EO295" s="141"/>
      <c r="EP295" s="203" t="str">
        <f t="shared" si="519"/>
        <v xml:space="preserve">                                                                                                                                </v>
      </c>
      <c r="EQ295" s="174" t="str">
        <f t="shared" si="477"/>
        <v>NG</v>
      </c>
      <c r="ER295" s="141"/>
      <c r="ES295" s="276" t="str">
        <f>IF(OR(EO$8="判定対象外",ER$8="判定対象外",ER295="-"),"-",IF(EO295=ER295,"OK","NG"))</f>
        <v>OK</v>
      </c>
      <c r="ET295" s="160"/>
      <c r="EU295" s="141"/>
      <c r="EV295" s="203" t="str">
        <f t="shared" si="520"/>
        <v xml:space="preserve">                                                                                                                                </v>
      </c>
      <c r="EW295" s="174" t="str">
        <f t="shared" si="478"/>
        <v>NG</v>
      </c>
      <c r="EX295" s="141"/>
      <c r="EY295" s="276" t="str">
        <f>IF(OR(EU$8="判定対象外",EX$8="判定対象外",EX295="-"),"-",IF(EU295=EX295,"OK","NG"))</f>
        <v>OK</v>
      </c>
      <c r="EZ295" s="160"/>
      <c r="FA295" s="141"/>
      <c r="FB295" s="203" t="str">
        <f t="shared" si="521"/>
        <v xml:space="preserve">                                                                                                                                </v>
      </c>
      <c r="FC295" s="174" t="str">
        <f t="shared" si="479"/>
        <v>NG</v>
      </c>
      <c r="FD295" s="141"/>
      <c r="FE295" s="276" t="str">
        <f>IF(OR(FA$8="判定対象外",FD$8="判定対象外",FD295="-"),"-",IF(FA295=FD295,"OK","NG"))</f>
        <v>OK</v>
      </c>
      <c r="FF295" s="160"/>
      <c r="FG295" s="141"/>
      <c r="FH295" s="203" t="str">
        <f t="shared" si="522"/>
        <v xml:space="preserve">                                                                                                                                </v>
      </c>
      <c r="FI295" s="174" t="str">
        <f t="shared" si="480"/>
        <v>NG</v>
      </c>
      <c r="FJ295" s="141"/>
      <c r="FK295" s="276" t="str">
        <f>IF(OR(FG$8="判定対象外",FJ$8="判定対象外",FJ295="-"),"-",IF(FG295=FJ295,"OK","NG"))</f>
        <v>OK</v>
      </c>
      <c r="FL295" s="160"/>
      <c r="FM295" s="141"/>
      <c r="FN295" s="203" t="str">
        <f t="shared" si="523"/>
        <v xml:space="preserve">                                                                                                                                </v>
      </c>
      <c r="FO295" s="174" t="str">
        <f t="shared" si="497"/>
        <v>NG</v>
      </c>
      <c r="FP295" s="141"/>
      <c r="FQ295" s="276" t="str">
        <f>IF(OR(FM$8="判定対象外",FP$8="判定対象外",FP295="-"),"-",IF(FM295=FP295,"OK","NG"))</f>
        <v>OK</v>
      </c>
      <c r="FR295" s="160"/>
      <c r="FS295" s="141"/>
      <c r="FT295" s="203" t="str">
        <f t="shared" si="524"/>
        <v xml:space="preserve">                                                                                                                                </v>
      </c>
      <c r="FU295" s="174" t="str">
        <f t="shared" si="498"/>
        <v>NG</v>
      </c>
      <c r="FV295" s="141"/>
      <c r="FW295" s="276" t="str">
        <f>IF(OR(FS$8="判定対象外",FV$8="判定対象外",FV295="-"),"-",IF(FS295=FV295,"OK","NG"))</f>
        <v>OK</v>
      </c>
      <c r="FX295" s="160"/>
      <c r="FY295" s="141"/>
      <c r="FZ295" s="203" t="str">
        <f t="shared" si="525"/>
        <v xml:space="preserve">                                                                                                                                </v>
      </c>
      <c r="GA295" s="174" t="str">
        <f t="shared" si="499"/>
        <v>NG</v>
      </c>
      <c r="GB295" s="141"/>
      <c r="GC295" s="276" t="str">
        <f>IF(OR(FY$8="判定対象外",GB$8="判定対象外",GB295="-"),"-",IF(FY295=GB295,"OK","NG"))</f>
        <v>OK</v>
      </c>
    </row>
    <row r="296" spans="2:185" s="52" customFormat="1" ht="114.75">
      <c r="B296" s="216">
        <f t="shared" si="527"/>
        <v>289</v>
      </c>
      <c r="C296" s="37"/>
      <c r="D296" s="37"/>
      <c r="E296" s="37"/>
      <c r="F296" s="49" t="s">
        <v>339</v>
      </c>
      <c r="G296" s="39"/>
      <c r="H296" s="40"/>
      <c r="I296" s="42"/>
      <c r="J296" s="42"/>
      <c r="K296" s="42"/>
      <c r="L296" s="42"/>
      <c r="M296" s="63" t="s">
        <v>340</v>
      </c>
      <c r="N296" s="47"/>
      <c r="O296" s="143"/>
      <c r="P296" s="45">
        <f t="shared" si="529"/>
        <v>264</v>
      </c>
      <c r="Q296" s="46">
        <v>1</v>
      </c>
      <c r="R296" s="41" t="str">
        <f t="shared" si="530"/>
        <v>X</v>
      </c>
      <c r="S296" s="185" t="s">
        <v>234</v>
      </c>
      <c r="T296" s="43"/>
      <c r="U296" s="41" t="s">
        <v>80</v>
      </c>
      <c r="V296" s="44"/>
      <c r="W296" s="22">
        <v>3</v>
      </c>
      <c r="X296" s="47" t="s">
        <v>235</v>
      </c>
      <c r="Y296" s="47">
        <v>1</v>
      </c>
      <c r="Z296" s="47">
        <v>1</v>
      </c>
      <c r="AA296" s="42" t="s">
        <v>163</v>
      </c>
      <c r="AB296" s="42" t="s">
        <v>57</v>
      </c>
      <c r="AC296" s="217"/>
      <c r="AD296" s="160"/>
      <c r="AE296" s="162"/>
      <c r="AF296" s="203" t="str">
        <f t="shared" si="501"/>
        <v xml:space="preserve"> </v>
      </c>
      <c r="AG296" s="174" t="str">
        <f t="shared" si="483"/>
        <v>NG</v>
      </c>
      <c r="AH296" s="162"/>
      <c r="AI296" s="172" t="s">
        <v>71</v>
      </c>
      <c r="AJ296" s="160"/>
      <c r="AK296" s="162"/>
      <c r="AL296" s="203" t="str">
        <f t="shared" si="500"/>
        <v xml:space="preserve"> </v>
      </c>
      <c r="AM296" s="174" t="str">
        <f t="shared" si="528"/>
        <v>NG</v>
      </c>
      <c r="AN296" s="162"/>
      <c r="AO296" s="172" t="s">
        <v>71</v>
      </c>
      <c r="AP296" s="160"/>
      <c r="AQ296" s="162"/>
      <c r="AR296" s="203" t="str">
        <f t="shared" si="502"/>
        <v xml:space="preserve"> </v>
      </c>
      <c r="AS296" s="174" t="str">
        <f t="shared" si="484"/>
        <v>NG</v>
      </c>
      <c r="AT296" s="162"/>
      <c r="AU296" s="172" t="s">
        <v>71</v>
      </c>
      <c r="AV296" s="160"/>
      <c r="AW296" s="162"/>
      <c r="AX296" s="203" t="str">
        <f t="shared" si="503"/>
        <v xml:space="preserve"> </v>
      </c>
      <c r="AY296" s="174" t="str">
        <f t="shared" si="485"/>
        <v>NG</v>
      </c>
      <c r="AZ296" s="162"/>
      <c r="BA296" s="172" t="s">
        <v>71</v>
      </c>
      <c r="BB296" s="160"/>
      <c r="BC296" s="162"/>
      <c r="BD296" s="203" t="str">
        <f t="shared" si="504"/>
        <v xml:space="preserve"> </v>
      </c>
      <c r="BE296" s="174" t="str">
        <f t="shared" si="486"/>
        <v>NG</v>
      </c>
      <c r="BF296" s="162"/>
      <c r="BG296" s="172" t="s">
        <v>71</v>
      </c>
      <c r="BH296" s="160"/>
      <c r="BI296" s="162"/>
      <c r="BJ296" s="203" t="str">
        <f t="shared" si="505"/>
        <v xml:space="preserve"> </v>
      </c>
      <c r="BK296" s="174" t="str">
        <f t="shared" si="487"/>
        <v>NG</v>
      </c>
      <c r="BL296" s="162"/>
      <c r="BM296" s="172" t="s">
        <v>71</v>
      </c>
      <c r="BN296" s="160"/>
      <c r="BO296" s="162"/>
      <c r="BP296" s="203" t="str">
        <f t="shared" si="506"/>
        <v xml:space="preserve"> </v>
      </c>
      <c r="BQ296" s="174" t="str">
        <f t="shared" si="488"/>
        <v>NG</v>
      </c>
      <c r="BR296" s="162"/>
      <c r="BS296" s="172" t="s">
        <v>71</v>
      </c>
      <c r="BT296" s="160"/>
      <c r="BU296" s="162"/>
      <c r="BV296" s="203" t="str">
        <f t="shared" si="507"/>
        <v xml:space="preserve"> </v>
      </c>
      <c r="BW296" s="174" t="str">
        <f t="shared" si="489"/>
        <v>NG</v>
      </c>
      <c r="BX296" s="162"/>
      <c r="BY296" s="172" t="s">
        <v>71</v>
      </c>
      <c r="BZ296" s="160"/>
      <c r="CA296" s="162"/>
      <c r="CB296" s="203" t="str">
        <f t="shared" si="508"/>
        <v xml:space="preserve"> </v>
      </c>
      <c r="CC296" s="174" t="str">
        <f t="shared" si="490"/>
        <v>NG</v>
      </c>
      <c r="CD296" s="162"/>
      <c r="CE296" s="172" t="s">
        <v>71</v>
      </c>
      <c r="CF296" s="160"/>
      <c r="CG296" s="162"/>
      <c r="CH296" s="203" t="str">
        <f t="shared" si="509"/>
        <v xml:space="preserve"> </v>
      </c>
      <c r="CI296" s="174" t="str">
        <f t="shared" si="491"/>
        <v>NG</v>
      </c>
      <c r="CJ296" s="162"/>
      <c r="CK296" s="172" t="s">
        <v>71</v>
      </c>
      <c r="CL296" s="160"/>
      <c r="CM296" s="162"/>
      <c r="CN296" s="203" t="str">
        <f t="shared" si="510"/>
        <v xml:space="preserve"> </v>
      </c>
      <c r="CO296" s="174" t="str">
        <f t="shared" si="492"/>
        <v>NG</v>
      </c>
      <c r="CP296" s="162"/>
      <c r="CQ296" s="172" t="s">
        <v>71</v>
      </c>
      <c r="CR296" s="160"/>
      <c r="CS296" s="162"/>
      <c r="CT296" s="203" t="str">
        <f t="shared" si="511"/>
        <v xml:space="preserve"> </v>
      </c>
      <c r="CU296" s="174" t="str">
        <f t="shared" si="493"/>
        <v>NG</v>
      </c>
      <c r="CV296" s="162"/>
      <c r="CW296" s="172" t="s">
        <v>71</v>
      </c>
      <c r="CX296" s="160"/>
      <c r="CY296" s="162"/>
      <c r="CZ296" s="203" t="str">
        <f t="shared" si="512"/>
        <v xml:space="preserve"> </v>
      </c>
      <c r="DA296" s="174" t="str">
        <f t="shared" si="494"/>
        <v>NG</v>
      </c>
      <c r="DB296" s="162"/>
      <c r="DC296" s="172" t="s">
        <v>71</v>
      </c>
      <c r="DD296" s="160"/>
      <c r="DE296" s="162"/>
      <c r="DF296" s="203" t="str">
        <f t="shared" si="513"/>
        <v xml:space="preserve"> </v>
      </c>
      <c r="DG296" s="174" t="str">
        <f t="shared" si="495"/>
        <v>NG</v>
      </c>
      <c r="DH296" s="162"/>
      <c r="DI296" s="172" t="s">
        <v>71</v>
      </c>
      <c r="DJ296" s="160"/>
      <c r="DK296" s="162"/>
      <c r="DL296" s="203" t="str">
        <f t="shared" si="514"/>
        <v xml:space="preserve"> </v>
      </c>
      <c r="DM296" s="174" t="str">
        <f t="shared" si="496"/>
        <v>NG</v>
      </c>
      <c r="DN296" s="162"/>
      <c r="DO296" s="172" t="s">
        <v>71</v>
      </c>
      <c r="DP296" s="160"/>
      <c r="DQ296" s="162"/>
      <c r="DR296" s="203" t="str">
        <f t="shared" si="515"/>
        <v xml:space="preserve"> </v>
      </c>
      <c r="DS296" s="174" t="str">
        <f t="shared" si="473"/>
        <v>NG</v>
      </c>
      <c r="DT296" s="162"/>
      <c r="DU296" s="172" t="s">
        <v>71</v>
      </c>
      <c r="DV296" s="160"/>
      <c r="DW296" s="162"/>
      <c r="DX296" s="203" t="str">
        <f t="shared" si="516"/>
        <v xml:space="preserve"> </v>
      </c>
      <c r="DY296" s="174" t="str">
        <f t="shared" si="474"/>
        <v>NG</v>
      </c>
      <c r="DZ296" s="162"/>
      <c r="EA296" s="172" t="s">
        <v>71</v>
      </c>
      <c r="EB296" s="160"/>
      <c r="EC296" s="162"/>
      <c r="ED296" s="203" t="str">
        <f t="shared" si="517"/>
        <v xml:space="preserve"> </v>
      </c>
      <c r="EE296" s="174" t="str">
        <f t="shared" si="475"/>
        <v>NG</v>
      </c>
      <c r="EF296" s="162"/>
      <c r="EG296" s="172" t="s">
        <v>71</v>
      </c>
      <c r="EH296" s="160"/>
      <c r="EI296" s="162"/>
      <c r="EJ296" s="203" t="str">
        <f t="shared" si="518"/>
        <v xml:space="preserve"> </v>
      </c>
      <c r="EK296" s="174" t="str">
        <f t="shared" si="476"/>
        <v>NG</v>
      </c>
      <c r="EL296" s="162"/>
      <c r="EM296" s="172" t="s">
        <v>71</v>
      </c>
      <c r="EN296" s="160"/>
      <c r="EO296" s="162"/>
      <c r="EP296" s="203" t="str">
        <f t="shared" si="519"/>
        <v xml:space="preserve"> </v>
      </c>
      <c r="EQ296" s="174" t="str">
        <f t="shared" si="477"/>
        <v>NG</v>
      </c>
      <c r="ER296" s="162"/>
      <c r="ES296" s="172" t="s">
        <v>71</v>
      </c>
      <c r="ET296" s="160"/>
      <c r="EU296" s="162"/>
      <c r="EV296" s="203" t="str">
        <f t="shared" si="520"/>
        <v xml:space="preserve"> </v>
      </c>
      <c r="EW296" s="174" t="str">
        <f t="shared" si="478"/>
        <v>NG</v>
      </c>
      <c r="EX296" s="162"/>
      <c r="EY296" s="172" t="s">
        <v>71</v>
      </c>
      <c r="EZ296" s="160"/>
      <c r="FA296" s="162"/>
      <c r="FB296" s="203" t="str">
        <f t="shared" si="521"/>
        <v xml:space="preserve"> </v>
      </c>
      <c r="FC296" s="174" t="str">
        <f t="shared" si="479"/>
        <v>NG</v>
      </c>
      <c r="FD296" s="162"/>
      <c r="FE296" s="172" t="s">
        <v>71</v>
      </c>
      <c r="FF296" s="160"/>
      <c r="FG296" s="162"/>
      <c r="FH296" s="203" t="str">
        <f t="shared" si="522"/>
        <v xml:space="preserve"> </v>
      </c>
      <c r="FI296" s="174" t="str">
        <f t="shared" si="480"/>
        <v>NG</v>
      </c>
      <c r="FJ296" s="162"/>
      <c r="FK296" s="172" t="s">
        <v>71</v>
      </c>
      <c r="FL296" s="160"/>
      <c r="FM296" s="162"/>
      <c r="FN296" s="203" t="str">
        <f t="shared" si="523"/>
        <v xml:space="preserve"> </v>
      </c>
      <c r="FO296" s="174" t="str">
        <f t="shared" si="497"/>
        <v>NG</v>
      </c>
      <c r="FP296" s="162"/>
      <c r="FQ296" s="172" t="s">
        <v>71</v>
      </c>
      <c r="FR296" s="160"/>
      <c r="FS296" s="162"/>
      <c r="FT296" s="203" t="str">
        <f t="shared" si="524"/>
        <v xml:space="preserve"> </v>
      </c>
      <c r="FU296" s="174" t="str">
        <f t="shared" si="498"/>
        <v>NG</v>
      </c>
      <c r="FV296" s="162"/>
      <c r="FW296" s="172" t="s">
        <v>71</v>
      </c>
      <c r="FX296" s="160"/>
      <c r="FY296" s="162"/>
      <c r="FZ296" s="203" t="str">
        <f t="shared" si="525"/>
        <v xml:space="preserve"> </v>
      </c>
      <c r="GA296" s="174" t="str">
        <f t="shared" si="499"/>
        <v>NG</v>
      </c>
      <c r="GB296" s="162"/>
      <c r="GC296" s="172" t="s">
        <v>71</v>
      </c>
    </row>
    <row r="297" spans="2:185" s="52" customFormat="1" ht="127.5">
      <c r="B297" s="216">
        <f t="shared" si="527"/>
        <v>290</v>
      </c>
      <c r="C297" s="37"/>
      <c r="D297" s="37"/>
      <c r="E297" s="37"/>
      <c r="F297" s="49" t="s">
        <v>341</v>
      </c>
      <c r="G297" s="39"/>
      <c r="H297" s="40"/>
      <c r="I297" s="42"/>
      <c r="J297" s="42" t="s">
        <v>316</v>
      </c>
      <c r="K297" s="42"/>
      <c r="L297" s="42"/>
      <c r="M297" s="163" t="s">
        <v>342</v>
      </c>
      <c r="N297" s="47"/>
      <c r="O297" s="143"/>
      <c r="P297" s="45">
        <f t="shared" si="529"/>
        <v>265</v>
      </c>
      <c r="Q297" s="46">
        <v>1</v>
      </c>
      <c r="R297" s="41" t="str">
        <f t="shared" si="530"/>
        <v>X</v>
      </c>
      <c r="S297" s="185" t="s">
        <v>236</v>
      </c>
      <c r="T297" s="43"/>
      <c r="U297" s="41" t="s">
        <v>80</v>
      </c>
      <c r="V297" s="44"/>
      <c r="W297" s="22">
        <v>3</v>
      </c>
      <c r="X297" s="47" t="s">
        <v>237</v>
      </c>
      <c r="Y297" s="47">
        <v>1</v>
      </c>
      <c r="Z297" s="47">
        <v>1</v>
      </c>
      <c r="AA297" s="42" t="s">
        <v>163</v>
      </c>
      <c r="AB297" s="42" t="s">
        <v>57</v>
      </c>
      <c r="AC297" s="217"/>
      <c r="AD297" s="160"/>
      <c r="AE297" s="162"/>
      <c r="AF297" s="203" t="str">
        <f t="shared" si="501"/>
        <v xml:space="preserve"> </v>
      </c>
      <c r="AG297" s="174" t="str">
        <f t="shared" si="483"/>
        <v>NG</v>
      </c>
      <c r="AH297" s="162"/>
      <c r="AI297" s="276" t="str">
        <f>IF(OR(AE$8="判定対象外",AH$8="判定対象外",AH297="-"),"-",IF(AE297=AH297,"OK","NG"))</f>
        <v>OK</v>
      </c>
      <c r="AJ297" s="160"/>
      <c r="AK297" s="162"/>
      <c r="AL297" s="203" t="str">
        <f t="shared" si="500"/>
        <v xml:space="preserve"> </v>
      </c>
      <c r="AM297" s="174" t="str">
        <f t="shared" si="528"/>
        <v>NG</v>
      </c>
      <c r="AN297" s="162"/>
      <c r="AO297" s="276" t="str">
        <f>IF(OR(AK$8="判定対象外",AN$8="判定対象外",AN297="-"),"-",IF(AK297=AN297,"OK","NG"))</f>
        <v>OK</v>
      </c>
      <c r="AP297" s="160"/>
      <c r="AQ297" s="162"/>
      <c r="AR297" s="203" t="str">
        <f t="shared" si="502"/>
        <v xml:space="preserve"> </v>
      </c>
      <c r="AS297" s="174" t="str">
        <f t="shared" si="484"/>
        <v>NG</v>
      </c>
      <c r="AT297" s="162"/>
      <c r="AU297" s="276" t="str">
        <f>IF(OR(AQ$8="判定対象外",AT$8="判定対象外",AT297="-"),"-",IF(AQ297=AT297,"OK","NG"))</f>
        <v>OK</v>
      </c>
      <c r="AV297" s="160"/>
      <c r="AW297" s="162"/>
      <c r="AX297" s="203" t="str">
        <f t="shared" si="503"/>
        <v xml:space="preserve"> </v>
      </c>
      <c r="AY297" s="174" t="str">
        <f t="shared" si="485"/>
        <v>NG</v>
      </c>
      <c r="AZ297" s="162"/>
      <c r="BA297" s="276" t="str">
        <f>IF(OR(AW$8="判定対象外",AZ$8="判定対象外",AZ297="-"),"-",IF(AW297=AZ297,"OK","NG"))</f>
        <v>OK</v>
      </c>
      <c r="BB297" s="160"/>
      <c r="BC297" s="162"/>
      <c r="BD297" s="203" t="str">
        <f t="shared" si="504"/>
        <v xml:space="preserve"> </v>
      </c>
      <c r="BE297" s="174" t="str">
        <f t="shared" si="486"/>
        <v>NG</v>
      </c>
      <c r="BF297" s="162"/>
      <c r="BG297" s="276" t="str">
        <f>IF(OR(BC$8="判定対象外",BF$8="判定対象外",BF297="-"),"-",IF(BC297=BF297,"OK","NG"))</f>
        <v>OK</v>
      </c>
      <c r="BH297" s="160"/>
      <c r="BI297" s="162"/>
      <c r="BJ297" s="203" t="str">
        <f t="shared" si="505"/>
        <v xml:space="preserve"> </v>
      </c>
      <c r="BK297" s="174" t="str">
        <f t="shared" si="487"/>
        <v>NG</v>
      </c>
      <c r="BL297" s="162"/>
      <c r="BM297" s="276" t="str">
        <f>IF(OR(BI$8="判定対象外",BL$8="判定対象外",BL297="-"),"-",IF(BI297=BL297,"OK","NG"))</f>
        <v>OK</v>
      </c>
      <c r="BN297" s="160"/>
      <c r="BO297" s="162"/>
      <c r="BP297" s="203" t="str">
        <f t="shared" si="506"/>
        <v xml:space="preserve"> </v>
      </c>
      <c r="BQ297" s="174" t="str">
        <f t="shared" si="488"/>
        <v>NG</v>
      </c>
      <c r="BR297" s="162"/>
      <c r="BS297" s="276" t="str">
        <f>IF(OR(BO$8="判定対象外",BR$8="判定対象外",BR297="-"),"-",IF(BO297=BR297,"OK","NG"))</f>
        <v>OK</v>
      </c>
      <c r="BT297" s="160"/>
      <c r="BU297" s="162"/>
      <c r="BV297" s="203" t="str">
        <f t="shared" si="507"/>
        <v xml:space="preserve"> </v>
      </c>
      <c r="BW297" s="174" t="str">
        <f t="shared" si="489"/>
        <v>NG</v>
      </c>
      <c r="BX297" s="162"/>
      <c r="BY297" s="276" t="str">
        <f>IF(OR(BU$8="判定対象外",BX$8="判定対象外",BX297="-"),"-",IF(BU297=BX297,"OK","NG"))</f>
        <v>OK</v>
      </c>
      <c r="BZ297" s="160"/>
      <c r="CA297" s="162"/>
      <c r="CB297" s="203" t="str">
        <f t="shared" si="508"/>
        <v xml:space="preserve"> </v>
      </c>
      <c r="CC297" s="174" t="str">
        <f t="shared" si="490"/>
        <v>NG</v>
      </c>
      <c r="CD297" s="162"/>
      <c r="CE297" s="276" t="str">
        <f>IF(OR(CA$8="判定対象外",CD$8="判定対象外",CD297="-"),"-",IF(CA297=CD297,"OK","NG"))</f>
        <v>OK</v>
      </c>
      <c r="CF297" s="160"/>
      <c r="CG297" s="162"/>
      <c r="CH297" s="203" t="str">
        <f t="shared" si="509"/>
        <v xml:space="preserve"> </v>
      </c>
      <c r="CI297" s="174" t="str">
        <f t="shared" si="491"/>
        <v>NG</v>
      </c>
      <c r="CJ297" s="162"/>
      <c r="CK297" s="276" t="str">
        <f>IF(OR(CG$8="判定対象外",CJ$8="判定対象外",CJ297="-"),"-",IF(CG297=CJ297,"OK","NG"))</f>
        <v>OK</v>
      </c>
      <c r="CL297" s="160"/>
      <c r="CM297" s="162"/>
      <c r="CN297" s="203" t="str">
        <f t="shared" si="510"/>
        <v xml:space="preserve"> </v>
      </c>
      <c r="CO297" s="174" t="str">
        <f t="shared" si="492"/>
        <v>NG</v>
      </c>
      <c r="CP297" s="162"/>
      <c r="CQ297" s="276" t="str">
        <f>IF(OR(CM$8="判定対象外",CP$8="判定対象外",CP297="-"),"-",IF(CM297=CP297,"OK","NG"))</f>
        <v>OK</v>
      </c>
      <c r="CR297" s="160"/>
      <c r="CS297" s="162"/>
      <c r="CT297" s="203" t="str">
        <f t="shared" si="511"/>
        <v xml:space="preserve"> </v>
      </c>
      <c r="CU297" s="174" t="str">
        <f t="shared" si="493"/>
        <v>NG</v>
      </c>
      <c r="CV297" s="162"/>
      <c r="CW297" s="276" t="str">
        <f>IF(OR(CS$8="判定対象外",CV$8="判定対象外",CV297="-"),"-",IF(CS297=CV297,"OK","NG"))</f>
        <v>OK</v>
      </c>
      <c r="CX297" s="160"/>
      <c r="CY297" s="162"/>
      <c r="CZ297" s="203" t="str">
        <f t="shared" si="512"/>
        <v xml:space="preserve"> </v>
      </c>
      <c r="DA297" s="174" t="str">
        <f t="shared" si="494"/>
        <v>NG</v>
      </c>
      <c r="DB297" s="162"/>
      <c r="DC297" s="276" t="str">
        <f>IF(OR(CY$8="判定対象外",DB$8="判定対象外",DB297="-"),"-",IF(CY297=DB297,"OK","NG"))</f>
        <v>OK</v>
      </c>
      <c r="DD297" s="160"/>
      <c r="DE297" s="162"/>
      <c r="DF297" s="203" t="str">
        <f t="shared" si="513"/>
        <v xml:space="preserve"> </v>
      </c>
      <c r="DG297" s="174" t="str">
        <f t="shared" si="495"/>
        <v>NG</v>
      </c>
      <c r="DH297" s="162"/>
      <c r="DI297" s="276" t="str">
        <f>IF(OR(DE$8="判定対象外",DH$8="判定対象外",DH297="-"),"-",IF(DE297=DH297,"OK","NG"))</f>
        <v>OK</v>
      </c>
      <c r="DJ297" s="160"/>
      <c r="DK297" s="162"/>
      <c r="DL297" s="203" t="str">
        <f t="shared" si="514"/>
        <v xml:space="preserve"> </v>
      </c>
      <c r="DM297" s="174" t="str">
        <f t="shared" si="496"/>
        <v>NG</v>
      </c>
      <c r="DN297" s="162"/>
      <c r="DO297" s="276" t="str">
        <f>IF(OR(DK$8="判定対象外",DN$8="判定対象外",DN297="-"),"-",IF(DK297=DN297,"OK","NG"))</f>
        <v>OK</v>
      </c>
      <c r="DP297" s="160"/>
      <c r="DQ297" s="162"/>
      <c r="DR297" s="203" t="str">
        <f t="shared" si="515"/>
        <v xml:space="preserve"> </v>
      </c>
      <c r="DS297" s="174" t="str">
        <f t="shared" si="473"/>
        <v>NG</v>
      </c>
      <c r="DT297" s="162"/>
      <c r="DU297" s="276" t="str">
        <f>IF(OR(DQ$8="判定対象外",DT$8="判定対象外",DT297="-"),"-",IF(DQ297=DT297,"OK","NG"))</f>
        <v>OK</v>
      </c>
      <c r="DV297" s="160"/>
      <c r="DW297" s="162"/>
      <c r="DX297" s="203" t="str">
        <f t="shared" si="516"/>
        <v xml:space="preserve"> </v>
      </c>
      <c r="DY297" s="174" t="str">
        <f t="shared" si="474"/>
        <v>NG</v>
      </c>
      <c r="DZ297" s="162"/>
      <c r="EA297" s="276" t="str">
        <f>IF(OR(DW$8="判定対象外",DZ$8="判定対象外",DZ297="-"),"-",IF(DW297=DZ297,"OK","NG"))</f>
        <v>OK</v>
      </c>
      <c r="EB297" s="160"/>
      <c r="EC297" s="162"/>
      <c r="ED297" s="203" t="str">
        <f t="shared" si="517"/>
        <v xml:space="preserve"> </v>
      </c>
      <c r="EE297" s="174" t="str">
        <f t="shared" si="475"/>
        <v>NG</v>
      </c>
      <c r="EF297" s="162"/>
      <c r="EG297" s="276" t="str">
        <f>IF(OR(EC$8="判定対象外",EF$8="判定対象外",EF297="-"),"-",IF(EC297=EF297,"OK","NG"))</f>
        <v>OK</v>
      </c>
      <c r="EH297" s="160"/>
      <c r="EI297" s="162"/>
      <c r="EJ297" s="203" t="str">
        <f t="shared" si="518"/>
        <v xml:space="preserve"> </v>
      </c>
      <c r="EK297" s="174" t="str">
        <f t="shared" si="476"/>
        <v>NG</v>
      </c>
      <c r="EL297" s="162"/>
      <c r="EM297" s="276" t="str">
        <f>IF(OR(EI$8="判定対象外",EL$8="判定対象外",EL297="-"),"-",IF(EI297=EL297,"OK","NG"))</f>
        <v>OK</v>
      </c>
      <c r="EN297" s="160"/>
      <c r="EO297" s="162"/>
      <c r="EP297" s="203" t="str">
        <f t="shared" si="519"/>
        <v xml:space="preserve"> </v>
      </c>
      <c r="EQ297" s="174" t="str">
        <f t="shared" si="477"/>
        <v>NG</v>
      </c>
      <c r="ER297" s="162"/>
      <c r="ES297" s="276" t="str">
        <f>IF(OR(EO$8="判定対象外",ER$8="判定対象外",ER297="-"),"-",IF(EO297=ER297,"OK","NG"))</f>
        <v>OK</v>
      </c>
      <c r="ET297" s="160"/>
      <c r="EU297" s="162"/>
      <c r="EV297" s="203" t="str">
        <f t="shared" si="520"/>
        <v xml:space="preserve"> </v>
      </c>
      <c r="EW297" s="174" t="str">
        <f t="shared" si="478"/>
        <v>NG</v>
      </c>
      <c r="EX297" s="162"/>
      <c r="EY297" s="276" t="str">
        <f>IF(OR(EU$8="判定対象外",EX$8="判定対象外",EX297="-"),"-",IF(EU297=EX297,"OK","NG"))</f>
        <v>OK</v>
      </c>
      <c r="EZ297" s="160"/>
      <c r="FA297" s="162"/>
      <c r="FB297" s="203" t="str">
        <f t="shared" si="521"/>
        <v xml:space="preserve"> </v>
      </c>
      <c r="FC297" s="174" t="str">
        <f t="shared" si="479"/>
        <v>NG</v>
      </c>
      <c r="FD297" s="162"/>
      <c r="FE297" s="276" t="str">
        <f>IF(OR(FA$8="判定対象外",FD$8="判定対象外",FD297="-"),"-",IF(FA297=FD297,"OK","NG"))</f>
        <v>OK</v>
      </c>
      <c r="FF297" s="160"/>
      <c r="FG297" s="162"/>
      <c r="FH297" s="203" t="str">
        <f t="shared" si="522"/>
        <v xml:space="preserve"> </v>
      </c>
      <c r="FI297" s="174" t="str">
        <f t="shared" si="480"/>
        <v>NG</v>
      </c>
      <c r="FJ297" s="162"/>
      <c r="FK297" s="276" t="str">
        <f>IF(OR(FG$8="判定対象外",FJ$8="判定対象外",FJ297="-"),"-",IF(FG297=FJ297,"OK","NG"))</f>
        <v>OK</v>
      </c>
      <c r="FL297" s="160"/>
      <c r="FM297" s="162"/>
      <c r="FN297" s="203" t="str">
        <f t="shared" si="523"/>
        <v xml:space="preserve"> </v>
      </c>
      <c r="FO297" s="174" t="str">
        <f t="shared" si="497"/>
        <v>NG</v>
      </c>
      <c r="FP297" s="162"/>
      <c r="FQ297" s="276" t="str">
        <f>IF(OR(FM$8="判定対象外",FP$8="判定対象外",FP297="-"),"-",IF(FM297=FP297,"OK","NG"))</f>
        <v>OK</v>
      </c>
      <c r="FR297" s="160"/>
      <c r="FS297" s="162"/>
      <c r="FT297" s="203" t="str">
        <f t="shared" si="524"/>
        <v xml:space="preserve"> </v>
      </c>
      <c r="FU297" s="174" t="str">
        <f t="shared" si="498"/>
        <v>NG</v>
      </c>
      <c r="FV297" s="162"/>
      <c r="FW297" s="276" t="str">
        <f>IF(OR(FS$8="判定対象外",FV$8="判定対象外",FV297="-"),"-",IF(FS297=FV297,"OK","NG"))</f>
        <v>OK</v>
      </c>
      <c r="FX297" s="160"/>
      <c r="FY297" s="162"/>
      <c r="FZ297" s="203" t="str">
        <f t="shared" si="525"/>
        <v xml:space="preserve"> </v>
      </c>
      <c r="GA297" s="174" t="str">
        <f t="shared" si="499"/>
        <v>NG</v>
      </c>
      <c r="GB297" s="162"/>
      <c r="GC297" s="276" t="str">
        <f>IF(OR(FY$8="判定対象外",GB$8="判定対象外",GB297="-"),"-",IF(FY297=GB297,"OK","NG"))</f>
        <v>OK</v>
      </c>
    </row>
    <row r="298" spans="2:185" s="52" customFormat="1" ht="319.5" customHeight="1">
      <c r="B298" s="216">
        <f t="shared" si="527"/>
        <v>291</v>
      </c>
      <c r="C298" s="37"/>
      <c r="D298" s="37"/>
      <c r="E298" s="25"/>
      <c r="F298" s="218" t="s">
        <v>288</v>
      </c>
      <c r="G298" s="27"/>
      <c r="H298" s="28"/>
      <c r="I298" s="42"/>
      <c r="J298" s="42" t="s">
        <v>316</v>
      </c>
      <c r="K298" s="42"/>
      <c r="L298" s="42"/>
      <c r="M298" s="161" t="s">
        <v>343</v>
      </c>
      <c r="N298" s="39"/>
      <c r="O298" s="143"/>
      <c r="P298" s="45">
        <f t="shared" si="529"/>
        <v>266</v>
      </c>
      <c r="Q298" s="46">
        <v>2</v>
      </c>
      <c r="R298" s="41" t="str">
        <f t="shared" si="530"/>
        <v>X</v>
      </c>
      <c r="S298" s="185" t="s">
        <v>238</v>
      </c>
      <c r="T298" s="43"/>
      <c r="U298" s="41" t="s">
        <v>80</v>
      </c>
      <c r="V298" s="44"/>
      <c r="W298" s="22">
        <v>3</v>
      </c>
      <c r="X298" s="47" t="s">
        <v>239</v>
      </c>
      <c r="Y298" s="47">
        <v>2</v>
      </c>
      <c r="Z298" s="47">
        <v>2</v>
      </c>
      <c r="AA298" s="42" t="s">
        <v>81</v>
      </c>
      <c r="AB298" s="42" t="s">
        <v>80</v>
      </c>
      <c r="AC298" s="164"/>
      <c r="AD298" s="160"/>
      <c r="AE298" s="162"/>
      <c r="AF298" s="167" t="str">
        <f t="shared" si="501"/>
        <v xml:space="preserve">  </v>
      </c>
      <c r="AG298" s="174" t="str">
        <f t="shared" si="483"/>
        <v>NG</v>
      </c>
      <c r="AH298" s="162"/>
      <c r="AI298" s="276" t="str">
        <f>IF(OR(AE$8="判定対象外",AH$8="判定対象外",AH298="-"),"-",IF(AE298=AH298,"OK","NG"))</f>
        <v>OK</v>
      </c>
      <c r="AJ298" s="160"/>
      <c r="AK298" s="162"/>
      <c r="AL298" s="167" t="str">
        <f t="shared" si="500"/>
        <v xml:space="preserve">  </v>
      </c>
      <c r="AM298" s="174" t="str">
        <f t="shared" si="528"/>
        <v>NG</v>
      </c>
      <c r="AN298" s="162"/>
      <c r="AO298" s="276" t="str">
        <f>IF(OR(AK$8="判定対象外",AN$8="判定対象外",AN298="-"),"-",IF(AK298=AN298,"OK","NG"))</f>
        <v>OK</v>
      </c>
      <c r="AP298" s="160"/>
      <c r="AQ298" s="162"/>
      <c r="AR298" s="167" t="str">
        <f t="shared" si="502"/>
        <v xml:space="preserve">  </v>
      </c>
      <c r="AS298" s="174" t="str">
        <f t="shared" si="484"/>
        <v>NG</v>
      </c>
      <c r="AT298" s="162"/>
      <c r="AU298" s="276" t="str">
        <f>IF(OR(AQ$8="判定対象外",AT$8="判定対象外",AT298="-"),"-",IF(AQ298=AT298,"OK","NG"))</f>
        <v>OK</v>
      </c>
      <c r="AV298" s="160"/>
      <c r="AW298" s="162"/>
      <c r="AX298" s="167" t="str">
        <f t="shared" si="503"/>
        <v xml:space="preserve">  </v>
      </c>
      <c r="AY298" s="174" t="str">
        <f t="shared" si="485"/>
        <v>NG</v>
      </c>
      <c r="AZ298" s="162"/>
      <c r="BA298" s="276" t="str">
        <f>IF(OR(AW$8="判定対象外",AZ$8="判定対象外",AZ298="-"),"-",IF(AW298=AZ298,"OK","NG"))</f>
        <v>OK</v>
      </c>
      <c r="BB298" s="160"/>
      <c r="BC298" s="162"/>
      <c r="BD298" s="167" t="str">
        <f t="shared" si="504"/>
        <v xml:space="preserve">  </v>
      </c>
      <c r="BE298" s="174" t="str">
        <f t="shared" si="486"/>
        <v>NG</v>
      </c>
      <c r="BF298" s="162"/>
      <c r="BG298" s="276" t="str">
        <f>IF(OR(BC$8="判定対象外",BF$8="判定対象外",BF298="-"),"-",IF(BC298=BF298,"OK","NG"))</f>
        <v>OK</v>
      </c>
      <c r="BH298" s="160"/>
      <c r="BI298" s="162"/>
      <c r="BJ298" s="167" t="str">
        <f t="shared" si="505"/>
        <v xml:space="preserve">  </v>
      </c>
      <c r="BK298" s="174" t="str">
        <f t="shared" si="487"/>
        <v>NG</v>
      </c>
      <c r="BL298" s="162"/>
      <c r="BM298" s="276" t="str">
        <f>IF(OR(BI$8="判定対象外",BL$8="判定対象外",BL298="-"),"-",IF(BI298=BL298,"OK","NG"))</f>
        <v>OK</v>
      </c>
      <c r="BN298" s="160"/>
      <c r="BO298" s="162"/>
      <c r="BP298" s="167" t="str">
        <f t="shared" si="506"/>
        <v xml:space="preserve">  </v>
      </c>
      <c r="BQ298" s="174" t="str">
        <f t="shared" si="488"/>
        <v>NG</v>
      </c>
      <c r="BR298" s="162"/>
      <c r="BS298" s="276" t="str">
        <f>IF(OR(BO$8="判定対象外",BR$8="判定対象外",BR298="-"),"-",IF(BO298=BR298,"OK","NG"))</f>
        <v>OK</v>
      </c>
      <c r="BT298" s="160"/>
      <c r="BU298" s="162"/>
      <c r="BV298" s="167" t="str">
        <f t="shared" si="507"/>
        <v xml:space="preserve">  </v>
      </c>
      <c r="BW298" s="174" t="str">
        <f t="shared" si="489"/>
        <v>NG</v>
      </c>
      <c r="BX298" s="162"/>
      <c r="BY298" s="276" t="str">
        <f>IF(OR(BU$8="判定対象外",BX$8="判定対象外",BX298="-"),"-",IF(BU298=BX298,"OK","NG"))</f>
        <v>OK</v>
      </c>
      <c r="BZ298" s="160"/>
      <c r="CA298" s="162"/>
      <c r="CB298" s="167" t="str">
        <f t="shared" si="508"/>
        <v xml:space="preserve">  </v>
      </c>
      <c r="CC298" s="174" t="str">
        <f t="shared" si="490"/>
        <v>NG</v>
      </c>
      <c r="CD298" s="162"/>
      <c r="CE298" s="276" t="str">
        <f>IF(OR(CA$8="判定対象外",CD$8="判定対象外",CD298="-"),"-",IF(CA298=CD298,"OK","NG"))</f>
        <v>OK</v>
      </c>
      <c r="CF298" s="160"/>
      <c r="CG298" s="162"/>
      <c r="CH298" s="167" t="str">
        <f t="shared" si="509"/>
        <v xml:space="preserve">  </v>
      </c>
      <c r="CI298" s="174" t="str">
        <f t="shared" si="491"/>
        <v>NG</v>
      </c>
      <c r="CJ298" s="162"/>
      <c r="CK298" s="276" t="str">
        <f>IF(OR(CG$8="判定対象外",CJ$8="判定対象外",CJ298="-"),"-",IF(CG298=CJ298,"OK","NG"))</f>
        <v>OK</v>
      </c>
      <c r="CL298" s="160"/>
      <c r="CM298" s="162"/>
      <c r="CN298" s="167" t="str">
        <f t="shared" si="510"/>
        <v xml:space="preserve">  </v>
      </c>
      <c r="CO298" s="174" t="str">
        <f t="shared" si="492"/>
        <v>NG</v>
      </c>
      <c r="CP298" s="162"/>
      <c r="CQ298" s="276" t="str">
        <f>IF(OR(CM$8="判定対象外",CP$8="判定対象外",CP298="-"),"-",IF(CM298=CP298,"OK","NG"))</f>
        <v>OK</v>
      </c>
      <c r="CR298" s="160"/>
      <c r="CS298" s="162"/>
      <c r="CT298" s="167" t="str">
        <f t="shared" si="511"/>
        <v xml:space="preserve">  </v>
      </c>
      <c r="CU298" s="174" t="str">
        <f t="shared" si="493"/>
        <v>NG</v>
      </c>
      <c r="CV298" s="162"/>
      <c r="CW298" s="276" t="str">
        <f>IF(OR(CS$8="判定対象外",CV$8="判定対象外",CV298="-"),"-",IF(CS298=CV298,"OK","NG"))</f>
        <v>OK</v>
      </c>
      <c r="CX298" s="160"/>
      <c r="CY298" s="162"/>
      <c r="CZ298" s="167" t="str">
        <f t="shared" si="512"/>
        <v xml:space="preserve">  </v>
      </c>
      <c r="DA298" s="174" t="str">
        <f t="shared" si="494"/>
        <v>NG</v>
      </c>
      <c r="DB298" s="162"/>
      <c r="DC298" s="276" t="str">
        <f>IF(OR(CY$8="判定対象外",DB$8="判定対象外",DB298="-"),"-",IF(CY298=DB298,"OK","NG"))</f>
        <v>OK</v>
      </c>
      <c r="DD298" s="160"/>
      <c r="DE298" s="162"/>
      <c r="DF298" s="167" t="str">
        <f t="shared" si="513"/>
        <v xml:space="preserve">  </v>
      </c>
      <c r="DG298" s="174" t="str">
        <f t="shared" si="495"/>
        <v>NG</v>
      </c>
      <c r="DH298" s="162"/>
      <c r="DI298" s="276" t="str">
        <f>IF(OR(DE$8="判定対象外",DH$8="判定対象外",DH298="-"),"-",IF(DE298=DH298,"OK","NG"))</f>
        <v>OK</v>
      </c>
      <c r="DJ298" s="160"/>
      <c r="DK298" s="162"/>
      <c r="DL298" s="167" t="str">
        <f t="shared" si="514"/>
        <v xml:space="preserve">  </v>
      </c>
      <c r="DM298" s="174" t="str">
        <f t="shared" si="496"/>
        <v>NG</v>
      </c>
      <c r="DN298" s="162"/>
      <c r="DO298" s="276" t="str">
        <f>IF(OR(DK$8="判定対象外",DN$8="判定対象外",DN298="-"),"-",IF(DK298=DN298,"OK","NG"))</f>
        <v>OK</v>
      </c>
      <c r="DP298" s="160"/>
      <c r="DQ298" s="162"/>
      <c r="DR298" s="167" t="str">
        <f t="shared" si="515"/>
        <v xml:space="preserve">  </v>
      </c>
      <c r="DS298" s="174" t="str">
        <f t="shared" si="473"/>
        <v>NG</v>
      </c>
      <c r="DT298" s="162"/>
      <c r="DU298" s="276" t="str">
        <f>IF(OR(DQ$8="判定対象外",DT$8="判定対象外",DT298="-"),"-",IF(DQ298=DT298,"OK","NG"))</f>
        <v>OK</v>
      </c>
      <c r="DV298" s="160"/>
      <c r="DW298" s="162"/>
      <c r="DX298" s="167" t="str">
        <f t="shared" si="516"/>
        <v xml:space="preserve">  </v>
      </c>
      <c r="DY298" s="174" t="str">
        <f t="shared" si="474"/>
        <v>NG</v>
      </c>
      <c r="DZ298" s="162"/>
      <c r="EA298" s="276" t="str">
        <f>IF(OR(DW$8="判定対象外",DZ$8="判定対象外",DZ298="-"),"-",IF(DW298=DZ298,"OK","NG"))</f>
        <v>OK</v>
      </c>
      <c r="EB298" s="160"/>
      <c r="EC298" s="162"/>
      <c r="ED298" s="167" t="str">
        <f t="shared" si="517"/>
        <v xml:space="preserve">  </v>
      </c>
      <c r="EE298" s="174" t="str">
        <f t="shared" si="475"/>
        <v>NG</v>
      </c>
      <c r="EF298" s="162"/>
      <c r="EG298" s="276" t="str">
        <f>IF(OR(EC$8="判定対象外",EF$8="判定対象外",EF298="-"),"-",IF(EC298=EF298,"OK","NG"))</f>
        <v>OK</v>
      </c>
      <c r="EH298" s="160"/>
      <c r="EI298" s="162"/>
      <c r="EJ298" s="167" t="str">
        <f t="shared" si="518"/>
        <v xml:space="preserve">  </v>
      </c>
      <c r="EK298" s="174" t="str">
        <f t="shared" si="476"/>
        <v>NG</v>
      </c>
      <c r="EL298" s="162"/>
      <c r="EM298" s="276" t="str">
        <f>IF(OR(EI$8="判定対象外",EL$8="判定対象外",EL298="-"),"-",IF(EI298=EL298,"OK","NG"))</f>
        <v>OK</v>
      </c>
      <c r="EN298" s="160"/>
      <c r="EO298" s="162"/>
      <c r="EP298" s="167" t="str">
        <f t="shared" si="519"/>
        <v xml:space="preserve">  </v>
      </c>
      <c r="EQ298" s="174" t="str">
        <f t="shared" si="477"/>
        <v>NG</v>
      </c>
      <c r="ER298" s="162"/>
      <c r="ES298" s="276" t="str">
        <f>IF(OR(EO$8="判定対象外",ER$8="判定対象外",ER298="-"),"-",IF(EO298=ER298,"OK","NG"))</f>
        <v>OK</v>
      </c>
      <c r="ET298" s="160"/>
      <c r="EU298" s="162"/>
      <c r="EV298" s="167" t="str">
        <f t="shared" si="520"/>
        <v xml:space="preserve">  </v>
      </c>
      <c r="EW298" s="174" t="str">
        <f t="shared" si="478"/>
        <v>NG</v>
      </c>
      <c r="EX298" s="162"/>
      <c r="EY298" s="276" t="str">
        <f>IF(OR(EU$8="判定対象外",EX$8="判定対象外",EX298="-"),"-",IF(EU298=EX298,"OK","NG"))</f>
        <v>OK</v>
      </c>
      <c r="EZ298" s="160"/>
      <c r="FA298" s="162"/>
      <c r="FB298" s="167" t="str">
        <f t="shared" si="521"/>
        <v xml:space="preserve">  </v>
      </c>
      <c r="FC298" s="174" t="str">
        <f t="shared" si="479"/>
        <v>NG</v>
      </c>
      <c r="FD298" s="162"/>
      <c r="FE298" s="276" t="str">
        <f>IF(OR(FA$8="判定対象外",FD$8="判定対象外",FD298="-"),"-",IF(FA298=FD298,"OK","NG"))</f>
        <v>OK</v>
      </c>
      <c r="FF298" s="160"/>
      <c r="FG298" s="162"/>
      <c r="FH298" s="167" t="str">
        <f t="shared" si="522"/>
        <v xml:space="preserve">  </v>
      </c>
      <c r="FI298" s="174" t="str">
        <f t="shared" si="480"/>
        <v>NG</v>
      </c>
      <c r="FJ298" s="162"/>
      <c r="FK298" s="276" t="str">
        <f>IF(OR(FG$8="判定対象外",FJ$8="判定対象外",FJ298="-"),"-",IF(FG298=FJ298,"OK","NG"))</f>
        <v>OK</v>
      </c>
      <c r="FL298" s="160"/>
      <c r="FM298" s="162"/>
      <c r="FN298" s="167" t="str">
        <f t="shared" si="523"/>
        <v xml:space="preserve">  </v>
      </c>
      <c r="FO298" s="174" t="str">
        <f t="shared" si="497"/>
        <v>NG</v>
      </c>
      <c r="FP298" s="162"/>
      <c r="FQ298" s="276" t="str">
        <f>IF(OR(FM$8="判定対象外",FP$8="判定対象外",FP298="-"),"-",IF(FM298=FP298,"OK","NG"))</f>
        <v>OK</v>
      </c>
      <c r="FR298" s="160"/>
      <c r="FS298" s="162"/>
      <c r="FT298" s="167" t="str">
        <f t="shared" si="524"/>
        <v xml:space="preserve">  </v>
      </c>
      <c r="FU298" s="174" t="str">
        <f t="shared" si="498"/>
        <v>NG</v>
      </c>
      <c r="FV298" s="162"/>
      <c r="FW298" s="276" t="str">
        <f>IF(OR(FS$8="判定対象外",FV$8="判定対象外",FV298="-"),"-",IF(FS298=FV298,"OK","NG"))</f>
        <v>OK</v>
      </c>
      <c r="FX298" s="160"/>
      <c r="FY298" s="162"/>
      <c r="FZ298" s="167" t="str">
        <f t="shared" si="525"/>
        <v xml:space="preserve">  </v>
      </c>
      <c r="GA298" s="174" t="str">
        <f t="shared" si="499"/>
        <v>NG</v>
      </c>
      <c r="GB298" s="162"/>
      <c r="GC298" s="276" t="str">
        <f>IF(OR(FY$8="判定対象外",GB$8="判定対象外",GB298="-"),"-",IF(FY298=GB298,"OK","NG"))</f>
        <v>OK</v>
      </c>
    </row>
    <row r="299" spans="2:185" s="52" customFormat="1" ht="25.5">
      <c r="B299" s="216">
        <f t="shared" si="527"/>
        <v>292</v>
      </c>
      <c r="C299" s="37"/>
      <c r="D299" s="37"/>
      <c r="E299" s="25"/>
      <c r="F299" s="184" t="s">
        <v>344</v>
      </c>
      <c r="G299" s="27"/>
      <c r="H299" s="28"/>
      <c r="I299" s="42"/>
      <c r="J299" s="42"/>
      <c r="K299" s="42"/>
      <c r="L299" s="42"/>
      <c r="M299" s="63" t="s">
        <v>345</v>
      </c>
      <c r="N299" s="39"/>
      <c r="O299" s="143"/>
      <c r="P299" s="45">
        <f t="shared" si="529"/>
        <v>267</v>
      </c>
      <c r="Q299" s="46">
        <v>7</v>
      </c>
      <c r="R299" s="41" t="str">
        <f t="shared" si="530"/>
        <v>X</v>
      </c>
      <c r="S299" s="185" t="s">
        <v>240</v>
      </c>
      <c r="T299" s="43"/>
      <c r="U299" s="41" t="s">
        <v>80</v>
      </c>
      <c r="V299" s="44"/>
      <c r="W299" s="22">
        <v>3</v>
      </c>
      <c r="X299" s="47" t="s">
        <v>241</v>
      </c>
      <c r="Y299" s="47">
        <v>7</v>
      </c>
      <c r="Z299" s="47">
        <v>7</v>
      </c>
      <c r="AA299" s="42" t="s">
        <v>81</v>
      </c>
      <c r="AB299" s="42" t="s">
        <v>80</v>
      </c>
      <c r="AC299" s="219"/>
      <c r="AD299" s="160"/>
      <c r="AE299" s="141"/>
      <c r="AF299" s="203" t="str">
        <f t="shared" si="501"/>
        <v xml:space="preserve">       </v>
      </c>
      <c r="AG299" s="174" t="str">
        <f t="shared" si="483"/>
        <v>NG</v>
      </c>
      <c r="AH299" s="141"/>
      <c r="AI299" s="172" t="s">
        <v>71</v>
      </c>
      <c r="AJ299" s="160"/>
      <c r="AK299" s="141"/>
      <c r="AL299" s="203" t="str">
        <f t="shared" si="500"/>
        <v xml:space="preserve">       </v>
      </c>
      <c r="AM299" s="174" t="str">
        <f t="shared" si="528"/>
        <v>NG</v>
      </c>
      <c r="AN299" s="141"/>
      <c r="AO299" s="172" t="s">
        <v>71</v>
      </c>
      <c r="AP299" s="160"/>
      <c r="AQ299" s="141"/>
      <c r="AR299" s="203" t="str">
        <f t="shared" si="502"/>
        <v xml:space="preserve">       </v>
      </c>
      <c r="AS299" s="174" t="str">
        <f t="shared" si="484"/>
        <v>NG</v>
      </c>
      <c r="AT299" s="141"/>
      <c r="AU299" s="172" t="s">
        <v>71</v>
      </c>
      <c r="AV299" s="160"/>
      <c r="AW299" s="141"/>
      <c r="AX299" s="203" t="str">
        <f t="shared" si="503"/>
        <v xml:space="preserve">       </v>
      </c>
      <c r="AY299" s="174" t="str">
        <f t="shared" si="485"/>
        <v>NG</v>
      </c>
      <c r="AZ299" s="141"/>
      <c r="BA299" s="172" t="s">
        <v>71</v>
      </c>
      <c r="BB299" s="160"/>
      <c r="BC299" s="141"/>
      <c r="BD299" s="203" t="str">
        <f t="shared" si="504"/>
        <v xml:space="preserve">       </v>
      </c>
      <c r="BE299" s="174" t="str">
        <f t="shared" si="486"/>
        <v>NG</v>
      </c>
      <c r="BF299" s="141"/>
      <c r="BG299" s="172" t="s">
        <v>71</v>
      </c>
      <c r="BH299" s="160"/>
      <c r="BI299" s="141"/>
      <c r="BJ299" s="203" t="str">
        <f t="shared" si="505"/>
        <v xml:space="preserve">       </v>
      </c>
      <c r="BK299" s="174" t="str">
        <f t="shared" si="487"/>
        <v>NG</v>
      </c>
      <c r="BL299" s="141"/>
      <c r="BM299" s="172" t="s">
        <v>71</v>
      </c>
      <c r="BN299" s="160"/>
      <c r="BO299" s="141"/>
      <c r="BP299" s="203" t="str">
        <f t="shared" si="506"/>
        <v xml:space="preserve">       </v>
      </c>
      <c r="BQ299" s="174" t="str">
        <f t="shared" si="488"/>
        <v>NG</v>
      </c>
      <c r="BR299" s="141"/>
      <c r="BS299" s="172" t="s">
        <v>71</v>
      </c>
      <c r="BT299" s="160"/>
      <c r="BU299" s="141"/>
      <c r="BV299" s="203" t="str">
        <f t="shared" si="507"/>
        <v xml:space="preserve">       </v>
      </c>
      <c r="BW299" s="174" t="str">
        <f t="shared" si="489"/>
        <v>NG</v>
      </c>
      <c r="BX299" s="141"/>
      <c r="BY299" s="172" t="s">
        <v>71</v>
      </c>
      <c r="BZ299" s="160"/>
      <c r="CA299" s="141"/>
      <c r="CB299" s="203" t="str">
        <f t="shared" si="508"/>
        <v xml:space="preserve">       </v>
      </c>
      <c r="CC299" s="174" t="str">
        <f t="shared" si="490"/>
        <v>NG</v>
      </c>
      <c r="CD299" s="141"/>
      <c r="CE299" s="172" t="s">
        <v>71</v>
      </c>
      <c r="CF299" s="160"/>
      <c r="CG299" s="141"/>
      <c r="CH299" s="203" t="str">
        <f t="shared" si="509"/>
        <v xml:space="preserve">       </v>
      </c>
      <c r="CI299" s="174" t="str">
        <f t="shared" si="491"/>
        <v>NG</v>
      </c>
      <c r="CJ299" s="141"/>
      <c r="CK299" s="172" t="s">
        <v>71</v>
      </c>
      <c r="CL299" s="160"/>
      <c r="CM299" s="141"/>
      <c r="CN299" s="203" t="str">
        <f t="shared" si="510"/>
        <v xml:space="preserve">       </v>
      </c>
      <c r="CO299" s="174" t="str">
        <f t="shared" si="492"/>
        <v>NG</v>
      </c>
      <c r="CP299" s="141"/>
      <c r="CQ299" s="172" t="s">
        <v>71</v>
      </c>
      <c r="CR299" s="160"/>
      <c r="CS299" s="141"/>
      <c r="CT299" s="203" t="str">
        <f t="shared" si="511"/>
        <v xml:space="preserve">       </v>
      </c>
      <c r="CU299" s="174" t="str">
        <f t="shared" si="493"/>
        <v>NG</v>
      </c>
      <c r="CV299" s="141"/>
      <c r="CW299" s="172" t="s">
        <v>71</v>
      </c>
      <c r="CX299" s="160"/>
      <c r="CY299" s="141"/>
      <c r="CZ299" s="203" t="str">
        <f t="shared" si="512"/>
        <v xml:space="preserve">       </v>
      </c>
      <c r="DA299" s="174" t="str">
        <f t="shared" si="494"/>
        <v>NG</v>
      </c>
      <c r="DB299" s="141"/>
      <c r="DC299" s="172" t="s">
        <v>71</v>
      </c>
      <c r="DD299" s="160"/>
      <c r="DE299" s="141"/>
      <c r="DF299" s="203" t="str">
        <f t="shared" si="513"/>
        <v xml:space="preserve">       </v>
      </c>
      <c r="DG299" s="174" t="str">
        <f t="shared" si="495"/>
        <v>NG</v>
      </c>
      <c r="DH299" s="141"/>
      <c r="DI299" s="172" t="s">
        <v>71</v>
      </c>
      <c r="DJ299" s="160"/>
      <c r="DK299" s="141"/>
      <c r="DL299" s="203" t="str">
        <f t="shared" si="514"/>
        <v xml:space="preserve">       </v>
      </c>
      <c r="DM299" s="174" t="str">
        <f t="shared" si="496"/>
        <v>NG</v>
      </c>
      <c r="DN299" s="141"/>
      <c r="DO299" s="172" t="s">
        <v>71</v>
      </c>
      <c r="DP299" s="160"/>
      <c r="DQ299" s="141"/>
      <c r="DR299" s="203" t="str">
        <f t="shared" si="515"/>
        <v xml:space="preserve">       </v>
      </c>
      <c r="DS299" s="174" t="str">
        <f t="shared" si="473"/>
        <v>NG</v>
      </c>
      <c r="DT299" s="141"/>
      <c r="DU299" s="172" t="s">
        <v>71</v>
      </c>
      <c r="DV299" s="160"/>
      <c r="DW299" s="141"/>
      <c r="DX299" s="203" t="str">
        <f t="shared" si="516"/>
        <v xml:space="preserve">       </v>
      </c>
      <c r="DY299" s="174" t="str">
        <f t="shared" si="474"/>
        <v>NG</v>
      </c>
      <c r="DZ299" s="141"/>
      <c r="EA299" s="172" t="s">
        <v>71</v>
      </c>
      <c r="EB299" s="160"/>
      <c r="EC299" s="141"/>
      <c r="ED299" s="203" t="str">
        <f t="shared" si="517"/>
        <v xml:space="preserve">       </v>
      </c>
      <c r="EE299" s="174" t="str">
        <f t="shared" si="475"/>
        <v>NG</v>
      </c>
      <c r="EF299" s="141"/>
      <c r="EG299" s="172" t="s">
        <v>71</v>
      </c>
      <c r="EH299" s="160"/>
      <c r="EI299" s="141"/>
      <c r="EJ299" s="203" t="str">
        <f t="shared" si="518"/>
        <v xml:space="preserve">       </v>
      </c>
      <c r="EK299" s="174" t="str">
        <f t="shared" si="476"/>
        <v>NG</v>
      </c>
      <c r="EL299" s="141"/>
      <c r="EM299" s="172" t="s">
        <v>71</v>
      </c>
      <c r="EN299" s="160"/>
      <c r="EO299" s="141"/>
      <c r="EP299" s="203" t="str">
        <f t="shared" si="519"/>
        <v xml:space="preserve">       </v>
      </c>
      <c r="EQ299" s="174" t="str">
        <f t="shared" si="477"/>
        <v>NG</v>
      </c>
      <c r="ER299" s="141"/>
      <c r="ES299" s="172" t="s">
        <v>71</v>
      </c>
      <c r="ET299" s="160"/>
      <c r="EU299" s="141"/>
      <c r="EV299" s="203" t="str">
        <f t="shared" si="520"/>
        <v xml:space="preserve">       </v>
      </c>
      <c r="EW299" s="174" t="str">
        <f t="shared" si="478"/>
        <v>NG</v>
      </c>
      <c r="EX299" s="141"/>
      <c r="EY299" s="172" t="s">
        <v>71</v>
      </c>
      <c r="EZ299" s="160"/>
      <c r="FA299" s="141"/>
      <c r="FB299" s="203" t="str">
        <f t="shared" si="521"/>
        <v xml:space="preserve">       </v>
      </c>
      <c r="FC299" s="174" t="str">
        <f t="shared" si="479"/>
        <v>NG</v>
      </c>
      <c r="FD299" s="141"/>
      <c r="FE299" s="172" t="s">
        <v>71</v>
      </c>
      <c r="FF299" s="160"/>
      <c r="FG299" s="141"/>
      <c r="FH299" s="203" t="str">
        <f t="shared" si="522"/>
        <v xml:space="preserve">       </v>
      </c>
      <c r="FI299" s="174" t="str">
        <f t="shared" si="480"/>
        <v>NG</v>
      </c>
      <c r="FJ299" s="141"/>
      <c r="FK299" s="172" t="s">
        <v>71</v>
      </c>
      <c r="FL299" s="160"/>
      <c r="FM299" s="141"/>
      <c r="FN299" s="203" t="str">
        <f t="shared" si="523"/>
        <v xml:space="preserve">       </v>
      </c>
      <c r="FO299" s="174" t="str">
        <f t="shared" si="497"/>
        <v>NG</v>
      </c>
      <c r="FP299" s="141"/>
      <c r="FQ299" s="172" t="s">
        <v>71</v>
      </c>
      <c r="FR299" s="160"/>
      <c r="FS299" s="141"/>
      <c r="FT299" s="203" t="str">
        <f t="shared" si="524"/>
        <v xml:space="preserve">       </v>
      </c>
      <c r="FU299" s="174" t="str">
        <f t="shared" si="498"/>
        <v>NG</v>
      </c>
      <c r="FV299" s="141"/>
      <c r="FW299" s="172" t="s">
        <v>71</v>
      </c>
      <c r="FX299" s="160"/>
      <c r="FY299" s="141"/>
      <c r="FZ299" s="203" t="str">
        <f t="shared" si="525"/>
        <v xml:space="preserve">       </v>
      </c>
      <c r="GA299" s="174" t="str">
        <f t="shared" si="499"/>
        <v>NG</v>
      </c>
      <c r="GB299" s="141"/>
      <c r="GC299" s="172" t="s">
        <v>71</v>
      </c>
    </row>
    <row r="300" spans="2:185" s="237" customFormat="1" ht="25.5">
      <c r="B300" s="216">
        <f t="shared" si="527"/>
        <v>293</v>
      </c>
      <c r="C300" s="220"/>
      <c r="D300" s="220"/>
      <c r="E300" s="221"/>
      <c r="F300" s="222" t="s">
        <v>346</v>
      </c>
      <c r="G300" s="223"/>
      <c r="H300" s="224"/>
      <c r="I300" s="225"/>
      <c r="J300" s="225"/>
      <c r="K300" s="226"/>
      <c r="L300" s="226"/>
      <c r="M300" s="227" t="s">
        <v>345</v>
      </c>
      <c r="N300" s="228"/>
      <c r="O300" s="229"/>
      <c r="P300" s="45">
        <f t="shared" si="529"/>
        <v>268</v>
      </c>
      <c r="Q300" s="230">
        <v>10</v>
      </c>
      <c r="R300" s="41" t="str">
        <f t="shared" si="530"/>
        <v>X</v>
      </c>
      <c r="S300" s="185" t="s">
        <v>242</v>
      </c>
      <c r="T300" s="231"/>
      <c r="U300" s="41" t="s">
        <v>80</v>
      </c>
      <c r="V300" s="229"/>
      <c r="W300" s="232">
        <v>3</v>
      </c>
      <c r="X300" s="194" t="s">
        <v>243</v>
      </c>
      <c r="Y300" s="194">
        <v>10</v>
      </c>
      <c r="Z300" s="194">
        <v>10</v>
      </c>
      <c r="AA300" s="225" t="s">
        <v>163</v>
      </c>
      <c r="AB300" s="225" t="s">
        <v>57</v>
      </c>
      <c r="AC300" s="219"/>
      <c r="AD300" s="233"/>
      <c r="AE300" s="268"/>
      <c r="AF300" s="235" t="str">
        <f t="shared" si="501"/>
        <v xml:space="preserve">          </v>
      </c>
      <c r="AG300" s="174" t="str">
        <f t="shared" si="483"/>
        <v>NG</v>
      </c>
      <c r="AH300" s="268"/>
      <c r="AI300" s="172" t="s">
        <v>71</v>
      </c>
      <c r="AJ300" s="233"/>
      <c r="AK300" s="234"/>
      <c r="AL300" s="235" t="str">
        <f t="shared" si="500"/>
        <v xml:space="preserve">          </v>
      </c>
      <c r="AM300" s="174" t="str">
        <f t="shared" si="528"/>
        <v>NG</v>
      </c>
      <c r="AN300" s="268"/>
      <c r="AO300" s="172" t="s">
        <v>71</v>
      </c>
      <c r="AP300" s="233"/>
      <c r="AQ300" s="268"/>
      <c r="AR300" s="235" t="str">
        <f t="shared" si="502"/>
        <v xml:space="preserve">          </v>
      </c>
      <c r="AS300" s="174" t="str">
        <f t="shared" si="484"/>
        <v>NG</v>
      </c>
      <c r="AT300" s="268"/>
      <c r="AU300" s="172" t="s">
        <v>71</v>
      </c>
      <c r="AV300" s="233"/>
      <c r="AW300" s="268"/>
      <c r="AX300" s="235" t="str">
        <f t="shared" si="503"/>
        <v xml:space="preserve">          </v>
      </c>
      <c r="AY300" s="174" t="str">
        <f t="shared" si="485"/>
        <v>NG</v>
      </c>
      <c r="AZ300" s="268"/>
      <c r="BA300" s="172" t="s">
        <v>71</v>
      </c>
      <c r="BB300" s="233"/>
      <c r="BC300" s="268"/>
      <c r="BD300" s="235" t="str">
        <f t="shared" si="504"/>
        <v xml:space="preserve">          </v>
      </c>
      <c r="BE300" s="174" t="str">
        <f t="shared" si="486"/>
        <v>NG</v>
      </c>
      <c r="BF300" s="268"/>
      <c r="BG300" s="172" t="s">
        <v>71</v>
      </c>
      <c r="BH300" s="233"/>
      <c r="BI300" s="268"/>
      <c r="BJ300" s="235" t="str">
        <f t="shared" si="505"/>
        <v xml:space="preserve">          </v>
      </c>
      <c r="BK300" s="174" t="str">
        <f t="shared" si="487"/>
        <v>NG</v>
      </c>
      <c r="BL300" s="268"/>
      <c r="BM300" s="172" t="s">
        <v>71</v>
      </c>
      <c r="BN300" s="233"/>
      <c r="BO300" s="268"/>
      <c r="BP300" s="235" t="str">
        <f t="shared" si="506"/>
        <v xml:space="preserve">          </v>
      </c>
      <c r="BQ300" s="174" t="str">
        <f t="shared" si="488"/>
        <v>NG</v>
      </c>
      <c r="BR300" s="268"/>
      <c r="BS300" s="172" t="s">
        <v>71</v>
      </c>
      <c r="BT300" s="233"/>
      <c r="BU300" s="268"/>
      <c r="BV300" s="235" t="str">
        <f t="shared" si="507"/>
        <v xml:space="preserve">          </v>
      </c>
      <c r="BW300" s="174" t="str">
        <f t="shared" si="489"/>
        <v>NG</v>
      </c>
      <c r="BX300" s="268"/>
      <c r="BY300" s="172" t="s">
        <v>71</v>
      </c>
      <c r="BZ300" s="233"/>
      <c r="CA300" s="268"/>
      <c r="CB300" s="235" t="str">
        <f t="shared" si="508"/>
        <v xml:space="preserve">          </v>
      </c>
      <c r="CC300" s="174" t="str">
        <f t="shared" si="490"/>
        <v>NG</v>
      </c>
      <c r="CD300" s="268"/>
      <c r="CE300" s="172" t="s">
        <v>71</v>
      </c>
      <c r="CF300" s="233"/>
      <c r="CG300" s="268"/>
      <c r="CH300" s="235" t="str">
        <f t="shared" si="509"/>
        <v xml:space="preserve">          </v>
      </c>
      <c r="CI300" s="174" t="str">
        <f t="shared" si="491"/>
        <v>NG</v>
      </c>
      <c r="CJ300" s="268"/>
      <c r="CK300" s="172" t="s">
        <v>71</v>
      </c>
      <c r="CL300" s="233"/>
      <c r="CM300" s="268"/>
      <c r="CN300" s="235" t="str">
        <f t="shared" si="510"/>
        <v xml:space="preserve">          </v>
      </c>
      <c r="CO300" s="174" t="str">
        <f t="shared" si="492"/>
        <v>NG</v>
      </c>
      <c r="CP300" s="268"/>
      <c r="CQ300" s="172" t="s">
        <v>71</v>
      </c>
      <c r="CR300" s="233"/>
      <c r="CS300" s="268"/>
      <c r="CT300" s="235" t="str">
        <f t="shared" si="511"/>
        <v xml:space="preserve">          </v>
      </c>
      <c r="CU300" s="174" t="str">
        <f t="shared" si="493"/>
        <v>NG</v>
      </c>
      <c r="CV300" s="268"/>
      <c r="CW300" s="172" t="s">
        <v>71</v>
      </c>
      <c r="CX300" s="233"/>
      <c r="CY300" s="268"/>
      <c r="CZ300" s="235" t="str">
        <f t="shared" si="512"/>
        <v xml:space="preserve">          </v>
      </c>
      <c r="DA300" s="174" t="str">
        <f t="shared" si="494"/>
        <v>NG</v>
      </c>
      <c r="DB300" s="268"/>
      <c r="DC300" s="172" t="s">
        <v>71</v>
      </c>
      <c r="DD300" s="233"/>
      <c r="DE300" s="268"/>
      <c r="DF300" s="235" t="str">
        <f t="shared" si="513"/>
        <v xml:space="preserve">          </v>
      </c>
      <c r="DG300" s="174" t="str">
        <f t="shared" si="495"/>
        <v>NG</v>
      </c>
      <c r="DH300" s="268"/>
      <c r="DI300" s="172" t="s">
        <v>71</v>
      </c>
      <c r="DJ300" s="233"/>
      <c r="DK300" s="268"/>
      <c r="DL300" s="235" t="str">
        <f t="shared" si="514"/>
        <v xml:space="preserve">          </v>
      </c>
      <c r="DM300" s="174" t="str">
        <f t="shared" si="496"/>
        <v>NG</v>
      </c>
      <c r="DN300" s="268"/>
      <c r="DO300" s="172" t="s">
        <v>71</v>
      </c>
      <c r="DP300" s="233"/>
      <c r="DQ300" s="268"/>
      <c r="DR300" s="235" t="str">
        <f t="shared" si="515"/>
        <v xml:space="preserve">          </v>
      </c>
      <c r="DS300" s="174" t="str">
        <f t="shared" si="473"/>
        <v>NG</v>
      </c>
      <c r="DT300" s="268"/>
      <c r="DU300" s="172" t="s">
        <v>71</v>
      </c>
      <c r="DV300" s="233"/>
      <c r="DW300" s="268"/>
      <c r="DX300" s="235" t="str">
        <f t="shared" si="516"/>
        <v xml:space="preserve">          </v>
      </c>
      <c r="DY300" s="174" t="str">
        <f t="shared" si="474"/>
        <v>NG</v>
      </c>
      <c r="DZ300" s="268"/>
      <c r="EA300" s="172" t="s">
        <v>71</v>
      </c>
      <c r="EB300" s="233"/>
      <c r="EC300" s="268"/>
      <c r="ED300" s="235" t="str">
        <f t="shared" si="517"/>
        <v xml:space="preserve">          </v>
      </c>
      <c r="EE300" s="174" t="str">
        <f t="shared" si="475"/>
        <v>NG</v>
      </c>
      <c r="EF300" s="268"/>
      <c r="EG300" s="172" t="s">
        <v>71</v>
      </c>
      <c r="EH300" s="233"/>
      <c r="EI300" s="268"/>
      <c r="EJ300" s="235" t="str">
        <f t="shared" si="518"/>
        <v xml:space="preserve">          </v>
      </c>
      <c r="EK300" s="174" t="str">
        <f t="shared" si="476"/>
        <v>NG</v>
      </c>
      <c r="EL300" s="268"/>
      <c r="EM300" s="172" t="s">
        <v>71</v>
      </c>
      <c r="EN300" s="233"/>
      <c r="EO300" s="268"/>
      <c r="EP300" s="235" t="str">
        <f t="shared" si="519"/>
        <v xml:space="preserve">          </v>
      </c>
      <c r="EQ300" s="174" t="str">
        <f t="shared" si="477"/>
        <v>NG</v>
      </c>
      <c r="ER300" s="268"/>
      <c r="ES300" s="172" t="s">
        <v>71</v>
      </c>
      <c r="ET300" s="233"/>
      <c r="EU300" s="268"/>
      <c r="EV300" s="235" t="str">
        <f t="shared" si="520"/>
        <v xml:space="preserve">          </v>
      </c>
      <c r="EW300" s="174" t="str">
        <f t="shared" si="478"/>
        <v>NG</v>
      </c>
      <c r="EX300" s="268"/>
      <c r="EY300" s="172" t="s">
        <v>71</v>
      </c>
      <c r="EZ300" s="233"/>
      <c r="FA300" s="268"/>
      <c r="FB300" s="235" t="str">
        <f t="shared" si="521"/>
        <v xml:space="preserve">          </v>
      </c>
      <c r="FC300" s="174" t="str">
        <f t="shared" si="479"/>
        <v>NG</v>
      </c>
      <c r="FD300" s="268"/>
      <c r="FE300" s="172" t="s">
        <v>71</v>
      </c>
      <c r="FF300" s="233"/>
      <c r="FG300" s="268"/>
      <c r="FH300" s="235" t="str">
        <f t="shared" si="522"/>
        <v xml:space="preserve">          </v>
      </c>
      <c r="FI300" s="174" t="str">
        <f t="shared" si="480"/>
        <v>NG</v>
      </c>
      <c r="FJ300" s="268"/>
      <c r="FK300" s="172" t="s">
        <v>71</v>
      </c>
      <c r="FL300" s="233"/>
      <c r="FM300" s="268"/>
      <c r="FN300" s="235" t="str">
        <f t="shared" si="523"/>
        <v xml:space="preserve">          </v>
      </c>
      <c r="FO300" s="174" t="str">
        <f t="shared" si="497"/>
        <v>NG</v>
      </c>
      <c r="FP300" s="268"/>
      <c r="FQ300" s="172" t="s">
        <v>71</v>
      </c>
      <c r="FR300" s="233"/>
      <c r="FS300" s="268"/>
      <c r="FT300" s="235" t="str">
        <f t="shared" si="524"/>
        <v xml:space="preserve">          </v>
      </c>
      <c r="FU300" s="174" t="str">
        <f t="shared" si="498"/>
        <v>NG</v>
      </c>
      <c r="FV300" s="268"/>
      <c r="FW300" s="172" t="s">
        <v>71</v>
      </c>
      <c r="FX300" s="233"/>
      <c r="FY300" s="268"/>
      <c r="FZ300" s="235" t="str">
        <f t="shared" si="525"/>
        <v xml:space="preserve">          </v>
      </c>
      <c r="GA300" s="174" t="str">
        <f t="shared" si="499"/>
        <v>NG</v>
      </c>
      <c r="GB300" s="268"/>
      <c r="GC300" s="172" t="s">
        <v>71</v>
      </c>
    </row>
    <row r="301" spans="2:185" s="237" customFormat="1" ht="25.5">
      <c r="B301" s="216">
        <f t="shared" si="527"/>
        <v>294</v>
      </c>
      <c r="C301" s="220"/>
      <c r="D301" s="220"/>
      <c r="E301" s="220"/>
      <c r="F301" s="238" t="s">
        <v>244</v>
      </c>
      <c r="G301" s="168"/>
      <c r="H301" s="239"/>
      <c r="I301" s="225"/>
      <c r="J301" s="225"/>
      <c r="K301" s="226"/>
      <c r="L301" s="226"/>
      <c r="M301" s="227" t="s">
        <v>345</v>
      </c>
      <c r="N301" s="228"/>
      <c r="O301" s="229"/>
      <c r="P301" s="45">
        <f t="shared" si="529"/>
        <v>269</v>
      </c>
      <c r="Q301" s="230">
        <v>3</v>
      </c>
      <c r="R301" s="41" t="str">
        <f t="shared" si="530"/>
        <v>X</v>
      </c>
      <c r="S301" s="185" t="s">
        <v>245</v>
      </c>
      <c r="T301" s="231"/>
      <c r="U301" s="41" t="s">
        <v>80</v>
      </c>
      <c r="V301" s="229"/>
      <c r="W301" s="232">
        <v>3</v>
      </c>
      <c r="X301" s="194" t="s">
        <v>246</v>
      </c>
      <c r="Y301" s="194">
        <v>3</v>
      </c>
      <c r="Z301" s="194">
        <v>3</v>
      </c>
      <c r="AA301" s="225" t="s">
        <v>163</v>
      </c>
      <c r="AB301" s="225" t="s">
        <v>57</v>
      </c>
      <c r="AC301" s="219"/>
      <c r="AD301" s="233"/>
      <c r="AE301" s="268"/>
      <c r="AF301" s="235" t="str">
        <f t="shared" si="501"/>
        <v xml:space="preserve">   </v>
      </c>
      <c r="AG301" s="174" t="str">
        <f t="shared" si="483"/>
        <v>NG</v>
      </c>
      <c r="AH301" s="268"/>
      <c r="AI301" s="172" t="s">
        <v>71</v>
      </c>
      <c r="AJ301" s="233"/>
      <c r="AK301" s="234"/>
      <c r="AL301" s="235" t="str">
        <f t="shared" si="500"/>
        <v xml:space="preserve">   </v>
      </c>
      <c r="AM301" s="174" t="str">
        <f t="shared" si="528"/>
        <v>NG</v>
      </c>
      <c r="AN301" s="268"/>
      <c r="AO301" s="172" t="s">
        <v>71</v>
      </c>
      <c r="AP301" s="233"/>
      <c r="AQ301" s="268"/>
      <c r="AR301" s="235" t="str">
        <f t="shared" si="502"/>
        <v xml:space="preserve">   </v>
      </c>
      <c r="AS301" s="174" t="str">
        <f t="shared" si="484"/>
        <v>NG</v>
      </c>
      <c r="AT301" s="268"/>
      <c r="AU301" s="172" t="s">
        <v>71</v>
      </c>
      <c r="AV301" s="233"/>
      <c r="AW301" s="268"/>
      <c r="AX301" s="235" t="str">
        <f t="shared" si="503"/>
        <v xml:space="preserve">   </v>
      </c>
      <c r="AY301" s="174" t="str">
        <f t="shared" si="485"/>
        <v>NG</v>
      </c>
      <c r="AZ301" s="268"/>
      <c r="BA301" s="172" t="s">
        <v>71</v>
      </c>
      <c r="BB301" s="233"/>
      <c r="BC301" s="268"/>
      <c r="BD301" s="235" t="str">
        <f t="shared" si="504"/>
        <v xml:space="preserve">   </v>
      </c>
      <c r="BE301" s="174" t="str">
        <f t="shared" si="486"/>
        <v>NG</v>
      </c>
      <c r="BF301" s="268"/>
      <c r="BG301" s="172" t="s">
        <v>71</v>
      </c>
      <c r="BH301" s="233"/>
      <c r="BI301" s="268"/>
      <c r="BJ301" s="235" t="str">
        <f t="shared" si="505"/>
        <v xml:space="preserve">   </v>
      </c>
      <c r="BK301" s="174" t="str">
        <f t="shared" si="487"/>
        <v>NG</v>
      </c>
      <c r="BL301" s="268"/>
      <c r="BM301" s="172" t="s">
        <v>71</v>
      </c>
      <c r="BN301" s="233"/>
      <c r="BO301" s="268"/>
      <c r="BP301" s="235" t="str">
        <f t="shared" si="506"/>
        <v xml:space="preserve">   </v>
      </c>
      <c r="BQ301" s="174" t="str">
        <f t="shared" si="488"/>
        <v>NG</v>
      </c>
      <c r="BR301" s="268"/>
      <c r="BS301" s="172" t="s">
        <v>71</v>
      </c>
      <c r="BT301" s="233"/>
      <c r="BU301" s="268"/>
      <c r="BV301" s="235" t="str">
        <f t="shared" si="507"/>
        <v xml:space="preserve">   </v>
      </c>
      <c r="BW301" s="174" t="str">
        <f t="shared" si="489"/>
        <v>NG</v>
      </c>
      <c r="BX301" s="268"/>
      <c r="BY301" s="172" t="s">
        <v>71</v>
      </c>
      <c r="BZ301" s="233"/>
      <c r="CA301" s="268"/>
      <c r="CB301" s="235" t="str">
        <f t="shared" si="508"/>
        <v xml:space="preserve">   </v>
      </c>
      <c r="CC301" s="174" t="str">
        <f t="shared" si="490"/>
        <v>NG</v>
      </c>
      <c r="CD301" s="268"/>
      <c r="CE301" s="172" t="s">
        <v>71</v>
      </c>
      <c r="CF301" s="233"/>
      <c r="CG301" s="268"/>
      <c r="CH301" s="235" t="str">
        <f t="shared" si="509"/>
        <v xml:space="preserve">   </v>
      </c>
      <c r="CI301" s="174" t="str">
        <f t="shared" si="491"/>
        <v>NG</v>
      </c>
      <c r="CJ301" s="268"/>
      <c r="CK301" s="172" t="s">
        <v>71</v>
      </c>
      <c r="CL301" s="233"/>
      <c r="CM301" s="268"/>
      <c r="CN301" s="235" t="str">
        <f t="shared" si="510"/>
        <v xml:space="preserve">   </v>
      </c>
      <c r="CO301" s="174" t="str">
        <f t="shared" si="492"/>
        <v>NG</v>
      </c>
      <c r="CP301" s="268"/>
      <c r="CQ301" s="172" t="s">
        <v>71</v>
      </c>
      <c r="CR301" s="233"/>
      <c r="CS301" s="268"/>
      <c r="CT301" s="235" t="str">
        <f t="shared" si="511"/>
        <v xml:space="preserve">   </v>
      </c>
      <c r="CU301" s="174" t="str">
        <f t="shared" si="493"/>
        <v>NG</v>
      </c>
      <c r="CV301" s="268"/>
      <c r="CW301" s="172" t="s">
        <v>71</v>
      </c>
      <c r="CX301" s="233"/>
      <c r="CY301" s="268"/>
      <c r="CZ301" s="235" t="str">
        <f t="shared" si="512"/>
        <v xml:space="preserve">   </v>
      </c>
      <c r="DA301" s="174" t="str">
        <f t="shared" si="494"/>
        <v>NG</v>
      </c>
      <c r="DB301" s="268"/>
      <c r="DC301" s="172" t="s">
        <v>71</v>
      </c>
      <c r="DD301" s="233"/>
      <c r="DE301" s="268"/>
      <c r="DF301" s="235" t="str">
        <f t="shared" si="513"/>
        <v xml:space="preserve">   </v>
      </c>
      <c r="DG301" s="174" t="str">
        <f t="shared" si="495"/>
        <v>NG</v>
      </c>
      <c r="DH301" s="268"/>
      <c r="DI301" s="172" t="s">
        <v>71</v>
      </c>
      <c r="DJ301" s="233"/>
      <c r="DK301" s="268"/>
      <c r="DL301" s="235" t="str">
        <f t="shared" si="514"/>
        <v xml:space="preserve">   </v>
      </c>
      <c r="DM301" s="174" t="str">
        <f t="shared" si="496"/>
        <v>NG</v>
      </c>
      <c r="DN301" s="268"/>
      <c r="DO301" s="172" t="s">
        <v>71</v>
      </c>
      <c r="DP301" s="233"/>
      <c r="DQ301" s="268"/>
      <c r="DR301" s="235" t="str">
        <f t="shared" si="515"/>
        <v xml:space="preserve">   </v>
      </c>
      <c r="DS301" s="174" t="str">
        <f t="shared" si="473"/>
        <v>NG</v>
      </c>
      <c r="DT301" s="268"/>
      <c r="DU301" s="172" t="s">
        <v>71</v>
      </c>
      <c r="DV301" s="233"/>
      <c r="DW301" s="268"/>
      <c r="DX301" s="235" t="str">
        <f t="shared" si="516"/>
        <v xml:space="preserve">   </v>
      </c>
      <c r="DY301" s="174" t="str">
        <f t="shared" si="474"/>
        <v>NG</v>
      </c>
      <c r="DZ301" s="268"/>
      <c r="EA301" s="172" t="s">
        <v>71</v>
      </c>
      <c r="EB301" s="233"/>
      <c r="EC301" s="268"/>
      <c r="ED301" s="235" t="str">
        <f t="shared" si="517"/>
        <v xml:space="preserve">   </v>
      </c>
      <c r="EE301" s="174" t="str">
        <f t="shared" si="475"/>
        <v>NG</v>
      </c>
      <c r="EF301" s="268"/>
      <c r="EG301" s="172" t="s">
        <v>71</v>
      </c>
      <c r="EH301" s="233"/>
      <c r="EI301" s="268"/>
      <c r="EJ301" s="235" t="str">
        <f t="shared" si="518"/>
        <v xml:space="preserve">   </v>
      </c>
      <c r="EK301" s="174" t="str">
        <f t="shared" si="476"/>
        <v>NG</v>
      </c>
      <c r="EL301" s="268"/>
      <c r="EM301" s="172" t="s">
        <v>71</v>
      </c>
      <c r="EN301" s="233"/>
      <c r="EO301" s="268"/>
      <c r="EP301" s="235" t="str">
        <f t="shared" si="519"/>
        <v xml:space="preserve">   </v>
      </c>
      <c r="EQ301" s="174" t="str">
        <f t="shared" si="477"/>
        <v>NG</v>
      </c>
      <c r="ER301" s="268"/>
      <c r="ES301" s="172" t="s">
        <v>71</v>
      </c>
      <c r="ET301" s="233"/>
      <c r="EU301" s="268"/>
      <c r="EV301" s="235" t="str">
        <f t="shared" si="520"/>
        <v xml:space="preserve">   </v>
      </c>
      <c r="EW301" s="174" t="str">
        <f t="shared" si="478"/>
        <v>NG</v>
      </c>
      <c r="EX301" s="268"/>
      <c r="EY301" s="172" t="s">
        <v>71</v>
      </c>
      <c r="EZ301" s="233"/>
      <c r="FA301" s="268"/>
      <c r="FB301" s="235" t="str">
        <f t="shared" si="521"/>
        <v xml:space="preserve">   </v>
      </c>
      <c r="FC301" s="174" t="str">
        <f t="shared" si="479"/>
        <v>NG</v>
      </c>
      <c r="FD301" s="268"/>
      <c r="FE301" s="172" t="s">
        <v>71</v>
      </c>
      <c r="FF301" s="233"/>
      <c r="FG301" s="268"/>
      <c r="FH301" s="235" t="str">
        <f t="shared" si="522"/>
        <v xml:space="preserve">   </v>
      </c>
      <c r="FI301" s="174" t="str">
        <f t="shared" si="480"/>
        <v>NG</v>
      </c>
      <c r="FJ301" s="268"/>
      <c r="FK301" s="172" t="s">
        <v>71</v>
      </c>
      <c r="FL301" s="233"/>
      <c r="FM301" s="268"/>
      <c r="FN301" s="235" t="str">
        <f t="shared" si="523"/>
        <v xml:space="preserve">   </v>
      </c>
      <c r="FO301" s="174" t="str">
        <f t="shared" si="497"/>
        <v>NG</v>
      </c>
      <c r="FP301" s="268"/>
      <c r="FQ301" s="172" t="s">
        <v>71</v>
      </c>
      <c r="FR301" s="233"/>
      <c r="FS301" s="268"/>
      <c r="FT301" s="235" t="str">
        <f t="shared" si="524"/>
        <v xml:space="preserve">   </v>
      </c>
      <c r="FU301" s="174" t="str">
        <f t="shared" si="498"/>
        <v>NG</v>
      </c>
      <c r="FV301" s="268"/>
      <c r="FW301" s="172" t="s">
        <v>71</v>
      </c>
      <c r="FX301" s="233"/>
      <c r="FY301" s="268"/>
      <c r="FZ301" s="235" t="str">
        <f t="shared" si="525"/>
        <v xml:space="preserve">   </v>
      </c>
      <c r="GA301" s="174" t="str">
        <f t="shared" si="499"/>
        <v>NG</v>
      </c>
      <c r="GB301" s="268"/>
      <c r="GC301" s="172" t="s">
        <v>71</v>
      </c>
    </row>
    <row r="302" spans="2:185" s="237" customFormat="1" ht="25.5">
      <c r="B302" s="216">
        <f t="shared" si="527"/>
        <v>295</v>
      </c>
      <c r="C302" s="220"/>
      <c r="D302" s="220"/>
      <c r="E302" s="220"/>
      <c r="F302" s="238" t="s">
        <v>347</v>
      </c>
      <c r="G302" s="168"/>
      <c r="H302" s="239"/>
      <c r="I302" s="225"/>
      <c r="J302" s="225"/>
      <c r="K302" s="226"/>
      <c r="L302" s="226"/>
      <c r="M302" s="227" t="s">
        <v>345</v>
      </c>
      <c r="N302" s="228"/>
      <c r="O302" s="229"/>
      <c r="P302" s="45">
        <f t="shared" si="529"/>
        <v>270</v>
      </c>
      <c r="Q302" s="230">
        <v>2</v>
      </c>
      <c r="R302" s="41" t="str">
        <f t="shared" si="530"/>
        <v>X</v>
      </c>
      <c r="S302" s="185" t="s">
        <v>247</v>
      </c>
      <c r="T302" s="231"/>
      <c r="U302" s="41" t="s">
        <v>80</v>
      </c>
      <c r="V302" s="229"/>
      <c r="W302" s="232">
        <v>3</v>
      </c>
      <c r="X302" s="194" t="s">
        <v>248</v>
      </c>
      <c r="Y302" s="194">
        <v>2</v>
      </c>
      <c r="Z302" s="194">
        <v>2</v>
      </c>
      <c r="AA302" s="225" t="s">
        <v>163</v>
      </c>
      <c r="AB302" s="225" t="s">
        <v>57</v>
      </c>
      <c r="AC302" s="219"/>
      <c r="AD302" s="233"/>
      <c r="AE302" s="268"/>
      <c r="AF302" s="235" t="str">
        <f t="shared" si="501"/>
        <v xml:space="preserve">  </v>
      </c>
      <c r="AG302" s="174" t="str">
        <f t="shared" si="483"/>
        <v>NG</v>
      </c>
      <c r="AH302" s="268"/>
      <c r="AI302" s="172" t="s">
        <v>71</v>
      </c>
      <c r="AJ302" s="233"/>
      <c r="AK302" s="234"/>
      <c r="AL302" s="235" t="str">
        <f t="shared" si="500"/>
        <v xml:space="preserve">  </v>
      </c>
      <c r="AM302" s="174" t="str">
        <f t="shared" si="528"/>
        <v>NG</v>
      </c>
      <c r="AN302" s="268"/>
      <c r="AO302" s="172" t="s">
        <v>71</v>
      </c>
      <c r="AP302" s="233"/>
      <c r="AQ302" s="268"/>
      <c r="AR302" s="235" t="str">
        <f t="shared" si="502"/>
        <v xml:space="preserve">  </v>
      </c>
      <c r="AS302" s="174" t="str">
        <f t="shared" si="484"/>
        <v>NG</v>
      </c>
      <c r="AT302" s="268"/>
      <c r="AU302" s="172" t="s">
        <v>71</v>
      </c>
      <c r="AV302" s="233"/>
      <c r="AW302" s="268"/>
      <c r="AX302" s="235" t="str">
        <f t="shared" si="503"/>
        <v xml:space="preserve">  </v>
      </c>
      <c r="AY302" s="174" t="str">
        <f t="shared" si="485"/>
        <v>NG</v>
      </c>
      <c r="AZ302" s="268"/>
      <c r="BA302" s="172" t="s">
        <v>71</v>
      </c>
      <c r="BB302" s="233"/>
      <c r="BC302" s="268"/>
      <c r="BD302" s="235" t="str">
        <f t="shared" si="504"/>
        <v xml:space="preserve">  </v>
      </c>
      <c r="BE302" s="174" t="str">
        <f t="shared" si="486"/>
        <v>NG</v>
      </c>
      <c r="BF302" s="268"/>
      <c r="BG302" s="172" t="s">
        <v>71</v>
      </c>
      <c r="BH302" s="233"/>
      <c r="BI302" s="268"/>
      <c r="BJ302" s="235" t="str">
        <f t="shared" si="505"/>
        <v xml:space="preserve">  </v>
      </c>
      <c r="BK302" s="174" t="str">
        <f t="shared" si="487"/>
        <v>NG</v>
      </c>
      <c r="BL302" s="268"/>
      <c r="BM302" s="172" t="s">
        <v>71</v>
      </c>
      <c r="BN302" s="233"/>
      <c r="BO302" s="268"/>
      <c r="BP302" s="235" t="str">
        <f t="shared" si="506"/>
        <v xml:space="preserve">  </v>
      </c>
      <c r="BQ302" s="174" t="str">
        <f t="shared" si="488"/>
        <v>NG</v>
      </c>
      <c r="BR302" s="268"/>
      <c r="BS302" s="172" t="s">
        <v>71</v>
      </c>
      <c r="BT302" s="233"/>
      <c r="BU302" s="268"/>
      <c r="BV302" s="235" t="str">
        <f t="shared" si="507"/>
        <v xml:space="preserve">  </v>
      </c>
      <c r="BW302" s="174" t="str">
        <f t="shared" si="489"/>
        <v>NG</v>
      </c>
      <c r="BX302" s="268"/>
      <c r="BY302" s="172" t="s">
        <v>71</v>
      </c>
      <c r="BZ302" s="233"/>
      <c r="CA302" s="268"/>
      <c r="CB302" s="235" t="str">
        <f t="shared" si="508"/>
        <v xml:space="preserve">  </v>
      </c>
      <c r="CC302" s="174" t="str">
        <f t="shared" si="490"/>
        <v>NG</v>
      </c>
      <c r="CD302" s="268"/>
      <c r="CE302" s="172" t="s">
        <v>71</v>
      </c>
      <c r="CF302" s="233"/>
      <c r="CG302" s="268"/>
      <c r="CH302" s="235" t="str">
        <f t="shared" si="509"/>
        <v xml:space="preserve">  </v>
      </c>
      <c r="CI302" s="174" t="str">
        <f t="shared" si="491"/>
        <v>NG</v>
      </c>
      <c r="CJ302" s="268"/>
      <c r="CK302" s="172" t="s">
        <v>71</v>
      </c>
      <c r="CL302" s="233"/>
      <c r="CM302" s="268"/>
      <c r="CN302" s="235" t="str">
        <f t="shared" si="510"/>
        <v xml:space="preserve">  </v>
      </c>
      <c r="CO302" s="174" t="str">
        <f t="shared" si="492"/>
        <v>NG</v>
      </c>
      <c r="CP302" s="268"/>
      <c r="CQ302" s="172" t="s">
        <v>71</v>
      </c>
      <c r="CR302" s="233"/>
      <c r="CS302" s="268"/>
      <c r="CT302" s="235" t="str">
        <f t="shared" si="511"/>
        <v xml:space="preserve">  </v>
      </c>
      <c r="CU302" s="174" t="str">
        <f t="shared" si="493"/>
        <v>NG</v>
      </c>
      <c r="CV302" s="268"/>
      <c r="CW302" s="172" t="s">
        <v>71</v>
      </c>
      <c r="CX302" s="233"/>
      <c r="CY302" s="268"/>
      <c r="CZ302" s="235" t="str">
        <f t="shared" si="512"/>
        <v xml:space="preserve">  </v>
      </c>
      <c r="DA302" s="174" t="str">
        <f t="shared" si="494"/>
        <v>NG</v>
      </c>
      <c r="DB302" s="268"/>
      <c r="DC302" s="172" t="s">
        <v>71</v>
      </c>
      <c r="DD302" s="233"/>
      <c r="DE302" s="268"/>
      <c r="DF302" s="235" t="str">
        <f t="shared" si="513"/>
        <v xml:space="preserve">  </v>
      </c>
      <c r="DG302" s="174" t="str">
        <f t="shared" si="495"/>
        <v>NG</v>
      </c>
      <c r="DH302" s="268"/>
      <c r="DI302" s="172" t="s">
        <v>71</v>
      </c>
      <c r="DJ302" s="233"/>
      <c r="DK302" s="268"/>
      <c r="DL302" s="235" t="str">
        <f t="shared" si="514"/>
        <v xml:space="preserve">  </v>
      </c>
      <c r="DM302" s="174" t="str">
        <f t="shared" si="496"/>
        <v>NG</v>
      </c>
      <c r="DN302" s="268"/>
      <c r="DO302" s="172" t="s">
        <v>71</v>
      </c>
      <c r="DP302" s="233"/>
      <c r="DQ302" s="268"/>
      <c r="DR302" s="235" t="str">
        <f t="shared" si="515"/>
        <v xml:space="preserve">  </v>
      </c>
      <c r="DS302" s="174" t="str">
        <f t="shared" si="473"/>
        <v>NG</v>
      </c>
      <c r="DT302" s="268"/>
      <c r="DU302" s="172" t="s">
        <v>71</v>
      </c>
      <c r="DV302" s="233"/>
      <c r="DW302" s="268"/>
      <c r="DX302" s="235" t="str">
        <f t="shared" si="516"/>
        <v xml:space="preserve">  </v>
      </c>
      <c r="DY302" s="174" t="str">
        <f t="shared" si="474"/>
        <v>NG</v>
      </c>
      <c r="DZ302" s="268"/>
      <c r="EA302" s="172" t="s">
        <v>71</v>
      </c>
      <c r="EB302" s="233"/>
      <c r="EC302" s="268"/>
      <c r="ED302" s="235" t="str">
        <f t="shared" si="517"/>
        <v xml:space="preserve">  </v>
      </c>
      <c r="EE302" s="174" t="str">
        <f t="shared" si="475"/>
        <v>NG</v>
      </c>
      <c r="EF302" s="268"/>
      <c r="EG302" s="172" t="s">
        <v>71</v>
      </c>
      <c r="EH302" s="233"/>
      <c r="EI302" s="268"/>
      <c r="EJ302" s="235" t="str">
        <f t="shared" si="518"/>
        <v xml:space="preserve">  </v>
      </c>
      <c r="EK302" s="174" t="str">
        <f t="shared" si="476"/>
        <v>NG</v>
      </c>
      <c r="EL302" s="268"/>
      <c r="EM302" s="172" t="s">
        <v>71</v>
      </c>
      <c r="EN302" s="233"/>
      <c r="EO302" s="268"/>
      <c r="EP302" s="235" t="str">
        <f t="shared" si="519"/>
        <v xml:space="preserve">  </v>
      </c>
      <c r="EQ302" s="174" t="str">
        <f t="shared" si="477"/>
        <v>NG</v>
      </c>
      <c r="ER302" s="268"/>
      <c r="ES302" s="172" t="s">
        <v>71</v>
      </c>
      <c r="ET302" s="233"/>
      <c r="EU302" s="268"/>
      <c r="EV302" s="235" t="str">
        <f t="shared" si="520"/>
        <v xml:space="preserve">  </v>
      </c>
      <c r="EW302" s="174" t="str">
        <f t="shared" si="478"/>
        <v>NG</v>
      </c>
      <c r="EX302" s="268"/>
      <c r="EY302" s="172" t="s">
        <v>71</v>
      </c>
      <c r="EZ302" s="233"/>
      <c r="FA302" s="268"/>
      <c r="FB302" s="235" t="str">
        <f t="shared" si="521"/>
        <v xml:space="preserve">  </v>
      </c>
      <c r="FC302" s="174" t="str">
        <f t="shared" si="479"/>
        <v>NG</v>
      </c>
      <c r="FD302" s="268"/>
      <c r="FE302" s="172" t="s">
        <v>71</v>
      </c>
      <c r="FF302" s="233"/>
      <c r="FG302" s="268"/>
      <c r="FH302" s="235" t="str">
        <f t="shared" si="522"/>
        <v xml:space="preserve">  </v>
      </c>
      <c r="FI302" s="174" t="str">
        <f t="shared" si="480"/>
        <v>NG</v>
      </c>
      <c r="FJ302" s="268"/>
      <c r="FK302" s="172" t="s">
        <v>71</v>
      </c>
      <c r="FL302" s="233"/>
      <c r="FM302" s="268"/>
      <c r="FN302" s="235" t="str">
        <f t="shared" si="523"/>
        <v xml:space="preserve">  </v>
      </c>
      <c r="FO302" s="174" t="str">
        <f t="shared" si="497"/>
        <v>NG</v>
      </c>
      <c r="FP302" s="268"/>
      <c r="FQ302" s="172" t="s">
        <v>71</v>
      </c>
      <c r="FR302" s="233"/>
      <c r="FS302" s="268"/>
      <c r="FT302" s="235" t="str">
        <f t="shared" si="524"/>
        <v xml:space="preserve">  </v>
      </c>
      <c r="FU302" s="174" t="str">
        <f t="shared" si="498"/>
        <v>NG</v>
      </c>
      <c r="FV302" s="268"/>
      <c r="FW302" s="172" t="s">
        <v>71</v>
      </c>
      <c r="FX302" s="233"/>
      <c r="FY302" s="268"/>
      <c r="FZ302" s="235" t="str">
        <f t="shared" si="525"/>
        <v xml:space="preserve">  </v>
      </c>
      <c r="GA302" s="174" t="str">
        <f t="shared" si="499"/>
        <v>NG</v>
      </c>
      <c r="GB302" s="268"/>
      <c r="GC302" s="172" t="s">
        <v>71</v>
      </c>
    </row>
    <row r="303" spans="2:185" s="237" customFormat="1" ht="51.75" customHeight="1">
      <c r="B303" s="216">
        <f t="shared" si="527"/>
        <v>296</v>
      </c>
      <c r="C303" s="220"/>
      <c r="D303" s="220"/>
      <c r="E303" s="220"/>
      <c r="F303" s="240" t="s">
        <v>348</v>
      </c>
      <c r="G303" s="241"/>
      <c r="H303" s="242"/>
      <c r="I303" s="225"/>
      <c r="J303" s="225"/>
      <c r="K303" s="226"/>
      <c r="L303" s="226"/>
      <c r="M303" s="227" t="s">
        <v>349</v>
      </c>
      <c r="N303" s="228"/>
      <c r="O303" s="229"/>
      <c r="P303" s="45">
        <f t="shared" si="529"/>
        <v>271</v>
      </c>
      <c r="Q303" s="230">
        <v>5</v>
      </c>
      <c r="R303" s="41" t="str">
        <f t="shared" si="530"/>
        <v>X</v>
      </c>
      <c r="S303" s="185" t="s">
        <v>249</v>
      </c>
      <c r="T303" s="231"/>
      <c r="U303" s="41" t="s">
        <v>80</v>
      </c>
      <c r="V303" s="229"/>
      <c r="W303" s="232">
        <v>3</v>
      </c>
      <c r="X303" s="194" t="s">
        <v>250</v>
      </c>
      <c r="Y303" s="194">
        <v>5</v>
      </c>
      <c r="Z303" s="194">
        <v>5</v>
      </c>
      <c r="AA303" s="225" t="s">
        <v>163</v>
      </c>
      <c r="AB303" s="225" t="s">
        <v>57</v>
      </c>
      <c r="AC303" s="243"/>
      <c r="AD303" s="233"/>
      <c r="AE303" s="297"/>
      <c r="AF303" s="235" t="str">
        <f t="shared" si="501"/>
        <v xml:space="preserve">     </v>
      </c>
      <c r="AG303" s="174" t="str">
        <f t="shared" si="483"/>
        <v>NG</v>
      </c>
      <c r="AH303" s="297"/>
      <c r="AI303" s="276" t="str">
        <f>IF(OR(AE$8="判定対象外",AH$8="判定対象外",AH303="-"),"-",IF(AE303=AH303,"OK","NG"))</f>
        <v>OK</v>
      </c>
      <c r="AJ303" s="233"/>
      <c r="AK303" s="269"/>
      <c r="AL303" s="235" t="str">
        <f t="shared" si="500"/>
        <v xml:space="preserve">     </v>
      </c>
      <c r="AM303" s="174" t="str">
        <f t="shared" si="528"/>
        <v>NG</v>
      </c>
      <c r="AN303" s="297"/>
      <c r="AO303" s="276" t="str">
        <f>IF(OR(AK$8="判定対象外",AN$8="判定対象外",AN303="-"),"-",IF(AK303=AN303,"OK","NG"))</f>
        <v>OK</v>
      </c>
      <c r="AP303" s="233"/>
      <c r="AQ303" s="297"/>
      <c r="AR303" s="235" t="str">
        <f t="shared" si="502"/>
        <v xml:space="preserve">     </v>
      </c>
      <c r="AS303" s="174" t="str">
        <f t="shared" si="484"/>
        <v>NG</v>
      </c>
      <c r="AT303" s="297"/>
      <c r="AU303" s="276" t="str">
        <f>IF(OR(AQ$8="判定対象外",AT$8="判定対象外",AT303="-"),"-",IF(AQ303=AT303,"OK","NG"))</f>
        <v>OK</v>
      </c>
      <c r="AV303" s="233"/>
      <c r="AW303" s="297"/>
      <c r="AX303" s="235" t="str">
        <f t="shared" si="503"/>
        <v xml:space="preserve">     </v>
      </c>
      <c r="AY303" s="174" t="str">
        <f t="shared" si="485"/>
        <v>NG</v>
      </c>
      <c r="AZ303" s="297"/>
      <c r="BA303" s="276" t="str">
        <f>IF(OR(AW$8="判定対象外",AZ$8="判定対象外",AZ303="-"),"-",IF(AW303=AZ303,"OK","NG"))</f>
        <v>OK</v>
      </c>
      <c r="BB303" s="233"/>
      <c r="BC303" s="297"/>
      <c r="BD303" s="235" t="str">
        <f t="shared" si="504"/>
        <v xml:space="preserve">     </v>
      </c>
      <c r="BE303" s="174" t="str">
        <f t="shared" si="486"/>
        <v>NG</v>
      </c>
      <c r="BF303" s="297"/>
      <c r="BG303" s="276" t="str">
        <f>IF(OR(BC$8="判定対象外",BF$8="判定対象外",BF303="-"),"-",IF(BC303=BF303,"OK","NG"))</f>
        <v>OK</v>
      </c>
      <c r="BH303" s="233"/>
      <c r="BI303" s="297"/>
      <c r="BJ303" s="235" t="str">
        <f t="shared" si="505"/>
        <v xml:space="preserve">     </v>
      </c>
      <c r="BK303" s="174" t="str">
        <f t="shared" si="487"/>
        <v>NG</v>
      </c>
      <c r="BL303" s="297"/>
      <c r="BM303" s="276" t="str">
        <f>IF(OR(BI$8="判定対象外",BL$8="判定対象外",BL303="-"),"-",IF(BI303=BL303,"OK","NG"))</f>
        <v>OK</v>
      </c>
      <c r="BN303" s="233"/>
      <c r="BO303" s="297"/>
      <c r="BP303" s="235" t="str">
        <f t="shared" si="506"/>
        <v xml:space="preserve">     </v>
      </c>
      <c r="BQ303" s="174" t="str">
        <f t="shared" si="488"/>
        <v>NG</v>
      </c>
      <c r="BR303" s="297"/>
      <c r="BS303" s="276" t="str">
        <f>IF(OR(BO$8="判定対象外",BR$8="判定対象外",BR303="-"),"-",IF(BO303=BR303,"OK","NG"))</f>
        <v>OK</v>
      </c>
      <c r="BT303" s="233"/>
      <c r="BU303" s="297"/>
      <c r="BV303" s="235" t="str">
        <f t="shared" si="507"/>
        <v xml:space="preserve">     </v>
      </c>
      <c r="BW303" s="174" t="str">
        <f t="shared" si="489"/>
        <v>NG</v>
      </c>
      <c r="BX303" s="297"/>
      <c r="BY303" s="276" t="str">
        <f>IF(OR(BU$8="判定対象外",BX$8="判定対象外",BX303="-"),"-",IF(BU303=BX303,"OK","NG"))</f>
        <v>OK</v>
      </c>
      <c r="BZ303" s="233"/>
      <c r="CA303" s="297"/>
      <c r="CB303" s="235" t="str">
        <f t="shared" si="508"/>
        <v xml:space="preserve">     </v>
      </c>
      <c r="CC303" s="174" t="str">
        <f t="shared" si="490"/>
        <v>NG</v>
      </c>
      <c r="CD303" s="297"/>
      <c r="CE303" s="276" t="str">
        <f>IF(OR(CA$8="判定対象外",CD$8="判定対象外",CD303="-"),"-",IF(CA303=CD303,"OK","NG"))</f>
        <v>OK</v>
      </c>
      <c r="CF303" s="233"/>
      <c r="CG303" s="297"/>
      <c r="CH303" s="235" t="str">
        <f t="shared" si="509"/>
        <v xml:space="preserve">     </v>
      </c>
      <c r="CI303" s="174" t="str">
        <f t="shared" si="491"/>
        <v>NG</v>
      </c>
      <c r="CJ303" s="297"/>
      <c r="CK303" s="276" t="str">
        <f>IF(OR(CG$8="判定対象外",CJ$8="判定対象外",CJ303="-"),"-",IF(CG303=CJ303,"OK","NG"))</f>
        <v>OK</v>
      </c>
      <c r="CL303" s="233"/>
      <c r="CM303" s="297"/>
      <c r="CN303" s="235" t="str">
        <f t="shared" si="510"/>
        <v xml:space="preserve">     </v>
      </c>
      <c r="CO303" s="174" t="str">
        <f t="shared" si="492"/>
        <v>NG</v>
      </c>
      <c r="CP303" s="297"/>
      <c r="CQ303" s="276" t="str">
        <f>IF(OR(CM$8="判定対象外",CP$8="判定対象外",CP303="-"),"-",IF(CM303=CP303,"OK","NG"))</f>
        <v>OK</v>
      </c>
      <c r="CR303" s="233"/>
      <c r="CS303" s="297"/>
      <c r="CT303" s="235" t="str">
        <f t="shared" si="511"/>
        <v xml:space="preserve">     </v>
      </c>
      <c r="CU303" s="174" t="str">
        <f t="shared" si="493"/>
        <v>NG</v>
      </c>
      <c r="CV303" s="297"/>
      <c r="CW303" s="276" t="str">
        <f>IF(OR(CS$8="判定対象外",CV$8="判定対象外",CV303="-"),"-",IF(CS303=CV303,"OK","NG"))</f>
        <v>OK</v>
      </c>
      <c r="CX303" s="233"/>
      <c r="CY303" s="297"/>
      <c r="CZ303" s="235" t="str">
        <f t="shared" si="512"/>
        <v xml:space="preserve">     </v>
      </c>
      <c r="DA303" s="174" t="str">
        <f t="shared" si="494"/>
        <v>NG</v>
      </c>
      <c r="DB303" s="297"/>
      <c r="DC303" s="276" t="str">
        <f>IF(OR(CY$8="判定対象外",DB$8="判定対象外",DB303="-"),"-",IF(CY303=DB303,"OK","NG"))</f>
        <v>OK</v>
      </c>
      <c r="DD303" s="233"/>
      <c r="DE303" s="297"/>
      <c r="DF303" s="235" t="str">
        <f t="shared" si="513"/>
        <v xml:space="preserve">     </v>
      </c>
      <c r="DG303" s="174" t="str">
        <f t="shared" si="495"/>
        <v>NG</v>
      </c>
      <c r="DH303" s="297"/>
      <c r="DI303" s="276" t="str">
        <f>IF(OR(DE$8="判定対象外",DH$8="判定対象外",DH303="-"),"-",IF(DE303=DH303,"OK","NG"))</f>
        <v>OK</v>
      </c>
      <c r="DJ303" s="233"/>
      <c r="DK303" s="297"/>
      <c r="DL303" s="235" t="str">
        <f t="shared" si="514"/>
        <v xml:space="preserve">     </v>
      </c>
      <c r="DM303" s="174" t="str">
        <f t="shared" si="496"/>
        <v>NG</v>
      </c>
      <c r="DN303" s="297"/>
      <c r="DO303" s="276" t="str">
        <f>IF(OR(DK$8="判定対象外",DN$8="判定対象外",DN303="-"),"-",IF(DK303=DN303,"OK","NG"))</f>
        <v>OK</v>
      </c>
      <c r="DP303" s="233"/>
      <c r="DQ303" s="297"/>
      <c r="DR303" s="235" t="str">
        <f t="shared" si="515"/>
        <v xml:space="preserve">     </v>
      </c>
      <c r="DS303" s="174" t="str">
        <f t="shared" si="473"/>
        <v>NG</v>
      </c>
      <c r="DT303" s="297"/>
      <c r="DU303" s="276" t="str">
        <f>IF(OR(DQ$8="判定対象外",DT$8="判定対象外",DT303="-"),"-",IF(DQ303=DT303,"OK","NG"))</f>
        <v>OK</v>
      </c>
      <c r="DV303" s="233"/>
      <c r="DW303" s="297"/>
      <c r="DX303" s="235" t="str">
        <f t="shared" si="516"/>
        <v xml:space="preserve">     </v>
      </c>
      <c r="DY303" s="174" t="str">
        <f t="shared" si="474"/>
        <v>NG</v>
      </c>
      <c r="DZ303" s="297"/>
      <c r="EA303" s="276" t="str">
        <f>IF(OR(DW$8="判定対象外",DZ$8="判定対象外",DZ303="-"),"-",IF(DW303=DZ303,"OK","NG"))</f>
        <v>OK</v>
      </c>
      <c r="EB303" s="233"/>
      <c r="EC303" s="297"/>
      <c r="ED303" s="235" t="str">
        <f t="shared" si="517"/>
        <v xml:space="preserve">     </v>
      </c>
      <c r="EE303" s="174" t="str">
        <f t="shared" si="475"/>
        <v>NG</v>
      </c>
      <c r="EF303" s="297"/>
      <c r="EG303" s="276" t="str">
        <f>IF(OR(EC$8="判定対象外",EF$8="判定対象外",EF303="-"),"-",IF(EC303=EF303,"OK","NG"))</f>
        <v>OK</v>
      </c>
      <c r="EH303" s="233"/>
      <c r="EI303" s="297"/>
      <c r="EJ303" s="235" t="str">
        <f t="shared" si="518"/>
        <v xml:space="preserve">     </v>
      </c>
      <c r="EK303" s="174" t="str">
        <f t="shared" si="476"/>
        <v>NG</v>
      </c>
      <c r="EL303" s="297"/>
      <c r="EM303" s="276" t="str">
        <f>IF(OR(EI$8="判定対象外",EL$8="判定対象外",EL303="-"),"-",IF(EI303=EL303,"OK","NG"))</f>
        <v>OK</v>
      </c>
      <c r="EN303" s="233"/>
      <c r="EO303" s="297"/>
      <c r="EP303" s="235" t="str">
        <f t="shared" si="519"/>
        <v xml:space="preserve">     </v>
      </c>
      <c r="EQ303" s="174" t="str">
        <f t="shared" si="477"/>
        <v>NG</v>
      </c>
      <c r="ER303" s="297"/>
      <c r="ES303" s="276" t="str">
        <f>IF(OR(EO$8="判定対象外",ER$8="判定対象外",ER303="-"),"-",IF(EO303=ER303,"OK","NG"))</f>
        <v>OK</v>
      </c>
      <c r="ET303" s="233"/>
      <c r="EU303" s="297"/>
      <c r="EV303" s="235" t="str">
        <f t="shared" si="520"/>
        <v xml:space="preserve">     </v>
      </c>
      <c r="EW303" s="174" t="str">
        <f t="shared" si="478"/>
        <v>NG</v>
      </c>
      <c r="EX303" s="297"/>
      <c r="EY303" s="276" t="str">
        <f>IF(OR(EU$8="判定対象外",EX$8="判定対象外",EX303="-"),"-",IF(EU303=EX303,"OK","NG"))</f>
        <v>OK</v>
      </c>
      <c r="EZ303" s="233"/>
      <c r="FA303" s="297"/>
      <c r="FB303" s="235" t="str">
        <f t="shared" si="521"/>
        <v xml:space="preserve">     </v>
      </c>
      <c r="FC303" s="174" t="str">
        <f t="shared" si="479"/>
        <v>NG</v>
      </c>
      <c r="FD303" s="297"/>
      <c r="FE303" s="276" t="str">
        <f>IF(OR(FA$8="判定対象外",FD$8="判定対象外",FD303="-"),"-",IF(FA303=FD303,"OK","NG"))</f>
        <v>OK</v>
      </c>
      <c r="FF303" s="233"/>
      <c r="FG303" s="297"/>
      <c r="FH303" s="235" t="str">
        <f t="shared" si="522"/>
        <v xml:space="preserve">     </v>
      </c>
      <c r="FI303" s="174" t="str">
        <f t="shared" si="480"/>
        <v>NG</v>
      </c>
      <c r="FJ303" s="297"/>
      <c r="FK303" s="276" t="str">
        <f>IF(OR(FG$8="判定対象外",FJ$8="判定対象外",FJ303="-"),"-",IF(FG303=FJ303,"OK","NG"))</f>
        <v>OK</v>
      </c>
      <c r="FL303" s="233"/>
      <c r="FM303" s="297"/>
      <c r="FN303" s="235" t="str">
        <f t="shared" si="523"/>
        <v xml:space="preserve">     </v>
      </c>
      <c r="FO303" s="174" t="str">
        <f t="shared" si="497"/>
        <v>NG</v>
      </c>
      <c r="FP303" s="297"/>
      <c r="FQ303" s="276" t="str">
        <f>IF(OR(FM$8="判定対象外",FP$8="判定対象外",FP303="-"),"-",IF(FM303=FP303,"OK","NG"))</f>
        <v>OK</v>
      </c>
      <c r="FR303" s="233"/>
      <c r="FS303" s="297"/>
      <c r="FT303" s="235" t="str">
        <f t="shared" si="524"/>
        <v xml:space="preserve">     </v>
      </c>
      <c r="FU303" s="174" t="str">
        <f t="shared" si="498"/>
        <v>NG</v>
      </c>
      <c r="FV303" s="297"/>
      <c r="FW303" s="276" t="str">
        <f>IF(OR(FS$8="判定対象外",FV$8="判定対象外",FV303="-"),"-",IF(FS303=FV303,"OK","NG"))</f>
        <v>OK</v>
      </c>
      <c r="FX303" s="233"/>
      <c r="FY303" s="297"/>
      <c r="FZ303" s="235" t="str">
        <f t="shared" si="525"/>
        <v xml:space="preserve">     </v>
      </c>
      <c r="GA303" s="174" t="str">
        <f t="shared" si="499"/>
        <v>NG</v>
      </c>
      <c r="GB303" s="297"/>
      <c r="GC303" s="276" t="str">
        <f>IF(OR(FY$8="判定対象外",GB$8="判定対象外",GB303="-"),"-",IF(FY303=GB303,"OK","NG"))</f>
        <v>OK</v>
      </c>
    </row>
    <row r="304" spans="2:185" s="237" customFormat="1" ht="51.75" customHeight="1">
      <c r="B304" s="216">
        <f t="shared" si="527"/>
        <v>297</v>
      </c>
      <c r="C304" s="220"/>
      <c r="D304" s="220"/>
      <c r="E304" s="220"/>
      <c r="F304" s="240" t="s">
        <v>350</v>
      </c>
      <c r="G304" s="241"/>
      <c r="H304" s="242"/>
      <c r="I304" s="225"/>
      <c r="J304" s="225"/>
      <c r="K304" s="226"/>
      <c r="L304" s="226"/>
      <c r="M304" s="227" t="s">
        <v>351</v>
      </c>
      <c r="N304" s="228"/>
      <c r="O304" s="229"/>
      <c r="P304" s="45">
        <f t="shared" si="529"/>
        <v>272</v>
      </c>
      <c r="Q304" s="230">
        <v>64</v>
      </c>
      <c r="R304" s="41" t="str">
        <f t="shared" si="530"/>
        <v>NX</v>
      </c>
      <c r="S304" s="185" t="s">
        <v>251</v>
      </c>
      <c r="T304" s="231"/>
      <c r="U304" s="41" t="s">
        <v>80</v>
      </c>
      <c r="V304" s="229" t="s">
        <v>252</v>
      </c>
      <c r="W304" s="232">
        <v>3</v>
      </c>
      <c r="X304" s="194" t="s">
        <v>253</v>
      </c>
      <c r="Y304" s="194">
        <v>1</v>
      </c>
      <c r="Z304" s="194">
        <v>64</v>
      </c>
      <c r="AA304" s="225" t="s">
        <v>101</v>
      </c>
      <c r="AB304" s="225" t="s">
        <v>57</v>
      </c>
      <c r="AC304" s="243" t="s">
        <v>252</v>
      </c>
      <c r="AD304" s="233"/>
      <c r="AE304" s="297"/>
      <c r="AF304" s="235" t="str">
        <f t="shared" si="501"/>
        <v xml:space="preserve">                                                                </v>
      </c>
      <c r="AG304" s="174" t="str">
        <f t="shared" si="483"/>
        <v>NG</v>
      </c>
      <c r="AH304" s="297"/>
      <c r="AI304" s="276" t="str">
        <f>IF(OR(AE$8="判定対象外",AH$8="判定対象外",AH304="-"),"-",IF(AE304=AH304,"OK","NG"))</f>
        <v>OK</v>
      </c>
      <c r="AJ304" s="233"/>
      <c r="AK304" s="269"/>
      <c r="AL304" s="235" t="str">
        <f t="shared" si="500"/>
        <v xml:space="preserve">                                                                </v>
      </c>
      <c r="AM304" s="174" t="str">
        <f t="shared" si="528"/>
        <v>NG</v>
      </c>
      <c r="AN304" s="269"/>
      <c r="AO304" s="276" t="str">
        <f>IF(OR(AK$8="判定対象外",AN$8="判定対象外",AN304="-"),"-",IF(AK304=AN304,"OK","NG"))</f>
        <v>OK</v>
      </c>
      <c r="AP304" s="233"/>
      <c r="AQ304" s="297"/>
      <c r="AR304" s="235" t="str">
        <f t="shared" si="502"/>
        <v xml:space="preserve">                                                                </v>
      </c>
      <c r="AS304" s="174" t="str">
        <f t="shared" si="484"/>
        <v>NG</v>
      </c>
      <c r="AT304" s="297"/>
      <c r="AU304" s="276" t="str">
        <f>IF(OR(AQ$8="判定対象外",AT$8="判定対象外",AT304="-"),"-",IF(AQ304=AT304,"OK","NG"))</f>
        <v>OK</v>
      </c>
      <c r="AV304" s="233"/>
      <c r="AW304" s="297"/>
      <c r="AX304" s="235" t="str">
        <f t="shared" si="503"/>
        <v xml:space="preserve">                                                                </v>
      </c>
      <c r="AY304" s="174" t="str">
        <f t="shared" si="485"/>
        <v>NG</v>
      </c>
      <c r="AZ304" s="297"/>
      <c r="BA304" s="276" t="str">
        <f>IF(OR(AW$8="判定対象外",AZ$8="判定対象外",AZ304="-"),"-",IF(AW304=AZ304,"OK","NG"))</f>
        <v>OK</v>
      </c>
      <c r="BB304" s="233"/>
      <c r="BC304" s="297"/>
      <c r="BD304" s="235" t="str">
        <f t="shared" si="504"/>
        <v xml:space="preserve">                                                                </v>
      </c>
      <c r="BE304" s="174" t="str">
        <f t="shared" si="486"/>
        <v>NG</v>
      </c>
      <c r="BF304" s="297"/>
      <c r="BG304" s="276" t="str">
        <f>IF(OR(BC$8="判定対象外",BF$8="判定対象外",BF304="-"),"-",IF(BC304=BF304,"OK","NG"))</f>
        <v>OK</v>
      </c>
      <c r="BH304" s="233"/>
      <c r="BI304" s="297"/>
      <c r="BJ304" s="235" t="str">
        <f t="shared" si="505"/>
        <v xml:space="preserve">                                                                </v>
      </c>
      <c r="BK304" s="174" t="str">
        <f t="shared" si="487"/>
        <v>NG</v>
      </c>
      <c r="BL304" s="297"/>
      <c r="BM304" s="276" t="str">
        <f>IF(OR(BI$8="判定対象外",BL$8="判定対象外",BL304="-"),"-",IF(BI304=BL304,"OK","NG"))</f>
        <v>OK</v>
      </c>
      <c r="BN304" s="233"/>
      <c r="BO304" s="297"/>
      <c r="BP304" s="235" t="str">
        <f t="shared" si="506"/>
        <v xml:space="preserve">                                                                </v>
      </c>
      <c r="BQ304" s="174" t="str">
        <f t="shared" si="488"/>
        <v>NG</v>
      </c>
      <c r="BR304" s="297"/>
      <c r="BS304" s="276" t="str">
        <f>IF(OR(BO$8="判定対象外",BR$8="判定対象外",BR304="-"),"-",IF(BO304=BR304,"OK","NG"))</f>
        <v>OK</v>
      </c>
      <c r="BT304" s="233"/>
      <c r="BU304" s="297"/>
      <c r="BV304" s="235" t="str">
        <f t="shared" si="507"/>
        <v xml:space="preserve">                                                                </v>
      </c>
      <c r="BW304" s="174" t="str">
        <f t="shared" si="489"/>
        <v>NG</v>
      </c>
      <c r="BX304" s="297"/>
      <c r="BY304" s="276" t="str">
        <f>IF(OR(BU$8="判定対象外",BX$8="判定対象外",BX304="-"),"-",IF(BU304=BX304,"OK","NG"))</f>
        <v>OK</v>
      </c>
      <c r="BZ304" s="233"/>
      <c r="CA304" s="297"/>
      <c r="CB304" s="235" t="str">
        <f t="shared" si="508"/>
        <v xml:space="preserve">                                                                </v>
      </c>
      <c r="CC304" s="174" t="str">
        <f t="shared" si="490"/>
        <v>NG</v>
      </c>
      <c r="CD304" s="297"/>
      <c r="CE304" s="276" t="str">
        <f>IF(OR(CA$8="判定対象外",CD$8="判定対象外",CD304="-"),"-",IF(CA304=CD304,"OK","NG"))</f>
        <v>OK</v>
      </c>
      <c r="CF304" s="233"/>
      <c r="CG304" s="297"/>
      <c r="CH304" s="235" t="str">
        <f t="shared" si="509"/>
        <v xml:space="preserve">                                                                </v>
      </c>
      <c r="CI304" s="174" t="str">
        <f t="shared" si="491"/>
        <v>NG</v>
      </c>
      <c r="CJ304" s="297"/>
      <c r="CK304" s="276" t="str">
        <f>IF(OR(CG$8="判定対象外",CJ$8="判定対象外",CJ304="-"),"-",IF(CG304=CJ304,"OK","NG"))</f>
        <v>OK</v>
      </c>
      <c r="CL304" s="233"/>
      <c r="CM304" s="297"/>
      <c r="CN304" s="235" t="str">
        <f t="shared" si="510"/>
        <v xml:space="preserve">                                                                </v>
      </c>
      <c r="CO304" s="174" t="str">
        <f t="shared" si="492"/>
        <v>NG</v>
      </c>
      <c r="CP304" s="297"/>
      <c r="CQ304" s="276" t="str">
        <f>IF(OR(CM$8="判定対象外",CP$8="判定対象外",CP304="-"),"-",IF(CM304=CP304,"OK","NG"))</f>
        <v>OK</v>
      </c>
      <c r="CR304" s="233"/>
      <c r="CS304" s="297"/>
      <c r="CT304" s="235" t="str">
        <f t="shared" si="511"/>
        <v xml:space="preserve">                                                                </v>
      </c>
      <c r="CU304" s="174" t="str">
        <f t="shared" si="493"/>
        <v>NG</v>
      </c>
      <c r="CV304" s="297"/>
      <c r="CW304" s="276" t="str">
        <f>IF(OR(CS$8="判定対象外",CV$8="判定対象外",CV304="-"),"-",IF(CS304=CV304,"OK","NG"))</f>
        <v>OK</v>
      </c>
      <c r="CX304" s="233"/>
      <c r="CY304" s="297"/>
      <c r="CZ304" s="235" t="str">
        <f t="shared" si="512"/>
        <v xml:space="preserve">                                                                </v>
      </c>
      <c r="DA304" s="174" t="str">
        <f t="shared" si="494"/>
        <v>NG</v>
      </c>
      <c r="DB304" s="297"/>
      <c r="DC304" s="276" t="str">
        <f>IF(OR(CY$8="判定対象外",DB$8="判定対象外",DB304="-"),"-",IF(CY304=DB304,"OK","NG"))</f>
        <v>OK</v>
      </c>
      <c r="DD304" s="233"/>
      <c r="DE304" s="297"/>
      <c r="DF304" s="235" t="str">
        <f t="shared" si="513"/>
        <v xml:space="preserve">                                                                </v>
      </c>
      <c r="DG304" s="174" t="str">
        <f t="shared" si="495"/>
        <v>NG</v>
      </c>
      <c r="DH304" s="297"/>
      <c r="DI304" s="276" t="str">
        <f>IF(OR(DE$8="判定対象外",DH$8="判定対象外",DH304="-"),"-",IF(DE304=DH304,"OK","NG"))</f>
        <v>OK</v>
      </c>
      <c r="DJ304" s="233"/>
      <c r="DK304" s="297"/>
      <c r="DL304" s="235" t="str">
        <f t="shared" si="514"/>
        <v xml:space="preserve">                                                                </v>
      </c>
      <c r="DM304" s="174" t="str">
        <f t="shared" si="496"/>
        <v>NG</v>
      </c>
      <c r="DN304" s="297"/>
      <c r="DO304" s="276" t="str">
        <f>IF(OR(DK$8="判定対象外",DN$8="判定対象外",DN304="-"),"-",IF(DK304=DN304,"OK","NG"))</f>
        <v>OK</v>
      </c>
      <c r="DP304" s="233"/>
      <c r="DQ304" s="297"/>
      <c r="DR304" s="235" t="str">
        <f t="shared" si="515"/>
        <v xml:space="preserve">                                                                </v>
      </c>
      <c r="DS304" s="174" t="str">
        <f t="shared" si="473"/>
        <v>NG</v>
      </c>
      <c r="DT304" s="297"/>
      <c r="DU304" s="276" t="str">
        <f>IF(OR(DQ$8="判定対象外",DT$8="判定対象外",DT304="-"),"-",IF(DQ304=DT304,"OK","NG"))</f>
        <v>OK</v>
      </c>
      <c r="DV304" s="233"/>
      <c r="DW304" s="297"/>
      <c r="DX304" s="235" t="str">
        <f t="shared" si="516"/>
        <v xml:space="preserve">                                                                </v>
      </c>
      <c r="DY304" s="174" t="str">
        <f t="shared" si="474"/>
        <v>NG</v>
      </c>
      <c r="DZ304" s="297"/>
      <c r="EA304" s="276" t="str">
        <f>IF(OR(DW$8="判定対象外",DZ$8="判定対象外",DZ304="-"),"-",IF(DW304=DZ304,"OK","NG"))</f>
        <v>OK</v>
      </c>
      <c r="EB304" s="233"/>
      <c r="EC304" s="297"/>
      <c r="ED304" s="235" t="str">
        <f t="shared" si="517"/>
        <v xml:space="preserve">                                                                </v>
      </c>
      <c r="EE304" s="174" t="str">
        <f t="shared" si="475"/>
        <v>NG</v>
      </c>
      <c r="EF304" s="297"/>
      <c r="EG304" s="276" t="str">
        <f>IF(OR(EC$8="判定対象外",EF$8="判定対象外",EF304="-"),"-",IF(EC304=EF304,"OK","NG"))</f>
        <v>OK</v>
      </c>
      <c r="EH304" s="233"/>
      <c r="EI304" s="297"/>
      <c r="EJ304" s="235" t="str">
        <f t="shared" si="518"/>
        <v xml:space="preserve">                                                                </v>
      </c>
      <c r="EK304" s="174" t="str">
        <f t="shared" si="476"/>
        <v>NG</v>
      </c>
      <c r="EL304" s="297"/>
      <c r="EM304" s="276" t="str">
        <f>IF(OR(EI$8="判定対象外",EL$8="判定対象外",EL304="-"),"-",IF(EI304=EL304,"OK","NG"))</f>
        <v>OK</v>
      </c>
      <c r="EN304" s="233"/>
      <c r="EO304" s="297"/>
      <c r="EP304" s="235" t="str">
        <f t="shared" si="519"/>
        <v xml:space="preserve">                                                                </v>
      </c>
      <c r="EQ304" s="174" t="str">
        <f t="shared" si="477"/>
        <v>NG</v>
      </c>
      <c r="ER304" s="297"/>
      <c r="ES304" s="276" t="str">
        <f>IF(OR(EO$8="判定対象外",ER$8="判定対象外",ER304="-"),"-",IF(EO304=ER304,"OK","NG"))</f>
        <v>OK</v>
      </c>
      <c r="ET304" s="233"/>
      <c r="EU304" s="297"/>
      <c r="EV304" s="235" t="str">
        <f t="shared" si="520"/>
        <v xml:space="preserve">                                                                </v>
      </c>
      <c r="EW304" s="174" t="str">
        <f t="shared" si="478"/>
        <v>NG</v>
      </c>
      <c r="EX304" s="297"/>
      <c r="EY304" s="276" t="str">
        <f>IF(OR(EU$8="判定対象外",EX$8="判定対象外",EX304="-"),"-",IF(EU304=EX304,"OK","NG"))</f>
        <v>OK</v>
      </c>
      <c r="EZ304" s="233"/>
      <c r="FA304" s="297"/>
      <c r="FB304" s="235" t="str">
        <f t="shared" si="521"/>
        <v xml:space="preserve">                                                                </v>
      </c>
      <c r="FC304" s="174" t="str">
        <f t="shared" si="479"/>
        <v>NG</v>
      </c>
      <c r="FD304" s="297"/>
      <c r="FE304" s="276" t="str">
        <f>IF(OR(FA$8="判定対象外",FD$8="判定対象外",FD304="-"),"-",IF(FA304=FD304,"OK","NG"))</f>
        <v>OK</v>
      </c>
      <c r="FF304" s="233"/>
      <c r="FG304" s="297"/>
      <c r="FH304" s="235" t="str">
        <f t="shared" si="522"/>
        <v xml:space="preserve">                                                                </v>
      </c>
      <c r="FI304" s="174" t="str">
        <f t="shared" si="480"/>
        <v>NG</v>
      </c>
      <c r="FJ304" s="297"/>
      <c r="FK304" s="276" t="str">
        <f>IF(OR(FG$8="判定対象外",FJ$8="判定対象外",FJ304="-"),"-",IF(FG304=FJ304,"OK","NG"))</f>
        <v>OK</v>
      </c>
      <c r="FL304" s="233"/>
      <c r="FM304" s="297"/>
      <c r="FN304" s="235" t="str">
        <f t="shared" si="523"/>
        <v xml:space="preserve">                                                                </v>
      </c>
      <c r="FO304" s="174" t="str">
        <f t="shared" si="497"/>
        <v>NG</v>
      </c>
      <c r="FP304" s="297"/>
      <c r="FQ304" s="276" t="str">
        <f>IF(OR(FM$8="判定対象外",FP$8="判定対象外",FP304="-"),"-",IF(FM304=FP304,"OK","NG"))</f>
        <v>OK</v>
      </c>
      <c r="FR304" s="233"/>
      <c r="FS304" s="297"/>
      <c r="FT304" s="235" t="str">
        <f t="shared" si="524"/>
        <v xml:space="preserve">                                                                </v>
      </c>
      <c r="FU304" s="174" t="str">
        <f t="shared" si="498"/>
        <v>NG</v>
      </c>
      <c r="FV304" s="297"/>
      <c r="FW304" s="276" t="str">
        <f>IF(OR(FS$8="判定対象外",FV$8="判定対象外",FV304="-"),"-",IF(FS304=FV304,"OK","NG"))</f>
        <v>OK</v>
      </c>
      <c r="FX304" s="233"/>
      <c r="FY304" s="297"/>
      <c r="FZ304" s="235" t="str">
        <f t="shared" si="525"/>
        <v xml:space="preserve">                                                                </v>
      </c>
      <c r="GA304" s="174" t="str">
        <f t="shared" si="499"/>
        <v>NG</v>
      </c>
      <c r="GB304" s="297"/>
      <c r="GC304" s="276" t="str">
        <f>IF(OR(FY$8="判定対象外",GB$8="判定対象外",GB304="-"),"-",IF(FY304=GB304,"OK","NG"))</f>
        <v>OK</v>
      </c>
    </row>
    <row r="305" spans="1:185" s="237" customFormat="1" ht="92.25" customHeight="1">
      <c r="B305" s="216">
        <f t="shared" si="527"/>
        <v>298</v>
      </c>
      <c r="C305" s="220"/>
      <c r="D305" s="220"/>
      <c r="E305" s="220"/>
      <c r="F305" s="238" t="s">
        <v>352</v>
      </c>
      <c r="G305" s="168"/>
      <c r="H305" s="239"/>
      <c r="I305" s="225"/>
      <c r="J305" s="225"/>
      <c r="K305" s="226"/>
      <c r="L305" s="226"/>
      <c r="M305" s="279" t="s">
        <v>353</v>
      </c>
      <c r="N305" s="228"/>
      <c r="O305" s="229"/>
      <c r="P305" s="45">
        <f t="shared" si="529"/>
        <v>273</v>
      </c>
      <c r="Q305" s="230">
        <v>7</v>
      </c>
      <c r="R305" s="41" t="s">
        <v>81</v>
      </c>
      <c r="S305" s="185" t="s">
        <v>254</v>
      </c>
      <c r="T305" s="231"/>
      <c r="U305" s="41" t="s">
        <v>80</v>
      </c>
      <c r="V305" s="229"/>
      <c r="W305" s="232">
        <v>3</v>
      </c>
      <c r="X305" s="194" t="s">
        <v>255</v>
      </c>
      <c r="Y305" s="194">
        <v>7</v>
      </c>
      <c r="Z305" s="194">
        <v>7</v>
      </c>
      <c r="AA305" s="225" t="s">
        <v>81</v>
      </c>
      <c r="AB305" s="225" t="s">
        <v>57</v>
      </c>
      <c r="AC305" s="243"/>
      <c r="AD305" s="233"/>
      <c r="AE305" s="268"/>
      <c r="AF305" s="235" t="str">
        <f t="shared" si="501"/>
        <v xml:space="preserve">       </v>
      </c>
      <c r="AG305" s="174" t="str">
        <f t="shared" si="483"/>
        <v>NG</v>
      </c>
      <c r="AH305" s="268"/>
      <c r="AI305" s="276" t="str">
        <f>IF(OR(AE$8="判定対象外",AH$8="判定対象外",AH305="-"),"-",IF(AE305=AH305,"OK","NG"))</f>
        <v>OK</v>
      </c>
      <c r="AJ305" s="233"/>
      <c r="AK305" s="234"/>
      <c r="AL305" s="235" t="str">
        <f t="shared" si="500"/>
        <v xml:space="preserve">       </v>
      </c>
      <c r="AM305" s="174" t="str">
        <f t="shared" si="528"/>
        <v>NG</v>
      </c>
      <c r="AN305" s="268"/>
      <c r="AO305" s="276" t="str">
        <f>IF(OR(AK$8="判定対象外",AN$8="判定対象外",AN305="-"),"-",IF(AK305=AN305,"OK","NG"))</f>
        <v>OK</v>
      </c>
      <c r="AP305" s="233"/>
      <c r="AQ305" s="268"/>
      <c r="AR305" s="235" t="str">
        <f t="shared" si="502"/>
        <v xml:space="preserve">       </v>
      </c>
      <c r="AS305" s="174" t="str">
        <f t="shared" si="484"/>
        <v>NG</v>
      </c>
      <c r="AT305" s="268"/>
      <c r="AU305" s="276" t="str">
        <f>IF(OR(AQ$8="判定対象外",AT$8="判定対象外",AT305="-"),"-",IF(AQ305=AT305,"OK","NG"))</f>
        <v>OK</v>
      </c>
      <c r="AV305" s="233"/>
      <c r="AW305" s="268"/>
      <c r="AX305" s="235" t="str">
        <f t="shared" si="503"/>
        <v xml:space="preserve">       </v>
      </c>
      <c r="AY305" s="174" t="str">
        <f t="shared" si="485"/>
        <v>NG</v>
      </c>
      <c r="AZ305" s="268"/>
      <c r="BA305" s="276" t="str">
        <f>IF(OR(AW$8="判定対象外",AZ$8="判定対象外",AZ305="-"),"-",IF(AW305=AZ305,"OK","NG"))</f>
        <v>OK</v>
      </c>
      <c r="BB305" s="233"/>
      <c r="BC305" s="268"/>
      <c r="BD305" s="235" t="str">
        <f t="shared" si="504"/>
        <v xml:space="preserve">       </v>
      </c>
      <c r="BE305" s="174" t="str">
        <f t="shared" si="486"/>
        <v>NG</v>
      </c>
      <c r="BF305" s="268"/>
      <c r="BG305" s="276" t="str">
        <f>IF(OR(BC$8="判定対象外",BF$8="判定対象外",BF305="-"),"-",IF(BC305=BF305,"OK","NG"))</f>
        <v>OK</v>
      </c>
      <c r="BH305" s="233"/>
      <c r="BI305" s="268"/>
      <c r="BJ305" s="235" t="str">
        <f t="shared" si="505"/>
        <v xml:space="preserve">       </v>
      </c>
      <c r="BK305" s="174" t="str">
        <f t="shared" si="487"/>
        <v>NG</v>
      </c>
      <c r="BL305" s="268"/>
      <c r="BM305" s="276" t="str">
        <f>IF(OR(BI$8="判定対象外",BL$8="判定対象外",BL305="-"),"-",IF(BI305=BL305,"OK","NG"))</f>
        <v>OK</v>
      </c>
      <c r="BN305" s="233"/>
      <c r="BO305" s="268"/>
      <c r="BP305" s="235" t="str">
        <f t="shared" si="506"/>
        <v xml:space="preserve">       </v>
      </c>
      <c r="BQ305" s="174" t="str">
        <f t="shared" si="488"/>
        <v>NG</v>
      </c>
      <c r="BR305" s="268"/>
      <c r="BS305" s="276" t="str">
        <f>IF(OR(BO$8="判定対象外",BR$8="判定対象外",BR305="-"),"-",IF(BO305=BR305,"OK","NG"))</f>
        <v>OK</v>
      </c>
      <c r="BT305" s="233"/>
      <c r="BU305" s="268"/>
      <c r="BV305" s="235" t="str">
        <f t="shared" si="507"/>
        <v xml:space="preserve">       </v>
      </c>
      <c r="BW305" s="174" t="str">
        <f t="shared" si="489"/>
        <v>NG</v>
      </c>
      <c r="BX305" s="268"/>
      <c r="BY305" s="276" t="str">
        <f>IF(OR(BU$8="判定対象外",BX$8="判定対象外",BX305="-"),"-",IF(BU305=BX305,"OK","NG"))</f>
        <v>OK</v>
      </c>
      <c r="BZ305" s="233"/>
      <c r="CA305" s="268"/>
      <c r="CB305" s="235" t="str">
        <f t="shared" si="508"/>
        <v xml:space="preserve">       </v>
      </c>
      <c r="CC305" s="174" t="str">
        <f t="shared" si="490"/>
        <v>NG</v>
      </c>
      <c r="CD305" s="268"/>
      <c r="CE305" s="276" t="str">
        <f>IF(OR(CA$8="判定対象外",CD$8="判定対象外",CD305="-"),"-",IF(CA305=CD305,"OK","NG"))</f>
        <v>OK</v>
      </c>
      <c r="CF305" s="233"/>
      <c r="CG305" s="268"/>
      <c r="CH305" s="235" t="str">
        <f t="shared" si="509"/>
        <v xml:space="preserve">       </v>
      </c>
      <c r="CI305" s="174" t="str">
        <f t="shared" si="491"/>
        <v>NG</v>
      </c>
      <c r="CJ305" s="268"/>
      <c r="CK305" s="276" t="str">
        <f>IF(OR(CG$8="判定対象外",CJ$8="判定対象外",CJ305="-"),"-",IF(CG305=CJ305,"OK","NG"))</f>
        <v>OK</v>
      </c>
      <c r="CL305" s="233"/>
      <c r="CM305" s="268"/>
      <c r="CN305" s="235" t="str">
        <f t="shared" si="510"/>
        <v xml:space="preserve">       </v>
      </c>
      <c r="CO305" s="174" t="str">
        <f t="shared" si="492"/>
        <v>NG</v>
      </c>
      <c r="CP305" s="268"/>
      <c r="CQ305" s="276" t="str">
        <f>IF(OR(CM$8="判定対象外",CP$8="判定対象外",CP305="-"),"-",IF(CM305=CP305,"OK","NG"))</f>
        <v>OK</v>
      </c>
      <c r="CR305" s="233"/>
      <c r="CS305" s="268"/>
      <c r="CT305" s="235" t="str">
        <f t="shared" si="511"/>
        <v xml:space="preserve">       </v>
      </c>
      <c r="CU305" s="174" t="str">
        <f t="shared" si="493"/>
        <v>NG</v>
      </c>
      <c r="CV305" s="268"/>
      <c r="CW305" s="276" t="str">
        <f>IF(OR(CS$8="判定対象外",CV$8="判定対象外",CV305="-"),"-",IF(CS305=CV305,"OK","NG"))</f>
        <v>OK</v>
      </c>
      <c r="CX305" s="233"/>
      <c r="CY305" s="268"/>
      <c r="CZ305" s="235" t="str">
        <f t="shared" si="512"/>
        <v xml:space="preserve">       </v>
      </c>
      <c r="DA305" s="174" t="str">
        <f t="shared" si="494"/>
        <v>NG</v>
      </c>
      <c r="DB305" s="268"/>
      <c r="DC305" s="276" t="str">
        <f>IF(OR(CY$8="判定対象外",DB$8="判定対象外",DB305="-"),"-",IF(CY305=DB305,"OK","NG"))</f>
        <v>OK</v>
      </c>
      <c r="DD305" s="233"/>
      <c r="DE305" s="268"/>
      <c r="DF305" s="235" t="str">
        <f t="shared" si="513"/>
        <v xml:space="preserve">       </v>
      </c>
      <c r="DG305" s="174" t="str">
        <f t="shared" si="495"/>
        <v>NG</v>
      </c>
      <c r="DH305" s="268"/>
      <c r="DI305" s="276" t="str">
        <f>IF(OR(DE$8="判定対象外",DH$8="判定対象外",DH305="-"),"-",IF(DE305=DH305,"OK","NG"))</f>
        <v>OK</v>
      </c>
      <c r="DJ305" s="233"/>
      <c r="DK305" s="268"/>
      <c r="DL305" s="235" t="str">
        <f t="shared" si="514"/>
        <v xml:space="preserve">       </v>
      </c>
      <c r="DM305" s="174" t="str">
        <f t="shared" si="496"/>
        <v>NG</v>
      </c>
      <c r="DN305" s="268"/>
      <c r="DO305" s="276" t="str">
        <f>IF(OR(DK$8="判定対象外",DN$8="判定対象外",DN305="-"),"-",IF(DK305=DN305,"OK","NG"))</f>
        <v>OK</v>
      </c>
      <c r="DP305" s="233"/>
      <c r="DQ305" s="268"/>
      <c r="DR305" s="235" t="str">
        <f t="shared" si="515"/>
        <v xml:space="preserve">       </v>
      </c>
      <c r="DS305" s="174" t="str">
        <f t="shared" si="473"/>
        <v>NG</v>
      </c>
      <c r="DT305" s="268"/>
      <c r="DU305" s="276" t="str">
        <f>IF(OR(DQ$8="判定対象外",DT$8="判定対象外",DT305="-"),"-",IF(DQ305=DT305,"OK","NG"))</f>
        <v>OK</v>
      </c>
      <c r="DV305" s="233"/>
      <c r="DW305" s="268"/>
      <c r="DX305" s="235" t="str">
        <f t="shared" si="516"/>
        <v xml:space="preserve">       </v>
      </c>
      <c r="DY305" s="174" t="str">
        <f t="shared" si="474"/>
        <v>NG</v>
      </c>
      <c r="DZ305" s="268"/>
      <c r="EA305" s="276" t="str">
        <f>IF(OR(DW$8="判定対象外",DZ$8="判定対象外",DZ305="-"),"-",IF(DW305=DZ305,"OK","NG"))</f>
        <v>OK</v>
      </c>
      <c r="EB305" s="233"/>
      <c r="EC305" s="268"/>
      <c r="ED305" s="235" t="str">
        <f t="shared" si="517"/>
        <v xml:space="preserve">       </v>
      </c>
      <c r="EE305" s="174" t="str">
        <f t="shared" si="475"/>
        <v>NG</v>
      </c>
      <c r="EF305" s="268"/>
      <c r="EG305" s="276" t="str">
        <f>IF(OR(EC$8="判定対象外",EF$8="判定対象外",EF305="-"),"-",IF(EC305=EF305,"OK","NG"))</f>
        <v>OK</v>
      </c>
      <c r="EH305" s="233"/>
      <c r="EI305" s="268"/>
      <c r="EJ305" s="235" t="str">
        <f t="shared" si="518"/>
        <v xml:space="preserve">       </v>
      </c>
      <c r="EK305" s="174" t="str">
        <f t="shared" si="476"/>
        <v>NG</v>
      </c>
      <c r="EL305" s="268"/>
      <c r="EM305" s="276" t="str">
        <f>IF(OR(EI$8="判定対象外",EL$8="判定対象外",EL305="-"),"-",IF(EI305=EL305,"OK","NG"))</f>
        <v>OK</v>
      </c>
      <c r="EN305" s="233"/>
      <c r="EO305" s="268"/>
      <c r="EP305" s="235" t="str">
        <f t="shared" si="519"/>
        <v xml:space="preserve">       </v>
      </c>
      <c r="EQ305" s="174" t="str">
        <f t="shared" si="477"/>
        <v>NG</v>
      </c>
      <c r="ER305" s="268"/>
      <c r="ES305" s="276" t="str">
        <f>IF(OR(EO$8="判定対象外",ER$8="判定対象外",ER305="-"),"-",IF(EO305=ER305,"OK","NG"))</f>
        <v>OK</v>
      </c>
      <c r="ET305" s="233"/>
      <c r="EU305" s="268"/>
      <c r="EV305" s="235" t="str">
        <f t="shared" si="520"/>
        <v xml:space="preserve">       </v>
      </c>
      <c r="EW305" s="174" t="str">
        <f t="shared" si="478"/>
        <v>NG</v>
      </c>
      <c r="EX305" s="268"/>
      <c r="EY305" s="276" t="str">
        <f>IF(OR(EU$8="判定対象外",EX$8="判定対象外",EX305="-"),"-",IF(EU305=EX305,"OK","NG"))</f>
        <v>OK</v>
      </c>
      <c r="EZ305" s="233"/>
      <c r="FA305" s="268"/>
      <c r="FB305" s="235" t="str">
        <f t="shared" si="521"/>
        <v xml:space="preserve">       </v>
      </c>
      <c r="FC305" s="174" t="str">
        <f t="shared" si="479"/>
        <v>NG</v>
      </c>
      <c r="FD305" s="268"/>
      <c r="FE305" s="276" t="str">
        <f>IF(OR(FA$8="判定対象外",FD$8="判定対象外",FD305="-"),"-",IF(FA305=FD305,"OK","NG"))</f>
        <v>OK</v>
      </c>
      <c r="FF305" s="233"/>
      <c r="FG305" s="268"/>
      <c r="FH305" s="235" t="str">
        <f t="shared" si="522"/>
        <v xml:space="preserve">       </v>
      </c>
      <c r="FI305" s="174" t="str">
        <f t="shared" si="480"/>
        <v>NG</v>
      </c>
      <c r="FJ305" s="268"/>
      <c r="FK305" s="276" t="str">
        <f>IF(OR(FG$8="判定対象外",FJ$8="判定対象外",FJ305="-"),"-",IF(FG305=FJ305,"OK","NG"))</f>
        <v>OK</v>
      </c>
      <c r="FL305" s="233"/>
      <c r="FM305" s="268"/>
      <c r="FN305" s="235" t="str">
        <f t="shared" si="523"/>
        <v xml:space="preserve">       </v>
      </c>
      <c r="FO305" s="174" t="str">
        <f t="shared" si="497"/>
        <v>NG</v>
      </c>
      <c r="FP305" s="268"/>
      <c r="FQ305" s="276" t="str">
        <f>IF(OR(FM$8="判定対象外",FP$8="判定対象外",FP305="-"),"-",IF(FM305=FP305,"OK","NG"))</f>
        <v>OK</v>
      </c>
      <c r="FR305" s="233"/>
      <c r="FS305" s="268"/>
      <c r="FT305" s="235" t="str">
        <f t="shared" si="524"/>
        <v xml:space="preserve">       </v>
      </c>
      <c r="FU305" s="174" t="str">
        <f t="shared" si="498"/>
        <v>NG</v>
      </c>
      <c r="FV305" s="268"/>
      <c r="FW305" s="276" t="str">
        <f>IF(OR(FS$8="判定対象外",FV$8="判定対象外",FV305="-"),"-",IF(FS305=FV305,"OK","NG"))</f>
        <v>OK</v>
      </c>
      <c r="FX305" s="233"/>
      <c r="FY305" s="268"/>
      <c r="FZ305" s="235" t="str">
        <f t="shared" si="525"/>
        <v xml:space="preserve">       </v>
      </c>
      <c r="GA305" s="174" t="str">
        <f t="shared" si="499"/>
        <v>NG</v>
      </c>
      <c r="GB305" s="268"/>
      <c r="GC305" s="276" t="str">
        <f>IF(OR(FY$8="判定対象外",GB$8="判定対象外",GB305="-"),"-",IF(FY305=GB305,"OK","NG"))</f>
        <v>OK</v>
      </c>
    </row>
    <row r="306" spans="1:185" s="237" customFormat="1" ht="127.9" thickBot="1">
      <c r="A306" s="244"/>
      <c r="B306" s="286">
        <f t="shared" si="527"/>
        <v>299</v>
      </c>
      <c r="C306" s="245"/>
      <c r="D306" s="245"/>
      <c r="E306" s="245"/>
      <c r="F306" s="287" t="s">
        <v>354</v>
      </c>
      <c r="G306" s="288"/>
      <c r="H306" s="289"/>
      <c r="I306" s="290"/>
      <c r="J306" s="290"/>
      <c r="K306" s="290"/>
      <c r="L306" s="290"/>
      <c r="M306" s="291" t="s">
        <v>355</v>
      </c>
      <c r="N306" s="280"/>
      <c r="O306" s="284"/>
      <c r="P306" s="71">
        <f t="shared" si="529"/>
        <v>274</v>
      </c>
      <c r="Q306" s="74">
        <v>1</v>
      </c>
      <c r="R306" s="73">
        <v>9</v>
      </c>
      <c r="S306" s="74" t="s">
        <v>256</v>
      </c>
      <c r="T306" s="74"/>
      <c r="U306" s="73" t="s">
        <v>80</v>
      </c>
      <c r="V306" s="246"/>
      <c r="W306" s="76" t="str">
        <f>IF(C306&lt;&gt;"","0",IF(D306&lt;&gt;"","1",IF(E306&lt;&gt;"","2",IF(F306&lt;&gt;"","3",IF(G306&lt;&gt;"","4",IF(H306&lt;&gt;"","5"))))))</f>
        <v>3</v>
      </c>
      <c r="X306" s="77" t="s">
        <v>258</v>
      </c>
      <c r="Y306" s="77">
        <v>1</v>
      </c>
      <c r="Z306" s="77">
        <v>1</v>
      </c>
      <c r="AA306" s="247">
        <v>9</v>
      </c>
      <c r="AB306" s="68" t="s">
        <v>80</v>
      </c>
      <c r="AC306" s="248"/>
      <c r="AD306" s="249"/>
      <c r="AE306" s="300"/>
      <c r="AF306" s="253" t="str">
        <f t="shared" si="501"/>
        <v xml:space="preserve"> </v>
      </c>
      <c r="AG306" s="177" t="str">
        <f t="shared" si="483"/>
        <v>NG</v>
      </c>
      <c r="AH306" s="300"/>
      <c r="AI306" s="270" t="str">
        <f>IF(OR(AE$8="判定対象外",AH$8="判定対象外",AH306="-"),"-",IF(AE306=AH306,"OK","NG"))</f>
        <v>OK</v>
      </c>
      <c r="AJ306" s="249"/>
      <c r="AK306" s="250"/>
      <c r="AL306" s="253" t="str">
        <f t="shared" si="500"/>
        <v xml:space="preserve"> </v>
      </c>
      <c r="AM306" s="177" t="str">
        <f t="shared" si="528"/>
        <v>NG</v>
      </c>
      <c r="AN306" s="250"/>
      <c r="AO306" s="270" t="str">
        <f>IF(OR(AK$8="判定対象外",AN$8="判定対象外",AN306="-"),"-",IF(AK306=AN306,"OK","NG"))</f>
        <v>OK</v>
      </c>
      <c r="AP306" s="249"/>
      <c r="AQ306" s="300"/>
      <c r="AR306" s="253" t="str">
        <f t="shared" si="502"/>
        <v xml:space="preserve"> </v>
      </c>
      <c r="AS306" s="177" t="str">
        <f t="shared" si="484"/>
        <v>NG</v>
      </c>
      <c r="AT306" s="300"/>
      <c r="AU306" s="270" t="str">
        <f>IF(OR(AQ$8="判定対象外",AT$8="判定対象外",AT306="-"),"-",IF(AQ306=AT306,"OK","NG"))</f>
        <v>OK</v>
      </c>
      <c r="AV306" s="249"/>
      <c r="AW306" s="300"/>
      <c r="AX306" s="253" t="str">
        <f t="shared" si="503"/>
        <v xml:space="preserve"> </v>
      </c>
      <c r="AY306" s="177" t="str">
        <f t="shared" si="485"/>
        <v>NG</v>
      </c>
      <c r="AZ306" s="300"/>
      <c r="BA306" s="270" t="str">
        <f>IF(OR(AW$8="判定対象外",AZ$8="判定対象外",AZ306="-"),"-",IF(AW306=AZ306,"OK","NG"))</f>
        <v>OK</v>
      </c>
      <c r="BB306" s="249"/>
      <c r="BC306" s="300"/>
      <c r="BD306" s="253" t="str">
        <f t="shared" si="504"/>
        <v xml:space="preserve"> </v>
      </c>
      <c r="BE306" s="177" t="str">
        <f t="shared" si="486"/>
        <v>NG</v>
      </c>
      <c r="BF306" s="300"/>
      <c r="BG306" s="270" t="str">
        <f>IF(OR(BC$8="判定対象外",BF$8="判定対象外",BF306="-"),"-",IF(BC306=BF306,"OK","NG"))</f>
        <v>OK</v>
      </c>
      <c r="BH306" s="249"/>
      <c r="BI306" s="300"/>
      <c r="BJ306" s="253" t="str">
        <f t="shared" si="505"/>
        <v xml:space="preserve"> </v>
      </c>
      <c r="BK306" s="177" t="str">
        <f t="shared" si="487"/>
        <v>NG</v>
      </c>
      <c r="BL306" s="300"/>
      <c r="BM306" s="270" t="str">
        <f>IF(OR(BI$8="判定対象外",BL$8="判定対象外",BL306="-"),"-",IF(BI306=BL306,"OK","NG"))</f>
        <v>OK</v>
      </c>
      <c r="BN306" s="249"/>
      <c r="BO306" s="300"/>
      <c r="BP306" s="253" t="str">
        <f t="shared" si="506"/>
        <v xml:space="preserve"> </v>
      </c>
      <c r="BQ306" s="177" t="str">
        <f t="shared" si="488"/>
        <v>NG</v>
      </c>
      <c r="BR306" s="300"/>
      <c r="BS306" s="270" t="str">
        <f>IF(OR(BO$8="判定対象外",BR$8="判定対象外",BR306="-"),"-",IF(BO306=BR306,"OK","NG"))</f>
        <v>OK</v>
      </c>
      <c r="BT306" s="249"/>
      <c r="BU306" s="300"/>
      <c r="BV306" s="253" t="str">
        <f t="shared" si="507"/>
        <v xml:space="preserve"> </v>
      </c>
      <c r="BW306" s="177" t="str">
        <f t="shared" si="489"/>
        <v>NG</v>
      </c>
      <c r="BX306" s="300"/>
      <c r="BY306" s="270" t="str">
        <f>IF(OR(BU$8="判定対象外",BX$8="判定対象外",BX306="-"),"-",IF(BU306=BX306,"OK","NG"))</f>
        <v>OK</v>
      </c>
      <c r="BZ306" s="249"/>
      <c r="CA306" s="300"/>
      <c r="CB306" s="253" t="str">
        <f t="shared" si="508"/>
        <v xml:space="preserve"> </v>
      </c>
      <c r="CC306" s="177" t="str">
        <f t="shared" si="490"/>
        <v>NG</v>
      </c>
      <c r="CD306" s="300"/>
      <c r="CE306" s="270" t="str">
        <f>IF(OR(CA$8="判定対象外",CD$8="判定対象外",CD306="-"),"-",IF(CA306=CD306,"OK","NG"))</f>
        <v>OK</v>
      </c>
      <c r="CF306" s="249"/>
      <c r="CG306" s="300"/>
      <c r="CH306" s="253" t="str">
        <f t="shared" si="509"/>
        <v xml:space="preserve"> </v>
      </c>
      <c r="CI306" s="177" t="str">
        <f t="shared" si="491"/>
        <v>NG</v>
      </c>
      <c r="CJ306" s="300"/>
      <c r="CK306" s="270" t="str">
        <f>IF(OR(CG$8="判定対象外",CJ$8="判定対象外",CJ306="-"),"-",IF(CG306=CJ306,"OK","NG"))</f>
        <v>OK</v>
      </c>
      <c r="CL306" s="249"/>
      <c r="CM306" s="300"/>
      <c r="CN306" s="253" t="str">
        <f t="shared" si="510"/>
        <v xml:space="preserve"> </v>
      </c>
      <c r="CO306" s="177" t="str">
        <f t="shared" si="492"/>
        <v>NG</v>
      </c>
      <c r="CP306" s="300"/>
      <c r="CQ306" s="270" t="str">
        <f>IF(OR(CM$8="判定対象外",CP$8="判定対象外",CP306="-"),"-",IF(CM306=CP306,"OK","NG"))</f>
        <v>OK</v>
      </c>
      <c r="CR306" s="249"/>
      <c r="CS306" s="300"/>
      <c r="CT306" s="253" t="str">
        <f t="shared" si="511"/>
        <v xml:space="preserve"> </v>
      </c>
      <c r="CU306" s="177" t="str">
        <f t="shared" si="493"/>
        <v>NG</v>
      </c>
      <c r="CV306" s="300"/>
      <c r="CW306" s="270" t="str">
        <f>IF(OR(CS$8="判定対象外",CV$8="判定対象外",CV306="-"),"-",IF(CS306=CV306,"OK","NG"))</f>
        <v>OK</v>
      </c>
      <c r="CX306" s="249"/>
      <c r="CY306" s="300"/>
      <c r="CZ306" s="253" t="str">
        <f t="shared" si="512"/>
        <v xml:space="preserve"> </v>
      </c>
      <c r="DA306" s="177" t="str">
        <f t="shared" si="494"/>
        <v>NG</v>
      </c>
      <c r="DB306" s="300"/>
      <c r="DC306" s="270" t="str">
        <f>IF(OR(CY$8="判定対象外",DB$8="判定対象外",DB306="-"),"-",IF(CY306=DB306,"OK","NG"))</f>
        <v>OK</v>
      </c>
      <c r="DD306" s="249"/>
      <c r="DE306" s="300"/>
      <c r="DF306" s="253" t="str">
        <f t="shared" si="513"/>
        <v xml:space="preserve"> </v>
      </c>
      <c r="DG306" s="177" t="str">
        <f t="shared" si="495"/>
        <v>NG</v>
      </c>
      <c r="DH306" s="300"/>
      <c r="DI306" s="270" t="str">
        <f>IF(OR(DE$8="判定対象外",DH$8="判定対象外",DH306="-"),"-",IF(DE306=DH306,"OK","NG"))</f>
        <v>OK</v>
      </c>
      <c r="DJ306" s="249"/>
      <c r="DK306" s="300"/>
      <c r="DL306" s="253" t="str">
        <f t="shared" si="514"/>
        <v xml:space="preserve"> </v>
      </c>
      <c r="DM306" s="177" t="str">
        <f t="shared" si="496"/>
        <v>NG</v>
      </c>
      <c r="DN306" s="300"/>
      <c r="DO306" s="270" t="str">
        <f>IF(OR(DK$8="判定対象外",DN$8="判定対象外",DN306="-"),"-",IF(DK306=DN306,"OK","NG"))</f>
        <v>OK</v>
      </c>
      <c r="DP306" s="249"/>
      <c r="DQ306" s="300"/>
      <c r="DR306" s="253" t="str">
        <f t="shared" si="515"/>
        <v xml:space="preserve"> </v>
      </c>
      <c r="DS306" s="177" t="str">
        <f t="shared" si="473"/>
        <v>NG</v>
      </c>
      <c r="DT306" s="300"/>
      <c r="DU306" s="270" t="str">
        <f>IF(OR(DQ$8="判定対象外",DT$8="判定対象外",DT306="-"),"-",IF(DQ306=DT306,"OK","NG"))</f>
        <v>OK</v>
      </c>
      <c r="DV306" s="249"/>
      <c r="DW306" s="300"/>
      <c r="DX306" s="253" t="str">
        <f t="shared" si="516"/>
        <v xml:space="preserve"> </v>
      </c>
      <c r="DY306" s="177" t="str">
        <f t="shared" si="474"/>
        <v>NG</v>
      </c>
      <c r="DZ306" s="300"/>
      <c r="EA306" s="270" t="str">
        <f>IF(OR(DW$8="判定対象外",DZ$8="判定対象外",DZ306="-"),"-",IF(DW306=DZ306,"OK","NG"))</f>
        <v>OK</v>
      </c>
      <c r="EB306" s="249"/>
      <c r="EC306" s="300"/>
      <c r="ED306" s="253" t="str">
        <f t="shared" si="517"/>
        <v xml:space="preserve"> </v>
      </c>
      <c r="EE306" s="177" t="str">
        <f t="shared" si="475"/>
        <v>NG</v>
      </c>
      <c r="EF306" s="300"/>
      <c r="EG306" s="270" t="str">
        <f>IF(OR(EC$8="判定対象外",EF$8="判定対象外",EF306="-"),"-",IF(EC306=EF306,"OK","NG"))</f>
        <v>OK</v>
      </c>
      <c r="EH306" s="249"/>
      <c r="EI306" s="300"/>
      <c r="EJ306" s="253" t="str">
        <f t="shared" si="518"/>
        <v xml:space="preserve"> </v>
      </c>
      <c r="EK306" s="177" t="str">
        <f t="shared" si="476"/>
        <v>NG</v>
      </c>
      <c r="EL306" s="300"/>
      <c r="EM306" s="270" t="str">
        <f>IF(OR(EI$8="判定対象外",EL$8="判定対象外",EL306="-"),"-",IF(EI306=EL306,"OK","NG"))</f>
        <v>OK</v>
      </c>
      <c r="EN306" s="249"/>
      <c r="EO306" s="300"/>
      <c r="EP306" s="253" t="str">
        <f t="shared" si="519"/>
        <v xml:space="preserve"> </v>
      </c>
      <c r="EQ306" s="177" t="str">
        <f t="shared" si="477"/>
        <v>NG</v>
      </c>
      <c r="ER306" s="300"/>
      <c r="ES306" s="270" t="str">
        <f>IF(OR(EO$8="判定対象外",ER$8="判定対象外",ER306="-"),"-",IF(EO306=ER306,"OK","NG"))</f>
        <v>OK</v>
      </c>
      <c r="ET306" s="249"/>
      <c r="EU306" s="300"/>
      <c r="EV306" s="253" t="str">
        <f t="shared" si="520"/>
        <v xml:space="preserve"> </v>
      </c>
      <c r="EW306" s="177" t="str">
        <f t="shared" si="478"/>
        <v>NG</v>
      </c>
      <c r="EX306" s="300"/>
      <c r="EY306" s="270" t="str">
        <f>IF(OR(EU$8="判定対象外",EX$8="判定対象外",EX306="-"),"-",IF(EU306=EX306,"OK","NG"))</f>
        <v>OK</v>
      </c>
      <c r="EZ306" s="249"/>
      <c r="FA306" s="300"/>
      <c r="FB306" s="253" t="str">
        <f t="shared" si="521"/>
        <v xml:space="preserve"> </v>
      </c>
      <c r="FC306" s="177" t="str">
        <f t="shared" si="479"/>
        <v>NG</v>
      </c>
      <c r="FD306" s="300"/>
      <c r="FE306" s="270" t="str">
        <f>IF(OR(FA$8="判定対象外",FD$8="判定対象外",FD306="-"),"-",IF(FA306=FD306,"OK","NG"))</f>
        <v>OK</v>
      </c>
      <c r="FF306" s="249"/>
      <c r="FG306" s="300"/>
      <c r="FH306" s="253" t="str">
        <f t="shared" si="522"/>
        <v xml:space="preserve"> </v>
      </c>
      <c r="FI306" s="177" t="str">
        <f t="shared" si="480"/>
        <v>NG</v>
      </c>
      <c r="FJ306" s="300"/>
      <c r="FK306" s="270" t="str">
        <f>IF(OR(FG$8="判定対象外",FJ$8="判定対象外",FJ306="-"),"-",IF(FG306=FJ306,"OK","NG"))</f>
        <v>OK</v>
      </c>
      <c r="FL306" s="249"/>
      <c r="FM306" s="300"/>
      <c r="FN306" s="253" t="str">
        <f t="shared" si="523"/>
        <v xml:space="preserve"> </v>
      </c>
      <c r="FO306" s="177" t="str">
        <f t="shared" si="497"/>
        <v>NG</v>
      </c>
      <c r="FP306" s="300"/>
      <c r="FQ306" s="270" t="str">
        <f>IF(OR(FM$8="判定対象外",FP$8="判定対象外",FP306="-"),"-",IF(FM306=FP306,"OK","NG"))</f>
        <v>OK</v>
      </c>
      <c r="FR306" s="249"/>
      <c r="FS306" s="300"/>
      <c r="FT306" s="253" t="str">
        <f t="shared" si="524"/>
        <v xml:space="preserve"> </v>
      </c>
      <c r="FU306" s="177" t="str">
        <f t="shared" si="498"/>
        <v>NG</v>
      </c>
      <c r="FV306" s="300"/>
      <c r="FW306" s="270" t="str">
        <f>IF(OR(FS$8="判定対象外",FV$8="判定対象外",FV306="-"),"-",IF(FS306=FV306,"OK","NG"))</f>
        <v>OK</v>
      </c>
      <c r="FX306" s="249"/>
      <c r="FY306" s="300"/>
      <c r="FZ306" s="253" t="str">
        <f t="shared" si="525"/>
        <v xml:space="preserve"> </v>
      </c>
      <c r="GA306" s="177" t="str">
        <f t="shared" si="499"/>
        <v>NG</v>
      </c>
      <c r="GB306" s="300"/>
      <c r="GC306" s="270" t="str">
        <f>IF(OR(FY$8="判定対象外",GB$8="判定対象外",GB306="-"),"-",IF(FY306=GB306,"OK","NG"))</f>
        <v>OK</v>
      </c>
    </row>
    <row r="307" spans="1:185" s="52" customFormat="1" ht="18.75" customHeight="1" thickTop="1">
      <c r="B307" s="48">
        <f t="shared" si="527"/>
        <v>300</v>
      </c>
      <c r="C307" s="37"/>
      <c r="D307" s="37"/>
      <c r="E307" s="26" t="s">
        <v>315</v>
      </c>
      <c r="F307" s="254"/>
      <c r="G307" s="254"/>
      <c r="H307" s="28"/>
      <c r="I307" s="42" t="s">
        <v>1</v>
      </c>
      <c r="J307" s="42" t="s">
        <v>316</v>
      </c>
      <c r="K307" s="42"/>
      <c r="L307" s="42"/>
      <c r="M307" s="47" t="s">
        <v>317</v>
      </c>
      <c r="N307" s="281"/>
      <c r="O307" s="282"/>
      <c r="P307" s="20"/>
      <c r="Q307" s="21"/>
      <c r="R307" s="16"/>
      <c r="S307" s="283"/>
      <c r="T307" s="281"/>
      <c r="U307" s="16"/>
      <c r="V307" s="207"/>
      <c r="W307" s="22" t="str">
        <f>IF(C307&lt;&gt;"","0",IF(D307&lt;&gt;"","1",IF(E307&lt;&gt;"","2",IF(F307&lt;&gt;"","3",IF(G307&lt;&gt;"","4",IF(H307&lt;&gt;"","5"))))))</f>
        <v>2</v>
      </c>
      <c r="X307" s="47" t="s">
        <v>187</v>
      </c>
      <c r="Y307" s="47"/>
      <c r="Z307" s="47"/>
      <c r="AA307" s="42"/>
      <c r="AB307" s="42" t="s">
        <v>80</v>
      </c>
      <c r="AC307" s="251"/>
      <c r="AD307" s="160"/>
      <c r="AE307" s="141"/>
      <c r="AF307" s="203" t="str">
        <f t="shared" si="501"/>
        <v/>
      </c>
      <c r="AG307" s="174" t="str">
        <f t="shared" si="483"/>
        <v>OK</v>
      </c>
      <c r="AH307" s="141"/>
      <c r="AI307" s="276" t="s">
        <v>71</v>
      </c>
      <c r="AJ307" s="160"/>
      <c r="AK307" s="141"/>
      <c r="AL307" s="203" t="str">
        <f t="shared" si="500"/>
        <v/>
      </c>
      <c r="AM307" s="174" t="str">
        <f t="shared" si="528"/>
        <v>OK</v>
      </c>
      <c r="AN307" s="141"/>
      <c r="AO307" s="276" t="s">
        <v>71</v>
      </c>
      <c r="AP307" s="160"/>
      <c r="AQ307" s="141"/>
      <c r="AR307" s="203" t="str">
        <f t="shared" si="502"/>
        <v/>
      </c>
      <c r="AS307" s="174" t="str">
        <f t="shared" si="484"/>
        <v>OK</v>
      </c>
      <c r="AT307" s="141"/>
      <c r="AU307" s="276" t="s">
        <v>71</v>
      </c>
      <c r="AV307" s="160"/>
      <c r="AW307" s="141"/>
      <c r="AX307" s="203" t="str">
        <f t="shared" si="503"/>
        <v/>
      </c>
      <c r="AY307" s="174" t="str">
        <f t="shared" si="485"/>
        <v>OK</v>
      </c>
      <c r="AZ307" s="141"/>
      <c r="BA307" s="276" t="s">
        <v>71</v>
      </c>
      <c r="BB307" s="160"/>
      <c r="BC307" s="141"/>
      <c r="BD307" s="203" t="str">
        <f t="shared" si="504"/>
        <v/>
      </c>
      <c r="BE307" s="174" t="str">
        <f t="shared" si="486"/>
        <v>OK</v>
      </c>
      <c r="BF307" s="141"/>
      <c r="BG307" s="276" t="s">
        <v>71</v>
      </c>
      <c r="BH307" s="160"/>
      <c r="BI307" s="141"/>
      <c r="BJ307" s="203" t="str">
        <f t="shared" si="505"/>
        <v/>
      </c>
      <c r="BK307" s="174" t="str">
        <f t="shared" si="487"/>
        <v>OK</v>
      </c>
      <c r="BL307" s="141"/>
      <c r="BM307" s="276" t="s">
        <v>71</v>
      </c>
      <c r="BN307" s="160"/>
      <c r="BO307" s="141"/>
      <c r="BP307" s="203" t="str">
        <f t="shared" si="506"/>
        <v/>
      </c>
      <c r="BQ307" s="174" t="str">
        <f t="shared" si="488"/>
        <v>OK</v>
      </c>
      <c r="BR307" s="141"/>
      <c r="BS307" s="276" t="s">
        <v>71</v>
      </c>
      <c r="BT307" s="160"/>
      <c r="BU307" s="141"/>
      <c r="BV307" s="203" t="str">
        <f t="shared" si="507"/>
        <v/>
      </c>
      <c r="BW307" s="174" t="str">
        <f t="shared" si="489"/>
        <v>OK</v>
      </c>
      <c r="BX307" s="141"/>
      <c r="BY307" s="276" t="s">
        <v>71</v>
      </c>
      <c r="BZ307" s="160"/>
      <c r="CA307" s="141"/>
      <c r="CB307" s="203" t="str">
        <f t="shared" si="508"/>
        <v/>
      </c>
      <c r="CC307" s="174" t="str">
        <f t="shared" si="490"/>
        <v>OK</v>
      </c>
      <c r="CD307" s="141"/>
      <c r="CE307" s="276" t="s">
        <v>71</v>
      </c>
      <c r="CF307" s="160"/>
      <c r="CG307" s="141"/>
      <c r="CH307" s="203" t="str">
        <f t="shared" si="509"/>
        <v/>
      </c>
      <c r="CI307" s="174" t="str">
        <f t="shared" si="491"/>
        <v>OK</v>
      </c>
      <c r="CJ307" s="141"/>
      <c r="CK307" s="276" t="s">
        <v>71</v>
      </c>
      <c r="CL307" s="160"/>
      <c r="CM307" s="141"/>
      <c r="CN307" s="203" t="str">
        <f t="shared" si="510"/>
        <v/>
      </c>
      <c r="CO307" s="174" t="str">
        <f t="shared" si="492"/>
        <v>OK</v>
      </c>
      <c r="CP307" s="141"/>
      <c r="CQ307" s="276" t="s">
        <v>71</v>
      </c>
      <c r="CR307" s="160"/>
      <c r="CS307" s="141"/>
      <c r="CT307" s="203" t="str">
        <f t="shared" si="511"/>
        <v/>
      </c>
      <c r="CU307" s="174" t="str">
        <f t="shared" si="493"/>
        <v>OK</v>
      </c>
      <c r="CV307" s="141"/>
      <c r="CW307" s="276" t="s">
        <v>71</v>
      </c>
      <c r="CX307" s="160"/>
      <c r="CY307" s="141"/>
      <c r="CZ307" s="203" t="str">
        <f t="shared" si="512"/>
        <v/>
      </c>
      <c r="DA307" s="174" t="str">
        <f t="shared" si="494"/>
        <v>OK</v>
      </c>
      <c r="DB307" s="141"/>
      <c r="DC307" s="276" t="s">
        <v>71</v>
      </c>
      <c r="DD307" s="160"/>
      <c r="DE307" s="141"/>
      <c r="DF307" s="203" t="str">
        <f t="shared" si="513"/>
        <v/>
      </c>
      <c r="DG307" s="174" t="str">
        <f t="shared" si="495"/>
        <v>OK</v>
      </c>
      <c r="DH307" s="141"/>
      <c r="DI307" s="276" t="s">
        <v>71</v>
      </c>
      <c r="DJ307" s="160"/>
      <c r="DK307" s="141"/>
      <c r="DL307" s="203" t="str">
        <f t="shared" si="514"/>
        <v/>
      </c>
      <c r="DM307" s="174" t="str">
        <f t="shared" si="496"/>
        <v>OK</v>
      </c>
      <c r="DN307" s="141"/>
      <c r="DO307" s="276" t="s">
        <v>71</v>
      </c>
      <c r="DP307" s="160"/>
      <c r="DQ307" s="141"/>
      <c r="DR307" s="203" t="str">
        <f t="shared" si="515"/>
        <v/>
      </c>
      <c r="DS307" s="174" t="str">
        <f t="shared" si="473"/>
        <v>OK</v>
      </c>
      <c r="DT307" s="141"/>
      <c r="DU307" s="276" t="s">
        <v>71</v>
      </c>
      <c r="DV307" s="160"/>
      <c r="DW307" s="141"/>
      <c r="DX307" s="203" t="str">
        <f t="shared" si="516"/>
        <v/>
      </c>
      <c r="DY307" s="174" t="str">
        <f t="shared" si="474"/>
        <v>OK</v>
      </c>
      <c r="DZ307" s="141"/>
      <c r="EA307" s="276" t="s">
        <v>71</v>
      </c>
      <c r="EB307" s="160"/>
      <c r="EC307" s="141"/>
      <c r="ED307" s="203" t="str">
        <f t="shared" si="517"/>
        <v/>
      </c>
      <c r="EE307" s="174" t="str">
        <f t="shared" si="475"/>
        <v>OK</v>
      </c>
      <c r="EF307" s="141"/>
      <c r="EG307" s="276" t="s">
        <v>71</v>
      </c>
      <c r="EH307" s="160"/>
      <c r="EI307" s="141"/>
      <c r="EJ307" s="203" t="str">
        <f t="shared" si="518"/>
        <v/>
      </c>
      <c r="EK307" s="174" t="str">
        <f t="shared" si="476"/>
        <v>OK</v>
      </c>
      <c r="EL307" s="141"/>
      <c r="EM307" s="276" t="s">
        <v>71</v>
      </c>
      <c r="EN307" s="160"/>
      <c r="EO307" s="141"/>
      <c r="EP307" s="203" t="str">
        <f t="shared" si="519"/>
        <v/>
      </c>
      <c r="EQ307" s="174" t="str">
        <f t="shared" si="477"/>
        <v>OK</v>
      </c>
      <c r="ER307" s="141"/>
      <c r="ES307" s="276" t="s">
        <v>71</v>
      </c>
      <c r="ET307" s="160"/>
      <c r="EU307" s="141"/>
      <c r="EV307" s="203" t="str">
        <f t="shared" si="520"/>
        <v/>
      </c>
      <c r="EW307" s="174" t="str">
        <f t="shared" si="478"/>
        <v>OK</v>
      </c>
      <c r="EX307" s="141"/>
      <c r="EY307" s="276" t="s">
        <v>71</v>
      </c>
      <c r="EZ307" s="160"/>
      <c r="FA307" s="141"/>
      <c r="FB307" s="203" t="str">
        <f t="shared" si="521"/>
        <v/>
      </c>
      <c r="FC307" s="174" t="str">
        <f t="shared" si="479"/>
        <v>OK</v>
      </c>
      <c r="FD307" s="141"/>
      <c r="FE307" s="276" t="s">
        <v>71</v>
      </c>
      <c r="FF307" s="160"/>
      <c r="FG307" s="141"/>
      <c r="FH307" s="203" t="str">
        <f t="shared" si="522"/>
        <v/>
      </c>
      <c r="FI307" s="174" t="str">
        <f t="shared" si="480"/>
        <v>OK</v>
      </c>
      <c r="FJ307" s="141"/>
      <c r="FK307" s="276" t="s">
        <v>71</v>
      </c>
      <c r="FL307" s="160"/>
      <c r="FM307" s="141"/>
      <c r="FN307" s="203" t="str">
        <f t="shared" si="523"/>
        <v/>
      </c>
      <c r="FO307" s="174" t="str">
        <f t="shared" si="497"/>
        <v>OK</v>
      </c>
      <c r="FP307" s="141"/>
      <c r="FQ307" s="276" t="s">
        <v>71</v>
      </c>
      <c r="FR307" s="160"/>
      <c r="FS307" s="141"/>
      <c r="FT307" s="203" t="str">
        <f t="shared" si="524"/>
        <v/>
      </c>
      <c r="FU307" s="174" t="str">
        <f t="shared" si="498"/>
        <v>OK</v>
      </c>
      <c r="FV307" s="141"/>
      <c r="FW307" s="276" t="s">
        <v>71</v>
      </c>
      <c r="FX307" s="160"/>
      <c r="FY307" s="141"/>
      <c r="FZ307" s="203" t="str">
        <f t="shared" si="525"/>
        <v/>
      </c>
      <c r="GA307" s="174" t="str">
        <f t="shared" si="499"/>
        <v>OK</v>
      </c>
      <c r="GB307" s="141"/>
      <c r="GC307" s="276" t="s">
        <v>71</v>
      </c>
    </row>
    <row r="308" spans="1:185" s="52" customFormat="1" ht="63.75">
      <c r="B308" s="48">
        <f t="shared" si="527"/>
        <v>301</v>
      </c>
      <c r="C308" s="187"/>
      <c r="D308" s="37"/>
      <c r="E308" s="37"/>
      <c r="F308" s="188" t="s">
        <v>318</v>
      </c>
      <c r="G308" s="39"/>
      <c r="H308" s="40"/>
      <c r="I308" s="57"/>
      <c r="J308" s="57"/>
      <c r="K308" s="57"/>
      <c r="L308" s="42"/>
      <c r="M308" s="58" t="s">
        <v>319</v>
      </c>
      <c r="N308" s="47"/>
      <c r="O308" s="143"/>
      <c r="P308" s="45">
        <f>P306+1</f>
        <v>275</v>
      </c>
      <c r="Q308" s="200">
        <v>2</v>
      </c>
      <c r="R308" s="41" t="str">
        <f t="shared" ref="R308:R314" si="531">IF(AA308="M","NX",AA308)</f>
        <v>X</v>
      </c>
      <c r="S308" s="185" t="s">
        <v>99</v>
      </c>
      <c r="T308" s="43"/>
      <c r="U308" s="41" t="s">
        <v>80</v>
      </c>
      <c r="V308" s="212" t="s">
        <v>188</v>
      </c>
      <c r="W308" s="22" t="str">
        <f>IF(C308&lt;&gt;"","0",IF(D308&lt;&gt;"","1",IF(E308&lt;&gt;"","2",IF(F308&lt;&gt;"","3",IF(G308&lt;&gt;"","4",IF(H308&lt;&gt;"","5"))))))</f>
        <v>3</v>
      </c>
      <c r="X308" s="62" t="s">
        <v>189</v>
      </c>
      <c r="Y308" s="201">
        <v>2</v>
      </c>
      <c r="Z308" s="201">
        <v>2</v>
      </c>
      <c r="AA308" s="202" t="s">
        <v>163</v>
      </c>
      <c r="AB308" s="202" t="s">
        <v>57</v>
      </c>
      <c r="AC308" s="166"/>
      <c r="AD308" s="160"/>
      <c r="AE308" s="162"/>
      <c r="AF308" s="167" t="str">
        <f t="shared" si="501"/>
        <v xml:space="preserve">  </v>
      </c>
      <c r="AG308" s="174" t="str">
        <f t="shared" si="483"/>
        <v>NG</v>
      </c>
      <c r="AH308" s="162"/>
      <c r="AI308" s="276" t="str">
        <f>IF(OR(AE$8="判定対象外",AH$8="判定対象外",AH308="-"),"-",IF(AE308=AH308,"OK","NG"))</f>
        <v>OK</v>
      </c>
      <c r="AJ308" s="160"/>
      <c r="AK308" s="162"/>
      <c r="AL308" s="167" t="str">
        <f t="shared" si="500"/>
        <v xml:space="preserve">  </v>
      </c>
      <c r="AM308" s="174" t="str">
        <f t="shared" si="528"/>
        <v>NG</v>
      </c>
      <c r="AN308" s="162"/>
      <c r="AO308" s="276" t="str">
        <f>IF(OR(AK$8="判定対象外",AN$8="判定対象外",AN308="-"),"-",IF(AK308=AN308,"OK","NG"))</f>
        <v>OK</v>
      </c>
      <c r="AP308" s="160"/>
      <c r="AQ308" s="162"/>
      <c r="AR308" s="167" t="str">
        <f t="shared" si="502"/>
        <v xml:space="preserve">  </v>
      </c>
      <c r="AS308" s="174" t="str">
        <f t="shared" si="484"/>
        <v>NG</v>
      </c>
      <c r="AT308" s="162"/>
      <c r="AU308" s="276" t="str">
        <f>IF(OR(AQ$8="判定対象外",AT$8="判定対象外",AT308="-"),"-",IF(AQ308=AT308,"OK","NG"))</f>
        <v>OK</v>
      </c>
      <c r="AV308" s="160"/>
      <c r="AW308" s="162"/>
      <c r="AX308" s="167" t="str">
        <f t="shared" si="503"/>
        <v xml:space="preserve">  </v>
      </c>
      <c r="AY308" s="174" t="str">
        <f t="shared" si="485"/>
        <v>NG</v>
      </c>
      <c r="AZ308" s="162"/>
      <c r="BA308" s="276" t="str">
        <f>IF(OR(AW$8="判定対象外",AZ$8="判定対象外",AZ308="-"),"-",IF(AW308=AZ308,"OK","NG"))</f>
        <v>OK</v>
      </c>
      <c r="BB308" s="160"/>
      <c r="BC308" s="162"/>
      <c r="BD308" s="167" t="str">
        <f t="shared" si="504"/>
        <v xml:space="preserve">  </v>
      </c>
      <c r="BE308" s="174" t="str">
        <f t="shared" si="486"/>
        <v>NG</v>
      </c>
      <c r="BF308" s="162"/>
      <c r="BG308" s="276" t="str">
        <f>IF(OR(BC$8="判定対象外",BF$8="判定対象外",BF308="-"),"-",IF(BC308=BF308,"OK","NG"))</f>
        <v>OK</v>
      </c>
      <c r="BH308" s="160"/>
      <c r="BI308" s="162"/>
      <c r="BJ308" s="167" t="str">
        <f t="shared" si="505"/>
        <v xml:space="preserve">  </v>
      </c>
      <c r="BK308" s="174" t="str">
        <f t="shared" si="487"/>
        <v>NG</v>
      </c>
      <c r="BL308" s="162"/>
      <c r="BM308" s="276" t="str">
        <f>IF(OR(BI$8="判定対象外",BL$8="判定対象外",BL308="-"),"-",IF(BI308=BL308,"OK","NG"))</f>
        <v>OK</v>
      </c>
      <c r="BN308" s="160"/>
      <c r="BO308" s="162"/>
      <c r="BP308" s="167" t="str">
        <f t="shared" si="506"/>
        <v xml:space="preserve">  </v>
      </c>
      <c r="BQ308" s="174" t="str">
        <f t="shared" si="488"/>
        <v>NG</v>
      </c>
      <c r="BR308" s="162"/>
      <c r="BS308" s="276" t="str">
        <f>IF(OR(BO$8="判定対象外",BR$8="判定対象外",BR308="-"),"-",IF(BO308=BR308,"OK","NG"))</f>
        <v>OK</v>
      </c>
      <c r="BT308" s="160"/>
      <c r="BU308" s="162"/>
      <c r="BV308" s="167" t="str">
        <f t="shared" si="507"/>
        <v xml:space="preserve">  </v>
      </c>
      <c r="BW308" s="174" t="str">
        <f t="shared" si="489"/>
        <v>NG</v>
      </c>
      <c r="BX308" s="162"/>
      <c r="BY308" s="276" t="str">
        <f>IF(OR(BU$8="判定対象外",BX$8="判定対象外",BX308="-"),"-",IF(BU308=BX308,"OK","NG"))</f>
        <v>OK</v>
      </c>
      <c r="BZ308" s="160"/>
      <c r="CA308" s="162"/>
      <c r="CB308" s="167" t="str">
        <f t="shared" si="508"/>
        <v xml:space="preserve">  </v>
      </c>
      <c r="CC308" s="174" t="str">
        <f t="shared" si="490"/>
        <v>NG</v>
      </c>
      <c r="CD308" s="162"/>
      <c r="CE308" s="276" t="str">
        <f>IF(OR(CA$8="判定対象外",CD$8="判定対象外",CD308="-"),"-",IF(CA308=CD308,"OK","NG"))</f>
        <v>OK</v>
      </c>
      <c r="CF308" s="160"/>
      <c r="CG308" s="162"/>
      <c r="CH308" s="167" t="str">
        <f t="shared" si="509"/>
        <v xml:space="preserve">  </v>
      </c>
      <c r="CI308" s="174" t="str">
        <f t="shared" si="491"/>
        <v>NG</v>
      </c>
      <c r="CJ308" s="162"/>
      <c r="CK308" s="276" t="str">
        <f>IF(OR(CG$8="判定対象外",CJ$8="判定対象外",CJ308="-"),"-",IF(CG308=CJ308,"OK","NG"))</f>
        <v>OK</v>
      </c>
      <c r="CL308" s="160"/>
      <c r="CM308" s="162"/>
      <c r="CN308" s="167" t="str">
        <f t="shared" si="510"/>
        <v xml:space="preserve">  </v>
      </c>
      <c r="CO308" s="174" t="str">
        <f t="shared" si="492"/>
        <v>NG</v>
      </c>
      <c r="CP308" s="162"/>
      <c r="CQ308" s="276" t="str">
        <f>IF(OR(CM$8="判定対象外",CP$8="判定対象外",CP308="-"),"-",IF(CM308=CP308,"OK","NG"))</f>
        <v>OK</v>
      </c>
      <c r="CR308" s="160"/>
      <c r="CS308" s="162"/>
      <c r="CT308" s="167" t="str">
        <f t="shared" si="511"/>
        <v xml:space="preserve">  </v>
      </c>
      <c r="CU308" s="174" t="str">
        <f t="shared" si="493"/>
        <v>NG</v>
      </c>
      <c r="CV308" s="162"/>
      <c r="CW308" s="276" t="str">
        <f>IF(OR(CS$8="判定対象外",CV$8="判定対象外",CV308="-"),"-",IF(CS308=CV308,"OK","NG"))</f>
        <v>OK</v>
      </c>
      <c r="CX308" s="160"/>
      <c r="CY308" s="162"/>
      <c r="CZ308" s="167" t="str">
        <f t="shared" si="512"/>
        <v xml:space="preserve">  </v>
      </c>
      <c r="DA308" s="174" t="str">
        <f t="shared" si="494"/>
        <v>NG</v>
      </c>
      <c r="DB308" s="162"/>
      <c r="DC308" s="276" t="str">
        <f>IF(OR(CY$8="判定対象外",DB$8="判定対象外",DB308="-"),"-",IF(CY308=DB308,"OK","NG"))</f>
        <v>OK</v>
      </c>
      <c r="DD308" s="160"/>
      <c r="DE308" s="162"/>
      <c r="DF308" s="167" t="str">
        <f t="shared" si="513"/>
        <v xml:space="preserve">  </v>
      </c>
      <c r="DG308" s="174" t="str">
        <f t="shared" si="495"/>
        <v>NG</v>
      </c>
      <c r="DH308" s="162"/>
      <c r="DI308" s="276" t="str">
        <f>IF(OR(DE$8="判定対象外",DH$8="判定対象外",DH308="-"),"-",IF(DE308=DH308,"OK","NG"))</f>
        <v>OK</v>
      </c>
      <c r="DJ308" s="160"/>
      <c r="DK308" s="162"/>
      <c r="DL308" s="167" t="str">
        <f t="shared" si="514"/>
        <v xml:space="preserve">  </v>
      </c>
      <c r="DM308" s="174" t="str">
        <f t="shared" si="496"/>
        <v>NG</v>
      </c>
      <c r="DN308" s="162"/>
      <c r="DO308" s="276" t="str">
        <f>IF(OR(DK$8="判定対象外",DN$8="判定対象外",DN308="-"),"-",IF(DK308=DN308,"OK","NG"))</f>
        <v>OK</v>
      </c>
      <c r="DP308" s="160"/>
      <c r="DQ308" s="162"/>
      <c r="DR308" s="167" t="str">
        <f t="shared" si="515"/>
        <v xml:space="preserve">  </v>
      </c>
      <c r="DS308" s="174" t="str">
        <f t="shared" si="473"/>
        <v>NG</v>
      </c>
      <c r="DT308" s="162"/>
      <c r="DU308" s="276" t="str">
        <f>IF(OR(DQ$8="判定対象外",DT$8="判定対象外",DT308="-"),"-",IF(DQ308=DT308,"OK","NG"))</f>
        <v>OK</v>
      </c>
      <c r="DV308" s="160"/>
      <c r="DW308" s="162"/>
      <c r="DX308" s="167" t="str">
        <f t="shared" si="516"/>
        <v xml:space="preserve">  </v>
      </c>
      <c r="DY308" s="174" t="str">
        <f t="shared" si="474"/>
        <v>NG</v>
      </c>
      <c r="DZ308" s="162"/>
      <c r="EA308" s="276" t="str">
        <f>IF(OR(DW$8="判定対象外",DZ$8="判定対象外",DZ308="-"),"-",IF(DW308=DZ308,"OK","NG"))</f>
        <v>OK</v>
      </c>
      <c r="EB308" s="160"/>
      <c r="EC308" s="162"/>
      <c r="ED308" s="167" t="str">
        <f t="shared" si="517"/>
        <v xml:space="preserve">  </v>
      </c>
      <c r="EE308" s="174" t="str">
        <f t="shared" si="475"/>
        <v>NG</v>
      </c>
      <c r="EF308" s="162"/>
      <c r="EG308" s="276" t="str">
        <f>IF(OR(EC$8="判定対象外",EF$8="判定対象外",EF308="-"),"-",IF(EC308=EF308,"OK","NG"))</f>
        <v>OK</v>
      </c>
      <c r="EH308" s="160"/>
      <c r="EI308" s="162"/>
      <c r="EJ308" s="167" t="str">
        <f t="shared" si="518"/>
        <v xml:space="preserve">  </v>
      </c>
      <c r="EK308" s="174" t="str">
        <f t="shared" si="476"/>
        <v>NG</v>
      </c>
      <c r="EL308" s="162"/>
      <c r="EM308" s="276" t="str">
        <f>IF(OR(EI$8="判定対象外",EL$8="判定対象外",EL308="-"),"-",IF(EI308=EL308,"OK","NG"))</f>
        <v>OK</v>
      </c>
      <c r="EN308" s="160"/>
      <c r="EO308" s="162"/>
      <c r="EP308" s="167" t="str">
        <f t="shared" si="519"/>
        <v xml:space="preserve">  </v>
      </c>
      <c r="EQ308" s="174" t="str">
        <f t="shared" si="477"/>
        <v>NG</v>
      </c>
      <c r="ER308" s="162"/>
      <c r="ES308" s="276" t="str">
        <f>IF(OR(EO$8="判定対象外",ER$8="判定対象外",ER308="-"),"-",IF(EO308=ER308,"OK","NG"))</f>
        <v>OK</v>
      </c>
      <c r="ET308" s="160"/>
      <c r="EU308" s="162"/>
      <c r="EV308" s="167" t="str">
        <f t="shared" si="520"/>
        <v xml:space="preserve">  </v>
      </c>
      <c r="EW308" s="174" t="str">
        <f t="shared" si="478"/>
        <v>NG</v>
      </c>
      <c r="EX308" s="162"/>
      <c r="EY308" s="276" t="str">
        <f>IF(OR(EU$8="判定対象外",EX$8="判定対象外",EX308="-"),"-",IF(EU308=EX308,"OK","NG"))</f>
        <v>OK</v>
      </c>
      <c r="EZ308" s="160"/>
      <c r="FA308" s="162"/>
      <c r="FB308" s="167" t="str">
        <f t="shared" si="521"/>
        <v xml:space="preserve">  </v>
      </c>
      <c r="FC308" s="174" t="str">
        <f t="shared" si="479"/>
        <v>NG</v>
      </c>
      <c r="FD308" s="162"/>
      <c r="FE308" s="276" t="str">
        <f>IF(OR(FA$8="判定対象外",FD$8="判定対象外",FD308="-"),"-",IF(FA308=FD308,"OK","NG"))</f>
        <v>OK</v>
      </c>
      <c r="FF308" s="160"/>
      <c r="FG308" s="162"/>
      <c r="FH308" s="167" t="str">
        <f t="shared" si="522"/>
        <v xml:space="preserve">  </v>
      </c>
      <c r="FI308" s="174" t="str">
        <f t="shared" si="480"/>
        <v>NG</v>
      </c>
      <c r="FJ308" s="162"/>
      <c r="FK308" s="276" t="str">
        <f>IF(OR(FG$8="判定対象外",FJ$8="判定対象外",FJ308="-"),"-",IF(FG308=FJ308,"OK","NG"))</f>
        <v>OK</v>
      </c>
      <c r="FL308" s="160"/>
      <c r="FM308" s="162"/>
      <c r="FN308" s="167" t="str">
        <f t="shared" si="523"/>
        <v xml:space="preserve">  </v>
      </c>
      <c r="FO308" s="174" t="str">
        <f t="shared" si="497"/>
        <v>NG</v>
      </c>
      <c r="FP308" s="162"/>
      <c r="FQ308" s="276" t="str">
        <f>IF(OR(FM$8="判定対象外",FP$8="判定対象外",FP308="-"),"-",IF(FM308=FP308,"OK","NG"))</f>
        <v>OK</v>
      </c>
      <c r="FR308" s="160"/>
      <c r="FS308" s="162"/>
      <c r="FT308" s="167" t="str">
        <f t="shared" si="524"/>
        <v xml:space="preserve">  </v>
      </c>
      <c r="FU308" s="174" t="str">
        <f t="shared" si="498"/>
        <v>NG</v>
      </c>
      <c r="FV308" s="162"/>
      <c r="FW308" s="276" t="str">
        <f>IF(OR(FS$8="判定対象外",FV$8="判定対象外",FV308="-"),"-",IF(FS308=FV308,"OK","NG"))</f>
        <v>OK</v>
      </c>
      <c r="FX308" s="160"/>
      <c r="FY308" s="162"/>
      <c r="FZ308" s="167" t="str">
        <f t="shared" si="525"/>
        <v xml:space="preserve">  </v>
      </c>
      <c r="GA308" s="174" t="str">
        <f t="shared" si="499"/>
        <v>NG</v>
      </c>
      <c r="GB308" s="162"/>
      <c r="GC308" s="276" t="str">
        <f>IF(OR(FY$8="判定対象外",GB$8="判定対象外",GB308="-"),"-",IF(FY308=GB308,"OK","NG"))</f>
        <v>OK</v>
      </c>
    </row>
    <row r="309" spans="1:185" s="52" customFormat="1" ht="344.25">
      <c r="B309" s="48">
        <f t="shared" si="527"/>
        <v>302</v>
      </c>
      <c r="C309" s="37"/>
      <c r="D309" s="37"/>
      <c r="E309" s="37"/>
      <c r="F309" s="188" t="s">
        <v>320</v>
      </c>
      <c r="G309" s="39"/>
      <c r="H309" s="40"/>
      <c r="I309" s="42"/>
      <c r="J309" s="42" t="s">
        <v>316</v>
      </c>
      <c r="K309" s="42"/>
      <c r="L309" s="42"/>
      <c r="M309" s="189" t="s">
        <v>321</v>
      </c>
      <c r="N309" s="63"/>
      <c r="O309" s="143"/>
      <c r="P309" s="45">
        <f>P308+1</f>
        <v>276</v>
      </c>
      <c r="Q309" s="46">
        <v>2</v>
      </c>
      <c r="R309" s="41" t="str">
        <f t="shared" si="531"/>
        <v>X</v>
      </c>
      <c r="S309" s="185" t="s">
        <v>100</v>
      </c>
      <c r="T309" s="43"/>
      <c r="U309" s="41" t="s">
        <v>80</v>
      </c>
      <c r="V309" s="44"/>
      <c r="W309" s="22">
        <v>3</v>
      </c>
      <c r="X309" s="47" t="s">
        <v>162</v>
      </c>
      <c r="Y309" s="47">
        <v>2</v>
      </c>
      <c r="Z309" s="47">
        <v>2</v>
      </c>
      <c r="AA309" s="42" t="s">
        <v>163</v>
      </c>
      <c r="AB309" s="42" t="s">
        <v>57</v>
      </c>
      <c r="AC309" s="166"/>
      <c r="AD309" s="160"/>
      <c r="AE309" s="162"/>
      <c r="AF309" s="167" t="str">
        <f t="shared" si="501"/>
        <v xml:space="preserve">  </v>
      </c>
      <c r="AG309" s="174" t="str">
        <f t="shared" si="483"/>
        <v>NG</v>
      </c>
      <c r="AH309" s="162"/>
      <c r="AI309" s="276" t="str">
        <f>IF(OR(AE$8="判定対象外",AH$8="判定対象外",AH309="-"),"-",IF(AE309=AH309,"OK","NG"))</f>
        <v>OK</v>
      </c>
      <c r="AJ309" s="160"/>
      <c r="AK309" s="162"/>
      <c r="AL309" s="167" t="str">
        <f t="shared" si="500"/>
        <v xml:space="preserve">  </v>
      </c>
      <c r="AM309" s="174" t="str">
        <f t="shared" si="528"/>
        <v>NG</v>
      </c>
      <c r="AN309" s="162"/>
      <c r="AO309" s="276" t="str">
        <f>IF(OR(AK$8="判定対象外",AN$8="判定対象外",AN309="-"),"-",IF(AK309=AN309,"OK","NG"))</f>
        <v>OK</v>
      </c>
      <c r="AP309" s="160"/>
      <c r="AQ309" s="162"/>
      <c r="AR309" s="167" t="str">
        <f t="shared" si="502"/>
        <v xml:space="preserve">  </v>
      </c>
      <c r="AS309" s="174" t="str">
        <f t="shared" si="484"/>
        <v>NG</v>
      </c>
      <c r="AT309" s="162"/>
      <c r="AU309" s="276" t="str">
        <f>IF(OR(AQ$8="判定対象外",AT$8="判定対象外",AT309="-"),"-",IF(AQ309=AT309,"OK","NG"))</f>
        <v>OK</v>
      </c>
      <c r="AV309" s="160"/>
      <c r="AW309" s="162"/>
      <c r="AX309" s="167" t="str">
        <f t="shared" si="503"/>
        <v xml:space="preserve">  </v>
      </c>
      <c r="AY309" s="174" t="str">
        <f t="shared" si="485"/>
        <v>NG</v>
      </c>
      <c r="AZ309" s="162"/>
      <c r="BA309" s="276" t="str">
        <f>IF(OR(AW$8="判定対象外",AZ$8="判定対象外",AZ309="-"),"-",IF(AW309=AZ309,"OK","NG"))</f>
        <v>OK</v>
      </c>
      <c r="BB309" s="160"/>
      <c r="BC309" s="162"/>
      <c r="BD309" s="167" t="str">
        <f t="shared" si="504"/>
        <v xml:space="preserve">  </v>
      </c>
      <c r="BE309" s="174" t="str">
        <f t="shared" si="486"/>
        <v>NG</v>
      </c>
      <c r="BF309" s="162"/>
      <c r="BG309" s="276" t="str">
        <f>IF(OR(BC$8="判定対象外",BF$8="判定対象外",BF309="-"),"-",IF(BC309=BF309,"OK","NG"))</f>
        <v>OK</v>
      </c>
      <c r="BH309" s="160"/>
      <c r="BI309" s="162"/>
      <c r="BJ309" s="167" t="str">
        <f t="shared" si="505"/>
        <v xml:space="preserve">  </v>
      </c>
      <c r="BK309" s="174" t="str">
        <f t="shared" si="487"/>
        <v>NG</v>
      </c>
      <c r="BL309" s="162"/>
      <c r="BM309" s="276" t="str">
        <f>IF(OR(BI$8="判定対象外",BL$8="判定対象外",BL309="-"),"-",IF(BI309=BL309,"OK","NG"))</f>
        <v>OK</v>
      </c>
      <c r="BN309" s="160"/>
      <c r="BO309" s="162"/>
      <c r="BP309" s="167" t="str">
        <f t="shared" si="506"/>
        <v xml:space="preserve">  </v>
      </c>
      <c r="BQ309" s="174" t="str">
        <f t="shared" si="488"/>
        <v>NG</v>
      </c>
      <c r="BR309" s="162"/>
      <c r="BS309" s="276" t="str">
        <f>IF(OR(BO$8="判定対象外",BR$8="判定対象外",BR309="-"),"-",IF(BO309=BR309,"OK","NG"))</f>
        <v>OK</v>
      </c>
      <c r="BT309" s="160"/>
      <c r="BU309" s="162"/>
      <c r="BV309" s="167" t="str">
        <f t="shared" si="507"/>
        <v xml:space="preserve">  </v>
      </c>
      <c r="BW309" s="174" t="str">
        <f t="shared" si="489"/>
        <v>NG</v>
      </c>
      <c r="BX309" s="162"/>
      <c r="BY309" s="276" t="str">
        <f>IF(OR(BU$8="判定対象外",BX$8="判定対象外",BX309="-"),"-",IF(BU309=BX309,"OK","NG"))</f>
        <v>OK</v>
      </c>
      <c r="BZ309" s="160"/>
      <c r="CA309" s="162"/>
      <c r="CB309" s="167" t="str">
        <f t="shared" si="508"/>
        <v xml:space="preserve">  </v>
      </c>
      <c r="CC309" s="174" t="str">
        <f t="shared" si="490"/>
        <v>NG</v>
      </c>
      <c r="CD309" s="162"/>
      <c r="CE309" s="276" t="str">
        <f>IF(OR(CA$8="判定対象外",CD$8="判定対象外",CD309="-"),"-",IF(CA309=CD309,"OK","NG"))</f>
        <v>OK</v>
      </c>
      <c r="CF309" s="160"/>
      <c r="CG309" s="162"/>
      <c r="CH309" s="167" t="str">
        <f t="shared" si="509"/>
        <v xml:space="preserve">  </v>
      </c>
      <c r="CI309" s="174" t="str">
        <f t="shared" si="491"/>
        <v>NG</v>
      </c>
      <c r="CJ309" s="162"/>
      <c r="CK309" s="276" t="str">
        <f>IF(OR(CG$8="判定対象外",CJ$8="判定対象外",CJ309="-"),"-",IF(CG309=CJ309,"OK","NG"))</f>
        <v>OK</v>
      </c>
      <c r="CL309" s="160"/>
      <c r="CM309" s="162"/>
      <c r="CN309" s="167" t="str">
        <f t="shared" si="510"/>
        <v xml:space="preserve">  </v>
      </c>
      <c r="CO309" s="174" t="str">
        <f t="shared" si="492"/>
        <v>NG</v>
      </c>
      <c r="CP309" s="162"/>
      <c r="CQ309" s="276" t="str">
        <f>IF(OR(CM$8="判定対象外",CP$8="判定対象外",CP309="-"),"-",IF(CM309=CP309,"OK","NG"))</f>
        <v>OK</v>
      </c>
      <c r="CR309" s="160"/>
      <c r="CS309" s="162"/>
      <c r="CT309" s="167" t="str">
        <f t="shared" si="511"/>
        <v xml:space="preserve">  </v>
      </c>
      <c r="CU309" s="174" t="str">
        <f t="shared" si="493"/>
        <v>NG</v>
      </c>
      <c r="CV309" s="162"/>
      <c r="CW309" s="276" t="str">
        <f>IF(OR(CS$8="判定対象外",CV$8="判定対象外",CV309="-"),"-",IF(CS309=CV309,"OK","NG"))</f>
        <v>OK</v>
      </c>
      <c r="CX309" s="160"/>
      <c r="CY309" s="162"/>
      <c r="CZ309" s="167" t="str">
        <f t="shared" si="512"/>
        <v xml:space="preserve">  </v>
      </c>
      <c r="DA309" s="174" t="str">
        <f t="shared" si="494"/>
        <v>NG</v>
      </c>
      <c r="DB309" s="162"/>
      <c r="DC309" s="276" t="str">
        <f>IF(OR(CY$8="判定対象外",DB$8="判定対象外",DB309="-"),"-",IF(CY309=DB309,"OK","NG"))</f>
        <v>OK</v>
      </c>
      <c r="DD309" s="160"/>
      <c r="DE309" s="162"/>
      <c r="DF309" s="167" t="str">
        <f t="shared" si="513"/>
        <v xml:space="preserve">  </v>
      </c>
      <c r="DG309" s="174" t="str">
        <f t="shared" si="495"/>
        <v>NG</v>
      </c>
      <c r="DH309" s="162"/>
      <c r="DI309" s="276" t="str">
        <f>IF(OR(DE$8="判定対象外",DH$8="判定対象外",DH309="-"),"-",IF(DE309=DH309,"OK","NG"))</f>
        <v>OK</v>
      </c>
      <c r="DJ309" s="160"/>
      <c r="DK309" s="162"/>
      <c r="DL309" s="167" t="str">
        <f t="shared" si="514"/>
        <v xml:space="preserve">  </v>
      </c>
      <c r="DM309" s="174" t="str">
        <f t="shared" si="496"/>
        <v>NG</v>
      </c>
      <c r="DN309" s="162"/>
      <c r="DO309" s="276" t="str">
        <f>IF(OR(DK$8="判定対象外",DN$8="判定対象外",DN309="-"),"-",IF(DK309=DN309,"OK","NG"))</f>
        <v>OK</v>
      </c>
      <c r="DP309" s="160"/>
      <c r="DQ309" s="162"/>
      <c r="DR309" s="167" t="str">
        <f t="shared" si="515"/>
        <v xml:space="preserve">  </v>
      </c>
      <c r="DS309" s="174" t="str">
        <f t="shared" si="473"/>
        <v>NG</v>
      </c>
      <c r="DT309" s="162"/>
      <c r="DU309" s="276" t="str">
        <f>IF(OR(DQ$8="判定対象外",DT$8="判定対象外",DT309="-"),"-",IF(DQ309=DT309,"OK","NG"))</f>
        <v>OK</v>
      </c>
      <c r="DV309" s="160"/>
      <c r="DW309" s="162"/>
      <c r="DX309" s="167" t="str">
        <f t="shared" si="516"/>
        <v xml:space="preserve">  </v>
      </c>
      <c r="DY309" s="174" t="str">
        <f t="shared" si="474"/>
        <v>NG</v>
      </c>
      <c r="DZ309" s="162"/>
      <c r="EA309" s="276" t="str">
        <f>IF(OR(DW$8="判定対象外",DZ$8="判定対象外",DZ309="-"),"-",IF(DW309=DZ309,"OK","NG"))</f>
        <v>OK</v>
      </c>
      <c r="EB309" s="160"/>
      <c r="EC309" s="162"/>
      <c r="ED309" s="167" t="str">
        <f t="shared" si="517"/>
        <v xml:space="preserve">  </v>
      </c>
      <c r="EE309" s="174" t="str">
        <f t="shared" si="475"/>
        <v>NG</v>
      </c>
      <c r="EF309" s="162"/>
      <c r="EG309" s="276" t="str">
        <f>IF(OR(EC$8="判定対象外",EF$8="判定対象外",EF309="-"),"-",IF(EC309=EF309,"OK","NG"))</f>
        <v>OK</v>
      </c>
      <c r="EH309" s="160"/>
      <c r="EI309" s="162"/>
      <c r="EJ309" s="167" t="str">
        <f t="shared" si="518"/>
        <v xml:space="preserve">  </v>
      </c>
      <c r="EK309" s="174" t="str">
        <f t="shared" si="476"/>
        <v>NG</v>
      </c>
      <c r="EL309" s="162"/>
      <c r="EM309" s="276" t="str">
        <f>IF(OR(EI$8="判定対象外",EL$8="判定対象外",EL309="-"),"-",IF(EI309=EL309,"OK","NG"))</f>
        <v>OK</v>
      </c>
      <c r="EN309" s="160"/>
      <c r="EO309" s="162"/>
      <c r="EP309" s="167" t="str">
        <f t="shared" si="519"/>
        <v xml:space="preserve">  </v>
      </c>
      <c r="EQ309" s="174" t="str">
        <f t="shared" si="477"/>
        <v>NG</v>
      </c>
      <c r="ER309" s="162"/>
      <c r="ES309" s="276" t="str">
        <f>IF(OR(EO$8="判定対象外",ER$8="判定対象外",ER309="-"),"-",IF(EO309=ER309,"OK","NG"))</f>
        <v>OK</v>
      </c>
      <c r="ET309" s="160"/>
      <c r="EU309" s="162"/>
      <c r="EV309" s="167" t="str">
        <f t="shared" si="520"/>
        <v xml:space="preserve">  </v>
      </c>
      <c r="EW309" s="174" t="str">
        <f t="shared" si="478"/>
        <v>NG</v>
      </c>
      <c r="EX309" s="162"/>
      <c r="EY309" s="276" t="str">
        <f>IF(OR(EU$8="判定対象外",EX$8="判定対象外",EX309="-"),"-",IF(EU309=EX309,"OK","NG"))</f>
        <v>OK</v>
      </c>
      <c r="EZ309" s="160"/>
      <c r="FA309" s="162"/>
      <c r="FB309" s="167" t="str">
        <f t="shared" si="521"/>
        <v xml:space="preserve">  </v>
      </c>
      <c r="FC309" s="174" t="str">
        <f t="shared" si="479"/>
        <v>NG</v>
      </c>
      <c r="FD309" s="162"/>
      <c r="FE309" s="276" t="str">
        <f>IF(OR(FA$8="判定対象外",FD$8="判定対象外",FD309="-"),"-",IF(FA309=FD309,"OK","NG"))</f>
        <v>OK</v>
      </c>
      <c r="FF309" s="160"/>
      <c r="FG309" s="162"/>
      <c r="FH309" s="167" t="str">
        <f t="shared" si="522"/>
        <v xml:space="preserve">  </v>
      </c>
      <c r="FI309" s="174" t="str">
        <f t="shared" si="480"/>
        <v>NG</v>
      </c>
      <c r="FJ309" s="162"/>
      <c r="FK309" s="276" t="str">
        <f>IF(OR(FG$8="判定対象外",FJ$8="判定対象外",FJ309="-"),"-",IF(FG309=FJ309,"OK","NG"))</f>
        <v>OK</v>
      </c>
      <c r="FL309" s="160"/>
      <c r="FM309" s="162"/>
      <c r="FN309" s="167" t="str">
        <f t="shared" si="523"/>
        <v xml:space="preserve">  </v>
      </c>
      <c r="FO309" s="174" t="str">
        <f t="shared" si="497"/>
        <v>NG</v>
      </c>
      <c r="FP309" s="162"/>
      <c r="FQ309" s="276" t="str">
        <f>IF(OR(FM$8="判定対象外",FP$8="判定対象外",FP309="-"),"-",IF(FM309=FP309,"OK","NG"))</f>
        <v>OK</v>
      </c>
      <c r="FR309" s="160"/>
      <c r="FS309" s="162"/>
      <c r="FT309" s="167" t="str">
        <f t="shared" si="524"/>
        <v xml:space="preserve">  </v>
      </c>
      <c r="FU309" s="174" t="str">
        <f t="shared" si="498"/>
        <v>NG</v>
      </c>
      <c r="FV309" s="162"/>
      <c r="FW309" s="276" t="str">
        <f>IF(OR(FS$8="判定対象外",FV$8="判定対象外",FV309="-"),"-",IF(FS309=FV309,"OK","NG"))</f>
        <v>OK</v>
      </c>
      <c r="FX309" s="160"/>
      <c r="FY309" s="162"/>
      <c r="FZ309" s="167" t="str">
        <f t="shared" si="525"/>
        <v xml:space="preserve">  </v>
      </c>
      <c r="GA309" s="174" t="str">
        <f t="shared" si="499"/>
        <v>NG</v>
      </c>
      <c r="GB309" s="162"/>
      <c r="GC309" s="276" t="str">
        <f>IF(OR(FY$8="判定対象外",GB$8="判定対象外",GB309="-"),"-",IF(FY309=GB309,"OK","NG"))</f>
        <v>OK</v>
      </c>
    </row>
    <row r="310" spans="1:185" s="52" customFormat="1">
      <c r="B310" s="48">
        <f t="shared" si="527"/>
        <v>303</v>
      </c>
      <c r="C310" s="37"/>
      <c r="D310" s="37"/>
      <c r="E310" s="37"/>
      <c r="F310" s="49" t="s">
        <v>322</v>
      </c>
      <c r="G310" s="39"/>
      <c r="H310" s="40"/>
      <c r="I310" s="42"/>
      <c r="J310" s="42"/>
      <c r="K310" s="42"/>
      <c r="L310" s="42"/>
      <c r="M310" s="213" t="s">
        <v>323</v>
      </c>
      <c r="N310" s="63"/>
      <c r="O310" s="143"/>
      <c r="P310" s="45">
        <f t="shared" ref="P310:P336" si="532">P309+1</f>
        <v>277</v>
      </c>
      <c r="Q310" s="46">
        <v>2</v>
      </c>
      <c r="R310" s="41" t="str">
        <f t="shared" si="531"/>
        <v>X</v>
      </c>
      <c r="S310" s="185" t="s">
        <v>190</v>
      </c>
      <c r="T310" s="43"/>
      <c r="U310" s="41" t="s">
        <v>80</v>
      </c>
      <c r="V310" s="44"/>
      <c r="W310" s="22">
        <v>3</v>
      </c>
      <c r="X310" s="47" t="s">
        <v>191</v>
      </c>
      <c r="Y310" s="47">
        <v>2</v>
      </c>
      <c r="Z310" s="47">
        <v>2</v>
      </c>
      <c r="AA310" s="42" t="s">
        <v>163</v>
      </c>
      <c r="AB310" s="42" t="s">
        <v>57</v>
      </c>
      <c r="AC310" s="166"/>
      <c r="AD310" s="160"/>
      <c r="AE310" s="141"/>
      <c r="AF310" s="203" t="str">
        <f t="shared" si="501"/>
        <v xml:space="preserve">  </v>
      </c>
      <c r="AG310" s="174" t="str">
        <f t="shared" si="483"/>
        <v>NG</v>
      </c>
      <c r="AH310" s="141"/>
      <c r="AI310" s="172" t="s">
        <v>71</v>
      </c>
      <c r="AJ310" s="160"/>
      <c r="AK310" s="141"/>
      <c r="AL310" s="203" t="str">
        <f t="shared" si="500"/>
        <v xml:space="preserve">  </v>
      </c>
      <c r="AM310" s="174" t="str">
        <f t="shared" si="528"/>
        <v>NG</v>
      </c>
      <c r="AN310" s="141"/>
      <c r="AO310" s="172" t="s">
        <v>71</v>
      </c>
      <c r="AP310" s="160"/>
      <c r="AQ310" s="141"/>
      <c r="AR310" s="203" t="str">
        <f t="shared" si="502"/>
        <v xml:space="preserve">  </v>
      </c>
      <c r="AS310" s="174" t="str">
        <f t="shared" si="484"/>
        <v>NG</v>
      </c>
      <c r="AT310" s="141"/>
      <c r="AU310" s="172" t="s">
        <v>71</v>
      </c>
      <c r="AV310" s="160"/>
      <c r="AW310" s="141"/>
      <c r="AX310" s="203" t="str">
        <f t="shared" si="503"/>
        <v xml:space="preserve">  </v>
      </c>
      <c r="AY310" s="174" t="str">
        <f t="shared" si="485"/>
        <v>NG</v>
      </c>
      <c r="AZ310" s="141"/>
      <c r="BA310" s="172" t="s">
        <v>71</v>
      </c>
      <c r="BB310" s="160"/>
      <c r="BC310" s="141"/>
      <c r="BD310" s="203" t="str">
        <f t="shared" si="504"/>
        <v xml:space="preserve">  </v>
      </c>
      <c r="BE310" s="174" t="str">
        <f t="shared" si="486"/>
        <v>NG</v>
      </c>
      <c r="BF310" s="141"/>
      <c r="BG310" s="172" t="s">
        <v>71</v>
      </c>
      <c r="BH310" s="160"/>
      <c r="BI310" s="141"/>
      <c r="BJ310" s="203" t="str">
        <f t="shared" si="505"/>
        <v xml:space="preserve">  </v>
      </c>
      <c r="BK310" s="174" t="str">
        <f t="shared" si="487"/>
        <v>NG</v>
      </c>
      <c r="BL310" s="141"/>
      <c r="BM310" s="172" t="s">
        <v>71</v>
      </c>
      <c r="BN310" s="160"/>
      <c r="BO310" s="141"/>
      <c r="BP310" s="203" t="str">
        <f t="shared" si="506"/>
        <v xml:space="preserve">  </v>
      </c>
      <c r="BQ310" s="174" t="str">
        <f t="shared" si="488"/>
        <v>NG</v>
      </c>
      <c r="BR310" s="141"/>
      <c r="BS310" s="172" t="s">
        <v>71</v>
      </c>
      <c r="BT310" s="160"/>
      <c r="BU310" s="141"/>
      <c r="BV310" s="203" t="str">
        <f t="shared" si="507"/>
        <v xml:space="preserve">  </v>
      </c>
      <c r="BW310" s="174" t="str">
        <f t="shared" si="489"/>
        <v>NG</v>
      </c>
      <c r="BX310" s="141"/>
      <c r="BY310" s="172" t="s">
        <v>71</v>
      </c>
      <c r="BZ310" s="160"/>
      <c r="CA310" s="141"/>
      <c r="CB310" s="203" t="str">
        <f t="shared" si="508"/>
        <v xml:space="preserve">  </v>
      </c>
      <c r="CC310" s="174" t="str">
        <f t="shared" si="490"/>
        <v>NG</v>
      </c>
      <c r="CD310" s="141"/>
      <c r="CE310" s="172" t="s">
        <v>71</v>
      </c>
      <c r="CF310" s="160"/>
      <c r="CG310" s="141"/>
      <c r="CH310" s="203" t="str">
        <f t="shared" si="509"/>
        <v xml:space="preserve">  </v>
      </c>
      <c r="CI310" s="174" t="str">
        <f t="shared" si="491"/>
        <v>NG</v>
      </c>
      <c r="CJ310" s="141"/>
      <c r="CK310" s="172" t="s">
        <v>71</v>
      </c>
      <c r="CL310" s="160"/>
      <c r="CM310" s="141"/>
      <c r="CN310" s="203" t="str">
        <f t="shared" si="510"/>
        <v xml:space="preserve">  </v>
      </c>
      <c r="CO310" s="174" t="str">
        <f t="shared" si="492"/>
        <v>NG</v>
      </c>
      <c r="CP310" s="141"/>
      <c r="CQ310" s="172" t="s">
        <v>71</v>
      </c>
      <c r="CR310" s="160"/>
      <c r="CS310" s="141"/>
      <c r="CT310" s="203" t="str">
        <f t="shared" si="511"/>
        <v xml:space="preserve">  </v>
      </c>
      <c r="CU310" s="174" t="str">
        <f t="shared" si="493"/>
        <v>NG</v>
      </c>
      <c r="CV310" s="141"/>
      <c r="CW310" s="172" t="s">
        <v>71</v>
      </c>
      <c r="CX310" s="160"/>
      <c r="CY310" s="141"/>
      <c r="CZ310" s="203" t="str">
        <f t="shared" si="512"/>
        <v xml:space="preserve">  </v>
      </c>
      <c r="DA310" s="174" t="str">
        <f t="shared" si="494"/>
        <v>NG</v>
      </c>
      <c r="DB310" s="141"/>
      <c r="DC310" s="172" t="s">
        <v>71</v>
      </c>
      <c r="DD310" s="160"/>
      <c r="DE310" s="141"/>
      <c r="DF310" s="203" t="str">
        <f t="shared" si="513"/>
        <v xml:space="preserve">  </v>
      </c>
      <c r="DG310" s="174" t="str">
        <f t="shared" si="495"/>
        <v>NG</v>
      </c>
      <c r="DH310" s="141"/>
      <c r="DI310" s="172" t="s">
        <v>71</v>
      </c>
      <c r="DJ310" s="160"/>
      <c r="DK310" s="141"/>
      <c r="DL310" s="203" t="str">
        <f t="shared" si="514"/>
        <v xml:space="preserve">  </v>
      </c>
      <c r="DM310" s="174" t="str">
        <f t="shared" si="496"/>
        <v>NG</v>
      </c>
      <c r="DN310" s="141"/>
      <c r="DO310" s="172" t="s">
        <v>71</v>
      </c>
      <c r="DP310" s="160"/>
      <c r="DQ310" s="141"/>
      <c r="DR310" s="203" t="str">
        <f t="shared" si="515"/>
        <v xml:space="preserve">  </v>
      </c>
      <c r="DS310" s="174" t="str">
        <f t="shared" si="473"/>
        <v>NG</v>
      </c>
      <c r="DT310" s="141"/>
      <c r="DU310" s="172" t="s">
        <v>71</v>
      </c>
      <c r="DV310" s="160"/>
      <c r="DW310" s="141"/>
      <c r="DX310" s="203" t="str">
        <f t="shared" si="516"/>
        <v xml:space="preserve">  </v>
      </c>
      <c r="DY310" s="174" t="str">
        <f t="shared" si="474"/>
        <v>NG</v>
      </c>
      <c r="DZ310" s="141"/>
      <c r="EA310" s="172" t="s">
        <v>71</v>
      </c>
      <c r="EB310" s="160"/>
      <c r="EC310" s="141"/>
      <c r="ED310" s="203" t="str">
        <f t="shared" si="517"/>
        <v xml:space="preserve">  </v>
      </c>
      <c r="EE310" s="174" t="str">
        <f t="shared" si="475"/>
        <v>NG</v>
      </c>
      <c r="EF310" s="141"/>
      <c r="EG310" s="172" t="s">
        <v>71</v>
      </c>
      <c r="EH310" s="160"/>
      <c r="EI310" s="141"/>
      <c r="EJ310" s="203" t="str">
        <f t="shared" si="518"/>
        <v xml:space="preserve">  </v>
      </c>
      <c r="EK310" s="174" t="str">
        <f t="shared" si="476"/>
        <v>NG</v>
      </c>
      <c r="EL310" s="141"/>
      <c r="EM310" s="172" t="s">
        <v>71</v>
      </c>
      <c r="EN310" s="160"/>
      <c r="EO310" s="141"/>
      <c r="EP310" s="203" t="str">
        <f t="shared" si="519"/>
        <v xml:space="preserve">  </v>
      </c>
      <c r="EQ310" s="174" t="str">
        <f t="shared" si="477"/>
        <v>NG</v>
      </c>
      <c r="ER310" s="141"/>
      <c r="ES310" s="172" t="s">
        <v>71</v>
      </c>
      <c r="ET310" s="160"/>
      <c r="EU310" s="141"/>
      <c r="EV310" s="203" t="str">
        <f t="shared" si="520"/>
        <v xml:space="preserve">  </v>
      </c>
      <c r="EW310" s="174" t="str">
        <f t="shared" si="478"/>
        <v>NG</v>
      </c>
      <c r="EX310" s="141"/>
      <c r="EY310" s="172" t="s">
        <v>71</v>
      </c>
      <c r="EZ310" s="160"/>
      <c r="FA310" s="141"/>
      <c r="FB310" s="203" t="str">
        <f t="shared" si="521"/>
        <v xml:space="preserve">  </v>
      </c>
      <c r="FC310" s="174" t="str">
        <f t="shared" si="479"/>
        <v>NG</v>
      </c>
      <c r="FD310" s="141"/>
      <c r="FE310" s="172" t="s">
        <v>71</v>
      </c>
      <c r="FF310" s="160"/>
      <c r="FG310" s="141"/>
      <c r="FH310" s="203" t="str">
        <f t="shared" si="522"/>
        <v xml:space="preserve">  </v>
      </c>
      <c r="FI310" s="174" t="str">
        <f t="shared" si="480"/>
        <v>NG</v>
      </c>
      <c r="FJ310" s="141"/>
      <c r="FK310" s="172" t="s">
        <v>71</v>
      </c>
      <c r="FL310" s="160"/>
      <c r="FM310" s="141"/>
      <c r="FN310" s="203" t="str">
        <f t="shared" si="523"/>
        <v xml:space="preserve">  </v>
      </c>
      <c r="FO310" s="174" t="str">
        <f t="shared" si="497"/>
        <v>NG</v>
      </c>
      <c r="FP310" s="141"/>
      <c r="FQ310" s="172" t="s">
        <v>71</v>
      </c>
      <c r="FR310" s="160"/>
      <c r="FS310" s="141"/>
      <c r="FT310" s="203" t="str">
        <f t="shared" si="524"/>
        <v xml:space="preserve">  </v>
      </c>
      <c r="FU310" s="174" t="str">
        <f t="shared" si="498"/>
        <v>NG</v>
      </c>
      <c r="FV310" s="141"/>
      <c r="FW310" s="172" t="s">
        <v>71</v>
      </c>
      <c r="FX310" s="160"/>
      <c r="FY310" s="141"/>
      <c r="FZ310" s="203" t="str">
        <f t="shared" si="525"/>
        <v xml:space="preserve">  </v>
      </c>
      <c r="GA310" s="174" t="str">
        <f t="shared" si="499"/>
        <v>NG</v>
      </c>
      <c r="GB310" s="141"/>
      <c r="GC310" s="172" t="s">
        <v>71</v>
      </c>
    </row>
    <row r="311" spans="1:185" s="52" customFormat="1">
      <c r="B311" s="48">
        <f t="shared" si="527"/>
        <v>304</v>
      </c>
      <c r="C311" s="37"/>
      <c r="D311" s="37"/>
      <c r="E311" s="37"/>
      <c r="F311" s="49" t="s">
        <v>192</v>
      </c>
      <c r="G311" s="39"/>
      <c r="H311" s="40"/>
      <c r="I311" s="42"/>
      <c r="J311" s="42" t="s">
        <v>316</v>
      </c>
      <c r="K311" s="42"/>
      <c r="L311" s="42"/>
      <c r="M311" s="47" t="s">
        <v>324</v>
      </c>
      <c r="N311" s="47"/>
      <c r="O311" s="143"/>
      <c r="P311" s="45">
        <f t="shared" si="532"/>
        <v>278</v>
      </c>
      <c r="Q311" s="46">
        <v>255</v>
      </c>
      <c r="R311" s="41" t="str">
        <f t="shared" si="531"/>
        <v>NX</v>
      </c>
      <c r="S311" s="185" t="s">
        <v>193</v>
      </c>
      <c r="T311" s="43"/>
      <c r="U311" s="41" t="s">
        <v>80</v>
      </c>
      <c r="V311" s="44"/>
      <c r="W311" s="22">
        <v>3</v>
      </c>
      <c r="X311" s="47" t="s">
        <v>194</v>
      </c>
      <c r="Y311" s="47">
        <v>1</v>
      </c>
      <c r="Z311" s="47">
        <v>255</v>
      </c>
      <c r="AA311" s="42" t="s">
        <v>195</v>
      </c>
      <c r="AB311" s="42" t="s">
        <v>57</v>
      </c>
      <c r="AC311" s="166"/>
      <c r="AD311" s="160"/>
      <c r="AE311" s="162"/>
      <c r="AF311" s="204" t="str">
        <f t="shared" si="501"/>
        <v xml:space="preserve">                                                                                                                                                                                                                                                               </v>
      </c>
      <c r="AG311" s="174" t="str">
        <f t="shared" si="483"/>
        <v>NG</v>
      </c>
      <c r="AH311" s="162"/>
      <c r="AI311" s="276" t="str">
        <f>IF(OR(AE$8="判定対象外",AH$8="判定対象外",AH311="-"),"-",IF(AE311=AH311,"OK","NG"))</f>
        <v>OK</v>
      </c>
      <c r="AJ311" s="160"/>
      <c r="AK311" s="162"/>
      <c r="AL311" s="204" t="str">
        <f t="shared" si="500"/>
        <v xml:space="preserve">                                                                                                                                                                                                                                                               </v>
      </c>
      <c r="AM311" s="174" t="str">
        <f t="shared" si="528"/>
        <v>NG</v>
      </c>
      <c r="AN311" s="162"/>
      <c r="AO311" s="276" t="str">
        <f>IF(OR(AK$8="判定対象外",AN$8="判定対象外",AN311="-"),"-",IF(AK311=AN311,"OK","NG"))</f>
        <v>OK</v>
      </c>
      <c r="AP311" s="160"/>
      <c r="AQ311" s="162"/>
      <c r="AR311" s="204" t="str">
        <f t="shared" si="502"/>
        <v xml:space="preserve">                                                                                                                                                                                                                                                               </v>
      </c>
      <c r="AS311" s="174" t="str">
        <f t="shared" si="484"/>
        <v>NG</v>
      </c>
      <c r="AT311" s="162"/>
      <c r="AU311" s="276" t="str">
        <f>IF(OR(AQ$8="判定対象外",AT$8="判定対象外",AT311="-"),"-",IF(AQ311=AT311,"OK","NG"))</f>
        <v>OK</v>
      </c>
      <c r="AV311" s="160"/>
      <c r="AW311" s="162"/>
      <c r="AX311" s="204" t="str">
        <f t="shared" si="503"/>
        <v xml:space="preserve">                                                                                                                                                                                                                                                               </v>
      </c>
      <c r="AY311" s="174" t="str">
        <f t="shared" si="485"/>
        <v>NG</v>
      </c>
      <c r="AZ311" s="162"/>
      <c r="BA311" s="276" t="str">
        <f>IF(OR(AW$8="判定対象外",AZ$8="判定対象外",AZ311="-"),"-",IF(AW311=AZ311,"OK","NG"))</f>
        <v>OK</v>
      </c>
      <c r="BB311" s="160"/>
      <c r="BC311" s="162"/>
      <c r="BD311" s="204" t="str">
        <f t="shared" si="504"/>
        <v xml:space="preserve">                                                                                                                                                                                                                                                               </v>
      </c>
      <c r="BE311" s="174" t="str">
        <f t="shared" si="486"/>
        <v>NG</v>
      </c>
      <c r="BF311" s="162"/>
      <c r="BG311" s="276" t="str">
        <f>IF(OR(BC$8="判定対象外",BF$8="判定対象外",BF311="-"),"-",IF(BC311=BF311,"OK","NG"))</f>
        <v>OK</v>
      </c>
      <c r="BH311" s="160"/>
      <c r="BI311" s="162"/>
      <c r="BJ311" s="204" t="str">
        <f t="shared" si="505"/>
        <v xml:space="preserve">                                                                                                                                                                                                                                                               </v>
      </c>
      <c r="BK311" s="174" t="str">
        <f t="shared" si="487"/>
        <v>NG</v>
      </c>
      <c r="BL311" s="162"/>
      <c r="BM311" s="276" t="str">
        <f>IF(OR(BI$8="判定対象外",BL$8="判定対象外",BL311="-"),"-",IF(BI311=BL311,"OK","NG"))</f>
        <v>OK</v>
      </c>
      <c r="BN311" s="160"/>
      <c r="BO311" s="162"/>
      <c r="BP311" s="204" t="str">
        <f t="shared" si="506"/>
        <v xml:space="preserve">                                                                                                                                                                                                                                                               </v>
      </c>
      <c r="BQ311" s="174" t="str">
        <f t="shared" si="488"/>
        <v>NG</v>
      </c>
      <c r="BR311" s="162"/>
      <c r="BS311" s="276" t="str">
        <f>IF(OR(BO$8="判定対象外",BR$8="判定対象外",BR311="-"),"-",IF(BO311=BR311,"OK","NG"))</f>
        <v>OK</v>
      </c>
      <c r="BT311" s="160"/>
      <c r="BU311" s="162"/>
      <c r="BV311" s="204" t="str">
        <f t="shared" si="507"/>
        <v xml:space="preserve">                                                                                                                                                                                                                                                               </v>
      </c>
      <c r="BW311" s="174" t="str">
        <f t="shared" si="489"/>
        <v>NG</v>
      </c>
      <c r="BX311" s="162"/>
      <c r="BY311" s="276" t="str">
        <f>IF(OR(BU$8="判定対象外",BX$8="判定対象外",BX311="-"),"-",IF(BU311=BX311,"OK","NG"))</f>
        <v>OK</v>
      </c>
      <c r="BZ311" s="160"/>
      <c r="CA311" s="162"/>
      <c r="CB311" s="204" t="str">
        <f t="shared" si="508"/>
        <v xml:space="preserve">                                                                                                                                                                                                                                                               </v>
      </c>
      <c r="CC311" s="174" t="str">
        <f t="shared" si="490"/>
        <v>NG</v>
      </c>
      <c r="CD311" s="162"/>
      <c r="CE311" s="276" t="str">
        <f>IF(OR(CA$8="判定対象外",CD$8="判定対象外",CD311="-"),"-",IF(CA311=CD311,"OK","NG"))</f>
        <v>OK</v>
      </c>
      <c r="CF311" s="160"/>
      <c r="CG311" s="162"/>
      <c r="CH311" s="204" t="str">
        <f t="shared" si="509"/>
        <v xml:space="preserve">                                                                                                                                                                                                                                                               </v>
      </c>
      <c r="CI311" s="174" t="str">
        <f t="shared" si="491"/>
        <v>NG</v>
      </c>
      <c r="CJ311" s="162"/>
      <c r="CK311" s="276" t="str">
        <f>IF(OR(CG$8="判定対象外",CJ$8="判定対象外",CJ311="-"),"-",IF(CG311=CJ311,"OK","NG"))</f>
        <v>OK</v>
      </c>
      <c r="CL311" s="160"/>
      <c r="CM311" s="162"/>
      <c r="CN311" s="204" t="str">
        <f t="shared" si="510"/>
        <v xml:space="preserve">                                                                                                                                                                                                                                                               </v>
      </c>
      <c r="CO311" s="174" t="str">
        <f t="shared" si="492"/>
        <v>NG</v>
      </c>
      <c r="CP311" s="162"/>
      <c r="CQ311" s="276" t="str">
        <f>IF(OR(CM$8="判定対象外",CP$8="判定対象外",CP311="-"),"-",IF(CM311=CP311,"OK","NG"))</f>
        <v>OK</v>
      </c>
      <c r="CR311" s="160"/>
      <c r="CS311" s="162"/>
      <c r="CT311" s="204" t="str">
        <f t="shared" si="511"/>
        <v xml:space="preserve">                                                                                                                                                                                                                                                               </v>
      </c>
      <c r="CU311" s="174" t="str">
        <f t="shared" si="493"/>
        <v>NG</v>
      </c>
      <c r="CV311" s="162"/>
      <c r="CW311" s="276" t="str">
        <f>IF(OR(CS$8="判定対象外",CV$8="判定対象外",CV311="-"),"-",IF(CS311=CV311,"OK","NG"))</f>
        <v>OK</v>
      </c>
      <c r="CX311" s="160"/>
      <c r="CY311" s="162"/>
      <c r="CZ311" s="204" t="str">
        <f t="shared" si="512"/>
        <v xml:space="preserve">                                                                                                                                                                                                                                                               </v>
      </c>
      <c r="DA311" s="174" t="str">
        <f t="shared" si="494"/>
        <v>NG</v>
      </c>
      <c r="DB311" s="162"/>
      <c r="DC311" s="276" t="str">
        <f>IF(OR(CY$8="判定対象外",DB$8="判定対象外",DB311="-"),"-",IF(CY311=DB311,"OK","NG"))</f>
        <v>OK</v>
      </c>
      <c r="DD311" s="160"/>
      <c r="DE311" s="162"/>
      <c r="DF311" s="204" t="str">
        <f t="shared" si="513"/>
        <v xml:space="preserve">                                                                                                                                                                                                                                                               </v>
      </c>
      <c r="DG311" s="174" t="str">
        <f t="shared" si="495"/>
        <v>NG</v>
      </c>
      <c r="DH311" s="162"/>
      <c r="DI311" s="276" t="str">
        <f>IF(OR(DE$8="判定対象外",DH$8="判定対象外",DH311="-"),"-",IF(DE311=DH311,"OK","NG"))</f>
        <v>OK</v>
      </c>
      <c r="DJ311" s="160"/>
      <c r="DK311" s="162"/>
      <c r="DL311" s="204" t="str">
        <f t="shared" si="514"/>
        <v xml:space="preserve">                                                                                                                                                                                                                                                               </v>
      </c>
      <c r="DM311" s="174" t="str">
        <f t="shared" si="496"/>
        <v>NG</v>
      </c>
      <c r="DN311" s="162"/>
      <c r="DO311" s="276" t="str">
        <f>IF(OR(DK$8="判定対象外",DN$8="判定対象外",DN311="-"),"-",IF(DK311=DN311,"OK","NG"))</f>
        <v>OK</v>
      </c>
      <c r="DP311" s="160"/>
      <c r="DQ311" s="162"/>
      <c r="DR311" s="204" t="str">
        <f t="shared" si="515"/>
        <v xml:space="preserve">                                                                                                                                                                                                                                                               </v>
      </c>
      <c r="DS311" s="174" t="str">
        <f t="shared" si="473"/>
        <v>NG</v>
      </c>
      <c r="DT311" s="162"/>
      <c r="DU311" s="276" t="str">
        <f>IF(OR(DQ$8="判定対象外",DT$8="判定対象外",DT311="-"),"-",IF(DQ311=DT311,"OK","NG"))</f>
        <v>OK</v>
      </c>
      <c r="DV311" s="160"/>
      <c r="DW311" s="162"/>
      <c r="DX311" s="204" t="str">
        <f t="shared" si="516"/>
        <v xml:space="preserve">                                                                                                                                                                                                                                                               </v>
      </c>
      <c r="DY311" s="174" t="str">
        <f t="shared" si="474"/>
        <v>NG</v>
      </c>
      <c r="DZ311" s="162"/>
      <c r="EA311" s="276" t="str">
        <f>IF(OR(DW$8="判定対象外",DZ$8="判定対象外",DZ311="-"),"-",IF(DW311=DZ311,"OK","NG"))</f>
        <v>OK</v>
      </c>
      <c r="EB311" s="160"/>
      <c r="EC311" s="162"/>
      <c r="ED311" s="204" t="str">
        <f t="shared" si="517"/>
        <v xml:space="preserve">                                                                                                                                                                                                                                                               </v>
      </c>
      <c r="EE311" s="174" t="str">
        <f t="shared" si="475"/>
        <v>NG</v>
      </c>
      <c r="EF311" s="162"/>
      <c r="EG311" s="276" t="str">
        <f>IF(OR(EC$8="判定対象外",EF$8="判定対象外",EF311="-"),"-",IF(EC311=EF311,"OK","NG"))</f>
        <v>OK</v>
      </c>
      <c r="EH311" s="160"/>
      <c r="EI311" s="162"/>
      <c r="EJ311" s="204" t="str">
        <f t="shared" si="518"/>
        <v xml:space="preserve">                                                                                                                                                                                                                                                               </v>
      </c>
      <c r="EK311" s="174" t="str">
        <f t="shared" si="476"/>
        <v>NG</v>
      </c>
      <c r="EL311" s="162"/>
      <c r="EM311" s="276" t="str">
        <f>IF(OR(EI$8="判定対象外",EL$8="判定対象外",EL311="-"),"-",IF(EI311=EL311,"OK","NG"))</f>
        <v>OK</v>
      </c>
      <c r="EN311" s="160"/>
      <c r="EO311" s="162"/>
      <c r="EP311" s="204" t="str">
        <f t="shared" si="519"/>
        <v xml:space="preserve">                                                                                                                                                                                                                                                               </v>
      </c>
      <c r="EQ311" s="174" t="str">
        <f t="shared" si="477"/>
        <v>NG</v>
      </c>
      <c r="ER311" s="162"/>
      <c r="ES311" s="276" t="str">
        <f>IF(OR(EO$8="判定対象外",ER$8="判定対象外",ER311="-"),"-",IF(EO311=ER311,"OK","NG"))</f>
        <v>OK</v>
      </c>
      <c r="ET311" s="160"/>
      <c r="EU311" s="162"/>
      <c r="EV311" s="204" t="str">
        <f t="shared" si="520"/>
        <v xml:space="preserve">                                                                                                                                                                                                                                                               </v>
      </c>
      <c r="EW311" s="174" t="str">
        <f t="shared" si="478"/>
        <v>NG</v>
      </c>
      <c r="EX311" s="162"/>
      <c r="EY311" s="276" t="str">
        <f>IF(OR(EU$8="判定対象外",EX$8="判定対象外",EX311="-"),"-",IF(EU311=EX311,"OK","NG"))</f>
        <v>OK</v>
      </c>
      <c r="EZ311" s="160"/>
      <c r="FA311" s="162"/>
      <c r="FB311" s="204" t="str">
        <f t="shared" si="521"/>
        <v xml:space="preserve">                                                                                                                                                                                                                                                               </v>
      </c>
      <c r="FC311" s="174" t="str">
        <f t="shared" si="479"/>
        <v>NG</v>
      </c>
      <c r="FD311" s="162"/>
      <c r="FE311" s="276" t="str">
        <f>IF(OR(FA$8="判定対象外",FD$8="判定対象外",FD311="-"),"-",IF(FA311=FD311,"OK","NG"))</f>
        <v>OK</v>
      </c>
      <c r="FF311" s="160"/>
      <c r="FG311" s="162"/>
      <c r="FH311" s="204" t="str">
        <f t="shared" si="522"/>
        <v xml:space="preserve">                                                                                                                                                                                                                                                               </v>
      </c>
      <c r="FI311" s="174" t="str">
        <f t="shared" si="480"/>
        <v>NG</v>
      </c>
      <c r="FJ311" s="162"/>
      <c r="FK311" s="276" t="str">
        <f>IF(OR(FG$8="判定対象外",FJ$8="判定対象外",FJ311="-"),"-",IF(FG311=FJ311,"OK","NG"))</f>
        <v>OK</v>
      </c>
      <c r="FL311" s="160"/>
      <c r="FM311" s="162"/>
      <c r="FN311" s="204" t="str">
        <f t="shared" si="523"/>
        <v xml:space="preserve">                                                                                                                                                                                                                                                               </v>
      </c>
      <c r="FO311" s="174" t="str">
        <f t="shared" si="497"/>
        <v>NG</v>
      </c>
      <c r="FP311" s="162"/>
      <c r="FQ311" s="276" t="str">
        <f>IF(OR(FM$8="判定対象外",FP$8="判定対象外",FP311="-"),"-",IF(FM311=FP311,"OK","NG"))</f>
        <v>OK</v>
      </c>
      <c r="FR311" s="160"/>
      <c r="FS311" s="162"/>
      <c r="FT311" s="204" t="str">
        <f t="shared" si="524"/>
        <v xml:space="preserve">                                                                                                                                                                                                                                                               </v>
      </c>
      <c r="FU311" s="174" t="str">
        <f t="shared" si="498"/>
        <v>NG</v>
      </c>
      <c r="FV311" s="162"/>
      <c r="FW311" s="276" t="str">
        <f>IF(OR(FS$8="判定対象外",FV$8="判定対象外",FV311="-"),"-",IF(FS311=FV311,"OK","NG"))</f>
        <v>OK</v>
      </c>
      <c r="FX311" s="160"/>
      <c r="FY311" s="162"/>
      <c r="FZ311" s="204" t="str">
        <f t="shared" si="525"/>
        <v xml:space="preserve">                                                                                                                                                                                                                                                               </v>
      </c>
      <c r="GA311" s="174" t="str">
        <f t="shared" si="499"/>
        <v>NG</v>
      </c>
      <c r="GB311" s="162"/>
      <c r="GC311" s="276" t="str">
        <f>IF(OR(FY$8="判定対象外",GB$8="判定対象外",GB311="-"),"-",IF(FY311=GB311,"OK","NG"))</f>
        <v>OK</v>
      </c>
    </row>
    <row r="312" spans="1:185" s="52" customFormat="1">
      <c r="B312" s="53">
        <f t="shared" si="527"/>
        <v>305</v>
      </c>
      <c r="C312" s="37"/>
      <c r="D312" s="37"/>
      <c r="E312" s="37"/>
      <c r="F312" s="54" t="s">
        <v>325</v>
      </c>
      <c r="G312" s="54"/>
      <c r="H312" s="55"/>
      <c r="I312" s="57"/>
      <c r="J312" s="57"/>
      <c r="K312" s="57"/>
      <c r="L312" s="57"/>
      <c r="M312" s="58" t="s">
        <v>326</v>
      </c>
      <c r="N312" s="62"/>
      <c r="O312" s="150"/>
      <c r="P312" s="45">
        <f t="shared" si="532"/>
        <v>279</v>
      </c>
      <c r="Q312" s="60">
        <v>256</v>
      </c>
      <c r="R312" s="41" t="str">
        <f t="shared" si="531"/>
        <v>NX</v>
      </c>
      <c r="S312" s="185" t="s">
        <v>196</v>
      </c>
      <c r="T312" s="43"/>
      <c r="U312" s="41" t="s">
        <v>80</v>
      </c>
      <c r="V312" s="44"/>
      <c r="W312" s="61">
        <v>3</v>
      </c>
      <c r="X312" s="62" t="s">
        <v>197</v>
      </c>
      <c r="Y312" s="62">
        <v>1</v>
      </c>
      <c r="Z312" s="62">
        <v>256</v>
      </c>
      <c r="AA312" s="57" t="s">
        <v>101</v>
      </c>
      <c r="AB312" s="57" t="s">
        <v>80</v>
      </c>
      <c r="AC312" s="214"/>
      <c r="AD312" s="160"/>
      <c r="AE312" s="141"/>
      <c r="AF312" s="203" t="str">
        <f t="shared" si="501"/>
        <v xml:space="preserve">                                                                                                                                                                                                                                                                </v>
      </c>
      <c r="AG312" s="174" t="str">
        <f t="shared" si="483"/>
        <v>NG</v>
      </c>
      <c r="AH312" s="141"/>
      <c r="AI312" s="172" t="s">
        <v>71</v>
      </c>
      <c r="AJ312" s="160"/>
      <c r="AK312" s="141"/>
      <c r="AL312" s="203" t="str">
        <f t="shared" si="500"/>
        <v xml:space="preserve">                                                                                                                                                                                                                                                                </v>
      </c>
      <c r="AM312" s="174" t="str">
        <f t="shared" si="528"/>
        <v>NG</v>
      </c>
      <c r="AN312" s="141"/>
      <c r="AO312" s="172" t="s">
        <v>71</v>
      </c>
      <c r="AP312" s="160"/>
      <c r="AQ312" s="141"/>
      <c r="AR312" s="203" t="str">
        <f t="shared" si="502"/>
        <v xml:space="preserve">                                                                                                                                                                                                                                                                </v>
      </c>
      <c r="AS312" s="174" t="str">
        <f t="shared" si="484"/>
        <v>NG</v>
      </c>
      <c r="AT312" s="141"/>
      <c r="AU312" s="172" t="s">
        <v>71</v>
      </c>
      <c r="AV312" s="160"/>
      <c r="AW312" s="141"/>
      <c r="AX312" s="203" t="str">
        <f t="shared" si="503"/>
        <v xml:space="preserve">                                                                                                                                                                                                                                                                </v>
      </c>
      <c r="AY312" s="174" t="str">
        <f t="shared" si="485"/>
        <v>NG</v>
      </c>
      <c r="AZ312" s="141"/>
      <c r="BA312" s="172" t="s">
        <v>71</v>
      </c>
      <c r="BB312" s="160"/>
      <c r="BC312" s="141"/>
      <c r="BD312" s="203" t="str">
        <f t="shared" si="504"/>
        <v xml:space="preserve">                                                                                                                                                                                                                                                                </v>
      </c>
      <c r="BE312" s="174" t="str">
        <f t="shared" si="486"/>
        <v>NG</v>
      </c>
      <c r="BF312" s="141"/>
      <c r="BG312" s="172" t="s">
        <v>71</v>
      </c>
      <c r="BH312" s="160"/>
      <c r="BI312" s="141"/>
      <c r="BJ312" s="203" t="str">
        <f t="shared" si="505"/>
        <v xml:space="preserve">                                                                                                                                                                                                                                                                </v>
      </c>
      <c r="BK312" s="174" t="str">
        <f t="shared" si="487"/>
        <v>NG</v>
      </c>
      <c r="BL312" s="141"/>
      <c r="BM312" s="172" t="s">
        <v>71</v>
      </c>
      <c r="BN312" s="160"/>
      <c r="BO312" s="141"/>
      <c r="BP312" s="203" t="str">
        <f t="shared" si="506"/>
        <v xml:space="preserve">                                                                                                                                                                                                                                                                </v>
      </c>
      <c r="BQ312" s="174" t="str">
        <f t="shared" si="488"/>
        <v>NG</v>
      </c>
      <c r="BR312" s="141"/>
      <c r="BS312" s="172" t="s">
        <v>71</v>
      </c>
      <c r="BT312" s="160"/>
      <c r="BU312" s="141"/>
      <c r="BV312" s="203" t="str">
        <f t="shared" si="507"/>
        <v xml:space="preserve">                                                                                                                                                                                                                                                                </v>
      </c>
      <c r="BW312" s="174" t="str">
        <f t="shared" si="489"/>
        <v>NG</v>
      </c>
      <c r="BX312" s="141"/>
      <c r="BY312" s="172" t="s">
        <v>71</v>
      </c>
      <c r="BZ312" s="160"/>
      <c r="CA312" s="141"/>
      <c r="CB312" s="203" t="str">
        <f t="shared" si="508"/>
        <v xml:space="preserve">                                                                                                                                                                                                                                                                </v>
      </c>
      <c r="CC312" s="174" t="str">
        <f t="shared" si="490"/>
        <v>NG</v>
      </c>
      <c r="CD312" s="141"/>
      <c r="CE312" s="172" t="s">
        <v>71</v>
      </c>
      <c r="CF312" s="160"/>
      <c r="CG312" s="141"/>
      <c r="CH312" s="203" t="str">
        <f t="shared" si="509"/>
        <v xml:space="preserve">                                                                                                                                                                                                                                                                </v>
      </c>
      <c r="CI312" s="174" t="str">
        <f t="shared" si="491"/>
        <v>NG</v>
      </c>
      <c r="CJ312" s="141"/>
      <c r="CK312" s="172" t="s">
        <v>71</v>
      </c>
      <c r="CL312" s="160"/>
      <c r="CM312" s="141"/>
      <c r="CN312" s="203" t="str">
        <f t="shared" si="510"/>
        <v xml:space="preserve">                                                                                                                                                                                                                                                                </v>
      </c>
      <c r="CO312" s="174" t="str">
        <f t="shared" si="492"/>
        <v>NG</v>
      </c>
      <c r="CP312" s="141"/>
      <c r="CQ312" s="172" t="s">
        <v>71</v>
      </c>
      <c r="CR312" s="160"/>
      <c r="CS312" s="141"/>
      <c r="CT312" s="203" t="str">
        <f t="shared" si="511"/>
        <v xml:space="preserve">                                                                                                                                                                                                                                                                </v>
      </c>
      <c r="CU312" s="174" t="str">
        <f t="shared" si="493"/>
        <v>NG</v>
      </c>
      <c r="CV312" s="141"/>
      <c r="CW312" s="172" t="s">
        <v>71</v>
      </c>
      <c r="CX312" s="160"/>
      <c r="CY312" s="141"/>
      <c r="CZ312" s="203" t="str">
        <f t="shared" si="512"/>
        <v xml:space="preserve">                                                                                                                                                                                                                                                                </v>
      </c>
      <c r="DA312" s="174" t="str">
        <f t="shared" si="494"/>
        <v>NG</v>
      </c>
      <c r="DB312" s="141"/>
      <c r="DC312" s="172" t="s">
        <v>71</v>
      </c>
      <c r="DD312" s="160"/>
      <c r="DE312" s="141"/>
      <c r="DF312" s="203" t="str">
        <f t="shared" si="513"/>
        <v xml:space="preserve">                                                                                                                                                                                                                                                                </v>
      </c>
      <c r="DG312" s="174" t="str">
        <f t="shared" si="495"/>
        <v>NG</v>
      </c>
      <c r="DH312" s="141"/>
      <c r="DI312" s="172" t="s">
        <v>71</v>
      </c>
      <c r="DJ312" s="160"/>
      <c r="DK312" s="141"/>
      <c r="DL312" s="203" t="str">
        <f t="shared" si="514"/>
        <v xml:space="preserve">                                                                                                                                                                                                                                                                </v>
      </c>
      <c r="DM312" s="174" t="str">
        <f t="shared" si="496"/>
        <v>NG</v>
      </c>
      <c r="DN312" s="141"/>
      <c r="DO312" s="172" t="s">
        <v>71</v>
      </c>
      <c r="DP312" s="160"/>
      <c r="DQ312" s="141"/>
      <c r="DR312" s="203" t="str">
        <f t="shared" si="515"/>
        <v xml:space="preserve">                                                                                                                                                                                                                                                                </v>
      </c>
      <c r="DS312" s="174" t="str">
        <f t="shared" si="473"/>
        <v>NG</v>
      </c>
      <c r="DT312" s="141"/>
      <c r="DU312" s="172" t="s">
        <v>71</v>
      </c>
      <c r="DV312" s="160"/>
      <c r="DW312" s="141"/>
      <c r="DX312" s="203" t="str">
        <f t="shared" si="516"/>
        <v xml:space="preserve">                                                                                                                                                                                                                                                                </v>
      </c>
      <c r="DY312" s="174" t="str">
        <f t="shared" si="474"/>
        <v>NG</v>
      </c>
      <c r="DZ312" s="141"/>
      <c r="EA312" s="172" t="s">
        <v>71</v>
      </c>
      <c r="EB312" s="160"/>
      <c r="EC312" s="141"/>
      <c r="ED312" s="203" t="str">
        <f t="shared" si="517"/>
        <v xml:space="preserve">                                                                                                                                                                                                                                                                </v>
      </c>
      <c r="EE312" s="174" t="str">
        <f t="shared" si="475"/>
        <v>NG</v>
      </c>
      <c r="EF312" s="141"/>
      <c r="EG312" s="172" t="s">
        <v>71</v>
      </c>
      <c r="EH312" s="160"/>
      <c r="EI312" s="141"/>
      <c r="EJ312" s="203" t="str">
        <f t="shared" si="518"/>
        <v xml:space="preserve">                                                                                                                                                                                                                                                                </v>
      </c>
      <c r="EK312" s="174" t="str">
        <f t="shared" si="476"/>
        <v>NG</v>
      </c>
      <c r="EL312" s="141"/>
      <c r="EM312" s="172" t="s">
        <v>71</v>
      </c>
      <c r="EN312" s="160"/>
      <c r="EO312" s="141"/>
      <c r="EP312" s="203" t="str">
        <f t="shared" si="519"/>
        <v xml:space="preserve">                                                                                                                                                                                                                                                                </v>
      </c>
      <c r="EQ312" s="174" t="str">
        <f t="shared" si="477"/>
        <v>NG</v>
      </c>
      <c r="ER312" s="141"/>
      <c r="ES312" s="172" t="s">
        <v>71</v>
      </c>
      <c r="ET312" s="160"/>
      <c r="EU312" s="141"/>
      <c r="EV312" s="203" t="str">
        <f t="shared" si="520"/>
        <v xml:space="preserve">                                                                                                                                                                                                                                                                </v>
      </c>
      <c r="EW312" s="174" t="str">
        <f t="shared" si="478"/>
        <v>NG</v>
      </c>
      <c r="EX312" s="141"/>
      <c r="EY312" s="172" t="s">
        <v>71</v>
      </c>
      <c r="EZ312" s="160"/>
      <c r="FA312" s="141"/>
      <c r="FB312" s="203" t="str">
        <f t="shared" si="521"/>
        <v xml:space="preserve">                                                                                                                                                                                                                                                                </v>
      </c>
      <c r="FC312" s="174" t="str">
        <f t="shared" si="479"/>
        <v>NG</v>
      </c>
      <c r="FD312" s="141"/>
      <c r="FE312" s="172" t="s">
        <v>71</v>
      </c>
      <c r="FF312" s="160"/>
      <c r="FG312" s="141"/>
      <c r="FH312" s="203" t="str">
        <f t="shared" si="522"/>
        <v xml:space="preserve">                                                                                                                                                                                                                                                                </v>
      </c>
      <c r="FI312" s="174" t="str">
        <f t="shared" si="480"/>
        <v>NG</v>
      </c>
      <c r="FJ312" s="141"/>
      <c r="FK312" s="172" t="s">
        <v>71</v>
      </c>
      <c r="FL312" s="160"/>
      <c r="FM312" s="141"/>
      <c r="FN312" s="203" t="str">
        <f t="shared" si="523"/>
        <v xml:space="preserve">                                                                                                                                                                                                                                                                </v>
      </c>
      <c r="FO312" s="174" t="str">
        <f t="shared" si="497"/>
        <v>NG</v>
      </c>
      <c r="FP312" s="141"/>
      <c r="FQ312" s="172" t="s">
        <v>71</v>
      </c>
      <c r="FR312" s="160"/>
      <c r="FS312" s="141"/>
      <c r="FT312" s="203" t="str">
        <f t="shared" si="524"/>
        <v xml:space="preserve">                                                                                                                                                                                                                                                                </v>
      </c>
      <c r="FU312" s="174" t="str">
        <f t="shared" si="498"/>
        <v>NG</v>
      </c>
      <c r="FV312" s="141"/>
      <c r="FW312" s="172" t="s">
        <v>71</v>
      </c>
      <c r="FX312" s="160"/>
      <c r="FY312" s="141"/>
      <c r="FZ312" s="203" t="str">
        <f t="shared" si="525"/>
        <v xml:space="preserve">                                                                                                                                                                                                                                                                </v>
      </c>
      <c r="GA312" s="174" t="str">
        <f t="shared" si="499"/>
        <v>NG</v>
      </c>
      <c r="GB312" s="141"/>
      <c r="GC312" s="172" t="s">
        <v>71</v>
      </c>
    </row>
    <row r="313" spans="1:185" s="52" customFormat="1" ht="63.75">
      <c r="B313" s="48">
        <f t="shared" si="527"/>
        <v>306</v>
      </c>
      <c r="C313" s="37"/>
      <c r="D313" s="37"/>
      <c r="E313" s="37"/>
      <c r="F313" s="49" t="s">
        <v>198</v>
      </c>
      <c r="G313" s="39"/>
      <c r="H313" s="40"/>
      <c r="I313" s="42"/>
      <c r="J313" s="42"/>
      <c r="K313" s="42"/>
      <c r="L313" s="42"/>
      <c r="M313" s="63" t="s">
        <v>327</v>
      </c>
      <c r="N313" s="47"/>
      <c r="O313" s="143"/>
      <c r="P313" s="45">
        <f t="shared" si="532"/>
        <v>280</v>
      </c>
      <c r="Q313" s="46">
        <v>256</v>
      </c>
      <c r="R313" s="41" t="str">
        <f t="shared" si="531"/>
        <v>NX</v>
      </c>
      <c r="S313" s="185" t="s">
        <v>199</v>
      </c>
      <c r="T313" s="43"/>
      <c r="U313" s="41" t="s">
        <v>80</v>
      </c>
      <c r="V313" s="44"/>
      <c r="W313" s="22">
        <v>3</v>
      </c>
      <c r="X313" s="47" t="s">
        <v>200</v>
      </c>
      <c r="Y313" s="47">
        <v>1</v>
      </c>
      <c r="Z313" s="47">
        <v>256</v>
      </c>
      <c r="AA313" s="42" t="s">
        <v>195</v>
      </c>
      <c r="AB313" s="42" t="s">
        <v>80</v>
      </c>
      <c r="AC313" s="166"/>
      <c r="AD313" s="160"/>
      <c r="AE313" s="162"/>
      <c r="AF313" s="167" t="str">
        <f t="shared" si="501"/>
        <v xml:space="preserve">                                                                                                                                                                                                                                                                </v>
      </c>
      <c r="AG313" s="174" t="str">
        <f t="shared" si="483"/>
        <v>NG</v>
      </c>
      <c r="AH313" s="162"/>
      <c r="AI313" s="172" t="s">
        <v>71</v>
      </c>
      <c r="AJ313" s="160"/>
      <c r="AK313" s="162"/>
      <c r="AL313" s="167" t="str">
        <f t="shared" si="500"/>
        <v xml:space="preserve">                                                                                                                                                                                                                                                                </v>
      </c>
      <c r="AM313" s="174" t="str">
        <f t="shared" si="528"/>
        <v>NG</v>
      </c>
      <c r="AN313" s="162"/>
      <c r="AO313" s="172" t="s">
        <v>71</v>
      </c>
      <c r="AP313" s="160"/>
      <c r="AQ313" s="162"/>
      <c r="AR313" s="167" t="str">
        <f t="shared" si="502"/>
        <v xml:space="preserve">                                                                                                                                                                                                                                                                </v>
      </c>
      <c r="AS313" s="174" t="str">
        <f t="shared" si="484"/>
        <v>NG</v>
      </c>
      <c r="AT313" s="162"/>
      <c r="AU313" s="172" t="s">
        <v>71</v>
      </c>
      <c r="AV313" s="160"/>
      <c r="AW313" s="162"/>
      <c r="AX313" s="167" t="str">
        <f t="shared" si="503"/>
        <v xml:space="preserve">                                                                                                                                                                                                                                                                </v>
      </c>
      <c r="AY313" s="174" t="str">
        <f t="shared" si="485"/>
        <v>NG</v>
      </c>
      <c r="AZ313" s="162"/>
      <c r="BA313" s="172" t="s">
        <v>71</v>
      </c>
      <c r="BB313" s="160"/>
      <c r="BC313" s="162"/>
      <c r="BD313" s="167" t="str">
        <f t="shared" si="504"/>
        <v xml:space="preserve">                                                                                                                                                                                                                                                                </v>
      </c>
      <c r="BE313" s="174" t="str">
        <f t="shared" si="486"/>
        <v>NG</v>
      </c>
      <c r="BF313" s="162"/>
      <c r="BG313" s="172" t="s">
        <v>71</v>
      </c>
      <c r="BH313" s="160"/>
      <c r="BI313" s="162"/>
      <c r="BJ313" s="167" t="str">
        <f t="shared" si="505"/>
        <v xml:space="preserve">                                                                                                                                                                                                                                                                </v>
      </c>
      <c r="BK313" s="174" t="str">
        <f t="shared" si="487"/>
        <v>NG</v>
      </c>
      <c r="BL313" s="162"/>
      <c r="BM313" s="172" t="s">
        <v>71</v>
      </c>
      <c r="BN313" s="160"/>
      <c r="BO313" s="162"/>
      <c r="BP313" s="167" t="str">
        <f t="shared" si="506"/>
        <v xml:space="preserve">                                                                                                                                                                                                                                                                </v>
      </c>
      <c r="BQ313" s="174" t="str">
        <f t="shared" si="488"/>
        <v>NG</v>
      </c>
      <c r="BR313" s="162"/>
      <c r="BS313" s="172" t="s">
        <v>71</v>
      </c>
      <c r="BT313" s="160"/>
      <c r="BU313" s="162"/>
      <c r="BV313" s="167" t="str">
        <f t="shared" si="507"/>
        <v xml:space="preserve">                                                                                                                                                                                                                                                                </v>
      </c>
      <c r="BW313" s="174" t="str">
        <f t="shared" si="489"/>
        <v>NG</v>
      </c>
      <c r="BX313" s="162"/>
      <c r="BY313" s="172" t="s">
        <v>71</v>
      </c>
      <c r="BZ313" s="160"/>
      <c r="CA313" s="162"/>
      <c r="CB313" s="167" t="str">
        <f t="shared" si="508"/>
        <v xml:space="preserve">                                                                                                                                                                                                                                                                </v>
      </c>
      <c r="CC313" s="174" t="str">
        <f t="shared" si="490"/>
        <v>NG</v>
      </c>
      <c r="CD313" s="162"/>
      <c r="CE313" s="172" t="s">
        <v>71</v>
      </c>
      <c r="CF313" s="160"/>
      <c r="CG313" s="162"/>
      <c r="CH313" s="167" t="str">
        <f t="shared" si="509"/>
        <v xml:space="preserve">                                                                                                                                                                                                                                                                </v>
      </c>
      <c r="CI313" s="174" t="str">
        <f t="shared" si="491"/>
        <v>NG</v>
      </c>
      <c r="CJ313" s="162"/>
      <c r="CK313" s="172" t="s">
        <v>71</v>
      </c>
      <c r="CL313" s="160"/>
      <c r="CM313" s="162"/>
      <c r="CN313" s="167" t="str">
        <f t="shared" si="510"/>
        <v xml:space="preserve">                                                                                                                                                                                                                                                                </v>
      </c>
      <c r="CO313" s="174" t="str">
        <f t="shared" si="492"/>
        <v>NG</v>
      </c>
      <c r="CP313" s="162"/>
      <c r="CQ313" s="172" t="s">
        <v>71</v>
      </c>
      <c r="CR313" s="160"/>
      <c r="CS313" s="162"/>
      <c r="CT313" s="167" t="str">
        <f t="shared" si="511"/>
        <v xml:space="preserve">                                                                                                                                                                                                                                                                </v>
      </c>
      <c r="CU313" s="174" t="str">
        <f t="shared" si="493"/>
        <v>NG</v>
      </c>
      <c r="CV313" s="162"/>
      <c r="CW313" s="172" t="s">
        <v>71</v>
      </c>
      <c r="CX313" s="160"/>
      <c r="CY313" s="162"/>
      <c r="CZ313" s="167" t="str">
        <f t="shared" si="512"/>
        <v xml:space="preserve">                                                                                                                                                                                                                                                                </v>
      </c>
      <c r="DA313" s="174" t="str">
        <f t="shared" si="494"/>
        <v>NG</v>
      </c>
      <c r="DB313" s="162"/>
      <c r="DC313" s="172" t="s">
        <v>71</v>
      </c>
      <c r="DD313" s="160"/>
      <c r="DE313" s="162"/>
      <c r="DF313" s="167" t="str">
        <f t="shared" si="513"/>
        <v xml:space="preserve">                                                                                                                                                                                                                                                                </v>
      </c>
      <c r="DG313" s="174" t="str">
        <f t="shared" si="495"/>
        <v>NG</v>
      </c>
      <c r="DH313" s="162"/>
      <c r="DI313" s="172" t="s">
        <v>71</v>
      </c>
      <c r="DJ313" s="160"/>
      <c r="DK313" s="162"/>
      <c r="DL313" s="167" t="str">
        <f t="shared" si="514"/>
        <v xml:space="preserve">                                                                                                                                                                                                                                                                </v>
      </c>
      <c r="DM313" s="174" t="str">
        <f t="shared" si="496"/>
        <v>NG</v>
      </c>
      <c r="DN313" s="162"/>
      <c r="DO313" s="172" t="s">
        <v>71</v>
      </c>
      <c r="DP313" s="160"/>
      <c r="DQ313" s="162"/>
      <c r="DR313" s="167" t="str">
        <f t="shared" si="515"/>
        <v xml:space="preserve">                                                                                                                                                                                                                                                                </v>
      </c>
      <c r="DS313" s="174" t="str">
        <f t="shared" ref="DS313:DS376" si="533">IF(OR(DQ$8="判定対象外",DR$8="判定対象外",DR313="-"),"-",IF(DQ313=DR313,"OK","NG"))</f>
        <v>NG</v>
      </c>
      <c r="DT313" s="162"/>
      <c r="DU313" s="172" t="s">
        <v>71</v>
      </c>
      <c r="DV313" s="160"/>
      <c r="DW313" s="162"/>
      <c r="DX313" s="167" t="str">
        <f t="shared" si="516"/>
        <v xml:space="preserve">                                                                                                                                                                                                                                                                </v>
      </c>
      <c r="DY313" s="174" t="str">
        <f t="shared" ref="DY313:DY376" si="534">IF(OR(DW$8="判定対象外",DX$8="判定対象外",DX313="-"),"-",IF(DW313=DX313,"OK","NG"))</f>
        <v>NG</v>
      </c>
      <c r="DZ313" s="162"/>
      <c r="EA313" s="172" t="s">
        <v>71</v>
      </c>
      <c r="EB313" s="160"/>
      <c r="EC313" s="162"/>
      <c r="ED313" s="167" t="str">
        <f t="shared" si="517"/>
        <v xml:space="preserve">                                                                                                                                                                                                                                                                </v>
      </c>
      <c r="EE313" s="174" t="str">
        <f t="shared" ref="EE313:EE376" si="535">IF(OR(EC$8="判定対象外",ED$8="判定対象外",ED313="-"),"-",IF(EC313=ED313,"OK","NG"))</f>
        <v>NG</v>
      </c>
      <c r="EF313" s="162"/>
      <c r="EG313" s="172" t="s">
        <v>71</v>
      </c>
      <c r="EH313" s="160"/>
      <c r="EI313" s="162"/>
      <c r="EJ313" s="167" t="str">
        <f t="shared" si="518"/>
        <v xml:space="preserve">                                                                                                                                                                                                                                                                </v>
      </c>
      <c r="EK313" s="174" t="str">
        <f t="shared" ref="EK313:EK376" si="536">IF(OR(EI$8="判定対象外",EJ$8="判定対象外",EJ313="-"),"-",IF(EI313=EJ313,"OK","NG"))</f>
        <v>NG</v>
      </c>
      <c r="EL313" s="162"/>
      <c r="EM313" s="172" t="s">
        <v>71</v>
      </c>
      <c r="EN313" s="160"/>
      <c r="EO313" s="162"/>
      <c r="EP313" s="167" t="str">
        <f t="shared" si="519"/>
        <v xml:space="preserve">                                                                                                                                                                                                                                                                </v>
      </c>
      <c r="EQ313" s="174" t="str">
        <f t="shared" ref="EQ313:EQ376" si="537">IF(OR(EO$8="判定対象外",EP$8="判定対象外",EP313="-"),"-",IF(EO313=EP313,"OK","NG"))</f>
        <v>NG</v>
      </c>
      <c r="ER313" s="162"/>
      <c r="ES313" s="172" t="s">
        <v>71</v>
      </c>
      <c r="ET313" s="160"/>
      <c r="EU313" s="162"/>
      <c r="EV313" s="167" t="str">
        <f t="shared" si="520"/>
        <v xml:space="preserve">                                                                                                                                                                                                                                                                </v>
      </c>
      <c r="EW313" s="174" t="str">
        <f t="shared" ref="EW313:EW376" si="538">IF(OR(EU$8="判定対象外",EV$8="判定対象外",EV313="-"),"-",IF(EU313=EV313,"OK","NG"))</f>
        <v>NG</v>
      </c>
      <c r="EX313" s="162"/>
      <c r="EY313" s="172" t="s">
        <v>71</v>
      </c>
      <c r="EZ313" s="160"/>
      <c r="FA313" s="162"/>
      <c r="FB313" s="167" t="str">
        <f t="shared" si="521"/>
        <v xml:space="preserve">                                                                                                                                                                                                                                                                </v>
      </c>
      <c r="FC313" s="174" t="str">
        <f t="shared" ref="FC313:FC376" si="539">IF(OR(FA$8="判定対象外",FB$8="判定対象外",FB313="-"),"-",IF(FA313=FB313,"OK","NG"))</f>
        <v>NG</v>
      </c>
      <c r="FD313" s="162"/>
      <c r="FE313" s="172" t="s">
        <v>71</v>
      </c>
      <c r="FF313" s="160"/>
      <c r="FG313" s="162"/>
      <c r="FH313" s="167" t="str">
        <f t="shared" si="522"/>
        <v xml:space="preserve">                                                                                                                                                                                                                                                                </v>
      </c>
      <c r="FI313" s="174" t="str">
        <f t="shared" ref="FI313:FI376" si="540">IF(OR(FG$8="判定対象外",FH$8="判定対象外",FH313="-"),"-",IF(FG313=FH313,"OK","NG"))</f>
        <v>NG</v>
      </c>
      <c r="FJ313" s="162"/>
      <c r="FK313" s="172" t="s">
        <v>71</v>
      </c>
      <c r="FL313" s="160"/>
      <c r="FM313" s="162"/>
      <c r="FN313" s="167" t="str">
        <f t="shared" si="523"/>
        <v xml:space="preserve">                                                                                                                                                                                                                                                                </v>
      </c>
      <c r="FO313" s="174" t="str">
        <f t="shared" si="497"/>
        <v>NG</v>
      </c>
      <c r="FP313" s="162"/>
      <c r="FQ313" s="172" t="s">
        <v>71</v>
      </c>
      <c r="FR313" s="160"/>
      <c r="FS313" s="162"/>
      <c r="FT313" s="167" t="str">
        <f t="shared" si="524"/>
        <v xml:space="preserve">                                                                                                                                                                                                                                                                </v>
      </c>
      <c r="FU313" s="174" t="str">
        <f t="shared" si="498"/>
        <v>NG</v>
      </c>
      <c r="FV313" s="162"/>
      <c r="FW313" s="172" t="s">
        <v>71</v>
      </c>
      <c r="FX313" s="160"/>
      <c r="FY313" s="162"/>
      <c r="FZ313" s="167" t="str">
        <f t="shared" si="525"/>
        <v xml:space="preserve">                                                                                                                                                                                                                                                                </v>
      </c>
      <c r="GA313" s="174" t="str">
        <f t="shared" si="499"/>
        <v>NG</v>
      </c>
      <c r="GB313" s="162"/>
      <c r="GC313" s="172" t="s">
        <v>71</v>
      </c>
    </row>
    <row r="314" spans="1:185" s="52" customFormat="1" ht="63.75">
      <c r="B314" s="48">
        <f t="shared" si="527"/>
        <v>307</v>
      </c>
      <c r="C314" s="37"/>
      <c r="D314" s="37"/>
      <c r="E314" s="37"/>
      <c r="F314" s="49" t="s">
        <v>201</v>
      </c>
      <c r="G314" s="39"/>
      <c r="H314" s="40"/>
      <c r="I314" s="42"/>
      <c r="J314" s="42"/>
      <c r="K314" s="42"/>
      <c r="L314" s="42"/>
      <c r="M314" s="63" t="s">
        <v>328</v>
      </c>
      <c r="N314" s="47"/>
      <c r="O314" s="143"/>
      <c r="P314" s="45">
        <f t="shared" si="532"/>
        <v>281</v>
      </c>
      <c r="Q314" s="46">
        <v>256</v>
      </c>
      <c r="R314" s="41" t="str">
        <f t="shared" si="531"/>
        <v>NX</v>
      </c>
      <c r="S314" s="185" t="s">
        <v>202</v>
      </c>
      <c r="T314" s="43"/>
      <c r="U314" s="41" t="s">
        <v>80</v>
      </c>
      <c r="V314" s="44"/>
      <c r="W314" s="22">
        <v>3</v>
      </c>
      <c r="X314" s="47" t="s">
        <v>203</v>
      </c>
      <c r="Y314" s="47">
        <v>1</v>
      </c>
      <c r="Z314" s="47">
        <v>256</v>
      </c>
      <c r="AA314" s="42" t="s">
        <v>195</v>
      </c>
      <c r="AB314" s="42" t="s">
        <v>80</v>
      </c>
      <c r="AC314" s="166"/>
      <c r="AD314" s="160"/>
      <c r="AE314" s="162"/>
      <c r="AF314" s="167" t="str">
        <f t="shared" si="501"/>
        <v xml:space="preserve">                                                                                                                                                                                                                                                                </v>
      </c>
      <c r="AG314" s="174" t="str">
        <f t="shared" si="483"/>
        <v>NG</v>
      </c>
      <c r="AH314" s="162"/>
      <c r="AI314" s="172" t="s">
        <v>71</v>
      </c>
      <c r="AJ314" s="160"/>
      <c r="AK314" s="162"/>
      <c r="AL314" s="167" t="str">
        <f t="shared" si="500"/>
        <v xml:space="preserve">                                                                                                                                                                                                                                                                </v>
      </c>
      <c r="AM314" s="174" t="str">
        <f t="shared" si="528"/>
        <v>NG</v>
      </c>
      <c r="AN314" s="162"/>
      <c r="AO314" s="172" t="s">
        <v>71</v>
      </c>
      <c r="AP314" s="160"/>
      <c r="AQ314" s="162"/>
      <c r="AR314" s="167" t="str">
        <f t="shared" si="502"/>
        <v xml:space="preserve">                                                                                                                                                                                                                                                                </v>
      </c>
      <c r="AS314" s="174" t="str">
        <f t="shared" si="484"/>
        <v>NG</v>
      </c>
      <c r="AT314" s="162"/>
      <c r="AU314" s="172" t="s">
        <v>71</v>
      </c>
      <c r="AV314" s="160"/>
      <c r="AW314" s="162"/>
      <c r="AX314" s="167" t="str">
        <f t="shared" si="503"/>
        <v xml:space="preserve">                                                                                                                                                                                                                                                                </v>
      </c>
      <c r="AY314" s="174" t="str">
        <f t="shared" si="485"/>
        <v>NG</v>
      </c>
      <c r="AZ314" s="162"/>
      <c r="BA314" s="172" t="s">
        <v>71</v>
      </c>
      <c r="BB314" s="160"/>
      <c r="BC314" s="162"/>
      <c r="BD314" s="167" t="str">
        <f t="shared" si="504"/>
        <v xml:space="preserve">                                                                                                                                                                                                                                                                </v>
      </c>
      <c r="BE314" s="174" t="str">
        <f t="shared" si="486"/>
        <v>NG</v>
      </c>
      <c r="BF314" s="162"/>
      <c r="BG314" s="172" t="s">
        <v>71</v>
      </c>
      <c r="BH314" s="160"/>
      <c r="BI314" s="162"/>
      <c r="BJ314" s="167" t="str">
        <f t="shared" si="505"/>
        <v xml:space="preserve">                                                                                                                                                                                                                                                                </v>
      </c>
      <c r="BK314" s="174" t="str">
        <f t="shared" si="487"/>
        <v>NG</v>
      </c>
      <c r="BL314" s="162"/>
      <c r="BM314" s="172" t="s">
        <v>71</v>
      </c>
      <c r="BN314" s="160"/>
      <c r="BO314" s="162"/>
      <c r="BP314" s="167" t="str">
        <f t="shared" si="506"/>
        <v xml:space="preserve">                                                                                                                                                                                                                                                                </v>
      </c>
      <c r="BQ314" s="174" t="str">
        <f t="shared" si="488"/>
        <v>NG</v>
      </c>
      <c r="BR314" s="162"/>
      <c r="BS314" s="172" t="s">
        <v>71</v>
      </c>
      <c r="BT314" s="160"/>
      <c r="BU314" s="162"/>
      <c r="BV314" s="167" t="str">
        <f t="shared" si="507"/>
        <v xml:space="preserve">                                                                                                                                                                                                                                                                </v>
      </c>
      <c r="BW314" s="174" t="str">
        <f t="shared" si="489"/>
        <v>NG</v>
      </c>
      <c r="BX314" s="162"/>
      <c r="BY314" s="172" t="s">
        <v>71</v>
      </c>
      <c r="BZ314" s="160"/>
      <c r="CA314" s="162"/>
      <c r="CB314" s="167" t="str">
        <f t="shared" si="508"/>
        <v xml:space="preserve">                                                                                                                                                                                                                                                                </v>
      </c>
      <c r="CC314" s="174" t="str">
        <f t="shared" si="490"/>
        <v>NG</v>
      </c>
      <c r="CD314" s="162"/>
      <c r="CE314" s="172" t="s">
        <v>71</v>
      </c>
      <c r="CF314" s="160"/>
      <c r="CG314" s="162"/>
      <c r="CH314" s="167" t="str">
        <f t="shared" si="509"/>
        <v xml:space="preserve">                                                                                                                                                                                                                                                                </v>
      </c>
      <c r="CI314" s="174" t="str">
        <f t="shared" si="491"/>
        <v>NG</v>
      </c>
      <c r="CJ314" s="162"/>
      <c r="CK314" s="172" t="s">
        <v>71</v>
      </c>
      <c r="CL314" s="160"/>
      <c r="CM314" s="162"/>
      <c r="CN314" s="167" t="str">
        <f t="shared" si="510"/>
        <v xml:space="preserve">                                                                                                                                                                                                                                                                </v>
      </c>
      <c r="CO314" s="174" t="str">
        <f t="shared" si="492"/>
        <v>NG</v>
      </c>
      <c r="CP314" s="162"/>
      <c r="CQ314" s="172" t="s">
        <v>71</v>
      </c>
      <c r="CR314" s="160"/>
      <c r="CS314" s="162"/>
      <c r="CT314" s="167" t="str">
        <f t="shared" si="511"/>
        <v xml:space="preserve">                                                                                                                                                                                                                                                                </v>
      </c>
      <c r="CU314" s="174" t="str">
        <f t="shared" si="493"/>
        <v>NG</v>
      </c>
      <c r="CV314" s="162"/>
      <c r="CW314" s="172" t="s">
        <v>71</v>
      </c>
      <c r="CX314" s="160"/>
      <c r="CY314" s="162"/>
      <c r="CZ314" s="167" t="str">
        <f t="shared" si="512"/>
        <v xml:space="preserve">                                                                                                                                                                                                                                                                </v>
      </c>
      <c r="DA314" s="174" t="str">
        <f t="shared" si="494"/>
        <v>NG</v>
      </c>
      <c r="DB314" s="162"/>
      <c r="DC314" s="172" t="s">
        <v>71</v>
      </c>
      <c r="DD314" s="160"/>
      <c r="DE314" s="162"/>
      <c r="DF314" s="167" t="str">
        <f t="shared" si="513"/>
        <v xml:space="preserve">                                                                                                                                                                                                                                                                </v>
      </c>
      <c r="DG314" s="174" t="str">
        <f t="shared" si="495"/>
        <v>NG</v>
      </c>
      <c r="DH314" s="162"/>
      <c r="DI314" s="172" t="s">
        <v>71</v>
      </c>
      <c r="DJ314" s="160"/>
      <c r="DK314" s="162"/>
      <c r="DL314" s="167" t="str">
        <f t="shared" si="514"/>
        <v xml:space="preserve">                                                                                                                                                                                                                                                                </v>
      </c>
      <c r="DM314" s="174" t="str">
        <f t="shared" si="496"/>
        <v>NG</v>
      </c>
      <c r="DN314" s="162"/>
      <c r="DO314" s="172" t="s">
        <v>71</v>
      </c>
      <c r="DP314" s="160"/>
      <c r="DQ314" s="162"/>
      <c r="DR314" s="167" t="str">
        <f t="shared" si="515"/>
        <v xml:space="preserve">                                                                                                                                                                                                                                                                </v>
      </c>
      <c r="DS314" s="174" t="str">
        <f t="shared" si="533"/>
        <v>NG</v>
      </c>
      <c r="DT314" s="162"/>
      <c r="DU314" s="172" t="s">
        <v>71</v>
      </c>
      <c r="DV314" s="160"/>
      <c r="DW314" s="162"/>
      <c r="DX314" s="167" t="str">
        <f t="shared" si="516"/>
        <v xml:space="preserve">                                                                                                                                                                                                                                                                </v>
      </c>
      <c r="DY314" s="174" t="str">
        <f t="shared" si="534"/>
        <v>NG</v>
      </c>
      <c r="DZ314" s="162"/>
      <c r="EA314" s="172" t="s">
        <v>71</v>
      </c>
      <c r="EB314" s="160"/>
      <c r="EC314" s="162"/>
      <c r="ED314" s="167" t="str">
        <f t="shared" si="517"/>
        <v xml:space="preserve">                                                                                                                                                                                                                                                                </v>
      </c>
      <c r="EE314" s="174" t="str">
        <f t="shared" si="535"/>
        <v>NG</v>
      </c>
      <c r="EF314" s="162"/>
      <c r="EG314" s="172" t="s">
        <v>71</v>
      </c>
      <c r="EH314" s="160"/>
      <c r="EI314" s="162"/>
      <c r="EJ314" s="167" t="str">
        <f t="shared" si="518"/>
        <v xml:space="preserve">                                                                                                                                                                                                                                                                </v>
      </c>
      <c r="EK314" s="174" t="str">
        <f t="shared" si="536"/>
        <v>NG</v>
      </c>
      <c r="EL314" s="162"/>
      <c r="EM314" s="172" t="s">
        <v>71</v>
      </c>
      <c r="EN314" s="160"/>
      <c r="EO314" s="162"/>
      <c r="EP314" s="167" t="str">
        <f t="shared" si="519"/>
        <v xml:space="preserve">                                                                                                                                                                                                                                                                </v>
      </c>
      <c r="EQ314" s="174" t="str">
        <f t="shared" si="537"/>
        <v>NG</v>
      </c>
      <c r="ER314" s="162"/>
      <c r="ES314" s="172" t="s">
        <v>71</v>
      </c>
      <c r="ET314" s="160"/>
      <c r="EU314" s="162"/>
      <c r="EV314" s="167" t="str">
        <f t="shared" si="520"/>
        <v xml:space="preserve">                                                                                                                                                                                                                                                                </v>
      </c>
      <c r="EW314" s="174" t="str">
        <f t="shared" si="538"/>
        <v>NG</v>
      </c>
      <c r="EX314" s="162"/>
      <c r="EY314" s="172" t="s">
        <v>71</v>
      </c>
      <c r="EZ314" s="160"/>
      <c r="FA314" s="162"/>
      <c r="FB314" s="167" t="str">
        <f t="shared" si="521"/>
        <v xml:space="preserve">                                                                                                                                                                                                                                                                </v>
      </c>
      <c r="FC314" s="174" t="str">
        <f t="shared" si="539"/>
        <v>NG</v>
      </c>
      <c r="FD314" s="162"/>
      <c r="FE314" s="172" t="s">
        <v>71</v>
      </c>
      <c r="FF314" s="160"/>
      <c r="FG314" s="162"/>
      <c r="FH314" s="167" t="str">
        <f t="shared" si="522"/>
        <v xml:space="preserve">                                                                                                                                                                                                                                                                </v>
      </c>
      <c r="FI314" s="174" t="str">
        <f t="shared" si="540"/>
        <v>NG</v>
      </c>
      <c r="FJ314" s="162"/>
      <c r="FK314" s="172" t="s">
        <v>71</v>
      </c>
      <c r="FL314" s="160"/>
      <c r="FM314" s="162"/>
      <c r="FN314" s="167" t="str">
        <f t="shared" si="523"/>
        <v xml:space="preserve">                                                                                                                                                                                                                                                                </v>
      </c>
      <c r="FO314" s="174" t="str">
        <f t="shared" si="497"/>
        <v>NG</v>
      </c>
      <c r="FP314" s="162"/>
      <c r="FQ314" s="172" t="s">
        <v>71</v>
      </c>
      <c r="FR314" s="160"/>
      <c r="FS314" s="162"/>
      <c r="FT314" s="167" t="str">
        <f t="shared" si="524"/>
        <v xml:space="preserve">                                                                                                                                                                                                                                                                </v>
      </c>
      <c r="FU314" s="174" t="str">
        <f t="shared" si="498"/>
        <v>NG</v>
      </c>
      <c r="FV314" s="162"/>
      <c r="FW314" s="172" t="s">
        <v>71</v>
      </c>
      <c r="FX314" s="160"/>
      <c r="FY314" s="162"/>
      <c r="FZ314" s="167" t="str">
        <f t="shared" si="525"/>
        <v xml:space="preserve">                                                                                                                                                                                                                                                                </v>
      </c>
      <c r="GA314" s="174" t="str">
        <f t="shared" si="499"/>
        <v>NG</v>
      </c>
      <c r="GB314" s="162"/>
      <c r="GC314" s="172" t="s">
        <v>71</v>
      </c>
    </row>
    <row r="315" spans="1:185" s="52" customFormat="1" ht="69" customHeight="1">
      <c r="B315" s="53">
        <f t="shared" si="527"/>
        <v>308</v>
      </c>
      <c r="C315" s="37"/>
      <c r="D315" s="37"/>
      <c r="E315" s="37"/>
      <c r="F315" s="188" t="s">
        <v>329</v>
      </c>
      <c r="G315" s="39"/>
      <c r="H315" s="40"/>
      <c r="I315" s="42"/>
      <c r="J315" s="42" t="s">
        <v>316</v>
      </c>
      <c r="K315" s="42"/>
      <c r="L315" s="42"/>
      <c r="M315" s="63" t="s">
        <v>330</v>
      </c>
      <c r="N315" s="47"/>
      <c r="O315" s="143"/>
      <c r="P315" s="45">
        <f t="shared" si="532"/>
        <v>282</v>
      </c>
      <c r="Q315" s="46">
        <v>1</v>
      </c>
      <c r="R315" s="41" t="s">
        <v>81</v>
      </c>
      <c r="S315" s="185" t="s">
        <v>204</v>
      </c>
      <c r="T315" s="43"/>
      <c r="U315" s="41" t="s">
        <v>80</v>
      </c>
      <c r="V315" s="44"/>
      <c r="W315" s="22">
        <v>3</v>
      </c>
      <c r="X315" s="47" t="s">
        <v>205</v>
      </c>
      <c r="Y315" s="47">
        <v>1</v>
      </c>
      <c r="Z315" s="47">
        <v>1</v>
      </c>
      <c r="AA315" s="42">
        <v>9</v>
      </c>
      <c r="AB315" s="42" t="s">
        <v>57</v>
      </c>
      <c r="AC315" s="166"/>
      <c r="AD315" s="160"/>
      <c r="AE315" s="162"/>
      <c r="AF315" s="203" t="str">
        <f t="shared" si="501"/>
        <v xml:space="preserve"> </v>
      </c>
      <c r="AG315" s="174" t="str">
        <f t="shared" si="483"/>
        <v>NG</v>
      </c>
      <c r="AH315" s="162"/>
      <c r="AI315" s="276" t="str">
        <f>IF(OR(AE$8="判定対象外",AH$8="判定対象外",AH315="-"),"-",IF(AE315=AH315,"OK","NG"))</f>
        <v>OK</v>
      </c>
      <c r="AJ315" s="160"/>
      <c r="AK315" s="162"/>
      <c r="AL315" s="203" t="str">
        <f t="shared" si="500"/>
        <v xml:space="preserve"> </v>
      </c>
      <c r="AM315" s="174" t="str">
        <f t="shared" si="528"/>
        <v>NG</v>
      </c>
      <c r="AN315" s="162"/>
      <c r="AO315" s="276" t="str">
        <f>IF(OR(AK$8="判定対象外",AN$8="判定対象外",AN315="-"),"-",IF(AK315=AN315,"OK","NG"))</f>
        <v>OK</v>
      </c>
      <c r="AP315" s="160"/>
      <c r="AQ315" s="162"/>
      <c r="AR315" s="203" t="str">
        <f t="shared" si="502"/>
        <v xml:space="preserve"> </v>
      </c>
      <c r="AS315" s="174" t="str">
        <f t="shared" si="484"/>
        <v>NG</v>
      </c>
      <c r="AT315" s="162"/>
      <c r="AU315" s="276" t="str">
        <f>IF(OR(AQ$8="判定対象外",AT$8="判定対象外",AT315="-"),"-",IF(AQ315=AT315,"OK","NG"))</f>
        <v>OK</v>
      </c>
      <c r="AV315" s="160"/>
      <c r="AW315" s="162"/>
      <c r="AX315" s="203" t="str">
        <f t="shared" si="503"/>
        <v xml:space="preserve"> </v>
      </c>
      <c r="AY315" s="174" t="str">
        <f t="shared" si="485"/>
        <v>NG</v>
      </c>
      <c r="AZ315" s="162"/>
      <c r="BA315" s="276" t="str">
        <f>IF(OR(AW$8="判定対象外",AZ$8="判定対象外",AZ315="-"),"-",IF(AW315=AZ315,"OK","NG"))</f>
        <v>OK</v>
      </c>
      <c r="BB315" s="160"/>
      <c r="BC315" s="162"/>
      <c r="BD315" s="203" t="str">
        <f t="shared" si="504"/>
        <v xml:space="preserve"> </v>
      </c>
      <c r="BE315" s="174" t="str">
        <f t="shared" si="486"/>
        <v>NG</v>
      </c>
      <c r="BF315" s="162"/>
      <c r="BG315" s="276" t="str">
        <f>IF(OR(BC$8="判定対象外",BF$8="判定対象外",BF315="-"),"-",IF(BC315=BF315,"OK","NG"))</f>
        <v>OK</v>
      </c>
      <c r="BH315" s="160"/>
      <c r="BI315" s="162"/>
      <c r="BJ315" s="203" t="str">
        <f t="shared" si="505"/>
        <v xml:space="preserve"> </v>
      </c>
      <c r="BK315" s="174" t="str">
        <f t="shared" si="487"/>
        <v>NG</v>
      </c>
      <c r="BL315" s="162"/>
      <c r="BM315" s="276" t="str">
        <f>IF(OR(BI$8="判定対象外",BL$8="判定対象外",BL315="-"),"-",IF(BI315=BL315,"OK","NG"))</f>
        <v>OK</v>
      </c>
      <c r="BN315" s="160"/>
      <c r="BO315" s="162"/>
      <c r="BP315" s="203" t="str">
        <f t="shared" si="506"/>
        <v xml:space="preserve"> </v>
      </c>
      <c r="BQ315" s="174" t="str">
        <f t="shared" si="488"/>
        <v>NG</v>
      </c>
      <c r="BR315" s="162"/>
      <c r="BS315" s="276" t="str">
        <f>IF(OR(BO$8="判定対象外",BR$8="判定対象外",BR315="-"),"-",IF(BO315=BR315,"OK","NG"))</f>
        <v>OK</v>
      </c>
      <c r="BT315" s="160"/>
      <c r="BU315" s="162"/>
      <c r="BV315" s="203" t="str">
        <f t="shared" si="507"/>
        <v xml:space="preserve"> </v>
      </c>
      <c r="BW315" s="174" t="str">
        <f t="shared" si="489"/>
        <v>NG</v>
      </c>
      <c r="BX315" s="162"/>
      <c r="BY315" s="276" t="str">
        <f>IF(OR(BU$8="判定対象外",BX$8="判定対象外",BX315="-"),"-",IF(BU315=BX315,"OK","NG"))</f>
        <v>OK</v>
      </c>
      <c r="BZ315" s="160"/>
      <c r="CA315" s="162"/>
      <c r="CB315" s="203" t="str">
        <f t="shared" si="508"/>
        <v xml:space="preserve"> </v>
      </c>
      <c r="CC315" s="174" t="str">
        <f t="shared" si="490"/>
        <v>NG</v>
      </c>
      <c r="CD315" s="162"/>
      <c r="CE315" s="276" t="str">
        <f>IF(OR(CA$8="判定対象外",CD$8="判定対象外",CD315="-"),"-",IF(CA315=CD315,"OK","NG"))</f>
        <v>OK</v>
      </c>
      <c r="CF315" s="160"/>
      <c r="CG315" s="162"/>
      <c r="CH315" s="203" t="str">
        <f t="shared" si="509"/>
        <v xml:space="preserve"> </v>
      </c>
      <c r="CI315" s="174" t="str">
        <f t="shared" si="491"/>
        <v>NG</v>
      </c>
      <c r="CJ315" s="162"/>
      <c r="CK315" s="276" t="str">
        <f>IF(OR(CG$8="判定対象外",CJ$8="判定対象外",CJ315="-"),"-",IF(CG315=CJ315,"OK","NG"))</f>
        <v>OK</v>
      </c>
      <c r="CL315" s="160"/>
      <c r="CM315" s="162"/>
      <c r="CN315" s="203" t="str">
        <f t="shared" si="510"/>
        <v xml:space="preserve"> </v>
      </c>
      <c r="CO315" s="174" t="str">
        <f t="shared" si="492"/>
        <v>NG</v>
      </c>
      <c r="CP315" s="162"/>
      <c r="CQ315" s="276" t="str">
        <f>IF(OR(CM$8="判定対象外",CP$8="判定対象外",CP315="-"),"-",IF(CM315=CP315,"OK","NG"))</f>
        <v>OK</v>
      </c>
      <c r="CR315" s="160"/>
      <c r="CS315" s="162"/>
      <c r="CT315" s="203" t="str">
        <f t="shared" si="511"/>
        <v xml:space="preserve"> </v>
      </c>
      <c r="CU315" s="174" t="str">
        <f t="shared" si="493"/>
        <v>NG</v>
      </c>
      <c r="CV315" s="162"/>
      <c r="CW315" s="276" t="str">
        <f>IF(OR(CS$8="判定対象外",CV$8="判定対象外",CV315="-"),"-",IF(CS315=CV315,"OK","NG"))</f>
        <v>OK</v>
      </c>
      <c r="CX315" s="160"/>
      <c r="CY315" s="162"/>
      <c r="CZ315" s="203" t="str">
        <f t="shared" si="512"/>
        <v xml:space="preserve"> </v>
      </c>
      <c r="DA315" s="174" t="str">
        <f t="shared" si="494"/>
        <v>NG</v>
      </c>
      <c r="DB315" s="162"/>
      <c r="DC315" s="276" t="str">
        <f>IF(OR(CY$8="判定対象外",DB$8="判定対象外",DB315="-"),"-",IF(CY315=DB315,"OK","NG"))</f>
        <v>OK</v>
      </c>
      <c r="DD315" s="160"/>
      <c r="DE315" s="162"/>
      <c r="DF315" s="203" t="str">
        <f t="shared" si="513"/>
        <v xml:space="preserve"> </v>
      </c>
      <c r="DG315" s="174" t="str">
        <f t="shared" si="495"/>
        <v>NG</v>
      </c>
      <c r="DH315" s="162"/>
      <c r="DI315" s="276" t="str">
        <f>IF(OR(DE$8="判定対象外",DH$8="判定対象外",DH315="-"),"-",IF(DE315=DH315,"OK","NG"))</f>
        <v>OK</v>
      </c>
      <c r="DJ315" s="160"/>
      <c r="DK315" s="162"/>
      <c r="DL315" s="203" t="str">
        <f t="shared" si="514"/>
        <v xml:space="preserve"> </v>
      </c>
      <c r="DM315" s="174" t="str">
        <f t="shared" si="496"/>
        <v>NG</v>
      </c>
      <c r="DN315" s="162"/>
      <c r="DO315" s="276" t="str">
        <f>IF(OR(DK$8="判定対象外",DN$8="判定対象外",DN315="-"),"-",IF(DK315=DN315,"OK","NG"))</f>
        <v>OK</v>
      </c>
      <c r="DP315" s="160"/>
      <c r="DQ315" s="162"/>
      <c r="DR315" s="203" t="str">
        <f t="shared" si="515"/>
        <v xml:space="preserve"> </v>
      </c>
      <c r="DS315" s="174" t="str">
        <f t="shared" si="533"/>
        <v>NG</v>
      </c>
      <c r="DT315" s="162"/>
      <c r="DU315" s="276" t="str">
        <f>IF(OR(DQ$8="判定対象外",DT$8="判定対象外",DT315="-"),"-",IF(DQ315=DT315,"OK","NG"))</f>
        <v>OK</v>
      </c>
      <c r="DV315" s="160"/>
      <c r="DW315" s="162"/>
      <c r="DX315" s="203" t="str">
        <f t="shared" si="516"/>
        <v xml:space="preserve"> </v>
      </c>
      <c r="DY315" s="174" t="str">
        <f t="shared" si="534"/>
        <v>NG</v>
      </c>
      <c r="DZ315" s="162"/>
      <c r="EA315" s="276" t="str">
        <f>IF(OR(DW$8="判定対象外",DZ$8="判定対象外",DZ315="-"),"-",IF(DW315=DZ315,"OK","NG"))</f>
        <v>OK</v>
      </c>
      <c r="EB315" s="160"/>
      <c r="EC315" s="162"/>
      <c r="ED315" s="203" t="str">
        <f t="shared" si="517"/>
        <v xml:space="preserve"> </v>
      </c>
      <c r="EE315" s="174" t="str">
        <f t="shared" si="535"/>
        <v>NG</v>
      </c>
      <c r="EF315" s="162"/>
      <c r="EG315" s="276" t="str">
        <f>IF(OR(EC$8="判定対象外",EF$8="判定対象外",EF315="-"),"-",IF(EC315=EF315,"OK","NG"))</f>
        <v>OK</v>
      </c>
      <c r="EH315" s="160"/>
      <c r="EI315" s="162"/>
      <c r="EJ315" s="203" t="str">
        <f t="shared" si="518"/>
        <v xml:space="preserve"> </v>
      </c>
      <c r="EK315" s="174" t="str">
        <f t="shared" si="536"/>
        <v>NG</v>
      </c>
      <c r="EL315" s="162"/>
      <c r="EM315" s="276" t="str">
        <f>IF(OR(EI$8="判定対象外",EL$8="判定対象外",EL315="-"),"-",IF(EI315=EL315,"OK","NG"))</f>
        <v>OK</v>
      </c>
      <c r="EN315" s="160"/>
      <c r="EO315" s="162"/>
      <c r="EP315" s="203" t="str">
        <f t="shared" si="519"/>
        <v xml:space="preserve"> </v>
      </c>
      <c r="EQ315" s="174" t="str">
        <f t="shared" si="537"/>
        <v>NG</v>
      </c>
      <c r="ER315" s="162"/>
      <c r="ES315" s="276" t="str">
        <f>IF(OR(EO$8="判定対象外",ER$8="判定対象外",ER315="-"),"-",IF(EO315=ER315,"OK","NG"))</f>
        <v>OK</v>
      </c>
      <c r="ET315" s="160"/>
      <c r="EU315" s="162"/>
      <c r="EV315" s="203" t="str">
        <f t="shared" si="520"/>
        <v xml:space="preserve"> </v>
      </c>
      <c r="EW315" s="174" t="str">
        <f t="shared" si="538"/>
        <v>NG</v>
      </c>
      <c r="EX315" s="162"/>
      <c r="EY315" s="276" t="str">
        <f>IF(OR(EU$8="判定対象外",EX$8="判定対象外",EX315="-"),"-",IF(EU315=EX315,"OK","NG"))</f>
        <v>OK</v>
      </c>
      <c r="EZ315" s="160"/>
      <c r="FA315" s="162"/>
      <c r="FB315" s="203" t="str">
        <f t="shared" si="521"/>
        <v xml:space="preserve"> </v>
      </c>
      <c r="FC315" s="174" t="str">
        <f t="shared" si="539"/>
        <v>NG</v>
      </c>
      <c r="FD315" s="162"/>
      <c r="FE315" s="276" t="str">
        <f>IF(OR(FA$8="判定対象外",FD$8="判定対象外",FD315="-"),"-",IF(FA315=FD315,"OK","NG"))</f>
        <v>OK</v>
      </c>
      <c r="FF315" s="160"/>
      <c r="FG315" s="162"/>
      <c r="FH315" s="203" t="str">
        <f t="shared" si="522"/>
        <v xml:space="preserve"> </v>
      </c>
      <c r="FI315" s="174" t="str">
        <f t="shared" si="540"/>
        <v>NG</v>
      </c>
      <c r="FJ315" s="162"/>
      <c r="FK315" s="276" t="str">
        <f>IF(OR(FG$8="判定対象外",FJ$8="判定対象外",FJ315="-"),"-",IF(FG315=FJ315,"OK","NG"))</f>
        <v>OK</v>
      </c>
      <c r="FL315" s="160"/>
      <c r="FM315" s="162"/>
      <c r="FN315" s="203" t="str">
        <f t="shared" si="523"/>
        <v xml:space="preserve"> </v>
      </c>
      <c r="FO315" s="174" t="str">
        <f t="shared" si="497"/>
        <v>NG</v>
      </c>
      <c r="FP315" s="162"/>
      <c r="FQ315" s="276" t="str">
        <f>IF(OR(FM$8="判定対象外",FP$8="判定対象外",FP315="-"),"-",IF(FM315=FP315,"OK","NG"))</f>
        <v>OK</v>
      </c>
      <c r="FR315" s="160"/>
      <c r="FS315" s="162"/>
      <c r="FT315" s="203" t="str">
        <f t="shared" si="524"/>
        <v xml:space="preserve"> </v>
      </c>
      <c r="FU315" s="174" t="str">
        <f t="shared" si="498"/>
        <v>NG</v>
      </c>
      <c r="FV315" s="162"/>
      <c r="FW315" s="276" t="str">
        <f>IF(OR(FS$8="判定対象外",FV$8="判定対象外",FV315="-"),"-",IF(FS315=FV315,"OK","NG"))</f>
        <v>OK</v>
      </c>
      <c r="FX315" s="160"/>
      <c r="FY315" s="162"/>
      <c r="FZ315" s="203" t="str">
        <f t="shared" si="525"/>
        <v xml:space="preserve"> </v>
      </c>
      <c r="GA315" s="174" t="str">
        <f t="shared" si="499"/>
        <v>NG</v>
      </c>
      <c r="GB315" s="162"/>
      <c r="GC315" s="276" t="str">
        <f>IF(OR(FY$8="判定対象外",GB$8="判定対象外",GB315="-"),"-",IF(FY315=GB315,"OK","NG"))</f>
        <v>OK</v>
      </c>
    </row>
    <row r="316" spans="1:185" s="52" customFormat="1" ht="114.75">
      <c r="B316" s="48">
        <f t="shared" si="527"/>
        <v>309</v>
      </c>
      <c r="C316" s="37"/>
      <c r="D316" s="37"/>
      <c r="E316" s="37"/>
      <c r="F316" s="49" t="s">
        <v>206</v>
      </c>
      <c r="G316" s="39"/>
      <c r="H316" s="40"/>
      <c r="I316" s="42"/>
      <c r="J316" s="42"/>
      <c r="K316" s="42"/>
      <c r="L316" s="42"/>
      <c r="M316" s="163" t="s">
        <v>331</v>
      </c>
      <c r="N316" s="47"/>
      <c r="O316" s="143"/>
      <c r="P316" s="45">
        <f t="shared" si="532"/>
        <v>283</v>
      </c>
      <c r="Q316" s="46">
        <v>1</v>
      </c>
      <c r="R316" s="41" t="s">
        <v>81</v>
      </c>
      <c r="S316" s="185" t="s">
        <v>207</v>
      </c>
      <c r="T316" s="43"/>
      <c r="U316" s="41" t="s">
        <v>80</v>
      </c>
      <c r="V316" s="44"/>
      <c r="W316" s="22">
        <v>3</v>
      </c>
      <c r="X316" s="47" t="s">
        <v>98</v>
      </c>
      <c r="Y316" s="47">
        <v>1</v>
      </c>
      <c r="Z316" s="47">
        <v>1</v>
      </c>
      <c r="AA316" s="42">
        <v>9</v>
      </c>
      <c r="AB316" s="42" t="s">
        <v>57</v>
      </c>
      <c r="AC316" s="215"/>
      <c r="AD316" s="160"/>
      <c r="AE316" s="162"/>
      <c r="AF316" s="203" t="str">
        <f t="shared" si="501"/>
        <v xml:space="preserve"> </v>
      </c>
      <c r="AG316" s="174" t="str">
        <f t="shared" si="483"/>
        <v>NG</v>
      </c>
      <c r="AH316" s="162"/>
      <c r="AI316" s="172" t="s">
        <v>71</v>
      </c>
      <c r="AJ316" s="160"/>
      <c r="AK316" s="162"/>
      <c r="AL316" s="203" t="str">
        <f t="shared" si="500"/>
        <v xml:space="preserve"> </v>
      </c>
      <c r="AM316" s="174" t="str">
        <f t="shared" si="528"/>
        <v>NG</v>
      </c>
      <c r="AN316" s="162"/>
      <c r="AO316" s="172" t="s">
        <v>71</v>
      </c>
      <c r="AP316" s="160"/>
      <c r="AQ316" s="162"/>
      <c r="AR316" s="203" t="str">
        <f t="shared" si="502"/>
        <v xml:space="preserve"> </v>
      </c>
      <c r="AS316" s="174" t="str">
        <f t="shared" si="484"/>
        <v>NG</v>
      </c>
      <c r="AT316" s="162"/>
      <c r="AU316" s="172" t="s">
        <v>71</v>
      </c>
      <c r="AV316" s="160"/>
      <c r="AW316" s="162"/>
      <c r="AX316" s="203" t="str">
        <f t="shared" si="503"/>
        <v xml:space="preserve"> </v>
      </c>
      <c r="AY316" s="174" t="str">
        <f t="shared" si="485"/>
        <v>NG</v>
      </c>
      <c r="AZ316" s="162"/>
      <c r="BA316" s="172" t="s">
        <v>71</v>
      </c>
      <c r="BB316" s="160"/>
      <c r="BC316" s="162"/>
      <c r="BD316" s="203" t="str">
        <f t="shared" si="504"/>
        <v xml:space="preserve"> </v>
      </c>
      <c r="BE316" s="174" t="str">
        <f t="shared" si="486"/>
        <v>NG</v>
      </c>
      <c r="BF316" s="162"/>
      <c r="BG316" s="172" t="s">
        <v>71</v>
      </c>
      <c r="BH316" s="160"/>
      <c r="BI316" s="162"/>
      <c r="BJ316" s="203" t="str">
        <f t="shared" si="505"/>
        <v xml:space="preserve"> </v>
      </c>
      <c r="BK316" s="174" t="str">
        <f t="shared" si="487"/>
        <v>NG</v>
      </c>
      <c r="BL316" s="162"/>
      <c r="BM316" s="172" t="s">
        <v>71</v>
      </c>
      <c r="BN316" s="160"/>
      <c r="BO316" s="162"/>
      <c r="BP316" s="203" t="str">
        <f t="shared" si="506"/>
        <v xml:space="preserve"> </v>
      </c>
      <c r="BQ316" s="174" t="str">
        <f t="shared" si="488"/>
        <v>NG</v>
      </c>
      <c r="BR316" s="162"/>
      <c r="BS316" s="172" t="s">
        <v>71</v>
      </c>
      <c r="BT316" s="160"/>
      <c r="BU316" s="162"/>
      <c r="BV316" s="203" t="str">
        <f t="shared" si="507"/>
        <v xml:space="preserve"> </v>
      </c>
      <c r="BW316" s="174" t="str">
        <f t="shared" si="489"/>
        <v>NG</v>
      </c>
      <c r="BX316" s="162"/>
      <c r="BY316" s="172" t="s">
        <v>71</v>
      </c>
      <c r="BZ316" s="160"/>
      <c r="CA316" s="162"/>
      <c r="CB316" s="203" t="str">
        <f t="shared" si="508"/>
        <v xml:space="preserve"> </v>
      </c>
      <c r="CC316" s="174" t="str">
        <f t="shared" si="490"/>
        <v>NG</v>
      </c>
      <c r="CD316" s="162"/>
      <c r="CE316" s="172" t="s">
        <v>71</v>
      </c>
      <c r="CF316" s="160"/>
      <c r="CG316" s="162"/>
      <c r="CH316" s="203" t="str">
        <f t="shared" si="509"/>
        <v xml:space="preserve"> </v>
      </c>
      <c r="CI316" s="174" t="str">
        <f t="shared" si="491"/>
        <v>NG</v>
      </c>
      <c r="CJ316" s="162"/>
      <c r="CK316" s="172" t="s">
        <v>71</v>
      </c>
      <c r="CL316" s="160"/>
      <c r="CM316" s="162"/>
      <c r="CN316" s="203" t="str">
        <f t="shared" si="510"/>
        <v xml:space="preserve"> </v>
      </c>
      <c r="CO316" s="174" t="str">
        <f t="shared" si="492"/>
        <v>NG</v>
      </c>
      <c r="CP316" s="162"/>
      <c r="CQ316" s="172" t="s">
        <v>71</v>
      </c>
      <c r="CR316" s="160"/>
      <c r="CS316" s="162"/>
      <c r="CT316" s="203" t="str">
        <f t="shared" si="511"/>
        <v xml:space="preserve"> </v>
      </c>
      <c r="CU316" s="174" t="str">
        <f t="shared" si="493"/>
        <v>NG</v>
      </c>
      <c r="CV316" s="162"/>
      <c r="CW316" s="172" t="s">
        <v>71</v>
      </c>
      <c r="CX316" s="160"/>
      <c r="CY316" s="162"/>
      <c r="CZ316" s="203" t="str">
        <f t="shared" si="512"/>
        <v xml:space="preserve"> </v>
      </c>
      <c r="DA316" s="174" t="str">
        <f t="shared" si="494"/>
        <v>NG</v>
      </c>
      <c r="DB316" s="162"/>
      <c r="DC316" s="172" t="s">
        <v>71</v>
      </c>
      <c r="DD316" s="160"/>
      <c r="DE316" s="162"/>
      <c r="DF316" s="203" t="str">
        <f t="shared" si="513"/>
        <v xml:space="preserve"> </v>
      </c>
      <c r="DG316" s="174" t="str">
        <f t="shared" si="495"/>
        <v>NG</v>
      </c>
      <c r="DH316" s="162"/>
      <c r="DI316" s="172" t="s">
        <v>71</v>
      </c>
      <c r="DJ316" s="160"/>
      <c r="DK316" s="162"/>
      <c r="DL316" s="203" t="str">
        <f t="shared" si="514"/>
        <v xml:space="preserve"> </v>
      </c>
      <c r="DM316" s="174" t="str">
        <f t="shared" si="496"/>
        <v>NG</v>
      </c>
      <c r="DN316" s="162"/>
      <c r="DO316" s="172" t="s">
        <v>71</v>
      </c>
      <c r="DP316" s="160"/>
      <c r="DQ316" s="162"/>
      <c r="DR316" s="203" t="str">
        <f t="shared" si="515"/>
        <v xml:space="preserve"> </v>
      </c>
      <c r="DS316" s="174" t="str">
        <f t="shared" si="533"/>
        <v>NG</v>
      </c>
      <c r="DT316" s="162"/>
      <c r="DU316" s="172" t="s">
        <v>71</v>
      </c>
      <c r="DV316" s="160"/>
      <c r="DW316" s="162"/>
      <c r="DX316" s="203" t="str">
        <f t="shared" si="516"/>
        <v xml:space="preserve"> </v>
      </c>
      <c r="DY316" s="174" t="str">
        <f t="shared" si="534"/>
        <v>NG</v>
      </c>
      <c r="DZ316" s="162"/>
      <c r="EA316" s="172" t="s">
        <v>71</v>
      </c>
      <c r="EB316" s="160"/>
      <c r="EC316" s="162"/>
      <c r="ED316" s="203" t="str">
        <f t="shared" si="517"/>
        <v xml:space="preserve"> </v>
      </c>
      <c r="EE316" s="174" t="str">
        <f t="shared" si="535"/>
        <v>NG</v>
      </c>
      <c r="EF316" s="162"/>
      <c r="EG316" s="172" t="s">
        <v>71</v>
      </c>
      <c r="EH316" s="160"/>
      <c r="EI316" s="162"/>
      <c r="EJ316" s="203" t="str">
        <f t="shared" si="518"/>
        <v xml:space="preserve"> </v>
      </c>
      <c r="EK316" s="174" t="str">
        <f t="shared" si="536"/>
        <v>NG</v>
      </c>
      <c r="EL316" s="162"/>
      <c r="EM316" s="172" t="s">
        <v>71</v>
      </c>
      <c r="EN316" s="160"/>
      <c r="EO316" s="162"/>
      <c r="EP316" s="203" t="str">
        <f t="shared" si="519"/>
        <v xml:space="preserve"> </v>
      </c>
      <c r="EQ316" s="174" t="str">
        <f t="shared" si="537"/>
        <v>NG</v>
      </c>
      <c r="ER316" s="162"/>
      <c r="ES316" s="172" t="s">
        <v>71</v>
      </c>
      <c r="ET316" s="160"/>
      <c r="EU316" s="162"/>
      <c r="EV316" s="203" t="str">
        <f t="shared" si="520"/>
        <v xml:space="preserve"> </v>
      </c>
      <c r="EW316" s="174" t="str">
        <f t="shared" si="538"/>
        <v>NG</v>
      </c>
      <c r="EX316" s="162"/>
      <c r="EY316" s="172" t="s">
        <v>71</v>
      </c>
      <c r="EZ316" s="160"/>
      <c r="FA316" s="162"/>
      <c r="FB316" s="203" t="str">
        <f t="shared" si="521"/>
        <v xml:space="preserve"> </v>
      </c>
      <c r="FC316" s="174" t="str">
        <f t="shared" si="539"/>
        <v>NG</v>
      </c>
      <c r="FD316" s="162"/>
      <c r="FE316" s="172" t="s">
        <v>71</v>
      </c>
      <c r="FF316" s="160"/>
      <c r="FG316" s="162"/>
      <c r="FH316" s="203" t="str">
        <f t="shared" si="522"/>
        <v xml:space="preserve"> </v>
      </c>
      <c r="FI316" s="174" t="str">
        <f t="shared" si="540"/>
        <v>NG</v>
      </c>
      <c r="FJ316" s="162"/>
      <c r="FK316" s="172" t="s">
        <v>71</v>
      </c>
      <c r="FL316" s="160"/>
      <c r="FM316" s="162"/>
      <c r="FN316" s="203" t="str">
        <f t="shared" si="523"/>
        <v xml:space="preserve"> </v>
      </c>
      <c r="FO316" s="174" t="str">
        <f t="shared" si="497"/>
        <v>NG</v>
      </c>
      <c r="FP316" s="162"/>
      <c r="FQ316" s="172" t="s">
        <v>71</v>
      </c>
      <c r="FR316" s="160"/>
      <c r="FS316" s="162"/>
      <c r="FT316" s="203" t="str">
        <f t="shared" si="524"/>
        <v xml:space="preserve"> </v>
      </c>
      <c r="FU316" s="174" t="str">
        <f t="shared" si="498"/>
        <v>NG</v>
      </c>
      <c r="FV316" s="162"/>
      <c r="FW316" s="172" t="s">
        <v>71</v>
      </c>
      <c r="FX316" s="160"/>
      <c r="FY316" s="162"/>
      <c r="FZ316" s="203" t="str">
        <f t="shared" si="525"/>
        <v xml:space="preserve"> </v>
      </c>
      <c r="GA316" s="174" t="str">
        <f t="shared" si="499"/>
        <v>NG</v>
      </c>
      <c r="GB316" s="162"/>
      <c r="GC316" s="172" t="s">
        <v>71</v>
      </c>
    </row>
    <row r="317" spans="1:185" s="52" customFormat="1" ht="126.75" customHeight="1">
      <c r="B317" s="216">
        <f t="shared" si="527"/>
        <v>310</v>
      </c>
      <c r="C317" s="37"/>
      <c r="D317" s="37"/>
      <c r="E317" s="37"/>
      <c r="F317" s="188" t="s">
        <v>332</v>
      </c>
      <c r="G317" s="39"/>
      <c r="H317" s="40"/>
      <c r="I317" s="42"/>
      <c r="J317" s="42"/>
      <c r="K317" s="42"/>
      <c r="L317" s="42"/>
      <c r="M317" s="63" t="s">
        <v>333</v>
      </c>
      <c r="N317" s="47"/>
      <c r="O317" s="143"/>
      <c r="P317" s="45">
        <f t="shared" si="532"/>
        <v>284</v>
      </c>
      <c r="Q317" s="46">
        <v>1</v>
      </c>
      <c r="R317" s="41" t="str">
        <f t="shared" ref="R317:R334" si="541">IF(AA317="M","NX",AA317)</f>
        <v>X</v>
      </c>
      <c r="S317" s="185" t="s">
        <v>208</v>
      </c>
      <c r="T317" s="43"/>
      <c r="U317" s="41" t="s">
        <v>80</v>
      </c>
      <c r="V317" s="44"/>
      <c r="W317" s="22">
        <v>3</v>
      </c>
      <c r="X317" s="47" t="s">
        <v>209</v>
      </c>
      <c r="Y317" s="47">
        <v>1</v>
      </c>
      <c r="Z317" s="47">
        <v>1</v>
      </c>
      <c r="AA317" s="42" t="s">
        <v>81</v>
      </c>
      <c r="AB317" s="42" t="s">
        <v>80</v>
      </c>
      <c r="AC317" s="166"/>
      <c r="AD317" s="160"/>
      <c r="AE317" s="162"/>
      <c r="AF317" s="203" t="str">
        <f t="shared" si="501"/>
        <v xml:space="preserve"> </v>
      </c>
      <c r="AG317" s="174" t="str">
        <f t="shared" si="483"/>
        <v>NG</v>
      </c>
      <c r="AH317" s="162"/>
      <c r="AI317" s="276" t="str">
        <f>IF(OR(AE$8="判定対象外",AH$8="判定対象外",AH317="-"),"-",IF(AE317=AH317,"OK","NG"))</f>
        <v>OK</v>
      </c>
      <c r="AJ317" s="160"/>
      <c r="AK317" s="162"/>
      <c r="AL317" s="203" t="str">
        <f t="shared" si="500"/>
        <v xml:space="preserve"> </v>
      </c>
      <c r="AM317" s="174" t="str">
        <f t="shared" si="528"/>
        <v>NG</v>
      </c>
      <c r="AN317" s="162"/>
      <c r="AO317" s="276" t="str">
        <f>IF(OR(AK$8="判定対象外",AN$8="判定対象外",AN317="-"),"-",IF(AK317=AN317,"OK","NG"))</f>
        <v>OK</v>
      </c>
      <c r="AP317" s="160"/>
      <c r="AQ317" s="162"/>
      <c r="AR317" s="203" t="str">
        <f t="shared" si="502"/>
        <v xml:space="preserve"> </v>
      </c>
      <c r="AS317" s="174" t="str">
        <f t="shared" si="484"/>
        <v>NG</v>
      </c>
      <c r="AT317" s="162"/>
      <c r="AU317" s="276" t="str">
        <f>IF(OR(AQ$8="判定対象外",AT$8="判定対象外",AT317="-"),"-",IF(AQ317=AT317,"OK","NG"))</f>
        <v>OK</v>
      </c>
      <c r="AV317" s="160"/>
      <c r="AW317" s="162"/>
      <c r="AX317" s="203" t="str">
        <f t="shared" si="503"/>
        <v xml:space="preserve"> </v>
      </c>
      <c r="AY317" s="174" t="str">
        <f t="shared" si="485"/>
        <v>NG</v>
      </c>
      <c r="AZ317" s="162"/>
      <c r="BA317" s="276" t="str">
        <f>IF(OR(AW$8="判定対象外",AZ$8="判定対象外",AZ317="-"),"-",IF(AW317=AZ317,"OK","NG"))</f>
        <v>OK</v>
      </c>
      <c r="BB317" s="160"/>
      <c r="BC317" s="162"/>
      <c r="BD317" s="203" t="str">
        <f t="shared" si="504"/>
        <v xml:space="preserve"> </v>
      </c>
      <c r="BE317" s="174" t="str">
        <f t="shared" si="486"/>
        <v>NG</v>
      </c>
      <c r="BF317" s="162"/>
      <c r="BG317" s="276" t="str">
        <f>IF(OR(BC$8="判定対象外",BF$8="判定対象外",BF317="-"),"-",IF(BC317=BF317,"OK","NG"))</f>
        <v>OK</v>
      </c>
      <c r="BH317" s="160"/>
      <c r="BI317" s="162"/>
      <c r="BJ317" s="203" t="str">
        <f t="shared" si="505"/>
        <v xml:space="preserve"> </v>
      </c>
      <c r="BK317" s="174" t="str">
        <f t="shared" si="487"/>
        <v>NG</v>
      </c>
      <c r="BL317" s="162"/>
      <c r="BM317" s="276" t="str">
        <f>IF(OR(BI$8="判定対象外",BL$8="判定対象外",BL317="-"),"-",IF(BI317=BL317,"OK","NG"))</f>
        <v>OK</v>
      </c>
      <c r="BN317" s="160"/>
      <c r="BO317" s="162"/>
      <c r="BP317" s="203" t="str">
        <f t="shared" si="506"/>
        <v xml:space="preserve"> </v>
      </c>
      <c r="BQ317" s="174" t="str">
        <f t="shared" si="488"/>
        <v>NG</v>
      </c>
      <c r="BR317" s="162"/>
      <c r="BS317" s="276" t="str">
        <f>IF(OR(BO$8="判定対象外",BR$8="判定対象外",BR317="-"),"-",IF(BO317=BR317,"OK","NG"))</f>
        <v>OK</v>
      </c>
      <c r="BT317" s="160"/>
      <c r="BU317" s="162"/>
      <c r="BV317" s="203" t="str">
        <f t="shared" si="507"/>
        <v xml:space="preserve"> </v>
      </c>
      <c r="BW317" s="174" t="str">
        <f t="shared" si="489"/>
        <v>NG</v>
      </c>
      <c r="BX317" s="162"/>
      <c r="BY317" s="276" t="str">
        <f>IF(OR(BU$8="判定対象外",BX$8="判定対象外",BX317="-"),"-",IF(BU317=BX317,"OK","NG"))</f>
        <v>OK</v>
      </c>
      <c r="BZ317" s="160"/>
      <c r="CA317" s="162"/>
      <c r="CB317" s="203" t="str">
        <f t="shared" si="508"/>
        <v xml:space="preserve"> </v>
      </c>
      <c r="CC317" s="174" t="str">
        <f t="shared" si="490"/>
        <v>NG</v>
      </c>
      <c r="CD317" s="162"/>
      <c r="CE317" s="276" t="str">
        <f>IF(OR(CA$8="判定対象外",CD$8="判定対象外",CD317="-"),"-",IF(CA317=CD317,"OK","NG"))</f>
        <v>OK</v>
      </c>
      <c r="CF317" s="160"/>
      <c r="CG317" s="162"/>
      <c r="CH317" s="203" t="str">
        <f t="shared" si="509"/>
        <v xml:space="preserve"> </v>
      </c>
      <c r="CI317" s="174" t="str">
        <f t="shared" si="491"/>
        <v>NG</v>
      </c>
      <c r="CJ317" s="162"/>
      <c r="CK317" s="276" t="str">
        <f>IF(OR(CG$8="判定対象外",CJ$8="判定対象外",CJ317="-"),"-",IF(CG317=CJ317,"OK","NG"))</f>
        <v>OK</v>
      </c>
      <c r="CL317" s="160"/>
      <c r="CM317" s="162"/>
      <c r="CN317" s="203" t="str">
        <f t="shared" si="510"/>
        <v xml:space="preserve"> </v>
      </c>
      <c r="CO317" s="174" t="str">
        <f t="shared" si="492"/>
        <v>NG</v>
      </c>
      <c r="CP317" s="162"/>
      <c r="CQ317" s="276" t="str">
        <f>IF(OR(CM$8="判定対象外",CP$8="判定対象外",CP317="-"),"-",IF(CM317=CP317,"OK","NG"))</f>
        <v>OK</v>
      </c>
      <c r="CR317" s="160"/>
      <c r="CS317" s="162"/>
      <c r="CT317" s="203" t="str">
        <f t="shared" si="511"/>
        <v xml:space="preserve"> </v>
      </c>
      <c r="CU317" s="174" t="str">
        <f t="shared" si="493"/>
        <v>NG</v>
      </c>
      <c r="CV317" s="162"/>
      <c r="CW317" s="276" t="str">
        <f>IF(OR(CS$8="判定対象外",CV$8="判定対象外",CV317="-"),"-",IF(CS317=CV317,"OK","NG"))</f>
        <v>OK</v>
      </c>
      <c r="CX317" s="160"/>
      <c r="CY317" s="162"/>
      <c r="CZ317" s="203" t="str">
        <f t="shared" si="512"/>
        <v xml:space="preserve"> </v>
      </c>
      <c r="DA317" s="174" t="str">
        <f t="shared" si="494"/>
        <v>NG</v>
      </c>
      <c r="DB317" s="162"/>
      <c r="DC317" s="276" t="str">
        <f>IF(OR(CY$8="判定対象外",DB$8="判定対象外",DB317="-"),"-",IF(CY317=DB317,"OK","NG"))</f>
        <v>OK</v>
      </c>
      <c r="DD317" s="160"/>
      <c r="DE317" s="162"/>
      <c r="DF317" s="203" t="str">
        <f t="shared" si="513"/>
        <v xml:space="preserve"> </v>
      </c>
      <c r="DG317" s="174" t="str">
        <f t="shared" si="495"/>
        <v>NG</v>
      </c>
      <c r="DH317" s="162"/>
      <c r="DI317" s="276" t="str">
        <f>IF(OR(DE$8="判定対象外",DH$8="判定対象外",DH317="-"),"-",IF(DE317=DH317,"OK","NG"))</f>
        <v>OK</v>
      </c>
      <c r="DJ317" s="160"/>
      <c r="DK317" s="162"/>
      <c r="DL317" s="203" t="str">
        <f t="shared" si="514"/>
        <v xml:space="preserve"> </v>
      </c>
      <c r="DM317" s="174" t="str">
        <f t="shared" si="496"/>
        <v>NG</v>
      </c>
      <c r="DN317" s="162"/>
      <c r="DO317" s="276" t="str">
        <f>IF(OR(DK$8="判定対象外",DN$8="判定対象外",DN317="-"),"-",IF(DK317=DN317,"OK","NG"))</f>
        <v>OK</v>
      </c>
      <c r="DP317" s="160"/>
      <c r="DQ317" s="162"/>
      <c r="DR317" s="203" t="str">
        <f t="shared" si="515"/>
        <v xml:space="preserve"> </v>
      </c>
      <c r="DS317" s="174" t="str">
        <f t="shared" si="533"/>
        <v>NG</v>
      </c>
      <c r="DT317" s="162"/>
      <c r="DU317" s="276" t="str">
        <f>IF(OR(DQ$8="判定対象外",DT$8="判定対象外",DT317="-"),"-",IF(DQ317=DT317,"OK","NG"))</f>
        <v>OK</v>
      </c>
      <c r="DV317" s="160"/>
      <c r="DW317" s="162"/>
      <c r="DX317" s="203" t="str">
        <f t="shared" si="516"/>
        <v xml:space="preserve"> </v>
      </c>
      <c r="DY317" s="174" t="str">
        <f t="shared" si="534"/>
        <v>NG</v>
      </c>
      <c r="DZ317" s="162"/>
      <c r="EA317" s="276" t="str">
        <f>IF(OR(DW$8="判定対象外",DZ$8="判定対象外",DZ317="-"),"-",IF(DW317=DZ317,"OK","NG"))</f>
        <v>OK</v>
      </c>
      <c r="EB317" s="160"/>
      <c r="EC317" s="162"/>
      <c r="ED317" s="203" t="str">
        <f t="shared" si="517"/>
        <v xml:space="preserve"> </v>
      </c>
      <c r="EE317" s="174" t="str">
        <f t="shared" si="535"/>
        <v>NG</v>
      </c>
      <c r="EF317" s="162"/>
      <c r="EG317" s="276" t="str">
        <f>IF(OR(EC$8="判定対象外",EF$8="判定対象外",EF317="-"),"-",IF(EC317=EF317,"OK","NG"))</f>
        <v>OK</v>
      </c>
      <c r="EH317" s="160"/>
      <c r="EI317" s="162"/>
      <c r="EJ317" s="203" t="str">
        <f t="shared" si="518"/>
        <v xml:space="preserve"> </v>
      </c>
      <c r="EK317" s="174" t="str">
        <f t="shared" si="536"/>
        <v>NG</v>
      </c>
      <c r="EL317" s="162"/>
      <c r="EM317" s="276" t="str">
        <f>IF(OR(EI$8="判定対象外",EL$8="判定対象外",EL317="-"),"-",IF(EI317=EL317,"OK","NG"))</f>
        <v>OK</v>
      </c>
      <c r="EN317" s="160"/>
      <c r="EO317" s="162"/>
      <c r="EP317" s="203" t="str">
        <f t="shared" si="519"/>
        <v xml:space="preserve"> </v>
      </c>
      <c r="EQ317" s="174" t="str">
        <f t="shared" si="537"/>
        <v>NG</v>
      </c>
      <c r="ER317" s="162"/>
      <c r="ES317" s="276" t="str">
        <f>IF(OR(EO$8="判定対象外",ER$8="判定対象外",ER317="-"),"-",IF(EO317=ER317,"OK","NG"))</f>
        <v>OK</v>
      </c>
      <c r="ET317" s="160"/>
      <c r="EU317" s="162"/>
      <c r="EV317" s="203" t="str">
        <f t="shared" si="520"/>
        <v xml:space="preserve"> </v>
      </c>
      <c r="EW317" s="174" t="str">
        <f t="shared" si="538"/>
        <v>NG</v>
      </c>
      <c r="EX317" s="162"/>
      <c r="EY317" s="276" t="str">
        <f>IF(OR(EU$8="判定対象外",EX$8="判定対象外",EX317="-"),"-",IF(EU317=EX317,"OK","NG"))</f>
        <v>OK</v>
      </c>
      <c r="EZ317" s="160"/>
      <c r="FA317" s="162"/>
      <c r="FB317" s="203" t="str">
        <f t="shared" si="521"/>
        <v xml:space="preserve"> </v>
      </c>
      <c r="FC317" s="174" t="str">
        <f t="shared" si="539"/>
        <v>NG</v>
      </c>
      <c r="FD317" s="162"/>
      <c r="FE317" s="276" t="str">
        <f>IF(OR(FA$8="判定対象外",FD$8="判定対象外",FD317="-"),"-",IF(FA317=FD317,"OK","NG"))</f>
        <v>OK</v>
      </c>
      <c r="FF317" s="160"/>
      <c r="FG317" s="162"/>
      <c r="FH317" s="203" t="str">
        <f t="shared" si="522"/>
        <v xml:space="preserve"> </v>
      </c>
      <c r="FI317" s="174" t="str">
        <f t="shared" si="540"/>
        <v>NG</v>
      </c>
      <c r="FJ317" s="162"/>
      <c r="FK317" s="276" t="str">
        <f>IF(OR(FG$8="判定対象外",FJ$8="判定対象外",FJ317="-"),"-",IF(FG317=FJ317,"OK","NG"))</f>
        <v>OK</v>
      </c>
      <c r="FL317" s="160"/>
      <c r="FM317" s="162"/>
      <c r="FN317" s="203" t="str">
        <f t="shared" si="523"/>
        <v xml:space="preserve"> </v>
      </c>
      <c r="FO317" s="174" t="str">
        <f t="shared" si="497"/>
        <v>NG</v>
      </c>
      <c r="FP317" s="162"/>
      <c r="FQ317" s="276" t="str">
        <f>IF(OR(FM$8="判定対象外",FP$8="判定対象外",FP317="-"),"-",IF(FM317=FP317,"OK","NG"))</f>
        <v>OK</v>
      </c>
      <c r="FR317" s="160"/>
      <c r="FS317" s="162"/>
      <c r="FT317" s="203" t="str">
        <f t="shared" si="524"/>
        <v xml:space="preserve"> </v>
      </c>
      <c r="FU317" s="174" t="str">
        <f t="shared" si="498"/>
        <v>NG</v>
      </c>
      <c r="FV317" s="162"/>
      <c r="FW317" s="276" t="str">
        <f>IF(OR(FS$8="判定対象外",FV$8="判定対象外",FV317="-"),"-",IF(FS317=FV317,"OK","NG"))</f>
        <v>OK</v>
      </c>
      <c r="FX317" s="160"/>
      <c r="FY317" s="162"/>
      <c r="FZ317" s="203" t="str">
        <f t="shared" si="525"/>
        <v xml:space="preserve"> </v>
      </c>
      <c r="GA317" s="174" t="str">
        <f t="shared" si="499"/>
        <v>NG</v>
      </c>
      <c r="GB317" s="162"/>
      <c r="GC317" s="276" t="str">
        <f>IF(OR(FY$8="判定対象外",GB$8="判定対象外",GB317="-"),"-",IF(FY317=GB317,"OK","NG"))</f>
        <v>OK</v>
      </c>
    </row>
    <row r="318" spans="1:185" s="52" customFormat="1">
      <c r="B318" s="216">
        <f t="shared" si="527"/>
        <v>311</v>
      </c>
      <c r="C318" s="37"/>
      <c r="D318" s="37"/>
      <c r="E318" s="37"/>
      <c r="F318" s="49" t="s">
        <v>210</v>
      </c>
      <c r="G318" s="39"/>
      <c r="H318" s="40"/>
      <c r="I318" s="42"/>
      <c r="J318" s="42"/>
      <c r="K318" s="42"/>
      <c r="L318" s="42"/>
      <c r="M318" s="163" t="s">
        <v>334</v>
      </c>
      <c r="N318" s="47"/>
      <c r="O318" s="143"/>
      <c r="P318" s="45">
        <f t="shared" si="532"/>
        <v>285</v>
      </c>
      <c r="Q318" s="46">
        <v>400</v>
      </c>
      <c r="R318" s="41" t="str">
        <f t="shared" si="541"/>
        <v>NX</v>
      </c>
      <c r="S318" s="185" t="s">
        <v>211</v>
      </c>
      <c r="T318" s="43"/>
      <c r="U318" s="41" t="s">
        <v>80</v>
      </c>
      <c r="V318" s="44"/>
      <c r="W318" s="22">
        <v>3</v>
      </c>
      <c r="X318" s="47" t="s">
        <v>212</v>
      </c>
      <c r="Y318" s="47">
        <v>1</v>
      </c>
      <c r="Z318" s="47">
        <v>400</v>
      </c>
      <c r="AA318" s="42" t="s">
        <v>195</v>
      </c>
      <c r="AB318" s="42" t="s">
        <v>80</v>
      </c>
      <c r="AC318" s="166"/>
      <c r="AD318" s="160"/>
      <c r="AE318" s="162"/>
      <c r="AF318" s="175" t="str">
        <f t="shared" si="501"/>
        <v xml:space="preserve">                                                                                                                                                                                                                                                                                                                                                                                                                </v>
      </c>
      <c r="AG318" s="174" t="str">
        <f t="shared" si="483"/>
        <v>NG</v>
      </c>
      <c r="AH318" s="162"/>
      <c r="AI318" s="276" t="str">
        <f>IF(OR(AE$8="判定対象外",AH$8="判定対象外",AH318="-"),"-",IF(AE318=AH318,"OK","NG"))</f>
        <v>OK</v>
      </c>
      <c r="AJ318" s="160"/>
      <c r="AK318" s="162"/>
      <c r="AL318" s="175" t="str">
        <f t="shared" si="500"/>
        <v xml:space="preserve">                                                                                                                                                                                                                                                                                                                                                                                                                </v>
      </c>
      <c r="AM318" s="174" t="str">
        <f t="shared" si="528"/>
        <v>NG</v>
      </c>
      <c r="AN318" s="162"/>
      <c r="AO318" s="276" t="str">
        <f>IF(OR(AK$8="判定対象外",AN$8="判定対象外",AN318="-"),"-",IF(AK318=AN318,"OK","NG"))</f>
        <v>OK</v>
      </c>
      <c r="AP318" s="160"/>
      <c r="AQ318" s="162"/>
      <c r="AR318" s="175" t="str">
        <f t="shared" si="502"/>
        <v xml:space="preserve">                                                                                                                                                                                                                                                                                                                                                                                                                </v>
      </c>
      <c r="AS318" s="174" t="str">
        <f t="shared" si="484"/>
        <v>NG</v>
      </c>
      <c r="AT318" s="162"/>
      <c r="AU318" s="276" t="str">
        <f>IF(OR(AQ$8="判定対象外",AT$8="判定対象外",AT318="-"),"-",IF(AQ318=AT318,"OK","NG"))</f>
        <v>OK</v>
      </c>
      <c r="AV318" s="160"/>
      <c r="AW318" s="162"/>
      <c r="AX318" s="175" t="str">
        <f t="shared" si="503"/>
        <v xml:space="preserve">                                                                                                                                                                                                                                                                                                                                                                                                                </v>
      </c>
      <c r="AY318" s="174" t="str">
        <f t="shared" si="485"/>
        <v>NG</v>
      </c>
      <c r="AZ318" s="162"/>
      <c r="BA318" s="276" t="str">
        <f>IF(OR(AW$8="判定対象外",AZ$8="判定対象外",AZ318="-"),"-",IF(AW318=AZ318,"OK","NG"))</f>
        <v>OK</v>
      </c>
      <c r="BB318" s="160"/>
      <c r="BC318" s="162"/>
      <c r="BD318" s="175" t="str">
        <f t="shared" si="504"/>
        <v xml:space="preserve">                                                                                                                                                                                                                                                                                                                                                                                                                </v>
      </c>
      <c r="BE318" s="174" t="str">
        <f t="shared" si="486"/>
        <v>NG</v>
      </c>
      <c r="BF318" s="162"/>
      <c r="BG318" s="276" t="str">
        <f>IF(OR(BC$8="判定対象外",BF$8="判定対象外",BF318="-"),"-",IF(BC318=BF318,"OK","NG"))</f>
        <v>OK</v>
      </c>
      <c r="BH318" s="160"/>
      <c r="BI318" s="162"/>
      <c r="BJ318" s="175" t="str">
        <f t="shared" si="505"/>
        <v xml:space="preserve">                                                                                                                                                                                                                                                                                                                                                                                                                </v>
      </c>
      <c r="BK318" s="174" t="str">
        <f t="shared" si="487"/>
        <v>NG</v>
      </c>
      <c r="BL318" s="162"/>
      <c r="BM318" s="276" t="str">
        <f>IF(OR(BI$8="判定対象外",BL$8="判定対象外",BL318="-"),"-",IF(BI318=BL318,"OK","NG"))</f>
        <v>OK</v>
      </c>
      <c r="BN318" s="160"/>
      <c r="BO318" s="162"/>
      <c r="BP318" s="175" t="str">
        <f t="shared" si="506"/>
        <v xml:space="preserve">                                                                                                                                                                                                                                                                                                                                                                                                                </v>
      </c>
      <c r="BQ318" s="174" t="str">
        <f t="shared" si="488"/>
        <v>NG</v>
      </c>
      <c r="BR318" s="162"/>
      <c r="BS318" s="276" t="str">
        <f>IF(OR(BO$8="判定対象外",BR$8="判定対象外",BR318="-"),"-",IF(BO318=BR318,"OK","NG"))</f>
        <v>OK</v>
      </c>
      <c r="BT318" s="160"/>
      <c r="BU318" s="162"/>
      <c r="BV318" s="175" t="str">
        <f t="shared" si="507"/>
        <v xml:space="preserve">                                                                                                                                                                                                                                                                                                                                                                                                                </v>
      </c>
      <c r="BW318" s="174" t="str">
        <f t="shared" si="489"/>
        <v>NG</v>
      </c>
      <c r="BX318" s="162"/>
      <c r="BY318" s="276" t="str">
        <f>IF(OR(BU$8="判定対象外",BX$8="判定対象外",BX318="-"),"-",IF(BU318=BX318,"OK","NG"))</f>
        <v>OK</v>
      </c>
      <c r="BZ318" s="160"/>
      <c r="CA318" s="162"/>
      <c r="CB318" s="175" t="str">
        <f t="shared" si="508"/>
        <v xml:space="preserve">                                                                                                                                                                                                                                                                                                                                                                                                                </v>
      </c>
      <c r="CC318" s="174" t="str">
        <f t="shared" si="490"/>
        <v>NG</v>
      </c>
      <c r="CD318" s="162"/>
      <c r="CE318" s="276" t="str">
        <f>IF(OR(CA$8="判定対象外",CD$8="判定対象外",CD318="-"),"-",IF(CA318=CD318,"OK","NG"))</f>
        <v>OK</v>
      </c>
      <c r="CF318" s="160"/>
      <c r="CG318" s="162"/>
      <c r="CH318" s="175" t="str">
        <f t="shared" si="509"/>
        <v xml:space="preserve">                                                                                                                                                                                                                                                                                                                                                                                                                </v>
      </c>
      <c r="CI318" s="174" t="str">
        <f t="shared" si="491"/>
        <v>NG</v>
      </c>
      <c r="CJ318" s="162"/>
      <c r="CK318" s="276" t="str">
        <f>IF(OR(CG$8="判定対象外",CJ$8="判定対象外",CJ318="-"),"-",IF(CG318=CJ318,"OK","NG"))</f>
        <v>OK</v>
      </c>
      <c r="CL318" s="160"/>
      <c r="CM318" s="162"/>
      <c r="CN318" s="175" t="str">
        <f t="shared" si="510"/>
        <v xml:space="preserve">                                                                                                                                                                                                                                                                                                                                                                                                                </v>
      </c>
      <c r="CO318" s="174" t="str">
        <f t="shared" si="492"/>
        <v>NG</v>
      </c>
      <c r="CP318" s="162"/>
      <c r="CQ318" s="276" t="str">
        <f>IF(OR(CM$8="判定対象外",CP$8="判定対象外",CP318="-"),"-",IF(CM318=CP318,"OK","NG"))</f>
        <v>OK</v>
      </c>
      <c r="CR318" s="160"/>
      <c r="CS318" s="162"/>
      <c r="CT318" s="175" t="str">
        <f t="shared" si="511"/>
        <v xml:space="preserve">                                                                                                                                                                                                                                                                                                                                                                                                                </v>
      </c>
      <c r="CU318" s="174" t="str">
        <f t="shared" si="493"/>
        <v>NG</v>
      </c>
      <c r="CV318" s="162"/>
      <c r="CW318" s="276" t="str">
        <f>IF(OR(CS$8="判定対象外",CV$8="判定対象外",CV318="-"),"-",IF(CS318=CV318,"OK","NG"))</f>
        <v>OK</v>
      </c>
      <c r="CX318" s="160"/>
      <c r="CY318" s="162"/>
      <c r="CZ318" s="175" t="str">
        <f t="shared" si="512"/>
        <v xml:space="preserve">                                                                                                                                                                                                                                                                                                                                                                                                                </v>
      </c>
      <c r="DA318" s="174" t="str">
        <f t="shared" si="494"/>
        <v>NG</v>
      </c>
      <c r="DB318" s="162"/>
      <c r="DC318" s="276" t="str">
        <f>IF(OR(CY$8="判定対象外",DB$8="判定対象外",DB318="-"),"-",IF(CY318=DB318,"OK","NG"))</f>
        <v>OK</v>
      </c>
      <c r="DD318" s="160"/>
      <c r="DE318" s="162"/>
      <c r="DF318" s="175" t="str">
        <f t="shared" si="513"/>
        <v xml:space="preserve">                                                                                                                                                                                                                                                                                                                                                                                                                </v>
      </c>
      <c r="DG318" s="174" t="str">
        <f t="shared" si="495"/>
        <v>NG</v>
      </c>
      <c r="DH318" s="162"/>
      <c r="DI318" s="276" t="str">
        <f>IF(OR(DE$8="判定対象外",DH$8="判定対象外",DH318="-"),"-",IF(DE318=DH318,"OK","NG"))</f>
        <v>OK</v>
      </c>
      <c r="DJ318" s="160"/>
      <c r="DK318" s="162"/>
      <c r="DL318" s="175" t="str">
        <f t="shared" si="514"/>
        <v xml:space="preserve">                                                                                                                                                                                                                                                                                                                                                                                                                </v>
      </c>
      <c r="DM318" s="174" t="str">
        <f t="shared" si="496"/>
        <v>NG</v>
      </c>
      <c r="DN318" s="162"/>
      <c r="DO318" s="276" t="str">
        <f>IF(OR(DK$8="判定対象外",DN$8="判定対象外",DN318="-"),"-",IF(DK318=DN318,"OK","NG"))</f>
        <v>OK</v>
      </c>
      <c r="DP318" s="160"/>
      <c r="DQ318" s="162"/>
      <c r="DR318" s="175" t="str">
        <f t="shared" si="515"/>
        <v xml:space="preserve">                                                                                                                                                                                                                                                                                                                                                                                                                </v>
      </c>
      <c r="DS318" s="174" t="str">
        <f t="shared" si="533"/>
        <v>NG</v>
      </c>
      <c r="DT318" s="162"/>
      <c r="DU318" s="276" t="str">
        <f>IF(OR(DQ$8="判定対象外",DT$8="判定対象外",DT318="-"),"-",IF(DQ318=DT318,"OK","NG"))</f>
        <v>OK</v>
      </c>
      <c r="DV318" s="160"/>
      <c r="DW318" s="162"/>
      <c r="DX318" s="175" t="str">
        <f t="shared" si="516"/>
        <v xml:space="preserve">                                                                                                                                                                                                                                                                                                                                                                                                                </v>
      </c>
      <c r="DY318" s="174" t="str">
        <f t="shared" si="534"/>
        <v>NG</v>
      </c>
      <c r="DZ318" s="162"/>
      <c r="EA318" s="276" t="str">
        <f>IF(OR(DW$8="判定対象外",DZ$8="判定対象外",DZ318="-"),"-",IF(DW318=DZ318,"OK","NG"))</f>
        <v>OK</v>
      </c>
      <c r="EB318" s="160"/>
      <c r="EC318" s="162"/>
      <c r="ED318" s="175" t="str">
        <f t="shared" si="517"/>
        <v xml:space="preserve">                                                                                                                                                                                                                                                                                                                                                                                                                </v>
      </c>
      <c r="EE318" s="174" t="str">
        <f t="shared" si="535"/>
        <v>NG</v>
      </c>
      <c r="EF318" s="162"/>
      <c r="EG318" s="276" t="str">
        <f>IF(OR(EC$8="判定対象外",EF$8="判定対象外",EF318="-"),"-",IF(EC318=EF318,"OK","NG"))</f>
        <v>OK</v>
      </c>
      <c r="EH318" s="160"/>
      <c r="EI318" s="162"/>
      <c r="EJ318" s="175" t="str">
        <f t="shared" si="518"/>
        <v xml:space="preserve">                                                                                                                                                                                                                                                                                                                                                                                                                </v>
      </c>
      <c r="EK318" s="174" t="str">
        <f t="shared" si="536"/>
        <v>NG</v>
      </c>
      <c r="EL318" s="162"/>
      <c r="EM318" s="276" t="str">
        <f>IF(OR(EI$8="判定対象外",EL$8="判定対象外",EL318="-"),"-",IF(EI318=EL318,"OK","NG"))</f>
        <v>OK</v>
      </c>
      <c r="EN318" s="160"/>
      <c r="EO318" s="162"/>
      <c r="EP318" s="175" t="str">
        <f t="shared" si="519"/>
        <v xml:space="preserve">                                                                                                                                                                                                                                                                                                                                                                                                                </v>
      </c>
      <c r="EQ318" s="174" t="str">
        <f t="shared" si="537"/>
        <v>NG</v>
      </c>
      <c r="ER318" s="162"/>
      <c r="ES318" s="276" t="str">
        <f>IF(OR(EO$8="判定対象外",ER$8="判定対象外",ER318="-"),"-",IF(EO318=ER318,"OK","NG"))</f>
        <v>OK</v>
      </c>
      <c r="ET318" s="160"/>
      <c r="EU318" s="162"/>
      <c r="EV318" s="175" t="str">
        <f t="shared" si="520"/>
        <v xml:space="preserve">                                                                                                                                                                                                                                                                                                                                                                                                                </v>
      </c>
      <c r="EW318" s="174" t="str">
        <f t="shared" si="538"/>
        <v>NG</v>
      </c>
      <c r="EX318" s="162"/>
      <c r="EY318" s="276" t="str">
        <f>IF(OR(EU$8="判定対象外",EX$8="判定対象外",EX318="-"),"-",IF(EU318=EX318,"OK","NG"))</f>
        <v>OK</v>
      </c>
      <c r="EZ318" s="160"/>
      <c r="FA318" s="162"/>
      <c r="FB318" s="175" t="str">
        <f t="shared" si="521"/>
        <v xml:space="preserve">                                                                                                                                                                                                                                                                                                                                                                                                                </v>
      </c>
      <c r="FC318" s="174" t="str">
        <f t="shared" si="539"/>
        <v>NG</v>
      </c>
      <c r="FD318" s="162"/>
      <c r="FE318" s="276" t="str">
        <f>IF(OR(FA$8="判定対象外",FD$8="判定対象外",FD318="-"),"-",IF(FA318=FD318,"OK","NG"))</f>
        <v>OK</v>
      </c>
      <c r="FF318" s="160"/>
      <c r="FG318" s="162"/>
      <c r="FH318" s="175" t="str">
        <f t="shared" si="522"/>
        <v xml:space="preserve">                                                                                                                                                                                                                                                                                                                                                                                                                </v>
      </c>
      <c r="FI318" s="174" t="str">
        <f t="shared" si="540"/>
        <v>NG</v>
      </c>
      <c r="FJ318" s="162"/>
      <c r="FK318" s="276" t="str">
        <f>IF(OR(FG$8="判定対象外",FJ$8="判定対象外",FJ318="-"),"-",IF(FG318=FJ318,"OK","NG"))</f>
        <v>OK</v>
      </c>
      <c r="FL318" s="160"/>
      <c r="FM318" s="162"/>
      <c r="FN318" s="175" t="str">
        <f t="shared" si="523"/>
        <v xml:space="preserve">                                                                                                                                                                                                                                                                                                                                                                                                                </v>
      </c>
      <c r="FO318" s="174" t="str">
        <f t="shared" si="497"/>
        <v>NG</v>
      </c>
      <c r="FP318" s="162"/>
      <c r="FQ318" s="276" t="str">
        <f>IF(OR(FM$8="判定対象外",FP$8="判定対象外",FP318="-"),"-",IF(FM318=FP318,"OK","NG"))</f>
        <v>OK</v>
      </c>
      <c r="FR318" s="160"/>
      <c r="FS318" s="162"/>
      <c r="FT318" s="175" t="str">
        <f t="shared" si="524"/>
        <v xml:space="preserve">                                                                                                                                                                                                                                                                                                                                                                                                                </v>
      </c>
      <c r="FU318" s="174" t="str">
        <f t="shared" si="498"/>
        <v>NG</v>
      </c>
      <c r="FV318" s="162"/>
      <c r="FW318" s="276" t="str">
        <f>IF(OR(FS$8="判定対象外",FV$8="判定対象外",FV318="-"),"-",IF(FS318=FV318,"OK","NG"))</f>
        <v>OK</v>
      </c>
      <c r="FX318" s="160"/>
      <c r="FY318" s="162"/>
      <c r="FZ318" s="175" t="str">
        <f t="shared" si="525"/>
        <v xml:space="preserve">                                                                                                                                                                                                                                                                                                                                                                                                                </v>
      </c>
      <c r="GA318" s="174" t="str">
        <f t="shared" si="499"/>
        <v>NG</v>
      </c>
      <c r="GB318" s="162"/>
      <c r="GC318" s="276" t="str">
        <f>IF(OR(FY$8="判定対象外",GB$8="判定対象外",GB318="-"),"-",IF(FY318=GB318,"OK","NG"))</f>
        <v>OK</v>
      </c>
    </row>
    <row r="319" spans="1:185" s="52" customFormat="1" ht="63.75">
      <c r="B319" s="216">
        <f t="shared" si="527"/>
        <v>312</v>
      </c>
      <c r="C319" s="37"/>
      <c r="D319" s="37"/>
      <c r="E319" s="37"/>
      <c r="F319" s="49" t="s">
        <v>213</v>
      </c>
      <c r="G319" s="39"/>
      <c r="H319" s="40"/>
      <c r="I319" s="42"/>
      <c r="J319" s="42"/>
      <c r="K319" s="42"/>
      <c r="L319" s="42"/>
      <c r="M319" s="163" t="s">
        <v>335</v>
      </c>
      <c r="N319" s="47"/>
      <c r="O319" s="143"/>
      <c r="P319" s="45">
        <f t="shared" si="532"/>
        <v>286</v>
      </c>
      <c r="Q319" s="46">
        <v>400</v>
      </c>
      <c r="R319" s="41" t="str">
        <f t="shared" si="541"/>
        <v>NX</v>
      </c>
      <c r="S319" s="185" t="s">
        <v>214</v>
      </c>
      <c r="T319" s="43"/>
      <c r="U319" s="41" t="s">
        <v>80</v>
      </c>
      <c r="V319" s="44"/>
      <c r="W319" s="22">
        <v>3</v>
      </c>
      <c r="X319" s="47" t="s">
        <v>215</v>
      </c>
      <c r="Y319" s="47">
        <v>1</v>
      </c>
      <c r="Z319" s="47">
        <v>400</v>
      </c>
      <c r="AA319" s="42" t="s">
        <v>195</v>
      </c>
      <c r="AB319" s="42" t="s">
        <v>80</v>
      </c>
      <c r="AC319" s="166"/>
      <c r="AD319" s="160"/>
      <c r="AE319" s="162"/>
      <c r="AF319" s="146" t="str">
        <f t="shared" si="501"/>
        <v xml:space="preserve">                                                                                                                                                                                                                                                                                                                                                                                                                </v>
      </c>
      <c r="AG319" s="174" t="str">
        <f t="shared" si="483"/>
        <v>NG</v>
      </c>
      <c r="AH319" s="162"/>
      <c r="AI319" s="172" t="s">
        <v>71</v>
      </c>
      <c r="AJ319" s="160"/>
      <c r="AK319" s="162"/>
      <c r="AL319" s="146" t="str">
        <f t="shared" si="500"/>
        <v xml:space="preserve">                                                                                                                                                                                                                                                                                                                                                                                                                </v>
      </c>
      <c r="AM319" s="174" t="str">
        <f t="shared" si="528"/>
        <v>NG</v>
      </c>
      <c r="AN319" s="162"/>
      <c r="AO319" s="172" t="s">
        <v>71</v>
      </c>
      <c r="AP319" s="160"/>
      <c r="AQ319" s="162"/>
      <c r="AR319" s="146" t="str">
        <f t="shared" si="502"/>
        <v xml:space="preserve">                                                                                                                                                                                                                                                                                                                                                                                                                </v>
      </c>
      <c r="AS319" s="174" t="str">
        <f t="shared" si="484"/>
        <v>NG</v>
      </c>
      <c r="AT319" s="162"/>
      <c r="AU319" s="172" t="s">
        <v>71</v>
      </c>
      <c r="AV319" s="160"/>
      <c r="AW319" s="162"/>
      <c r="AX319" s="146" t="str">
        <f t="shared" si="503"/>
        <v xml:space="preserve">                                                                                                                                                                                                                                                                                                                                                                                                                </v>
      </c>
      <c r="AY319" s="174" t="str">
        <f t="shared" si="485"/>
        <v>NG</v>
      </c>
      <c r="AZ319" s="162"/>
      <c r="BA319" s="172" t="s">
        <v>71</v>
      </c>
      <c r="BB319" s="160"/>
      <c r="BC319" s="162"/>
      <c r="BD319" s="146" t="str">
        <f t="shared" si="504"/>
        <v xml:space="preserve">                                                                                                                                                                                                                                                                                                                                                                                                                </v>
      </c>
      <c r="BE319" s="174" t="str">
        <f t="shared" si="486"/>
        <v>NG</v>
      </c>
      <c r="BF319" s="162"/>
      <c r="BG319" s="172" t="s">
        <v>71</v>
      </c>
      <c r="BH319" s="160"/>
      <c r="BI319" s="162"/>
      <c r="BJ319" s="146" t="str">
        <f t="shared" si="505"/>
        <v xml:space="preserve">                                                                                                                                                                                                                                                                                                                                                                                                                </v>
      </c>
      <c r="BK319" s="174" t="str">
        <f t="shared" si="487"/>
        <v>NG</v>
      </c>
      <c r="BL319" s="162"/>
      <c r="BM319" s="172" t="s">
        <v>71</v>
      </c>
      <c r="BN319" s="160"/>
      <c r="BO319" s="162"/>
      <c r="BP319" s="146" t="str">
        <f t="shared" si="506"/>
        <v xml:space="preserve">                                                                                                                                                                                                                                                                                                                                                                                                                </v>
      </c>
      <c r="BQ319" s="174" t="str">
        <f t="shared" si="488"/>
        <v>NG</v>
      </c>
      <c r="BR319" s="162"/>
      <c r="BS319" s="172" t="s">
        <v>71</v>
      </c>
      <c r="BT319" s="160"/>
      <c r="BU319" s="162"/>
      <c r="BV319" s="146" t="str">
        <f t="shared" si="507"/>
        <v xml:space="preserve">                                                                                                                                                                                                                                                                                                                                                                                                                </v>
      </c>
      <c r="BW319" s="174" t="str">
        <f t="shared" si="489"/>
        <v>NG</v>
      </c>
      <c r="BX319" s="162"/>
      <c r="BY319" s="172" t="s">
        <v>71</v>
      </c>
      <c r="BZ319" s="160"/>
      <c r="CA319" s="162"/>
      <c r="CB319" s="146" t="str">
        <f t="shared" si="508"/>
        <v xml:space="preserve">                                                                                                                                                                                                                                                                                                                                                                                                                </v>
      </c>
      <c r="CC319" s="174" t="str">
        <f t="shared" si="490"/>
        <v>NG</v>
      </c>
      <c r="CD319" s="162"/>
      <c r="CE319" s="172" t="s">
        <v>71</v>
      </c>
      <c r="CF319" s="160"/>
      <c r="CG319" s="162"/>
      <c r="CH319" s="146" t="str">
        <f t="shared" si="509"/>
        <v xml:space="preserve">                                                                                                                                                                                                                                                                                                                                                                                                                </v>
      </c>
      <c r="CI319" s="174" t="str">
        <f t="shared" si="491"/>
        <v>NG</v>
      </c>
      <c r="CJ319" s="162"/>
      <c r="CK319" s="172" t="s">
        <v>71</v>
      </c>
      <c r="CL319" s="160"/>
      <c r="CM319" s="162"/>
      <c r="CN319" s="146" t="str">
        <f t="shared" si="510"/>
        <v xml:space="preserve">                                                                                                                                                                                                                                                                                                                                                                                                                </v>
      </c>
      <c r="CO319" s="174" t="str">
        <f t="shared" si="492"/>
        <v>NG</v>
      </c>
      <c r="CP319" s="162"/>
      <c r="CQ319" s="172" t="s">
        <v>71</v>
      </c>
      <c r="CR319" s="160"/>
      <c r="CS319" s="162"/>
      <c r="CT319" s="146" t="str">
        <f t="shared" si="511"/>
        <v xml:space="preserve">                                                                                                                                                                                                                                                                                                                                                                                                                </v>
      </c>
      <c r="CU319" s="174" t="str">
        <f t="shared" si="493"/>
        <v>NG</v>
      </c>
      <c r="CV319" s="162"/>
      <c r="CW319" s="172" t="s">
        <v>71</v>
      </c>
      <c r="CX319" s="160"/>
      <c r="CY319" s="162"/>
      <c r="CZ319" s="146" t="str">
        <f t="shared" si="512"/>
        <v xml:space="preserve">                                                                                                                                                                                                                                                                                                                                                                                                                </v>
      </c>
      <c r="DA319" s="174" t="str">
        <f t="shared" si="494"/>
        <v>NG</v>
      </c>
      <c r="DB319" s="162"/>
      <c r="DC319" s="172" t="s">
        <v>71</v>
      </c>
      <c r="DD319" s="160"/>
      <c r="DE319" s="162"/>
      <c r="DF319" s="146" t="str">
        <f t="shared" si="513"/>
        <v xml:space="preserve">                                                                                                                                                                                                                                                                                                                                                                                                                </v>
      </c>
      <c r="DG319" s="174" t="str">
        <f t="shared" si="495"/>
        <v>NG</v>
      </c>
      <c r="DH319" s="162"/>
      <c r="DI319" s="172" t="s">
        <v>71</v>
      </c>
      <c r="DJ319" s="160"/>
      <c r="DK319" s="162"/>
      <c r="DL319" s="146" t="str">
        <f t="shared" si="514"/>
        <v xml:space="preserve">                                                                                                                                                                                                                                                                                                                                                                                                                </v>
      </c>
      <c r="DM319" s="174" t="str">
        <f t="shared" si="496"/>
        <v>NG</v>
      </c>
      <c r="DN319" s="162"/>
      <c r="DO319" s="172" t="s">
        <v>71</v>
      </c>
      <c r="DP319" s="160"/>
      <c r="DQ319" s="162"/>
      <c r="DR319" s="146" t="str">
        <f t="shared" si="515"/>
        <v xml:space="preserve">                                                                                                                                                                                                                                                                                                                                                                                                                </v>
      </c>
      <c r="DS319" s="174" t="str">
        <f t="shared" si="533"/>
        <v>NG</v>
      </c>
      <c r="DT319" s="162"/>
      <c r="DU319" s="172" t="s">
        <v>71</v>
      </c>
      <c r="DV319" s="160"/>
      <c r="DW319" s="162"/>
      <c r="DX319" s="146" t="str">
        <f t="shared" si="516"/>
        <v xml:space="preserve">                                                                                                                                                                                                                                                                                                                                                                                                                </v>
      </c>
      <c r="DY319" s="174" t="str">
        <f t="shared" si="534"/>
        <v>NG</v>
      </c>
      <c r="DZ319" s="162"/>
      <c r="EA319" s="172" t="s">
        <v>71</v>
      </c>
      <c r="EB319" s="160"/>
      <c r="EC319" s="162"/>
      <c r="ED319" s="146" t="str">
        <f t="shared" si="517"/>
        <v xml:space="preserve">                                                                                                                                                                                                                                                                                                                                                                                                                </v>
      </c>
      <c r="EE319" s="174" t="str">
        <f t="shared" si="535"/>
        <v>NG</v>
      </c>
      <c r="EF319" s="162"/>
      <c r="EG319" s="172" t="s">
        <v>71</v>
      </c>
      <c r="EH319" s="160"/>
      <c r="EI319" s="162"/>
      <c r="EJ319" s="146" t="str">
        <f t="shared" si="518"/>
        <v xml:space="preserve">                                                                                                                                                                                                                                                                                                                                                                                                                </v>
      </c>
      <c r="EK319" s="174" t="str">
        <f t="shared" si="536"/>
        <v>NG</v>
      </c>
      <c r="EL319" s="162"/>
      <c r="EM319" s="172" t="s">
        <v>71</v>
      </c>
      <c r="EN319" s="160"/>
      <c r="EO319" s="162"/>
      <c r="EP319" s="146" t="str">
        <f t="shared" si="519"/>
        <v xml:space="preserve">                                                                                                                                                                                                                                                                                                                                                                                                                </v>
      </c>
      <c r="EQ319" s="174" t="str">
        <f t="shared" si="537"/>
        <v>NG</v>
      </c>
      <c r="ER319" s="162"/>
      <c r="ES319" s="172" t="s">
        <v>71</v>
      </c>
      <c r="ET319" s="160"/>
      <c r="EU319" s="162"/>
      <c r="EV319" s="146" t="str">
        <f t="shared" si="520"/>
        <v xml:space="preserve">                                                                                                                                                                                                                                                                                                                                                                                                                </v>
      </c>
      <c r="EW319" s="174" t="str">
        <f t="shared" si="538"/>
        <v>NG</v>
      </c>
      <c r="EX319" s="162"/>
      <c r="EY319" s="172" t="s">
        <v>71</v>
      </c>
      <c r="EZ319" s="160"/>
      <c r="FA319" s="162"/>
      <c r="FB319" s="146" t="str">
        <f t="shared" si="521"/>
        <v xml:space="preserve">                                                                                                                                                                                                                                                                                                                                                                                                                </v>
      </c>
      <c r="FC319" s="174" t="str">
        <f t="shared" si="539"/>
        <v>NG</v>
      </c>
      <c r="FD319" s="162"/>
      <c r="FE319" s="172" t="s">
        <v>71</v>
      </c>
      <c r="FF319" s="160"/>
      <c r="FG319" s="162"/>
      <c r="FH319" s="146" t="str">
        <f t="shared" si="522"/>
        <v xml:space="preserve">                                                                                                                                                                                                                                                                                                                                                                                                                </v>
      </c>
      <c r="FI319" s="174" t="str">
        <f t="shared" si="540"/>
        <v>NG</v>
      </c>
      <c r="FJ319" s="162"/>
      <c r="FK319" s="172" t="s">
        <v>71</v>
      </c>
      <c r="FL319" s="160"/>
      <c r="FM319" s="162"/>
      <c r="FN319" s="146" t="str">
        <f t="shared" si="523"/>
        <v xml:space="preserve">                                                                                                                                                                                                                                                                                                                                                                                                                </v>
      </c>
      <c r="FO319" s="174" t="str">
        <f t="shared" si="497"/>
        <v>NG</v>
      </c>
      <c r="FP319" s="162"/>
      <c r="FQ319" s="172" t="s">
        <v>71</v>
      </c>
      <c r="FR319" s="160"/>
      <c r="FS319" s="162"/>
      <c r="FT319" s="146" t="str">
        <f t="shared" si="524"/>
        <v xml:space="preserve">                                                                                                                                                                                                                                                                                                                                                                                                                </v>
      </c>
      <c r="FU319" s="174" t="str">
        <f t="shared" si="498"/>
        <v>NG</v>
      </c>
      <c r="FV319" s="162"/>
      <c r="FW319" s="172" t="s">
        <v>71</v>
      </c>
      <c r="FX319" s="160"/>
      <c r="FY319" s="162"/>
      <c r="FZ319" s="146" t="str">
        <f t="shared" si="525"/>
        <v xml:space="preserve">                                                                                                                                                                                                                                                                                                                                                                                                                </v>
      </c>
      <c r="GA319" s="174" t="str">
        <f t="shared" si="499"/>
        <v>NG</v>
      </c>
      <c r="GB319" s="162"/>
      <c r="GC319" s="172" t="s">
        <v>71</v>
      </c>
    </row>
    <row r="320" spans="1:185" s="52" customFormat="1">
      <c r="B320" s="216">
        <f t="shared" si="527"/>
        <v>313</v>
      </c>
      <c r="C320" s="37"/>
      <c r="D320" s="37"/>
      <c r="E320" s="37"/>
      <c r="F320" s="49" t="s">
        <v>216</v>
      </c>
      <c r="G320" s="39"/>
      <c r="H320" s="40"/>
      <c r="I320" s="42"/>
      <c r="J320" s="42"/>
      <c r="K320" s="42"/>
      <c r="L320" s="42"/>
      <c r="M320" s="63" t="s">
        <v>336</v>
      </c>
      <c r="N320" s="47"/>
      <c r="O320" s="143"/>
      <c r="P320" s="45">
        <f t="shared" si="532"/>
        <v>287</v>
      </c>
      <c r="Q320" s="46">
        <v>400</v>
      </c>
      <c r="R320" s="41" t="str">
        <f t="shared" si="541"/>
        <v>NX</v>
      </c>
      <c r="S320" s="185" t="s">
        <v>217</v>
      </c>
      <c r="T320" s="43"/>
      <c r="U320" s="41" t="s">
        <v>80</v>
      </c>
      <c r="V320" s="44"/>
      <c r="W320" s="22">
        <v>3</v>
      </c>
      <c r="X320" s="47" t="s">
        <v>218</v>
      </c>
      <c r="Y320" s="47">
        <v>1</v>
      </c>
      <c r="Z320" s="47">
        <v>400</v>
      </c>
      <c r="AA320" s="42" t="s">
        <v>195</v>
      </c>
      <c r="AB320" s="42" t="s">
        <v>80</v>
      </c>
      <c r="AC320" s="166"/>
      <c r="AD320" s="160"/>
      <c r="AE320" s="141"/>
      <c r="AF320" s="146" t="str">
        <f t="shared" si="501"/>
        <v xml:space="preserve">                                                                                                                                                                                                                                                                                                                                                                                                                </v>
      </c>
      <c r="AG320" s="174" t="str">
        <f t="shared" si="483"/>
        <v>NG</v>
      </c>
      <c r="AH320" s="141"/>
      <c r="AI320" s="172" t="s">
        <v>71</v>
      </c>
      <c r="AJ320" s="160"/>
      <c r="AK320" s="141"/>
      <c r="AL320" s="146" t="str">
        <f t="shared" si="500"/>
        <v xml:space="preserve">                                                                                                                                                                                                                                                                                                                                                                                                                </v>
      </c>
      <c r="AM320" s="174" t="str">
        <f t="shared" si="528"/>
        <v>NG</v>
      </c>
      <c r="AN320" s="141"/>
      <c r="AO320" s="172" t="s">
        <v>71</v>
      </c>
      <c r="AP320" s="160"/>
      <c r="AQ320" s="141"/>
      <c r="AR320" s="146" t="str">
        <f t="shared" si="502"/>
        <v xml:space="preserve">                                                                                                                                                                                                                                                                                                                                                                                                                </v>
      </c>
      <c r="AS320" s="174" t="str">
        <f t="shared" si="484"/>
        <v>NG</v>
      </c>
      <c r="AT320" s="141"/>
      <c r="AU320" s="172" t="s">
        <v>71</v>
      </c>
      <c r="AV320" s="160"/>
      <c r="AW320" s="141"/>
      <c r="AX320" s="146" t="str">
        <f t="shared" si="503"/>
        <v xml:space="preserve">                                                                                                                                                                                                                                                                                                                                                                                                                </v>
      </c>
      <c r="AY320" s="174" t="str">
        <f t="shared" si="485"/>
        <v>NG</v>
      </c>
      <c r="AZ320" s="141"/>
      <c r="BA320" s="172" t="s">
        <v>71</v>
      </c>
      <c r="BB320" s="160"/>
      <c r="BC320" s="141"/>
      <c r="BD320" s="146" t="str">
        <f t="shared" si="504"/>
        <v xml:space="preserve">                                                                                                                                                                                                                                                                                                                                                                                                                </v>
      </c>
      <c r="BE320" s="174" t="str">
        <f t="shared" si="486"/>
        <v>NG</v>
      </c>
      <c r="BF320" s="141"/>
      <c r="BG320" s="172" t="s">
        <v>71</v>
      </c>
      <c r="BH320" s="160"/>
      <c r="BI320" s="141"/>
      <c r="BJ320" s="146" t="str">
        <f t="shared" si="505"/>
        <v xml:space="preserve">                                                                                                                                                                                                                                                                                                                                                                                                                </v>
      </c>
      <c r="BK320" s="174" t="str">
        <f t="shared" si="487"/>
        <v>NG</v>
      </c>
      <c r="BL320" s="141"/>
      <c r="BM320" s="172" t="s">
        <v>71</v>
      </c>
      <c r="BN320" s="160"/>
      <c r="BO320" s="141"/>
      <c r="BP320" s="146" t="str">
        <f t="shared" si="506"/>
        <v xml:space="preserve">                                                                                                                                                                                                                                                                                                                                                                                                                </v>
      </c>
      <c r="BQ320" s="174" t="str">
        <f t="shared" si="488"/>
        <v>NG</v>
      </c>
      <c r="BR320" s="141"/>
      <c r="BS320" s="172" t="s">
        <v>71</v>
      </c>
      <c r="BT320" s="160"/>
      <c r="BU320" s="141"/>
      <c r="BV320" s="146" t="str">
        <f t="shared" si="507"/>
        <v xml:space="preserve">                                                                                                                                                                                                                                                                                                                                                                                                                </v>
      </c>
      <c r="BW320" s="174" t="str">
        <f t="shared" si="489"/>
        <v>NG</v>
      </c>
      <c r="BX320" s="141"/>
      <c r="BY320" s="172" t="s">
        <v>71</v>
      </c>
      <c r="BZ320" s="160"/>
      <c r="CA320" s="141"/>
      <c r="CB320" s="146" t="str">
        <f t="shared" si="508"/>
        <v xml:space="preserve">                                                                                                                                                                                                                                                                                                                                                                                                                </v>
      </c>
      <c r="CC320" s="174" t="str">
        <f t="shared" si="490"/>
        <v>NG</v>
      </c>
      <c r="CD320" s="141"/>
      <c r="CE320" s="172" t="s">
        <v>71</v>
      </c>
      <c r="CF320" s="160"/>
      <c r="CG320" s="141"/>
      <c r="CH320" s="146" t="str">
        <f t="shared" si="509"/>
        <v xml:space="preserve">                                                                                                                                                                                                                                                                                                                                                                                                                </v>
      </c>
      <c r="CI320" s="174" t="str">
        <f t="shared" si="491"/>
        <v>NG</v>
      </c>
      <c r="CJ320" s="141"/>
      <c r="CK320" s="172" t="s">
        <v>71</v>
      </c>
      <c r="CL320" s="160"/>
      <c r="CM320" s="141"/>
      <c r="CN320" s="146" t="str">
        <f t="shared" si="510"/>
        <v xml:space="preserve">                                                                                                                                                                                                                                                                                                                                                                                                                </v>
      </c>
      <c r="CO320" s="174" t="str">
        <f t="shared" si="492"/>
        <v>NG</v>
      </c>
      <c r="CP320" s="141"/>
      <c r="CQ320" s="172" t="s">
        <v>71</v>
      </c>
      <c r="CR320" s="160"/>
      <c r="CS320" s="141"/>
      <c r="CT320" s="146" t="str">
        <f t="shared" si="511"/>
        <v xml:space="preserve">                                                                                                                                                                                                                                                                                                                                                                                                                </v>
      </c>
      <c r="CU320" s="174" t="str">
        <f t="shared" si="493"/>
        <v>NG</v>
      </c>
      <c r="CV320" s="141"/>
      <c r="CW320" s="172" t="s">
        <v>71</v>
      </c>
      <c r="CX320" s="160"/>
      <c r="CY320" s="141"/>
      <c r="CZ320" s="146" t="str">
        <f t="shared" si="512"/>
        <v xml:space="preserve">                                                                                                                                                                                                                                                                                                                                                                                                                </v>
      </c>
      <c r="DA320" s="174" t="str">
        <f t="shared" si="494"/>
        <v>NG</v>
      </c>
      <c r="DB320" s="141"/>
      <c r="DC320" s="172" t="s">
        <v>71</v>
      </c>
      <c r="DD320" s="160"/>
      <c r="DE320" s="141"/>
      <c r="DF320" s="146" t="str">
        <f t="shared" si="513"/>
        <v xml:space="preserve">                                                                                                                                                                                                                                                                                                                                                                                                                </v>
      </c>
      <c r="DG320" s="174" t="str">
        <f t="shared" si="495"/>
        <v>NG</v>
      </c>
      <c r="DH320" s="141"/>
      <c r="DI320" s="172" t="s">
        <v>71</v>
      </c>
      <c r="DJ320" s="160"/>
      <c r="DK320" s="141"/>
      <c r="DL320" s="146" t="str">
        <f t="shared" si="514"/>
        <v xml:space="preserve">                                                                                                                                                                                                                                                                                                                                                                                                                </v>
      </c>
      <c r="DM320" s="174" t="str">
        <f t="shared" si="496"/>
        <v>NG</v>
      </c>
      <c r="DN320" s="141"/>
      <c r="DO320" s="172" t="s">
        <v>71</v>
      </c>
      <c r="DP320" s="160"/>
      <c r="DQ320" s="141"/>
      <c r="DR320" s="146" t="str">
        <f t="shared" si="515"/>
        <v xml:space="preserve">                                                                                                                                                                                                                                                                                                                                                                                                                </v>
      </c>
      <c r="DS320" s="174" t="str">
        <f t="shared" si="533"/>
        <v>NG</v>
      </c>
      <c r="DT320" s="141"/>
      <c r="DU320" s="172" t="s">
        <v>71</v>
      </c>
      <c r="DV320" s="160"/>
      <c r="DW320" s="141"/>
      <c r="DX320" s="146" t="str">
        <f t="shared" si="516"/>
        <v xml:space="preserve">                                                                                                                                                                                                                                                                                                                                                                                                                </v>
      </c>
      <c r="DY320" s="174" t="str">
        <f t="shared" si="534"/>
        <v>NG</v>
      </c>
      <c r="DZ320" s="141"/>
      <c r="EA320" s="172" t="s">
        <v>71</v>
      </c>
      <c r="EB320" s="160"/>
      <c r="EC320" s="141"/>
      <c r="ED320" s="146" t="str">
        <f t="shared" si="517"/>
        <v xml:space="preserve">                                                                                                                                                                                                                                                                                                                                                                                                                </v>
      </c>
      <c r="EE320" s="174" t="str">
        <f t="shared" si="535"/>
        <v>NG</v>
      </c>
      <c r="EF320" s="141"/>
      <c r="EG320" s="172" t="s">
        <v>71</v>
      </c>
      <c r="EH320" s="160"/>
      <c r="EI320" s="141"/>
      <c r="EJ320" s="146" t="str">
        <f t="shared" si="518"/>
        <v xml:space="preserve">                                                                                                                                                                                                                                                                                                                                                                                                                </v>
      </c>
      <c r="EK320" s="174" t="str">
        <f t="shared" si="536"/>
        <v>NG</v>
      </c>
      <c r="EL320" s="141"/>
      <c r="EM320" s="172" t="s">
        <v>71</v>
      </c>
      <c r="EN320" s="160"/>
      <c r="EO320" s="141"/>
      <c r="EP320" s="146" t="str">
        <f t="shared" si="519"/>
        <v xml:space="preserve">                                                                                                                                                                                                                                                                                                                                                                                                                </v>
      </c>
      <c r="EQ320" s="174" t="str">
        <f t="shared" si="537"/>
        <v>NG</v>
      </c>
      <c r="ER320" s="141"/>
      <c r="ES320" s="172" t="s">
        <v>71</v>
      </c>
      <c r="ET320" s="160"/>
      <c r="EU320" s="141"/>
      <c r="EV320" s="146" t="str">
        <f t="shared" si="520"/>
        <v xml:space="preserve">                                                                                                                                                                                                                                                                                                                                                                                                                </v>
      </c>
      <c r="EW320" s="174" t="str">
        <f t="shared" si="538"/>
        <v>NG</v>
      </c>
      <c r="EX320" s="141"/>
      <c r="EY320" s="172" t="s">
        <v>71</v>
      </c>
      <c r="EZ320" s="160"/>
      <c r="FA320" s="141"/>
      <c r="FB320" s="146" t="str">
        <f t="shared" si="521"/>
        <v xml:space="preserve">                                                                                                                                                                                                                                                                                                                                                                                                                </v>
      </c>
      <c r="FC320" s="174" t="str">
        <f t="shared" si="539"/>
        <v>NG</v>
      </c>
      <c r="FD320" s="141"/>
      <c r="FE320" s="172" t="s">
        <v>71</v>
      </c>
      <c r="FF320" s="160"/>
      <c r="FG320" s="141"/>
      <c r="FH320" s="146" t="str">
        <f t="shared" si="522"/>
        <v xml:space="preserve">                                                                                                                                                                                                                                                                                                                                                                                                                </v>
      </c>
      <c r="FI320" s="174" t="str">
        <f t="shared" si="540"/>
        <v>NG</v>
      </c>
      <c r="FJ320" s="141"/>
      <c r="FK320" s="172" t="s">
        <v>71</v>
      </c>
      <c r="FL320" s="160"/>
      <c r="FM320" s="141"/>
      <c r="FN320" s="146" t="str">
        <f t="shared" si="523"/>
        <v xml:space="preserve">                                                                                                                                                                                                                                                                                                                                                                                                                </v>
      </c>
      <c r="FO320" s="174" t="str">
        <f t="shared" si="497"/>
        <v>NG</v>
      </c>
      <c r="FP320" s="141"/>
      <c r="FQ320" s="172" t="s">
        <v>71</v>
      </c>
      <c r="FR320" s="160"/>
      <c r="FS320" s="141"/>
      <c r="FT320" s="146" t="str">
        <f t="shared" si="524"/>
        <v xml:space="preserve">                                                                                                                                                                                                                                                                                                                                                                                                                </v>
      </c>
      <c r="FU320" s="174" t="str">
        <f t="shared" si="498"/>
        <v>NG</v>
      </c>
      <c r="FV320" s="141"/>
      <c r="FW320" s="172" t="s">
        <v>71</v>
      </c>
      <c r="FX320" s="160"/>
      <c r="FY320" s="141"/>
      <c r="FZ320" s="146" t="str">
        <f t="shared" si="525"/>
        <v xml:space="preserve">                                                                                                                                                                                                                                                                                                                                                                                                                </v>
      </c>
      <c r="GA320" s="174" t="str">
        <f t="shared" si="499"/>
        <v>NG</v>
      </c>
      <c r="GB320" s="141"/>
      <c r="GC320" s="172" t="s">
        <v>71</v>
      </c>
    </row>
    <row r="321" spans="1:185" s="52" customFormat="1" ht="76.5">
      <c r="B321" s="216">
        <f t="shared" si="527"/>
        <v>314</v>
      </c>
      <c r="C321" s="37"/>
      <c r="D321" s="37"/>
      <c r="E321" s="37"/>
      <c r="F321" s="49" t="s">
        <v>219</v>
      </c>
      <c r="G321" s="39"/>
      <c r="H321" s="40"/>
      <c r="I321" s="42"/>
      <c r="J321" s="42"/>
      <c r="K321" s="42"/>
      <c r="L321" s="42"/>
      <c r="M321" s="63" t="s">
        <v>337</v>
      </c>
      <c r="N321" s="47"/>
      <c r="O321" s="143"/>
      <c r="P321" s="45">
        <f t="shared" si="532"/>
        <v>288</v>
      </c>
      <c r="Q321" s="46">
        <v>400</v>
      </c>
      <c r="R321" s="41" t="str">
        <f t="shared" si="541"/>
        <v>NX</v>
      </c>
      <c r="S321" s="185" t="s">
        <v>220</v>
      </c>
      <c r="T321" s="43"/>
      <c r="U321" s="41" t="s">
        <v>80</v>
      </c>
      <c r="V321" s="44"/>
      <c r="W321" s="22">
        <v>3</v>
      </c>
      <c r="X321" s="47" t="s">
        <v>221</v>
      </c>
      <c r="Y321" s="47">
        <v>1</v>
      </c>
      <c r="Z321" s="47">
        <v>400</v>
      </c>
      <c r="AA321" s="42" t="s">
        <v>195</v>
      </c>
      <c r="AB321" s="42" t="s">
        <v>80</v>
      </c>
      <c r="AC321" s="166"/>
      <c r="AD321" s="160"/>
      <c r="AE321" s="141"/>
      <c r="AF321" s="146" t="str">
        <f t="shared" si="501"/>
        <v xml:space="preserve">                                                                                                                                                                                                                                                                                                                                                                                                                </v>
      </c>
      <c r="AG321" s="174" t="str">
        <f t="shared" si="483"/>
        <v>NG</v>
      </c>
      <c r="AH321" s="141"/>
      <c r="AI321" s="172" t="s">
        <v>71</v>
      </c>
      <c r="AJ321" s="160"/>
      <c r="AK321" s="141"/>
      <c r="AL321" s="146" t="str">
        <f t="shared" si="500"/>
        <v xml:space="preserve">                                                                                                                                                                                                                                                                                                                                                                                                                </v>
      </c>
      <c r="AM321" s="174" t="str">
        <f t="shared" si="528"/>
        <v>NG</v>
      </c>
      <c r="AN321" s="141"/>
      <c r="AO321" s="172" t="s">
        <v>71</v>
      </c>
      <c r="AP321" s="160"/>
      <c r="AQ321" s="141"/>
      <c r="AR321" s="146" t="str">
        <f t="shared" si="502"/>
        <v xml:space="preserve">                                                                                                                                                                                                                                                                                                                                                                                                                </v>
      </c>
      <c r="AS321" s="174" t="str">
        <f t="shared" si="484"/>
        <v>NG</v>
      </c>
      <c r="AT321" s="141"/>
      <c r="AU321" s="172" t="s">
        <v>71</v>
      </c>
      <c r="AV321" s="160"/>
      <c r="AW321" s="141"/>
      <c r="AX321" s="146" t="str">
        <f t="shared" si="503"/>
        <v xml:space="preserve">                                                                                                                                                                                                                                                                                                                                                                                                                </v>
      </c>
      <c r="AY321" s="174" t="str">
        <f t="shared" si="485"/>
        <v>NG</v>
      </c>
      <c r="AZ321" s="141"/>
      <c r="BA321" s="172" t="s">
        <v>71</v>
      </c>
      <c r="BB321" s="160"/>
      <c r="BC321" s="141"/>
      <c r="BD321" s="146" t="str">
        <f t="shared" si="504"/>
        <v xml:space="preserve">                                                                                                                                                                                                                                                                                                                                                                                                                </v>
      </c>
      <c r="BE321" s="174" t="str">
        <f t="shared" si="486"/>
        <v>NG</v>
      </c>
      <c r="BF321" s="141"/>
      <c r="BG321" s="172" t="s">
        <v>71</v>
      </c>
      <c r="BH321" s="160"/>
      <c r="BI321" s="141"/>
      <c r="BJ321" s="146" t="str">
        <f t="shared" si="505"/>
        <v xml:space="preserve">                                                                                                                                                                                                                                                                                                                                                                                                                </v>
      </c>
      <c r="BK321" s="174" t="str">
        <f t="shared" si="487"/>
        <v>NG</v>
      </c>
      <c r="BL321" s="141"/>
      <c r="BM321" s="172" t="s">
        <v>71</v>
      </c>
      <c r="BN321" s="160"/>
      <c r="BO321" s="141"/>
      <c r="BP321" s="146" t="str">
        <f t="shared" si="506"/>
        <v xml:space="preserve">                                                                                                                                                                                                                                                                                                                                                                                                                </v>
      </c>
      <c r="BQ321" s="174" t="str">
        <f t="shared" si="488"/>
        <v>NG</v>
      </c>
      <c r="BR321" s="141"/>
      <c r="BS321" s="172" t="s">
        <v>71</v>
      </c>
      <c r="BT321" s="160"/>
      <c r="BU321" s="141"/>
      <c r="BV321" s="146" t="str">
        <f t="shared" si="507"/>
        <v xml:space="preserve">                                                                                                                                                                                                                                                                                                                                                                                                                </v>
      </c>
      <c r="BW321" s="174" t="str">
        <f t="shared" si="489"/>
        <v>NG</v>
      </c>
      <c r="BX321" s="141"/>
      <c r="BY321" s="172" t="s">
        <v>71</v>
      </c>
      <c r="BZ321" s="160"/>
      <c r="CA321" s="141"/>
      <c r="CB321" s="146" t="str">
        <f t="shared" si="508"/>
        <v xml:space="preserve">                                                                                                                                                                                                                                                                                                                                                                                                                </v>
      </c>
      <c r="CC321" s="174" t="str">
        <f t="shared" si="490"/>
        <v>NG</v>
      </c>
      <c r="CD321" s="141"/>
      <c r="CE321" s="172" t="s">
        <v>71</v>
      </c>
      <c r="CF321" s="160"/>
      <c r="CG321" s="141"/>
      <c r="CH321" s="146" t="str">
        <f t="shared" si="509"/>
        <v xml:space="preserve">                                                                                                                                                                                                                                                                                                                                                                                                                </v>
      </c>
      <c r="CI321" s="174" t="str">
        <f t="shared" si="491"/>
        <v>NG</v>
      </c>
      <c r="CJ321" s="141"/>
      <c r="CK321" s="172" t="s">
        <v>71</v>
      </c>
      <c r="CL321" s="160"/>
      <c r="CM321" s="141"/>
      <c r="CN321" s="146" t="str">
        <f t="shared" si="510"/>
        <v xml:space="preserve">                                                                                                                                                                                                                                                                                                                                                                                                                </v>
      </c>
      <c r="CO321" s="174" t="str">
        <f t="shared" si="492"/>
        <v>NG</v>
      </c>
      <c r="CP321" s="141"/>
      <c r="CQ321" s="172" t="s">
        <v>71</v>
      </c>
      <c r="CR321" s="160"/>
      <c r="CS321" s="141"/>
      <c r="CT321" s="146" t="str">
        <f t="shared" si="511"/>
        <v xml:space="preserve">                                                                                                                                                                                                                                                                                                                                                                                                                </v>
      </c>
      <c r="CU321" s="174" t="str">
        <f t="shared" si="493"/>
        <v>NG</v>
      </c>
      <c r="CV321" s="141"/>
      <c r="CW321" s="172" t="s">
        <v>71</v>
      </c>
      <c r="CX321" s="160"/>
      <c r="CY321" s="141"/>
      <c r="CZ321" s="146" t="str">
        <f t="shared" si="512"/>
        <v xml:space="preserve">                                                                                                                                                                                                                                                                                                                                                                                                                </v>
      </c>
      <c r="DA321" s="174" t="str">
        <f t="shared" si="494"/>
        <v>NG</v>
      </c>
      <c r="DB321" s="141"/>
      <c r="DC321" s="172" t="s">
        <v>71</v>
      </c>
      <c r="DD321" s="160"/>
      <c r="DE321" s="141"/>
      <c r="DF321" s="146" t="str">
        <f t="shared" si="513"/>
        <v xml:space="preserve">                                                                                                                                                                                                                                                                                                                                                                                                                </v>
      </c>
      <c r="DG321" s="174" t="str">
        <f t="shared" si="495"/>
        <v>NG</v>
      </c>
      <c r="DH321" s="141"/>
      <c r="DI321" s="172" t="s">
        <v>71</v>
      </c>
      <c r="DJ321" s="160"/>
      <c r="DK321" s="141"/>
      <c r="DL321" s="146" t="str">
        <f t="shared" si="514"/>
        <v xml:space="preserve">                                                                                                                                                                                                                                                                                                                                                                                                                </v>
      </c>
      <c r="DM321" s="174" t="str">
        <f t="shared" si="496"/>
        <v>NG</v>
      </c>
      <c r="DN321" s="141"/>
      <c r="DO321" s="172" t="s">
        <v>71</v>
      </c>
      <c r="DP321" s="160"/>
      <c r="DQ321" s="141"/>
      <c r="DR321" s="146" t="str">
        <f t="shared" si="515"/>
        <v xml:space="preserve">                                                                                                                                                                                                                                                                                                                                                                                                                </v>
      </c>
      <c r="DS321" s="174" t="str">
        <f t="shared" si="533"/>
        <v>NG</v>
      </c>
      <c r="DT321" s="141"/>
      <c r="DU321" s="172" t="s">
        <v>71</v>
      </c>
      <c r="DV321" s="160"/>
      <c r="DW321" s="141"/>
      <c r="DX321" s="146" t="str">
        <f t="shared" si="516"/>
        <v xml:space="preserve">                                                                                                                                                                                                                                                                                                                                                                                                                </v>
      </c>
      <c r="DY321" s="174" t="str">
        <f t="shared" si="534"/>
        <v>NG</v>
      </c>
      <c r="DZ321" s="141"/>
      <c r="EA321" s="172" t="s">
        <v>71</v>
      </c>
      <c r="EB321" s="160"/>
      <c r="EC321" s="141"/>
      <c r="ED321" s="146" t="str">
        <f t="shared" si="517"/>
        <v xml:space="preserve">                                                                                                                                                                                                                                                                                                                                                                                                                </v>
      </c>
      <c r="EE321" s="174" t="str">
        <f t="shared" si="535"/>
        <v>NG</v>
      </c>
      <c r="EF321" s="141"/>
      <c r="EG321" s="172" t="s">
        <v>71</v>
      </c>
      <c r="EH321" s="160"/>
      <c r="EI321" s="141"/>
      <c r="EJ321" s="146" t="str">
        <f t="shared" si="518"/>
        <v xml:space="preserve">                                                                                                                                                                                                                                                                                                                                                                                                                </v>
      </c>
      <c r="EK321" s="174" t="str">
        <f t="shared" si="536"/>
        <v>NG</v>
      </c>
      <c r="EL321" s="141"/>
      <c r="EM321" s="172" t="s">
        <v>71</v>
      </c>
      <c r="EN321" s="160"/>
      <c r="EO321" s="141"/>
      <c r="EP321" s="146" t="str">
        <f t="shared" si="519"/>
        <v xml:space="preserve">                                                                                                                                                                                                                                                                                                                                                                                                                </v>
      </c>
      <c r="EQ321" s="174" t="str">
        <f t="shared" si="537"/>
        <v>NG</v>
      </c>
      <c r="ER321" s="141"/>
      <c r="ES321" s="172" t="s">
        <v>71</v>
      </c>
      <c r="ET321" s="160"/>
      <c r="EU321" s="141"/>
      <c r="EV321" s="146" t="str">
        <f t="shared" si="520"/>
        <v xml:space="preserve">                                                                                                                                                                                                                                                                                                                                                                                                                </v>
      </c>
      <c r="EW321" s="174" t="str">
        <f t="shared" si="538"/>
        <v>NG</v>
      </c>
      <c r="EX321" s="141"/>
      <c r="EY321" s="172" t="s">
        <v>71</v>
      </c>
      <c r="EZ321" s="160"/>
      <c r="FA321" s="141"/>
      <c r="FB321" s="146" t="str">
        <f t="shared" si="521"/>
        <v xml:space="preserve">                                                                                                                                                                                                                                                                                                                                                                                                                </v>
      </c>
      <c r="FC321" s="174" t="str">
        <f t="shared" si="539"/>
        <v>NG</v>
      </c>
      <c r="FD321" s="141"/>
      <c r="FE321" s="172" t="s">
        <v>71</v>
      </c>
      <c r="FF321" s="160"/>
      <c r="FG321" s="141"/>
      <c r="FH321" s="146" t="str">
        <f t="shared" si="522"/>
        <v xml:space="preserve">                                                                                                                                                                                                                                                                                                                                                                                                                </v>
      </c>
      <c r="FI321" s="174" t="str">
        <f t="shared" si="540"/>
        <v>NG</v>
      </c>
      <c r="FJ321" s="141"/>
      <c r="FK321" s="172" t="s">
        <v>71</v>
      </c>
      <c r="FL321" s="160"/>
      <c r="FM321" s="141"/>
      <c r="FN321" s="146" t="str">
        <f t="shared" si="523"/>
        <v xml:space="preserve">                                                                                                                                                                                                                                                                                                                                                                                                                </v>
      </c>
      <c r="FO321" s="174" t="str">
        <f t="shared" si="497"/>
        <v>NG</v>
      </c>
      <c r="FP321" s="141"/>
      <c r="FQ321" s="172" t="s">
        <v>71</v>
      </c>
      <c r="FR321" s="160"/>
      <c r="FS321" s="141"/>
      <c r="FT321" s="146" t="str">
        <f t="shared" si="524"/>
        <v xml:space="preserve">                                                                                                                                                                                                                                                                                                                                                                                                                </v>
      </c>
      <c r="FU321" s="174" t="str">
        <f t="shared" si="498"/>
        <v>NG</v>
      </c>
      <c r="FV321" s="141"/>
      <c r="FW321" s="172" t="s">
        <v>71</v>
      </c>
      <c r="FX321" s="160"/>
      <c r="FY321" s="141"/>
      <c r="FZ321" s="146" t="str">
        <f t="shared" si="525"/>
        <v xml:space="preserve">                                                                                                                                                                                                                                                                                                                                                                                                                </v>
      </c>
      <c r="GA321" s="174" t="str">
        <f t="shared" si="499"/>
        <v>NG</v>
      </c>
      <c r="GB321" s="141"/>
      <c r="GC321" s="172" t="s">
        <v>71</v>
      </c>
    </row>
    <row r="322" spans="1:185" s="52" customFormat="1">
      <c r="B322" s="216">
        <f t="shared" si="527"/>
        <v>315</v>
      </c>
      <c r="C322" s="37"/>
      <c r="D322" s="37"/>
      <c r="E322" s="37"/>
      <c r="F322" s="49" t="s">
        <v>222</v>
      </c>
      <c r="G322" s="39"/>
      <c r="H322" s="40"/>
      <c r="I322" s="42"/>
      <c r="J322" s="42"/>
      <c r="K322" s="42"/>
      <c r="L322" s="42"/>
      <c r="M322" s="63" t="s">
        <v>336</v>
      </c>
      <c r="N322" s="47"/>
      <c r="O322" s="143"/>
      <c r="P322" s="45">
        <f t="shared" si="532"/>
        <v>289</v>
      </c>
      <c r="Q322" s="46">
        <v>400</v>
      </c>
      <c r="R322" s="41" t="str">
        <f t="shared" si="541"/>
        <v>NX</v>
      </c>
      <c r="S322" s="185" t="s">
        <v>223</v>
      </c>
      <c r="T322" s="43"/>
      <c r="U322" s="41" t="s">
        <v>80</v>
      </c>
      <c r="V322" s="44"/>
      <c r="W322" s="22">
        <v>3</v>
      </c>
      <c r="X322" s="47" t="s">
        <v>224</v>
      </c>
      <c r="Y322" s="47">
        <v>1</v>
      </c>
      <c r="Z322" s="47">
        <v>400</v>
      </c>
      <c r="AA322" s="42" t="s">
        <v>195</v>
      </c>
      <c r="AB322" s="42" t="s">
        <v>80</v>
      </c>
      <c r="AC322" s="166"/>
      <c r="AD322" s="160"/>
      <c r="AE322" s="141"/>
      <c r="AF322" s="146" t="str">
        <f t="shared" si="501"/>
        <v xml:space="preserve">                                                                                                                                                                                                                                                                                                                                                                                                                </v>
      </c>
      <c r="AG322" s="174" t="str">
        <f t="shared" si="483"/>
        <v>NG</v>
      </c>
      <c r="AH322" s="141"/>
      <c r="AI322" s="172" t="s">
        <v>71</v>
      </c>
      <c r="AJ322" s="160"/>
      <c r="AK322" s="141"/>
      <c r="AL322" s="146" t="str">
        <f t="shared" si="500"/>
        <v xml:space="preserve">                                                                                                                                                                                                                                                                                                                                                                                                                </v>
      </c>
      <c r="AM322" s="174" t="str">
        <f t="shared" si="528"/>
        <v>NG</v>
      </c>
      <c r="AN322" s="141"/>
      <c r="AO322" s="172" t="s">
        <v>71</v>
      </c>
      <c r="AP322" s="160"/>
      <c r="AQ322" s="141"/>
      <c r="AR322" s="146" t="str">
        <f t="shared" si="502"/>
        <v xml:space="preserve">                                                                                                                                                                                                                                                                                                                                                                                                                </v>
      </c>
      <c r="AS322" s="174" t="str">
        <f t="shared" si="484"/>
        <v>NG</v>
      </c>
      <c r="AT322" s="141"/>
      <c r="AU322" s="172" t="s">
        <v>71</v>
      </c>
      <c r="AV322" s="160"/>
      <c r="AW322" s="141"/>
      <c r="AX322" s="146" t="str">
        <f t="shared" si="503"/>
        <v xml:space="preserve">                                                                                                                                                                                                                                                                                                                                                                                                                </v>
      </c>
      <c r="AY322" s="174" t="str">
        <f t="shared" si="485"/>
        <v>NG</v>
      </c>
      <c r="AZ322" s="141"/>
      <c r="BA322" s="172" t="s">
        <v>71</v>
      </c>
      <c r="BB322" s="160"/>
      <c r="BC322" s="141"/>
      <c r="BD322" s="146" t="str">
        <f t="shared" si="504"/>
        <v xml:space="preserve">                                                                                                                                                                                                                                                                                                                                                                                                                </v>
      </c>
      <c r="BE322" s="174" t="str">
        <f t="shared" si="486"/>
        <v>NG</v>
      </c>
      <c r="BF322" s="141"/>
      <c r="BG322" s="172" t="s">
        <v>71</v>
      </c>
      <c r="BH322" s="160"/>
      <c r="BI322" s="141"/>
      <c r="BJ322" s="146" t="str">
        <f t="shared" si="505"/>
        <v xml:space="preserve">                                                                                                                                                                                                                                                                                                                                                                                                                </v>
      </c>
      <c r="BK322" s="174" t="str">
        <f t="shared" si="487"/>
        <v>NG</v>
      </c>
      <c r="BL322" s="141"/>
      <c r="BM322" s="172" t="s">
        <v>71</v>
      </c>
      <c r="BN322" s="160"/>
      <c r="BO322" s="141"/>
      <c r="BP322" s="146" t="str">
        <f t="shared" si="506"/>
        <v xml:space="preserve">                                                                                                                                                                                                                                                                                                                                                                                                                </v>
      </c>
      <c r="BQ322" s="174" t="str">
        <f t="shared" si="488"/>
        <v>NG</v>
      </c>
      <c r="BR322" s="141"/>
      <c r="BS322" s="172" t="s">
        <v>71</v>
      </c>
      <c r="BT322" s="160"/>
      <c r="BU322" s="141"/>
      <c r="BV322" s="146" t="str">
        <f t="shared" si="507"/>
        <v xml:space="preserve">                                                                                                                                                                                                                                                                                                                                                                                                                </v>
      </c>
      <c r="BW322" s="174" t="str">
        <f t="shared" si="489"/>
        <v>NG</v>
      </c>
      <c r="BX322" s="141"/>
      <c r="BY322" s="172" t="s">
        <v>71</v>
      </c>
      <c r="BZ322" s="160"/>
      <c r="CA322" s="141"/>
      <c r="CB322" s="146" t="str">
        <f t="shared" si="508"/>
        <v xml:space="preserve">                                                                                                                                                                                                                                                                                                                                                                                                                </v>
      </c>
      <c r="CC322" s="174" t="str">
        <f t="shared" si="490"/>
        <v>NG</v>
      </c>
      <c r="CD322" s="141"/>
      <c r="CE322" s="172" t="s">
        <v>71</v>
      </c>
      <c r="CF322" s="160"/>
      <c r="CG322" s="141"/>
      <c r="CH322" s="146" t="str">
        <f t="shared" si="509"/>
        <v xml:space="preserve">                                                                                                                                                                                                                                                                                                                                                                                                                </v>
      </c>
      <c r="CI322" s="174" t="str">
        <f t="shared" si="491"/>
        <v>NG</v>
      </c>
      <c r="CJ322" s="141"/>
      <c r="CK322" s="172" t="s">
        <v>71</v>
      </c>
      <c r="CL322" s="160"/>
      <c r="CM322" s="141"/>
      <c r="CN322" s="146" t="str">
        <f t="shared" si="510"/>
        <v xml:space="preserve">                                                                                                                                                                                                                                                                                                                                                                                                                </v>
      </c>
      <c r="CO322" s="174" t="str">
        <f t="shared" si="492"/>
        <v>NG</v>
      </c>
      <c r="CP322" s="141"/>
      <c r="CQ322" s="172" t="s">
        <v>71</v>
      </c>
      <c r="CR322" s="160"/>
      <c r="CS322" s="141"/>
      <c r="CT322" s="146" t="str">
        <f t="shared" si="511"/>
        <v xml:space="preserve">                                                                                                                                                                                                                                                                                                                                                                                                                </v>
      </c>
      <c r="CU322" s="174" t="str">
        <f t="shared" si="493"/>
        <v>NG</v>
      </c>
      <c r="CV322" s="141"/>
      <c r="CW322" s="172" t="s">
        <v>71</v>
      </c>
      <c r="CX322" s="160"/>
      <c r="CY322" s="141"/>
      <c r="CZ322" s="146" t="str">
        <f t="shared" si="512"/>
        <v xml:space="preserve">                                                                                                                                                                                                                                                                                                                                                                                                                </v>
      </c>
      <c r="DA322" s="174" t="str">
        <f t="shared" si="494"/>
        <v>NG</v>
      </c>
      <c r="DB322" s="141"/>
      <c r="DC322" s="172" t="s">
        <v>71</v>
      </c>
      <c r="DD322" s="160"/>
      <c r="DE322" s="141"/>
      <c r="DF322" s="146" t="str">
        <f t="shared" si="513"/>
        <v xml:space="preserve">                                                                                                                                                                                                                                                                                                                                                                                                                </v>
      </c>
      <c r="DG322" s="174" t="str">
        <f t="shared" si="495"/>
        <v>NG</v>
      </c>
      <c r="DH322" s="141"/>
      <c r="DI322" s="172" t="s">
        <v>71</v>
      </c>
      <c r="DJ322" s="160"/>
      <c r="DK322" s="141"/>
      <c r="DL322" s="146" t="str">
        <f t="shared" si="514"/>
        <v xml:space="preserve">                                                                                                                                                                                                                                                                                                                                                                                                                </v>
      </c>
      <c r="DM322" s="174" t="str">
        <f t="shared" si="496"/>
        <v>NG</v>
      </c>
      <c r="DN322" s="141"/>
      <c r="DO322" s="172" t="s">
        <v>71</v>
      </c>
      <c r="DP322" s="160"/>
      <c r="DQ322" s="141"/>
      <c r="DR322" s="146" t="str">
        <f t="shared" si="515"/>
        <v xml:space="preserve">                                                                                                                                                                                                                                                                                                                                                                                                                </v>
      </c>
      <c r="DS322" s="174" t="str">
        <f t="shared" si="533"/>
        <v>NG</v>
      </c>
      <c r="DT322" s="141"/>
      <c r="DU322" s="172" t="s">
        <v>71</v>
      </c>
      <c r="DV322" s="160"/>
      <c r="DW322" s="141"/>
      <c r="DX322" s="146" t="str">
        <f t="shared" si="516"/>
        <v xml:space="preserve">                                                                                                                                                                                                                                                                                                                                                                                                                </v>
      </c>
      <c r="DY322" s="174" t="str">
        <f t="shared" si="534"/>
        <v>NG</v>
      </c>
      <c r="DZ322" s="141"/>
      <c r="EA322" s="172" t="s">
        <v>71</v>
      </c>
      <c r="EB322" s="160"/>
      <c r="EC322" s="141"/>
      <c r="ED322" s="146" t="str">
        <f t="shared" si="517"/>
        <v xml:space="preserve">                                                                                                                                                                                                                                                                                                                                                                                                                </v>
      </c>
      <c r="EE322" s="174" t="str">
        <f t="shared" si="535"/>
        <v>NG</v>
      </c>
      <c r="EF322" s="141"/>
      <c r="EG322" s="172" t="s">
        <v>71</v>
      </c>
      <c r="EH322" s="160"/>
      <c r="EI322" s="141"/>
      <c r="EJ322" s="146" t="str">
        <f t="shared" si="518"/>
        <v xml:space="preserve">                                                                                                                                                                                                                                                                                                                                                                                                                </v>
      </c>
      <c r="EK322" s="174" t="str">
        <f t="shared" si="536"/>
        <v>NG</v>
      </c>
      <c r="EL322" s="141"/>
      <c r="EM322" s="172" t="s">
        <v>71</v>
      </c>
      <c r="EN322" s="160"/>
      <c r="EO322" s="141"/>
      <c r="EP322" s="146" t="str">
        <f t="shared" si="519"/>
        <v xml:space="preserve">                                                                                                                                                                                                                                                                                                                                                                                                                </v>
      </c>
      <c r="EQ322" s="174" t="str">
        <f t="shared" si="537"/>
        <v>NG</v>
      </c>
      <c r="ER322" s="141"/>
      <c r="ES322" s="172" t="s">
        <v>71</v>
      </c>
      <c r="ET322" s="160"/>
      <c r="EU322" s="141"/>
      <c r="EV322" s="146" t="str">
        <f t="shared" si="520"/>
        <v xml:space="preserve">                                                                                                                                                                                                                                                                                                                                                                                                                </v>
      </c>
      <c r="EW322" s="174" t="str">
        <f t="shared" si="538"/>
        <v>NG</v>
      </c>
      <c r="EX322" s="141"/>
      <c r="EY322" s="172" t="s">
        <v>71</v>
      </c>
      <c r="EZ322" s="160"/>
      <c r="FA322" s="141"/>
      <c r="FB322" s="146" t="str">
        <f t="shared" si="521"/>
        <v xml:space="preserve">                                                                                                                                                                                                                                                                                                                                                                                                                </v>
      </c>
      <c r="FC322" s="174" t="str">
        <f t="shared" si="539"/>
        <v>NG</v>
      </c>
      <c r="FD322" s="141"/>
      <c r="FE322" s="172" t="s">
        <v>71</v>
      </c>
      <c r="FF322" s="160"/>
      <c r="FG322" s="141"/>
      <c r="FH322" s="146" t="str">
        <f t="shared" si="522"/>
        <v xml:space="preserve">                                                                                                                                                                                                                                                                                                                                                                                                                </v>
      </c>
      <c r="FI322" s="174" t="str">
        <f t="shared" si="540"/>
        <v>NG</v>
      </c>
      <c r="FJ322" s="141"/>
      <c r="FK322" s="172" t="s">
        <v>71</v>
      </c>
      <c r="FL322" s="160"/>
      <c r="FM322" s="141"/>
      <c r="FN322" s="146" t="str">
        <f t="shared" si="523"/>
        <v xml:space="preserve">                                                                                                                                                                                                                                                                                                                                                                                                                </v>
      </c>
      <c r="FO322" s="174" t="str">
        <f t="shared" si="497"/>
        <v>NG</v>
      </c>
      <c r="FP322" s="141"/>
      <c r="FQ322" s="172" t="s">
        <v>71</v>
      </c>
      <c r="FR322" s="160"/>
      <c r="FS322" s="141"/>
      <c r="FT322" s="146" t="str">
        <f t="shared" si="524"/>
        <v xml:space="preserve">                                                                                                                                                                                                                                                                                                                                                                                                                </v>
      </c>
      <c r="FU322" s="174" t="str">
        <f t="shared" si="498"/>
        <v>NG</v>
      </c>
      <c r="FV322" s="141"/>
      <c r="FW322" s="172" t="s">
        <v>71</v>
      </c>
      <c r="FX322" s="160"/>
      <c r="FY322" s="141"/>
      <c r="FZ322" s="146" t="str">
        <f t="shared" si="525"/>
        <v xml:space="preserve">                                                                                                                                                                                                                                                                                                                                                                                                                </v>
      </c>
      <c r="GA322" s="174" t="str">
        <f t="shared" si="499"/>
        <v>NG</v>
      </c>
      <c r="GB322" s="141"/>
      <c r="GC322" s="172" t="s">
        <v>71</v>
      </c>
    </row>
    <row r="323" spans="1:185" s="52" customFormat="1">
      <c r="B323" s="216">
        <f t="shared" si="527"/>
        <v>316</v>
      </c>
      <c r="C323" s="37"/>
      <c r="D323" s="37"/>
      <c r="E323" s="37"/>
      <c r="F323" s="49" t="s">
        <v>225</v>
      </c>
      <c r="G323" s="39"/>
      <c r="H323" s="40"/>
      <c r="I323" s="42"/>
      <c r="J323" s="42"/>
      <c r="K323" s="42"/>
      <c r="L323" s="42"/>
      <c r="M323" s="63" t="s">
        <v>336</v>
      </c>
      <c r="N323" s="47"/>
      <c r="O323" s="143"/>
      <c r="P323" s="45">
        <f t="shared" si="532"/>
        <v>290</v>
      </c>
      <c r="Q323" s="46">
        <v>400</v>
      </c>
      <c r="R323" s="41" t="str">
        <f t="shared" si="541"/>
        <v>NX</v>
      </c>
      <c r="S323" s="185" t="s">
        <v>226</v>
      </c>
      <c r="T323" s="43"/>
      <c r="U323" s="41" t="s">
        <v>80</v>
      </c>
      <c r="V323" s="44"/>
      <c r="W323" s="22">
        <v>3</v>
      </c>
      <c r="X323" s="47" t="s">
        <v>227</v>
      </c>
      <c r="Y323" s="47">
        <v>1</v>
      </c>
      <c r="Z323" s="47">
        <v>400</v>
      </c>
      <c r="AA323" s="42" t="s">
        <v>195</v>
      </c>
      <c r="AB323" s="42" t="s">
        <v>80</v>
      </c>
      <c r="AC323" s="166"/>
      <c r="AD323" s="160"/>
      <c r="AE323" s="141"/>
      <c r="AF323" s="146" t="str">
        <f t="shared" si="501"/>
        <v xml:space="preserve">                                                                                                                                                                                                                                                                                                                                                                                                                </v>
      </c>
      <c r="AG323" s="174" t="str">
        <f t="shared" si="483"/>
        <v>NG</v>
      </c>
      <c r="AH323" s="141"/>
      <c r="AI323" s="172" t="s">
        <v>71</v>
      </c>
      <c r="AJ323" s="160"/>
      <c r="AK323" s="141"/>
      <c r="AL323" s="146" t="str">
        <f t="shared" si="500"/>
        <v xml:space="preserve">                                                                                                                                                                                                                                                                                                                                                                                                                </v>
      </c>
      <c r="AM323" s="174" t="str">
        <f t="shared" si="528"/>
        <v>NG</v>
      </c>
      <c r="AN323" s="141"/>
      <c r="AO323" s="172" t="s">
        <v>71</v>
      </c>
      <c r="AP323" s="160"/>
      <c r="AQ323" s="141"/>
      <c r="AR323" s="146" t="str">
        <f t="shared" si="502"/>
        <v xml:space="preserve">                                                                                                                                                                                                                                                                                                                                                                                                                </v>
      </c>
      <c r="AS323" s="174" t="str">
        <f t="shared" si="484"/>
        <v>NG</v>
      </c>
      <c r="AT323" s="141"/>
      <c r="AU323" s="172" t="s">
        <v>71</v>
      </c>
      <c r="AV323" s="160"/>
      <c r="AW323" s="141"/>
      <c r="AX323" s="146" t="str">
        <f t="shared" si="503"/>
        <v xml:space="preserve">                                                                                                                                                                                                                                                                                                                                                                                                                </v>
      </c>
      <c r="AY323" s="174" t="str">
        <f t="shared" si="485"/>
        <v>NG</v>
      </c>
      <c r="AZ323" s="141"/>
      <c r="BA323" s="172" t="s">
        <v>71</v>
      </c>
      <c r="BB323" s="160"/>
      <c r="BC323" s="141"/>
      <c r="BD323" s="146" t="str">
        <f t="shared" si="504"/>
        <v xml:space="preserve">                                                                                                                                                                                                                                                                                                                                                                                                                </v>
      </c>
      <c r="BE323" s="174" t="str">
        <f t="shared" si="486"/>
        <v>NG</v>
      </c>
      <c r="BF323" s="141"/>
      <c r="BG323" s="172" t="s">
        <v>71</v>
      </c>
      <c r="BH323" s="160"/>
      <c r="BI323" s="141"/>
      <c r="BJ323" s="146" t="str">
        <f t="shared" si="505"/>
        <v xml:space="preserve">                                                                                                                                                                                                                                                                                                                                                                                                                </v>
      </c>
      <c r="BK323" s="174" t="str">
        <f t="shared" si="487"/>
        <v>NG</v>
      </c>
      <c r="BL323" s="141"/>
      <c r="BM323" s="172" t="s">
        <v>71</v>
      </c>
      <c r="BN323" s="160"/>
      <c r="BO323" s="141"/>
      <c r="BP323" s="146" t="str">
        <f t="shared" si="506"/>
        <v xml:space="preserve">                                                                                                                                                                                                                                                                                                                                                                                                                </v>
      </c>
      <c r="BQ323" s="174" t="str">
        <f t="shared" si="488"/>
        <v>NG</v>
      </c>
      <c r="BR323" s="141"/>
      <c r="BS323" s="172" t="s">
        <v>71</v>
      </c>
      <c r="BT323" s="160"/>
      <c r="BU323" s="141"/>
      <c r="BV323" s="146" t="str">
        <f t="shared" si="507"/>
        <v xml:space="preserve">                                                                                                                                                                                                                                                                                                                                                                                                                </v>
      </c>
      <c r="BW323" s="174" t="str">
        <f t="shared" si="489"/>
        <v>NG</v>
      </c>
      <c r="BX323" s="141"/>
      <c r="BY323" s="172" t="s">
        <v>71</v>
      </c>
      <c r="BZ323" s="160"/>
      <c r="CA323" s="141"/>
      <c r="CB323" s="146" t="str">
        <f t="shared" si="508"/>
        <v xml:space="preserve">                                                                                                                                                                                                                                                                                                                                                                                                                </v>
      </c>
      <c r="CC323" s="174" t="str">
        <f t="shared" si="490"/>
        <v>NG</v>
      </c>
      <c r="CD323" s="141"/>
      <c r="CE323" s="172" t="s">
        <v>71</v>
      </c>
      <c r="CF323" s="160"/>
      <c r="CG323" s="141"/>
      <c r="CH323" s="146" t="str">
        <f t="shared" si="509"/>
        <v xml:space="preserve">                                                                                                                                                                                                                                                                                                                                                                                                                </v>
      </c>
      <c r="CI323" s="174" t="str">
        <f t="shared" si="491"/>
        <v>NG</v>
      </c>
      <c r="CJ323" s="141"/>
      <c r="CK323" s="172" t="s">
        <v>71</v>
      </c>
      <c r="CL323" s="160"/>
      <c r="CM323" s="141"/>
      <c r="CN323" s="146" t="str">
        <f t="shared" si="510"/>
        <v xml:space="preserve">                                                                                                                                                                                                                                                                                                                                                                                                                </v>
      </c>
      <c r="CO323" s="174" t="str">
        <f t="shared" si="492"/>
        <v>NG</v>
      </c>
      <c r="CP323" s="141"/>
      <c r="CQ323" s="172" t="s">
        <v>71</v>
      </c>
      <c r="CR323" s="160"/>
      <c r="CS323" s="141"/>
      <c r="CT323" s="146" t="str">
        <f t="shared" si="511"/>
        <v xml:space="preserve">                                                                                                                                                                                                                                                                                                                                                                                                                </v>
      </c>
      <c r="CU323" s="174" t="str">
        <f t="shared" si="493"/>
        <v>NG</v>
      </c>
      <c r="CV323" s="141"/>
      <c r="CW323" s="172" t="s">
        <v>71</v>
      </c>
      <c r="CX323" s="160"/>
      <c r="CY323" s="141"/>
      <c r="CZ323" s="146" t="str">
        <f t="shared" si="512"/>
        <v xml:space="preserve">                                                                                                                                                                                                                                                                                                                                                                                                                </v>
      </c>
      <c r="DA323" s="174" t="str">
        <f t="shared" si="494"/>
        <v>NG</v>
      </c>
      <c r="DB323" s="141"/>
      <c r="DC323" s="172" t="s">
        <v>71</v>
      </c>
      <c r="DD323" s="160"/>
      <c r="DE323" s="141"/>
      <c r="DF323" s="146" t="str">
        <f t="shared" si="513"/>
        <v xml:space="preserve">                                                                                                                                                                                                                                                                                                                                                                                                                </v>
      </c>
      <c r="DG323" s="174" t="str">
        <f t="shared" si="495"/>
        <v>NG</v>
      </c>
      <c r="DH323" s="141"/>
      <c r="DI323" s="172" t="s">
        <v>71</v>
      </c>
      <c r="DJ323" s="160"/>
      <c r="DK323" s="141"/>
      <c r="DL323" s="146" t="str">
        <f t="shared" si="514"/>
        <v xml:space="preserve">                                                                                                                                                                                                                                                                                                                                                                                                                </v>
      </c>
      <c r="DM323" s="174" t="str">
        <f t="shared" si="496"/>
        <v>NG</v>
      </c>
      <c r="DN323" s="141"/>
      <c r="DO323" s="172" t="s">
        <v>71</v>
      </c>
      <c r="DP323" s="160"/>
      <c r="DQ323" s="141"/>
      <c r="DR323" s="146" t="str">
        <f t="shared" si="515"/>
        <v xml:space="preserve">                                                                                                                                                                                                                                                                                                                                                                                                                </v>
      </c>
      <c r="DS323" s="174" t="str">
        <f t="shared" si="533"/>
        <v>NG</v>
      </c>
      <c r="DT323" s="141"/>
      <c r="DU323" s="172" t="s">
        <v>71</v>
      </c>
      <c r="DV323" s="160"/>
      <c r="DW323" s="141"/>
      <c r="DX323" s="146" t="str">
        <f t="shared" si="516"/>
        <v xml:space="preserve">                                                                                                                                                                                                                                                                                                                                                                                                                </v>
      </c>
      <c r="DY323" s="174" t="str">
        <f t="shared" si="534"/>
        <v>NG</v>
      </c>
      <c r="DZ323" s="141"/>
      <c r="EA323" s="172" t="s">
        <v>71</v>
      </c>
      <c r="EB323" s="160"/>
      <c r="EC323" s="141"/>
      <c r="ED323" s="146" t="str">
        <f t="shared" si="517"/>
        <v xml:space="preserve">                                                                                                                                                                                                                                                                                                                                                                                                                </v>
      </c>
      <c r="EE323" s="174" t="str">
        <f t="shared" si="535"/>
        <v>NG</v>
      </c>
      <c r="EF323" s="141"/>
      <c r="EG323" s="172" t="s">
        <v>71</v>
      </c>
      <c r="EH323" s="160"/>
      <c r="EI323" s="141"/>
      <c r="EJ323" s="146" t="str">
        <f t="shared" si="518"/>
        <v xml:space="preserve">                                                                                                                                                                                                                                                                                                                                                                                                                </v>
      </c>
      <c r="EK323" s="174" t="str">
        <f t="shared" si="536"/>
        <v>NG</v>
      </c>
      <c r="EL323" s="141"/>
      <c r="EM323" s="172" t="s">
        <v>71</v>
      </c>
      <c r="EN323" s="160"/>
      <c r="EO323" s="141"/>
      <c r="EP323" s="146" t="str">
        <f t="shared" si="519"/>
        <v xml:space="preserve">                                                                                                                                                                                                                                                                                                                                                                                                                </v>
      </c>
      <c r="EQ323" s="174" t="str">
        <f t="shared" si="537"/>
        <v>NG</v>
      </c>
      <c r="ER323" s="141"/>
      <c r="ES323" s="172" t="s">
        <v>71</v>
      </c>
      <c r="ET323" s="160"/>
      <c r="EU323" s="141"/>
      <c r="EV323" s="146" t="str">
        <f t="shared" si="520"/>
        <v xml:space="preserve">                                                                                                                                                                                                                                                                                                                                                                                                                </v>
      </c>
      <c r="EW323" s="174" t="str">
        <f t="shared" si="538"/>
        <v>NG</v>
      </c>
      <c r="EX323" s="141"/>
      <c r="EY323" s="172" t="s">
        <v>71</v>
      </c>
      <c r="EZ323" s="160"/>
      <c r="FA323" s="141"/>
      <c r="FB323" s="146" t="str">
        <f t="shared" si="521"/>
        <v xml:space="preserve">                                                                                                                                                                                                                                                                                                                                                                                                                </v>
      </c>
      <c r="FC323" s="174" t="str">
        <f t="shared" si="539"/>
        <v>NG</v>
      </c>
      <c r="FD323" s="141"/>
      <c r="FE323" s="172" t="s">
        <v>71</v>
      </c>
      <c r="FF323" s="160"/>
      <c r="FG323" s="141"/>
      <c r="FH323" s="146" t="str">
        <f t="shared" si="522"/>
        <v xml:space="preserve">                                                                                                                                                                                                                                                                                                                                                                                                                </v>
      </c>
      <c r="FI323" s="174" t="str">
        <f t="shared" si="540"/>
        <v>NG</v>
      </c>
      <c r="FJ323" s="141"/>
      <c r="FK323" s="172" t="s">
        <v>71</v>
      </c>
      <c r="FL323" s="160"/>
      <c r="FM323" s="141"/>
      <c r="FN323" s="146" t="str">
        <f t="shared" si="523"/>
        <v xml:space="preserve">                                                                                                                                                                                                                                                                                                                                                                                                                </v>
      </c>
      <c r="FO323" s="174" t="str">
        <f t="shared" si="497"/>
        <v>NG</v>
      </c>
      <c r="FP323" s="141"/>
      <c r="FQ323" s="172" t="s">
        <v>71</v>
      </c>
      <c r="FR323" s="160"/>
      <c r="FS323" s="141"/>
      <c r="FT323" s="146" t="str">
        <f t="shared" si="524"/>
        <v xml:space="preserve">                                                                                                                                                                                                                                                                                                                                                                                                                </v>
      </c>
      <c r="FU323" s="174" t="str">
        <f t="shared" si="498"/>
        <v>NG</v>
      </c>
      <c r="FV323" s="141"/>
      <c r="FW323" s="172" t="s">
        <v>71</v>
      </c>
      <c r="FX323" s="160"/>
      <c r="FY323" s="141"/>
      <c r="FZ323" s="146" t="str">
        <f t="shared" si="525"/>
        <v xml:space="preserve">                                                                                                                                                                                                                                                                                                                                                                                                                </v>
      </c>
      <c r="GA323" s="174" t="str">
        <f t="shared" si="499"/>
        <v>NG</v>
      </c>
      <c r="GB323" s="141"/>
      <c r="GC323" s="172" t="s">
        <v>71</v>
      </c>
    </row>
    <row r="324" spans="1:185" s="52" customFormat="1" ht="89.25">
      <c r="B324" s="216">
        <f t="shared" si="527"/>
        <v>317</v>
      </c>
      <c r="C324" s="37"/>
      <c r="D324" s="37"/>
      <c r="E324" s="37"/>
      <c r="F324" s="49" t="s">
        <v>228</v>
      </c>
      <c r="G324" s="39"/>
      <c r="H324" s="40"/>
      <c r="I324" s="42"/>
      <c r="J324" s="42"/>
      <c r="K324" s="42"/>
      <c r="L324" s="42"/>
      <c r="M324" s="63" t="s">
        <v>338</v>
      </c>
      <c r="N324" s="47"/>
      <c r="O324" s="143"/>
      <c r="P324" s="45">
        <f t="shared" si="532"/>
        <v>291</v>
      </c>
      <c r="Q324" s="46">
        <v>1</v>
      </c>
      <c r="R324" s="41" t="str">
        <f t="shared" si="541"/>
        <v>X</v>
      </c>
      <c r="S324" s="185" t="s">
        <v>229</v>
      </c>
      <c r="T324" s="43"/>
      <c r="U324" s="41" t="s">
        <v>80</v>
      </c>
      <c r="V324" s="44"/>
      <c r="W324" s="22">
        <v>3</v>
      </c>
      <c r="X324" s="47" t="s">
        <v>230</v>
      </c>
      <c r="Y324" s="47">
        <v>1</v>
      </c>
      <c r="Z324" s="47">
        <v>1</v>
      </c>
      <c r="AA324" s="42" t="s">
        <v>163</v>
      </c>
      <c r="AB324" s="42" t="s">
        <v>57</v>
      </c>
      <c r="AC324" s="217"/>
      <c r="AD324" s="160"/>
      <c r="AE324" s="162"/>
      <c r="AF324" s="203" t="str">
        <f t="shared" si="501"/>
        <v xml:space="preserve"> </v>
      </c>
      <c r="AG324" s="174" t="str">
        <f t="shared" si="483"/>
        <v>NG</v>
      </c>
      <c r="AH324" s="162"/>
      <c r="AI324" s="172" t="s">
        <v>71</v>
      </c>
      <c r="AJ324" s="160"/>
      <c r="AK324" s="162"/>
      <c r="AL324" s="203" t="str">
        <f t="shared" si="500"/>
        <v xml:space="preserve"> </v>
      </c>
      <c r="AM324" s="174" t="str">
        <f t="shared" si="528"/>
        <v>NG</v>
      </c>
      <c r="AN324" s="162"/>
      <c r="AO324" s="172" t="s">
        <v>71</v>
      </c>
      <c r="AP324" s="160"/>
      <c r="AQ324" s="162"/>
      <c r="AR324" s="203" t="str">
        <f t="shared" si="502"/>
        <v xml:space="preserve"> </v>
      </c>
      <c r="AS324" s="174" t="str">
        <f t="shared" si="484"/>
        <v>NG</v>
      </c>
      <c r="AT324" s="162"/>
      <c r="AU324" s="172" t="s">
        <v>71</v>
      </c>
      <c r="AV324" s="160"/>
      <c r="AW324" s="162"/>
      <c r="AX324" s="203" t="str">
        <f t="shared" si="503"/>
        <v xml:space="preserve"> </v>
      </c>
      <c r="AY324" s="174" t="str">
        <f t="shared" si="485"/>
        <v>NG</v>
      </c>
      <c r="AZ324" s="162"/>
      <c r="BA324" s="172" t="s">
        <v>71</v>
      </c>
      <c r="BB324" s="160"/>
      <c r="BC324" s="162"/>
      <c r="BD324" s="203" t="str">
        <f t="shared" si="504"/>
        <v xml:space="preserve"> </v>
      </c>
      <c r="BE324" s="174" t="str">
        <f t="shared" si="486"/>
        <v>NG</v>
      </c>
      <c r="BF324" s="162"/>
      <c r="BG324" s="172" t="s">
        <v>71</v>
      </c>
      <c r="BH324" s="160"/>
      <c r="BI324" s="162"/>
      <c r="BJ324" s="203" t="str">
        <f t="shared" si="505"/>
        <v xml:space="preserve"> </v>
      </c>
      <c r="BK324" s="174" t="str">
        <f t="shared" si="487"/>
        <v>NG</v>
      </c>
      <c r="BL324" s="162"/>
      <c r="BM324" s="172" t="s">
        <v>71</v>
      </c>
      <c r="BN324" s="160"/>
      <c r="BO324" s="162"/>
      <c r="BP324" s="203" t="str">
        <f t="shared" si="506"/>
        <v xml:space="preserve"> </v>
      </c>
      <c r="BQ324" s="174" t="str">
        <f t="shared" si="488"/>
        <v>NG</v>
      </c>
      <c r="BR324" s="162"/>
      <c r="BS324" s="172" t="s">
        <v>71</v>
      </c>
      <c r="BT324" s="160"/>
      <c r="BU324" s="162"/>
      <c r="BV324" s="203" t="str">
        <f t="shared" si="507"/>
        <v xml:space="preserve"> </v>
      </c>
      <c r="BW324" s="174" t="str">
        <f t="shared" si="489"/>
        <v>NG</v>
      </c>
      <c r="BX324" s="162"/>
      <c r="BY324" s="172" t="s">
        <v>71</v>
      </c>
      <c r="BZ324" s="160"/>
      <c r="CA324" s="162"/>
      <c r="CB324" s="203" t="str">
        <f t="shared" si="508"/>
        <v xml:space="preserve"> </v>
      </c>
      <c r="CC324" s="174" t="str">
        <f t="shared" si="490"/>
        <v>NG</v>
      </c>
      <c r="CD324" s="162"/>
      <c r="CE324" s="172" t="s">
        <v>71</v>
      </c>
      <c r="CF324" s="160"/>
      <c r="CG324" s="162"/>
      <c r="CH324" s="203" t="str">
        <f t="shared" si="509"/>
        <v xml:space="preserve"> </v>
      </c>
      <c r="CI324" s="174" t="str">
        <f t="shared" si="491"/>
        <v>NG</v>
      </c>
      <c r="CJ324" s="162"/>
      <c r="CK324" s="172" t="s">
        <v>71</v>
      </c>
      <c r="CL324" s="160"/>
      <c r="CM324" s="162"/>
      <c r="CN324" s="203" t="str">
        <f t="shared" si="510"/>
        <v xml:space="preserve"> </v>
      </c>
      <c r="CO324" s="174" t="str">
        <f t="shared" si="492"/>
        <v>NG</v>
      </c>
      <c r="CP324" s="162"/>
      <c r="CQ324" s="172" t="s">
        <v>71</v>
      </c>
      <c r="CR324" s="160"/>
      <c r="CS324" s="162"/>
      <c r="CT324" s="203" t="str">
        <f t="shared" si="511"/>
        <v xml:space="preserve"> </v>
      </c>
      <c r="CU324" s="174" t="str">
        <f t="shared" si="493"/>
        <v>NG</v>
      </c>
      <c r="CV324" s="162"/>
      <c r="CW324" s="172" t="s">
        <v>71</v>
      </c>
      <c r="CX324" s="160"/>
      <c r="CY324" s="162"/>
      <c r="CZ324" s="203" t="str">
        <f t="shared" si="512"/>
        <v xml:space="preserve"> </v>
      </c>
      <c r="DA324" s="174" t="str">
        <f t="shared" si="494"/>
        <v>NG</v>
      </c>
      <c r="DB324" s="162"/>
      <c r="DC324" s="172" t="s">
        <v>71</v>
      </c>
      <c r="DD324" s="160"/>
      <c r="DE324" s="162"/>
      <c r="DF324" s="203" t="str">
        <f t="shared" si="513"/>
        <v xml:space="preserve"> </v>
      </c>
      <c r="DG324" s="174" t="str">
        <f t="shared" si="495"/>
        <v>NG</v>
      </c>
      <c r="DH324" s="162"/>
      <c r="DI324" s="172" t="s">
        <v>71</v>
      </c>
      <c r="DJ324" s="160"/>
      <c r="DK324" s="162"/>
      <c r="DL324" s="203" t="str">
        <f t="shared" si="514"/>
        <v xml:space="preserve"> </v>
      </c>
      <c r="DM324" s="174" t="str">
        <f t="shared" si="496"/>
        <v>NG</v>
      </c>
      <c r="DN324" s="162"/>
      <c r="DO324" s="172" t="s">
        <v>71</v>
      </c>
      <c r="DP324" s="160"/>
      <c r="DQ324" s="162"/>
      <c r="DR324" s="203" t="str">
        <f t="shared" si="515"/>
        <v xml:space="preserve"> </v>
      </c>
      <c r="DS324" s="174" t="str">
        <f t="shared" si="533"/>
        <v>NG</v>
      </c>
      <c r="DT324" s="162"/>
      <c r="DU324" s="172" t="s">
        <v>71</v>
      </c>
      <c r="DV324" s="160"/>
      <c r="DW324" s="162"/>
      <c r="DX324" s="203" t="str">
        <f t="shared" si="516"/>
        <v xml:space="preserve"> </v>
      </c>
      <c r="DY324" s="174" t="str">
        <f t="shared" si="534"/>
        <v>NG</v>
      </c>
      <c r="DZ324" s="162"/>
      <c r="EA324" s="172" t="s">
        <v>71</v>
      </c>
      <c r="EB324" s="160"/>
      <c r="EC324" s="162"/>
      <c r="ED324" s="203" t="str">
        <f t="shared" si="517"/>
        <v xml:space="preserve"> </v>
      </c>
      <c r="EE324" s="174" t="str">
        <f t="shared" si="535"/>
        <v>NG</v>
      </c>
      <c r="EF324" s="162"/>
      <c r="EG324" s="172" t="s">
        <v>71</v>
      </c>
      <c r="EH324" s="160"/>
      <c r="EI324" s="162"/>
      <c r="EJ324" s="203" t="str">
        <f t="shared" si="518"/>
        <v xml:space="preserve"> </v>
      </c>
      <c r="EK324" s="174" t="str">
        <f t="shared" si="536"/>
        <v>NG</v>
      </c>
      <c r="EL324" s="162"/>
      <c r="EM324" s="172" t="s">
        <v>71</v>
      </c>
      <c r="EN324" s="160"/>
      <c r="EO324" s="162"/>
      <c r="EP324" s="203" t="str">
        <f t="shared" si="519"/>
        <v xml:space="preserve"> </v>
      </c>
      <c r="EQ324" s="174" t="str">
        <f t="shared" si="537"/>
        <v>NG</v>
      </c>
      <c r="ER324" s="162"/>
      <c r="ES324" s="172" t="s">
        <v>71</v>
      </c>
      <c r="ET324" s="160"/>
      <c r="EU324" s="162"/>
      <c r="EV324" s="203" t="str">
        <f t="shared" si="520"/>
        <v xml:space="preserve"> </v>
      </c>
      <c r="EW324" s="174" t="str">
        <f t="shared" si="538"/>
        <v>NG</v>
      </c>
      <c r="EX324" s="162"/>
      <c r="EY324" s="172" t="s">
        <v>71</v>
      </c>
      <c r="EZ324" s="160"/>
      <c r="FA324" s="162"/>
      <c r="FB324" s="203" t="str">
        <f t="shared" si="521"/>
        <v xml:space="preserve"> </v>
      </c>
      <c r="FC324" s="174" t="str">
        <f t="shared" si="539"/>
        <v>NG</v>
      </c>
      <c r="FD324" s="162"/>
      <c r="FE324" s="172" t="s">
        <v>71</v>
      </c>
      <c r="FF324" s="160"/>
      <c r="FG324" s="162"/>
      <c r="FH324" s="203" t="str">
        <f t="shared" si="522"/>
        <v xml:space="preserve"> </v>
      </c>
      <c r="FI324" s="174" t="str">
        <f t="shared" si="540"/>
        <v>NG</v>
      </c>
      <c r="FJ324" s="162"/>
      <c r="FK324" s="172" t="s">
        <v>71</v>
      </c>
      <c r="FL324" s="160"/>
      <c r="FM324" s="162"/>
      <c r="FN324" s="203" t="str">
        <f t="shared" si="523"/>
        <v xml:space="preserve"> </v>
      </c>
      <c r="FO324" s="174" t="str">
        <f t="shared" si="497"/>
        <v>NG</v>
      </c>
      <c r="FP324" s="162"/>
      <c r="FQ324" s="172" t="s">
        <v>71</v>
      </c>
      <c r="FR324" s="160"/>
      <c r="FS324" s="162"/>
      <c r="FT324" s="203" t="str">
        <f t="shared" si="524"/>
        <v xml:space="preserve"> </v>
      </c>
      <c r="FU324" s="174" t="str">
        <f t="shared" si="498"/>
        <v>NG</v>
      </c>
      <c r="FV324" s="162"/>
      <c r="FW324" s="172" t="s">
        <v>71</v>
      </c>
      <c r="FX324" s="160"/>
      <c r="FY324" s="162"/>
      <c r="FZ324" s="203" t="str">
        <f t="shared" si="525"/>
        <v xml:space="preserve"> </v>
      </c>
      <c r="GA324" s="174" t="str">
        <f t="shared" si="499"/>
        <v>NG</v>
      </c>
      <c r="GB324" s="162"/>
      <c r="GC324" s="172" t="s">
        <v>71</v>
      </c>
    </row>
    <row r="325" spans="1:185" s="52" customFormat="1">
      <c r="B325" s="216">
        <f t="shared" si="527"/>
        <v>318</v>
      </c>
      <c r="C325" s="37"/>
      <c r="D325" s="37"/>
      <c r="E325" s="37"/>
      <c r="F325" s="49" t="s">
        <v>231</v>
      </c>
      <c r="G325" s="39"/>
      <c r="H325" s="40"/>
      <c r="I325" s="42"/>
      <c r="J325" s="42"/>
      <c r="K325" s="42"/>
      <c r="L325" s="42"/>
      <c r="M325" s="63"/>
      <c r="N325" s="47"/>
      <c r="O325" s="143"/>
      <c r="P325" s="45">
        <f t="shared" si="532"/>
        <v>292</v>
      </c>
      <c r="Q325" s="46">
        <v>128</v>
      </c>
      <c r="R325" s="41" t="str">
        <f t="shared" si="541"/>
        <v>X</v>
      </c>
      <c r="S325" s="185" t="s">
        <v>232</v>
      </c>
      <c r="T325" s="43"/>
      <c r="U325" s="41" t="s">
        <v>80</v>
      </c>
      <c r="V325" s="44"/>
      <c r="W325" s="22">
        <v>3</v>
      </c>
      <c r="X325" s="47" t="s">
        <v>233</v>
      </c>
      <c r="Y325" s="47">
        <v>1</v>
      </c>
      <c r="Z325" s="47">
        <v>128</v>
      </c>
      <c r="AA325" s="42" t="s">
        <v>163</v>
      </c>
      <c r="AB325" s="42" t="s">
        <v>57</v>
      </c>
      <c r="AC325" s="166"/>
      <c r="AD325" s="160"/>
      <c r="AE325" s="141"/>
      <c r="AF325" s="203" t="str">
        <f t="shared" si="501"/>
        <v xml:space="preserve">                                                                                                                                </v>
      </c>
      <c r="AG325" s="174" t="str">
        <f t="shared" si="483"/>
        <v>NG</v>
      </c>
      <c r="AH325" s="141"/>
      <c r="AI325" s="276" t="str">
        <f>IF(OR(AE$8="判定対象外",AH$8="判定対象外",AH325="-"),"-",IF(AE325=AH325,"OK","NG"))</f>
        <v>OK</v>
      </c>
      <c r="AJ325" s="160"/>
      <c r="AK325" s="141"/>
      <c r="AL325" s="203" t="str">
        <f t="shared" si="500"/>
        <v xml:space="preserve">                                                                                                                                </v>
      </c>
      <c r="AM325" s="174" t="str">
        <f t="shared" si="528"/>
        <v>NG</v>
      </c>
      <c r="AN325" s="141"/>
      <c r="AO325" s="276" t="str">
        <f>IF(OR(AK$8="判定対象外",AN$8="判定対象外",AN325="-"),"-",IF(AK325=AN325,"OK","NG"))</f>
        <v>OK</v>
      </c>
      <c r="AP325" s="160"/>
      <c r="AQ325" s="141"/>
      <c r="AR325" s="203" t="str">
        <f t="shared" si="502"/>
        <v xml:space="preserve">                                                                                                                                </v>
      </c>
      <c r="AS325" s="174" t="str">
        <f t="shared" si="484"/>
        <v>NG</v>
      </c>
      <c r="AT325" s="141"/>
      <c r="AU325" s="276" t="str">
        <f>IF(OR(AQ$8="判定対象外",AT$8="判定対象外",AT325="-"),"-",IF(AQ325=AT325,"OK","NG"))</f>
        <v>OK</v>
      </c>
      <c r="AV325" s="160"/>
      <c r="AW325" s="141"/>
      <c r="AX325" s="203" t="str">
        <f t="shared" si="503"/>
        <v xml:space="preserve">                                                                                                                                </v>
      </c>
      <c r="AY325" s="174" t="str">
        <f t="shared" si="485"/>
        <v>NG</v>
      </c>
      <c r="AZ325" s="141"/>
      <c r="BA325" s="276" t="str">
        <f>IF(OR(AW$8="判定対象外",AZ$8="判定対象外",AZ325="-"),"-",IF(AW325=AZ325,"OK","NG"))</f>
        <v>OK</v>
      </c>
      <c r="BB325" s="160"/>
      <c r="BC325" s="141"/>
      <c r="BD325" s="203" t="str">
        <f t="shared" si="504"/>
        <v xml:space="preserve">                                                                                                                                </v>
      </c>
      <c r="BE325" s="174" t="str">
        <f t="shared" si="486"/>
        <v>NG</v>
      </c>
      <c r="BF325" s="141"/>
      <c r="BG325" s="276" t="str">
        <f>IF(OR(BC$8="判定対象外",BF$8="判定対象外",BF325="-"),"-",IF(BC325=BF325,"OK","NG"))</f>
        <v>OK</v>
      </c>
      <c r="BH325" s="160"/>
      <c r="BI325" s="141"/>
      <c r="BJ325" s="203" t="str">
        <f t="shared" si="505"/>
        <v xml:space="preserve">                                                                                                                                </v>
      </c>
      <c r="BK325" s="174" t="str">
        <f t="shared" si="487"/>
        <v>NG</v>
      </c>
      <c r="BL325" s="141"/>
      <c r="BM325" s="276" t="str">
        <f>IF(OR(BI$8="判定対象外",BL$8="判定対象外",BL325="-"),"-",IF(BI325=BL325,"OK","NG"))</f>
        <v>OK</v>
      </c>
      <c r="BN325" s="160"/>
      <c r="BO325" s="141"/>
      <c r="BP325" s="203" t="str">
        <f t="shared" si="506"/>
        <v xml:space="preserve">                                                                                                                                </v>
      </c>
      <c r="BQ325" s="174" t="str">
        <f t="shared" si="488"/>
        <v>NG</v>
      </c>
      <c r="BR325" s="141"/>
      <c r="BS325" s="276" t="str">
        <f>IF(OR(BO$8="判定対象外",BR$8="判定対象外",BR325="-"),"-",IF(BO325=BR325,"OK","NG"))</f>
        <v>OK</v>
      </c>
      <c r="BT325" s="160"/>
      <c r="BU325" s="141"/>
      <c r="BV325" s="203" t="str">
        <f t="shared" si="507"/>
        <v xml:space="preserve">                                                                                                                                </v>
      </c>
      <c r="BW325" s="174" t="str">
        <f t="shared" si="489"/>
        <v>NG</v>
      </c>
      <c r="BX325" s="141"/>
      <c r="BY325" s="276" t="str">
        <f>IF(OR(BU$8="判定対象外",BX$8="判定対象外",BX325="-"),"-",IF(BU325=BX325,"OK","NG"))</f>
        <v>OK</v>
      </c>
      <c r="BZ325" s="160"/>
      <c r="CA325" s="141"/>
      <c r="CB325" s="203" t="str">
        <f t="shared" si="508"/>
        <v xml:space="preserve">                                                                                                                                </v>
      </c>
      <c r="CC325" s="174" t="str">
        <f t="shared" si="490"/>
        <v>NG</v>
      </c>
      <c r="CD325" s="141"/>
      <c r="CE325" s="276" t="str">
        <f>IF(OR(CA$8="判定対象外",CD$8="判定対象外",CD325="-"),"-",IF(CA325=CD325,"OK","NG"))</f>
        <v>OK</v>
      </c>
      <c r="CF325" s="160"/>
      <c r="CG325" s="141"/>
      <c r="CH325" s="203" t="str">
        <f t="shared" si="509"/>
        <v xml:space="preserve">                                                                                                                                </v>
      </c>
      <c r="CI325" s="174" t="str">
        <f t="shared" si="491"/>
        <v>NG</v>
      </c>
      <c r="CJ325" s="141"/>
      <c r="CK325" s="276" t="str">
        <f>IF(OR(CG$8="判定対象外",CJ$8="判定対象外",CJ325="-"),"-",IF(CG325=CJ325,"OK","NG"))</f>
        <v>OK</v>
      </c>
      <c r="CL325" s="160"/>
      <c r="CM325" s="141"/>
      <c r="CN325" s="203" t="str">
        <f t="shared" si="510"/>
        <v xml:space="preserve">                                                                                                                                </v>
      </c>
      <c r="CO325" s="174" t="str">
        <f t="shared" si="492"/>
        <v>NG</v>
      </c>
      <c r="CP325" s="141"/>
      <c r="CQ325" s="276" t="str">
        <f>IF(OR(CM$8="判定対象外",CP$8="判定対象外",CP325="-"),"-",IF(CM325=CP325,"OK","NG"))</f>
        <v>OK</v>
      </c>
      <c r="CR325" s="160"/>
      <c r="CS325" s="141"/>
      <c r="CT325" s="203" t="str">
        <f t="shared" si="511"/>
        <v xml:space="preserve">                                                                                                                                </v>
      </c>
      <c r="CU325" s="174" t="str">
        <f t="shared" si="493"/>
        <v>NG</v>
      </c>
      <c r="CV325" s="141"/>
      <c r="CW325" s="276" t="str">
        <f>IF(OR(CS$8="判定対象外",CV$8="判定対象外",CV325="-"),"-",IF(CS325=CV325,"OK","NG"))</f>
        <v>OK</v>
      </c>
      <c r="CX325" s="160"/>
      <c r="CY325" s="141"/>
      <c r="CZ325" s="203" t="str">
        <f t="shared" si="512"/>
        <v xml:space="preserve">                                                                                                                                </v>
      </c>
      <c r="DA325" s="174" t="str">
        <f t="shared" si="494"/>
        <v>NG</v>
      </c>
      <c r="DB325" s="141"/>
      <c r="DC325" s="276" t="str">
        <f>IF(OR(CY$8="判定対象外",DB$8="判定対象外",DB325="-"),"-",IF(CY325=DB325,"OK","NG"))</f>
        <v>OK</v>
      </c>
      <c r="DD325" s="160"/>
      <c r="DE325" s="141"/>
      <c r="DF325" s="203" t="str">
        <f t="shared" si="513"/>
        <v xml:space="preserve">                                                                                                                                </v>
      </c>
      <c r="DG325" s="174" t="str">
        <f t="shared" si="495"/>
        <v>NG</v>
      </c>
      <c r="DH325" s="141"/>
      <c r="DI325" s="276" t="str">
        <f>IF(OR(DE$8="判定対象外",DH$8="判定対象外",DH325="-"),"-",IF(DE325=DH325,"OK","NG"))</f>
        <v>OK</v>
      </c>
      <c r="DJ325" s="160"/>
      <c r="DK325" s="141"/>
      <c r="DL325" s="203" t="str">
        <f t="shared" si="514"/>
        <v xml:space="preserve">                                                                                                                                </v>
      </c>
      <c r="DM325" s="174" t="str">
        <f t="shared" si="496"/>
        <v>NG</v>
      </c>
      <c r="DN325" s="141"/>
      <c r="DO325" s="276" t="str">
        <f>IF(OR(DK$8="判定対象外",DN$8="判定対象外",DN325="-"),"-",IF(DK325=DN325,"OK","NG"))</f>
        <v>OK</v>
      </c>
      <c r="DP325" s="160"/>
      <c r="DQ325" s="141"/>
      <c r="DR325" s="203" t="str">
        <f t="shared" si="515"/>
        <v xml:space="preserve">                                                                                                                                </v>
      </c>
      <c r="DS325" s="174" t="str">
        <f t="shared" si="533"/>
        <v>NG</v>
      </c>
      <c r="DT325" s="141"/>
      <c r="DU325" s="276" t="str">
        <f>IF(OR(DQ$8="判定対象外",DT$8="判定対象外",DT325="-"),"-",IF(DQ325=DT325,"OK","NG"))</f>
        <v>OK</v>
      </c>
      <c r="DV325" s="160"/>
      <c r="DW325" s="141"/>
      <c r="DX325" s="203" t="str">
        <f t="shared" si="516"/>
        <v xml:space="preserve">                                                                                                                                </v>
      </c>
      <c r="DY325" s="174" t="str">
        <f t="shared" si="534"/>
        <v>NG</v>
      </c>
      <c r="DZ325" s="141"/>
      <c r="EA325" s="276" t="str">
        <f>IF(OR(DW$8="判定対象外",DZ$8="判定対象外",DZ325="-"),"-",IF(DW325=DZ325,"OK","NG"))</f>
        <v>OK</v>
      </c>
      <c r="EB325" s="160"/>
      <c r="EC325" s="141"/>
      <c r="ED325" s="203" t="str">
        <f t="shared" si="517"/>
        <v xml:space="preserve">                                                                                                                                </v>
      </c>
      <c r="EE325" s="174" t="str">
        <f t="shared" si="535"/>
        <v>NG</v>
      </c>
      <c r="EF325" s="141"/>
      <c r="EG325" s="276" t="str">
        <f>IF(OR(EC$8="判定対象外",EF$8="判定対象外",EF325="-"),"-",IF(EC325=EF325,"OK","NG"))</f>
        <v>OK</v>
      </c>
      <c r="EH325" s="160"/>
      <c r="EI325" s="141"/>
      <c r="EJ325" s="203" t="str">
        <f t="shared" si="518"/>
        <v xml:space="preserve">                                                                                                                                </v>
      </c>
      <c r="EK325" s="174" t="str">
        <f t="shared" si="536"/>
        <v>NG</v>
      </c>
      <c r="EL325" s="141"/>
      <c r="EM325" s="276" t="str">
        <f>IF(OR(EI$8="判定対象外",EL$8="判定対象外",EL325="-"),"-",IF(EI325=EL325,"OK","NG"))</f>
        <v>OK</v>
      </c>
      <c r="EN325" s="160"/>
      <c r="EO325" s="141"/>
      <c r="EP325" s="203" t="str">
        <f t="shared" si="519"/>
        <v xml:space="preserve">                                                                                                                                </v>
      </c>
      <c r="EQ325" s="174" t="str">
        <f t="shared" si="537"/>
        <v>NG</v>
      </c>
      <c r="ER325" s="141"/>
      <c r="ES325" s="276" t="str">
        <f>IF(OR(EO$8="判定対象外",ER$8="判定対象外",ER325="-"),"-",IF(EO325=ER325,"OK","NG"))</f>
        <v>OK</v>
      </c>
      <c r="ET325" s="160"/>
      <c r="EU325" s="141"/>
      <c r="EV325" s="203" t="str">
        <f t="shared" si="520"/>
        <v xml:space="preserve">                                                                                                                                </v>
      </c>
      <c r="EW325" s="174" t="str">
        <f t="shared" si="538"/>
        <v>NG</v>
      </c>
      <c r="EX325" s="141"/>
      <c r="EY325" s="276" t="str">
        <f>IF(OR(EU$8="判定対象外",EX$8="判定対象外",EX325="-"),"-",IF(EU325=EX325,"OK","NG"))</f>
        <v>OK</v>
      </c>
      <c r="EZ325" s="160"/>
      <c r="FA325" s="141"/>
      <c r="FB325" s="203" t="str">
        <f t="shared" si="521"/>
        <v xml:space="preserve">                                                                                                                                </v>
      </c>
      <c r="FC325" s="174" t="str">
        <f t="shared" si="539"/>
        <v>NG</v>
      </c>
      <c r="FD325" s="141"/>
      <c r="FE325" s="276" t="str">
        <f>IF(OR(FA$8="判定対象外",FD$8="判定対象外",FD325="-"),"-",IF(FA325=FD325,"OK","NG"))</f>
        <v>OK</v>
      </c>
      <c r="FF325" s="160"/>
      <c r="FG325" s="141"/>
      <c r="FH325" s="203" t="str">
        <f t="shared" si="522"/>
        <v xml:space="preserve">                                                                                                                                </v>
      </c>
      <c r="FI325" s="174" t="str">
        <f t="shared" si="540"/>
        <v>NG</v>
      </c>
      <c r="FJ325" s="141"/>
      <c r="FK325" s="276" t="str">
        <f>IF(OR(FG$8="判定対象外",FJ$8="判定対象外",FJ325="-"),"-",IF(FG325=FJ325,"OK","NG"))</f>
        <v>OK</v>
      </c>
      <c r="FL325" s="160"/>
      <c r="FM325" s="141"/>
      <c r="FN325" s="203" t="str">
        <f t="shared" si="523"/>
        <v xml:space="preserve">                                                                                                                                </v>
      </c>
      <c r="FO325" s="174" t="str">
        <f t="shared" si="497"/>
        <v>NG</v>
      </c>
      <c r="FP325" s="141"/>
      <c r="FQ325" s="276" t="str">
        <f>IF(OR(FM$8="判定対象外",FP$8="判定対象外",FP325="-"),"-",IF(FM325=FP325,"OK","NG"))</f>
        <v>OK</v>
      </c>
      <c r="FR325" s="160"/>
      <c r="FS325" s="141"/>
      <c r="FT325" s="203" t="str">
        <f t="shared" si="524"/>
        <v xml:space="preserve">                                                                                                                                </v>
      </c>
      <c r="FU325" s="174" t="str">
        <f t="shared" si="498"/>
        <v>NG</v>
      </c>
      <c r="FV325" s="141"/>
      <c r="FW325" s="276" t="str">
        <f>IF(OR(FS$8="判定対象外",FV$8="判定対象外",FV325="-"),"-",IF(FS325=FV325,"OK","NG"))</f>
        <v>OK</v>
      </c>
      <c r="FX325" s="160"/>
      <c r="FY325" s="141"/>
      <c r="FZ325" s="203" t="str">
        <f t="shared" si="525"/>
        <v xml:space="preserve">                                                                                                                                </v>
      </c>
      <c r="GA325" s="174" t="str">
        <f t="shared" si="499"/>
        <v>NG</v>
      </c>
      <c r="GB325" s="141"/>
      <c r="GC325" s="276" t="str">
        <f>IF(OR(FY$8="判定対象外",GB$8="判定対象外",GB325="-"),"-",IF(FY325=GB325,"OK","NG"))</f>
        <v>OK</v>
      </c>
    </row>
    <row r="326" spans="1:185" s="52" customFormat="1" ht="114.75">
      <c r="B326" s="216">
        <f t="shared" si="527"/>
        <v>319</v>
      </c>
      <c r="C326" s="37"/>
      <c r="D326" s="37"/>
      <c r="E326" s="37"/>
      <c r="F326" s="49" t="s">
        <v>339</v>
      </c>
      <c r="G326" s="39"/>
      <c r="H326" s="40"/>
      <c r="I326" s="42"/>
      <c r="J326" s="42"/>
      <c r="K326" s="42"/>
      <c r="L326" s="42"/>
      <c r="M326" s="63" t="s">
        <v>340</v>
      </c>
      <c r="N326" s="47"/>
      <c r="O326" s="143"/>
      <c r="P326" s="45">
        <f t="shared" si="532"/>
        <v>293</v>
      </c>
      <c r="Q326" s="46">
        <v>1</v>
      </c>
      <c r="R326" s="41" t="str">
        <f t="shared" si="541"/>
        <v>X</v>
      </c>
      <c r="S326" s="185" t="s">
        <v>234</v>
      </c>
      <c r="T326" s="43"/>
      <c r="U326" s="41" t="s">
        <v>80</v>
      </c>
      <c r="V326" s="44"/>
      <c r="W326" s="22">
        <v>3</v>
      </c>
      <c r="X326" s="47" t="s">
        <v>235</v>
      </c>
      <c r="Y326" s="47">
        <v>1</v>
      </c>
      <c r="Z326" s="47">
        <v>1</v>
      </c>
      <c r="AA326" s="42" t="s">
        <v>163</v>
      </c>
      <c r="AB326" s="42" t="s">
        <v>57</v>
      </c>
      <c r="AC326" s="217"/>
      <c r="AD326" s="160"/>
      <c r="AE326" s="162"/>
      <c r="AF326" s="203" t="str">
        <f t="shared" si="501"/>
        <v xml:space="preserve"> </v>
      </c>
      <c r="AG326" s="174" t="str">
        <f t="shared" si="483"/>
        <v>NG</v>
      </c>
      <c r="AH326" s="162"/>
      <c r="AI326" s="172" t="s">
        <v>71</v>
      </c>
      <c r="AJ326" s="160"/>
      <c r="AK326" s="162"/>
      <c r="AL326" s="203" t="str">
        <f t="shared" si="500"/>
        <v xml:space="preserve"> </v>
      </c>
      <c r="AM326" s="174" t="str">
        <f t="shared" si="528"/>
        <v>NG</v>
      </c>
      <c r="AN326" s="162"/>
      <c r="AO326" s="172" t="s">
        <v>71</v>
      </c>
      <c r="AP326" s="160"/>
      <c r="AQ326" s="162"/>
      <c r="AR326" s="203" t="str">
        <f t="shared" si="502"/>
        <v xml:space="preserve"> </v>
      </c>
      <c r="AS326" s="174" t="str">
        <f t="shared" si="484"/>
        <v>NG</v>
      </c>
      <c r="AT326" s="162"/>
      <c r="AU326" s="172" t="s">
        <v>71</v>
      </c>
      <c r="AV326" s="160"/>
      <c r="AW326" s="162"/>
      <c r="AX326" s="203" t="str">
        <f t="shared" si="503"/>
        <v xml:space="preserve"> </v>
      </c>
      <c r="AY326" s="174" t="str">
        <f t="shared" si="485"/>
        <v>NG</v>
      </c>
      <c r="AZ326" s="162"/>
      <c r="BA326" s="172" t="s">
        <v>71</v>
      </c>
      <c r="BB326" s="160"/>
      <c r="BC326" s="162"/>
      <c r="BD326" s="203" t="str">
        <f t="shared" si="504"/>
        <v xml:space="preserve"> </v>
      </c>
      <c r="BE326" s="174" t="str">
        <f t="shared" si="486"/>
        <v>NG</v>
      </c>
      <c r="BF326" s="162"/>
      <c r="BG326" s="172" t="s">
        <v>71</v>
      </c>
      <c r="BH326" s="160"/>
      <c r="BI326" s="162"/>
      <c r="BJ326" s="203" t="str">
        <f t="shared" si="505"/>
        <v xml:space="preserve"> </v>
      </c>
      <c r="BK326" s="174" t="str">
        <f t="shared" si="487"/>
        <v>NG</v>
      </c>
      <c r="BL326" s="162"/>
      <c r="BM326" s="172" t="s">
        <v>71</v>
      </c>
      <c r="BN326" s="160"/>
      <c r="BO326" s="162"/>
      <c r="BP326" s="203" t="str">
        <f t="shared" si="506"/>
        <v xml:space="preserve"> </v>
      </c>
      <c r="BQ326" s="174" t="str">
        <f t="shared" si="488"/>
        <v>NG</v>
      </c>
      <c r="BR326" s="162"/>
      <c r="BS326" s="172" t="s">
        <v>71</v>
      </c>
      <c r="BT326" s="160"/>
      <c r="BU326" s="162"/>
      <c r="BV326" s="203" t="str">
        <f t="shared" si="507"/>
        <v xml:space="preserve"> </v>
      </c>
      <c r="BW326" s="174" t="str">
        <f t="shared" si="489"/>
        <v>NG</v>
      </c>
      <c r="BX326" s="162"/>
      <c r="BY326" s="172" t="s">
        <v>71</v>
      </c>
      <c r="BZ326" s="160"/>
      <c r="CA326" s="162"/>
      <c r="CB326" s="203" t="str">
        <f t="shared" si="508"/>
        <v xml:space="preserve"> </v>
      </c>
      <c r="CC326" s="174" t="str">
        <f t="shared" si="490"/>
        <v>NG</v>
      </c>
      <c r="CD326" s="162"/>
      <c r="CE326" s="172" t="s">
        <v>71</v>
      </c>
      <c r="CF326" s="160"/>
      <c r="CG326" s="162"/>
      <c r="CH326" s="203" t="str">
        <f t="shared" si="509"/>
        <v xml:space="preserve"> </v>
      </c>
      <c r="CI326" s="174" t="str">
        <f t="shared" si="491"/>
        <v>NG</v>
      </c>
      <c r="CJ326" s="162"/>
      <c r="CK326" s="172" t="s">
        <v>71</v>
      </c>
      <c r="CL326" s="160"/>
      <c r="CM326" s="162"/>
      <c r="CN326" s="203" t="str">
        <f t="shared" si="510"/>
        <v xml:space="preserve"> </v>
      </c>
      <c r="CO326" s="174" t="str">
        <f t="shared" si="492"/>
        <v>NG</v>
      </c>
      <c r="CP326" s="162"/>
      <c r="CQ326" s="172" t="s">
        <v>71</v>
      </c>
      <c r="CR326" s="160"/>
      <c r="CS326" s="162"/>
      <c r="CT326" s="203" t="str">
        <f t="shared" si="511"/>
        <v xml:space="preserve"> </v>
      </c>
      <c r="CU326" s="174" t="str">
        <f t="shared" si="493"/>
        <v>NG</v>
      </c>
      <c r="CV326" s="162"/>
      <c r="CW326" s="172" t="s">
        <v>71</v>
      </c>
      <c r="CX326" s="160"/>
      <c r="CY326" s="162"/>
      <c r="CZ326" s="203" t="str">
        <f t="shared" si="512"/>
        <v xml:space="preserve"> </v>
      </c>
      <c r="DA326" s="174" t="str">
        <f t="shared" si="494"/>
        <v>NG</v>
      </c>
      <c r="DB326" s="162"/>
      <c r="DC326" s="172" t="s">
        <v>71</v>
      </c>
      <c r="DD326" s="160"/>
      <c r="DE326" s="162"/>
      <c r="DF326" s="203" t="str">
        <f t="shared" si="513"/>
        <v xml:space="preserve"> </v>
      </c>
      <c r="DG326" s="174" t="str">
        <f t="shared" si="495"/>
        <v>NG</v>
      </c>
      <c r="DH326" s="162"/>
      <c r="DI326" s="172" t="s">
        <v>71</v>
      </c>
      <c r="DJ326" s="160"/>
      <c r="DK326" s="162"/>
      <c r="DL326" s="203" t="str">
        <f t="shared" si="514"/>
        <v xml:space="preserve"> </v>
      </c>
      <c r="DM326" s="174" t="str">
        <f t="shared" si="496"/>
        <v>NG</v>
      </c>
      <c r="DN326" s="162"/>
      <c r="DO326" s="172" t="s">
        <v>71</v>
      </c>
      <c r="DP326" s="160"/>
      <c r="DQ326" s="162"/>
      <c r="DR326" s="203" t="str">
        <f t="shared" si="515"/>
        <v xml:space="preserve"> </v>
      </c>
      <c r="DS326" s="174" t="str">
        <f t="shared" si="533"/>
        <v>NG</v>
      </c>
      <c r="DT326" s="162"/>
      <c r="DU326" s="172" t="s">
        <v>71</v>
      </c>
      <c r="DV326" s="160"/>
      <c r="DW326" s="162"/>
      <c r="DX326" s="203" t="str">
        <f t="shared" si="516"/>
        <v xml:space="preserve"> </v>
      </c>
      <c r="DY326" s="174" t="str">
        <f t="shared" si="534"/>
        <v>NG</v>
      </c>
      <c r="DZ326" s="162"/>
      <c r="EA326" s="172" t="s">
        <v>71</v>
      </c>
      <c r="EB326" s="160"/>
      <c r="EC326" s="162"/>
      <c r="ED326" s="203" t="str">
        <f t="shared" si="517"/>
        <v xml:space="preserve"> </v>
      </c>
      <c r="EE326" s="174" t="str">
        <f t="shared" si="535"/>
        <v>NG</v>
      </c>
      <c r="EF326" s="162"/>
      <c r="EG326" s="172" t="s">
        <v>71</v>
      </c>
      <c r="EH326" s="160"/>
      <c r="EI326" s="162"/>
      <c r="EJ326" s="203" t="str">
        <f t="shared" si="518"/>
        <v xml:space="preserve"> </v>
      </c>
      <c r="EK326" s="174" t="str">
        <f t="shared" si="536"/>
        <v>NG</v>
      </c>
      <c r="EL326" s="162"/>
      <c r="EM326" s="172" t="s">
        <v>71</v>
      </c>
      <c r="EN326" s="160"/>
      <c r="EO326" s="162"/>
      <c r="EP326" s="203" t="str">
        <f t="shared" si="519"/>
        <v xml:space="preserve"> </v>
      </c>
      <c r="EQ326" s="174" t="str">
        <f t="shared" si="537"/>
        <v>NG</v>
      </c>
      <c r="ER326" s="162"/>
      <c r="ES326" s="172" t="s">
        <v>71</v>
      </c>
      <c r="ET326" s="160"/>
      <c r="EU326" s="162"/>
      <c r="EV326" s="203" t="str">
        <f t="shared" si="520"/>
        <v xml:space="preserve"> </v>
      </c>
      <c r="EW326" s="174" t="str">
        <f t="shared" si="538"/>
        <v>NG</v>
      </c>
      <c r="EX326" s="162"/>
      <c r="EY326" s="172" t="s">
        <v>71</v>
      </c>
      <c r="EZ326" s="160"/>
      <c r="FA326" s="162"/>
      <c r="FB326" s="203" t="str">
        <f t="shared" si="521"/>
        <v xml:space="preserve"> </v>
      </c>
      <c r="FC326" s="174" t="str">
        <f t="shared" si="539"/>
        <v>NG</v>
      </c>
      <c r="FD326" s="162"/>
      <c r="FE326" s="172" t="s">
        <v>71</v>
      </c>
      <c r="FF326" s="160"/>
      <c r="FG326" s="162"/>
      <c r="FH326" s="203" t="str">
        <f t="shared" si="522"/>
        <v xml:space="preserve"> </v>
      </c>
      <c r="FI326" s="174" t="str">
        <f t="shared" si="540"/>
        <v>NG</v>
      </c>
      <c r="FJ326" s="162"/>
      <c r="FK326" s="172" t="s">
        <v>71</v>
      </c>
      <c r="FL326" s="160"/>
      <c r="FM326" s="162"/>
      <c r="FN326" s="203" t="str">
        <f t="shared" si="523"/>
        <v xml:space="preserve"> </v>
      </c>
      <c r="FO326" s="174" t="str">
        <f t="shared" si="497"/>
        <v>NG</v>
      </c>
      <c r="FP326" s="162"/>
      <c r="FQ326" s="172" t="s">
        <v>71</v>
      </c>
      <c r="FR326" s="160"/>
      <c r="FS326" s="162"/>
      <c r="FT326" s="203" t="str">
        <f t="shared" si="524"/>
        <v xml:space="preserve"> </v>
      </c>
      <c r="FU326" s="174" t="str">
        <f t="shared" si="498"/>
        <v>NG</v>
      </c>
      <c r="FV326" s="162"/>
      <c r="FW326" s="172" t="s">
        <v>71</v>
      </c>
      <c r="FX326" s="160"/>
      <c r="FY326" s="162"/>
      <c r="FZ326" s="203" t="str">
        <f t="shared" si="525"/>
        <v xml:space="preserve"> </v>
      </c>
      <c r="GA326" s="174" t="str">
        <f t="shared" si="499"/>
        <v>NG</v>
      </c>
      <c r="GB326" s="162"/>
      <c r="GC326" s="172" t="s">
        <v>71</v>
      </c>
    </row>
    <row r="327" spans="1:185" s="52" customFormat="1" ht="127.5">
      <c r="B327" s="216">
        <f t="shared" si="527"/>
        <v>320</v>
      </c>
      <c r="C327" s="37"/>
      <c r="D327" s="37"/>
      <c r="E327" s="37"/>
      <c r="F327" s="49" t="s">
        <v>341</v>
      </c>
      <c r="G327" s="39"/>
      <c r="H327" s="40"/>
      <c r="I327" s="42"/>
      <c r="J327" s="42" t="s">
        <v>316</v>
      </c>
      <c r="K327" s="42"/>
      <c r="L327" s="42"/>
      <c r="M327" s="163" t="s">
        <v>342</v>
      </c>
      <c r="N327" s="47"/>
      <c r="O327" s="143"/>
      <c r="P327" s="45">
        <f t="shared" si="532"/>
        <v>294</v>
      </c>
      <c r="Q327" s="46">
        <v>1</v>
      </c>
      <c r="R327" s="41" t="str">
        <f t="shared" si="541"/>
        <v>X</v>
      </c>
      <c r="S327" s="185" t="s">
        <v>236</v>
      </c>
      <c r="T327" s="43"/>
      <c r="U327" s="41" t="s">
        <v>80</v>
      </c>
      <c r="V327" s="44"/>
      <c r="W327" s="22">
        <v>3</v>
      </c>
      <c r="X327" s="47" t="s">
        <v>237</v>
      </c>
      <c r="Y327" s="47">
        <v>1</v>
      </c>
      <c r="Z327" s="47">
        <v>1</v>
      </c>
      <c r="AA327" s="42" t="s">
        <v>163</v>
      </c>
      <c r="AB327" s="42" t="s">
        <v>57</v>
      </c>
      <c r="AC327" s="217"/>
      <c r="AD327" s="160"/>
      <c r="AE327" s="162"/>
      <c r="AF327" s="203" t="str">
        <f t="shared" si="501"/>
        <v xml:space="preserve"> </v>
      </c>
      <c r="AG327" s="174" t="str">
        <f t="shared" si="483"/>
        <v>NG</v>
      </c>
      <c r="AH327" s="162"/>
      <c r="AI327" s="276" t="str">
        <f>IF(OR(AE$8="判定対象外",AH$8="判定対象外",AH327="-"),"-",IF(AE327=AH327,"OK","NG"))</f>
        <v>OK</v>
      </c>
      <c r="AJ327" s="160"/>
      <c r="AK327" s="162"/>
      <c r="AL327" s="203" t="str">
        <f t="shared" si="500"/>
        <v xml:space="preserve"> </v>
      </c>
      <c r="AM327" s="174" t="str">
        <f t="shared" si="528"/>
        <v>NG</v>
      </c>
      <c r="AN327" s="162"/>
      <c r="AO327" s="276" t="str">
        <f>IF(OR(AK$8="判定対象外",AN$8="判定対象外",AN327="-"),"-",IF(AK327=AN327,"OK","NG"))</f>
        <v>OK</v>
      </c>
      <c r="AP327" s="160"/>
      <c r="AQ327" s="162"/>
      <c r="AR327" s="203" t="str">
        <f t="shared" si="502"/>
        <v xml:space="preserve"> </v>
      </c>
      <c r="AS327" s="174" t="str">
        <f t="shared" si="484"/>
        <v>NG</v>
      </c>
      <c r="AT327" s="162"/>
      <c r="AU327" s="276" t="str">
        <f>IF(OR(AQ$8="判定対象外",AT$8="判定対象外",AT327="-"),"-",IF(AQ327=AT327,"OK","NG"))</f>
        <v>OK</v>
      </c>
      <c r="AV327" s="160"/>
      <c r="AW327" s="162"/>
      <c r="AX327" s="203" t="str">
        <f t="shared" si="503"/>
        <v xml:space="preserve"> </v>
      </c>
      <c r="AY327" s="174" t="str">
        <f t="shared" si="485"/>
        <v>NG</v>
      </c>
      <c r="AZ327" s="162"/>
      <c r="BA327" s="276" t="str">
        <f>IF(OR(AW$8="判定対象外",AZ$8="判定対象外",AZ327="-"),"-",IF(AW327=AZ327,"OK","NG"))</f>
        <v>OK</v>
      </c>
      <c r="BB327" s="160"/>
      <c r="BC327" s="162"/>
      <c r="BD327" s="203" t="str">
        <f t="shared" si="504"/>
        <v xml:space="preserve"> </v>
      </c>
      <c r="BE327" s="174" t="str">
        <f t="shared" si="486"/>
        <v>NG</v>
      </c>
      <c r="BF327" s="162"/>
      <c r="BG327" s="276" t="str">
        <f>IF(OR(BC$8="判定対象外",BF$8="判定対象外",BF327="-"),"-",IF(BC327=BF327,"OK","NG"))</f>
        <v>OK</v>
      </c>
      <c r="BH327" s="160"/>
      <c r="BI327" s="162"/>
      <c r="BJ327" s="203" t="str">
        <f t="shared" si="505"/>
        <v xml:space="preserve"> </v>
      </c>
      <c r="BK327" s="174" t="str">
        <f t="shared" si="487"/>
        <v>NG</v>
      </c>
      <c r="BL327" s="162"/>
      <c r="BM327" s="276" t="str">
        <f>IF(OR(BI$8="判定対象外",BL$8="判定対象外",BL327="-"),"-",IF(BI327=BL327,"OK","NG"))</f>
        <v>OK</v>
      </c>
      <c r="BN327" s="160"/>
      <c r="BO327" s="162"/>
      <c r="BP327" s="203" t="str">
        <f t="shared" si="506"/>
        <v xml:space="preserve"> </v>
      </c>
      <c r="BQ327" s="174" t="str">
        <f t="shared" si="488"/>
        <v>NG</v>
      </c>
      <c r="BR327" s="162"/>
      <c r="BS327" s="276" t="str">
        <f>IF(OR(BO$8="判定対象外",BR$8="判定対象外",BR327="-"),"-",IF(BO327=BR327,"OK","NG"))</f>
        <v>OK</v>
      </c>
      <c r="BT327" s="160"/>
      <c r="BU327" s="162"/>
      <c r="BV327" s="203" t="str">
        <f t="shared" si="507"/>
        <v xml:space="preserve"> </v>
      </c>
      <c r="BW327" s="174" t="str">
        <f t="shared" si="489"/>
        <v>NG</v>
      </c>
      <c r="BX327" s="162"/>
      <c r="BY327" s="276" t="str">
        <f>IF(OR(BU$8="判定対象外",BX$8="判定対象外",BX327="-"),"-",IF(BU327=BX327,"OK","NG"))</f>
        <v>OK</v>
      </c>
      <c r="BZ327" s="160"/>
      <c r="CA327" s="162"/>
      <c r="CB327" s="203" t="str">
        <f t="shared" si="508"/>
        <v xml:space="preserve"> </v>
      </c>
      <c r="CC327" s="174" t="str">
        <f t="shared" si="490"/>
        <v>NG</v>
      </c>
      <c r="CD327" s="162"/>
      <c r="CE327" s="276" t="str">
        <f>IF(OR(CA$8="判定対象外",CD$8="判定対象外",CD327="-"),"-",IF(CA327=CD327,"OK","NG"))</f>
        <v>OK</v>
      </c>
      <c r="CF327" s="160"/>
      <c r="CG327" s="162"/>
      <c r="CH327" s="203" t="str">
        <f t="shared" si="509"/>
        <v xml:space="preserve"> </v>
      </c>
      <c r="CI327" s="174" t="str">
        <f t="shared" si="491"/>
        <v>NG</v>
      </c>
      <c r="CJ327" s="162"/>
      <c r="CK327" s="276" t="str">
        <f>IF(OR(CG$8="判定対象外",CJ$8="判定対象外",CJ327="-"),"-",IF(CG327=CJ327,"OK","NG"))</f>
        <v>OK</v>
      </c>
      <c r="CL327" s="160"/>
      <c r="CM327" s="162"/>
      <c r="CN327" s="203" t="str">
        <f t="shared" si="510"/>
        <v xml:space="preserve"> </v>
      </c>
      <c r="CO327" s="174" t="str">
        <f t="shared" si="492"/>
        <v>NG</v>
      </c>
      <c r="CP327" s="162"/>
      <c r="CQ327" s="276" t="str">
        <f>IF(OR(CM$8="判定対象外",CP$8="判定対象外",CP327="-"),"-",IF(CM327=CP327,"OK","NG"))</f>
        <v>OK</v>
      </c>
      <c r="CR327" s="160"/>
      <c r="CS327" s="162"/>
      <c r="CT327" s="203" t="str">
        <f t="shared" si="511"/>
        <v xml:space="preserve"> </v>
      </c>
      <c r="CU327" s="174" t="str">
        <f t="shared" si="493"/>
        <v>NG</v>
      </c>
      <c r="CV327" s="162"/>
      <c r="CW327" s="276" t="str">
        <f>IF(OR(CS$8="判定対象外",CV$8="判定対象外",CV327="-"),"-",IF(CS327=CV327,"OK","NG"))</f>
        <v>OK</v>
      </c>
      <c r="CX327" s="160"/>
      <c r="CY327" s="162"/>
      <c r="CZ327" s="203" t="str">
        <f t="shared" si="512"/>
        <v xml:space="preserve"> </v>
      </c>
      <c r="DA327" s="174" t="str">
        <f t="shared" si="494"/>
        <v>NG</v>
      </c>
      <c r="DB327" s="162"/>
      <c r="DC327" s="276" t="str">
        <f>IF(OR(CY$8="判定対象外",DB$8="判定対象外",DB327="-"),"-",IF(CY327=DB327,"OK","NG"))</f>
        <v>OK</v>
      </c>
      <c r="DD327" s="160"/>
      <c r="DE327" s="162"/>
      <c r="DF327" s="203" t="str">
        <f t="shared" si="513"/>
        <v xml:space="preserve"> </v>
      </c>
      <c r="DG327" s="174" t="str">
        <f t="shared" si="495"/>
        <v>NG</v>
      </c>
      <c r="DH327" s="162"/>
      <c r="DI327" s="276" t="str">
        <f>IF(OR(DE$8="判定対象外",DH$8="判定対象外",DH327="-"),"-",IF(DE327=DH327,"OK","NG"))</f>
        <v>OK</v>
      </c>
      <c r="DJ327" s="160"/>
      <c r="DK327" s="162"/>
      <c r="DL327" s="203" t="str">
        <f t="shared" si="514"/>
        <v xml:space="preserve"> </v>
      </c>
      <c r="DM327" s="174" t="str">
        <f t="shared" si="496"/>
        <v>NG</v>
      </c>
      <c r="DN327" s="162"/>
      <c r="DO327" s="276" t="str">
        <f>IF(OR(DK$8="判定対象外",DN$8="判定対象外",DN327="-"),"-",IF(DK327=DN327,"OK","NG"))</f>
        <v>OK</v>
      </c>
      <c r="DP327" s="160"/>
      <c r="DQ327" s="162"/>
      <c r="DR327" s="203" t="str">
        <f t="shared" si="515"/>
        <v xml:space="preserve"> </v>
      </c>
      <c r="DS327" s="174" t="str">
        <f t="shared" si="533"/>
        <v>NG</v>
      </c>
      <c r="DT327" s="162"/>
      <c r="DU327" s="276" t="str">
        <f>IF(OR(DQ$8="判定対象外",DT$8="判定対象外",DT327="-"),"-",IF(DQ327=DT327,"OK","NG"))</f>
        <v>OK</v>
      </c>
      <c r="DV327" s="160"/>
      <c r="DW327" s="162"/>
      <c r="DX327" s="203" t="str">
        <f t="shared" si="516"/>
        <v xml:space="preserve"> </v>
      </c>
      <c r="DY327" s="174" t="str">
        <f t="shared" si="534"/>
        <v>NG</v>
      </c>
      <c r="DZ327" s="162"/>
      <c r="EA327" s="276" t="str">
        <f>IF(OR(DW$8="判定対象外",DZ$8="判定対象外",DZ327="-"),"-",IF(DW327=DZ327,"OK","NG"))</f>
        <v>OK</v>
      </c>
      <c r="EB327" s="160"/>
      <c r="EC327" s="162"/>
      <c r="ED327" s="203" t="str">
        <f t="shared" si="517"/>
        <v xml:space="preserve"> </v>
      </c>
      <c r="EE327" s="174" t="str">
        <f t="shared" si="535"/>
        <v>NG</v>
      </c>
      <c r="EF327" s="162"/>
      <c r="EG327" s="276" t="str">
        <f>IF(OR(EC$8="判定対象外",EF$8="判定対象外",EF327="-"),"-",IF(EC327=EF327,"OK","NG"))</f>
        <v>OK</v>
      </c>
      <c r="EH327" s="160"/>
      <c r="EI327" s="162"/>
      <c r="EJ327" s="203" t="str">
        <f t="shared" si="518"/>
        <v xml:space="preserve"> </v>
      </c>
      <c r="EK327" s="174" t="str">
        <f t="shared" si="536"/>
        <v>NG</v>
      </c>
      <c r="EL327" s="162"/>
      <c r="EM327" s="276" t="str">
        <f>IF(OR(EI$8="判定対象外",EL$8="判定対象外",EL327="-"),"-",IF(EI327=EL327,"OK","NG"))</f>
        <v>OK</v>
      </c>
      <c r="EN327" s="160"/>
      <c r="EO327" s="162"/>
      <c r="EP327" s="203" t="str">
        <f t="shared" si="519"/>
        <v xml:space="preserve"> </v>
      </c>
      <c r="EQ327" s="174" t="str">
        <f t="shared" si="537"/>
        <v>NG</v>
      </c>
      <c r="ER327" s="162"/>
      <c r="ES327" s="276" t="str">
        <f>IF(OR(EO$8="判定対象外",ER$8="判定対象外",ER327="-"),"-",IF(EO327=ER327,"OK","NG"))</f>
        <v>OK</v>
      </c>
      <c r="ET327" s="160"/>
      <c r="EU327" s="162"/>
      <c r="EV327" s="203" t="str">
        <f t="shared" si="520"/>
        <v xml:space="preserve"> </v>
      </c>
      <c r="EW327" s="174" t="str">
        <f t="shared" si="538"/>
        <v>NG</v>
      </c>
      <c r="EX327" s="162"/>
      <c r="EY327" s="276" t="str">
        <f>IF(OR(EU$8="判定対象外",EX$8="判定対象外",EX327="-"),"-",IF(EU327=EX327,"OK","NG"))</f>
        <v>OK</v>
      </c>
      <c r="EZ327" s="160"/>
      <c r="FA327" s="162"/>
      <c r="FB327" s="203" t="str">
        <f t="shared" si="521"/>
        <v xml:space="preserve"> </v>
      </c>
      <c r="FC327" s="174" t="str">
        <f t="shared" si="539"/>
        <v>NG</v>
      </c>
      <c r="FD327" s="162"/>
      <c r="FE327" s="276" t="str">
        <f>IF(OR(FA$8="判定対象外",FD$8="判定対象外",FD327="-"),"-",IF(FA327=FD327,"OK","NG"))</f>
        <v>OK</v>
      </c>
      <c r="FF327" s="160"/>
      <c r="FG327" s="162"/>
      <c r="FH327" s="203" t="str">
        <f t="shared" si="522"/>
        <v xml:space="preserve"> </v>
      </c>
      <c r="FI327" s="174" t="str">
        <f t="shared" si="540"/>
        <v>NG</v>
      </c>
      <c r="FJ327" s="162"/>
      <c r="FK327" s="276" t="str">
        <f>IF(OR(FG$8="判定対象外",FJ$8="判定対象外",FJ327="-"),"-",IF(FG327=FJ327,"OK","NG"))</f>
        <v>OK</v>
      </c>
      <c r="FL327" s="160"/>
      <c r="FM327" s="162"/>
      <c r="FN327" s="203" t="str">
        <f t="shared" si="523"/>
        <v xml:space="preserve"> </v>
      </c>
      <c r="FO327" s="174" t="str">
        <f t="shared" si="497"/>
        <v>NG</v>
      </c>
      <c r="FP327" s="162"/>
      <c r="FQ327" s="276" t="str">
        <f>IF(OR(FM$8="判定対象外",FP$8="判定対象外",FP327="-"),"-",IF(FM327=FP327,"OK","NG"))</f>
        <v>OK</v>
      </c>
      <c r="FR327" s="160"/>
      <c r="FS327" s="162"/>
      <c r="FT327" s="203" t="str">
        <f t="shared" si="524"/>
        <v xml:space="preserve"> </v>
      </c>
      <c r="FU327" s="174" t="str">
        <f t="shared" si="498"/>
        <v>NG</v>
      </c>
      <c r="FV327" s="162"/>
      <c r="FW327" s="276" t="str">
        <f>IF(OR(FS$8="判定対象外",FV$8="判定対象外",FV327="-"),"-",IF(FS327=FV327,"OK","NG"))</f>
        <v>OK</v>
      </c>
      <c r="FX327" s="160"/>
      <c r="FY327" s="162"/>
      <c r="FZ327" s="203" t="str">
        <f t="shared" si="525"/>
        <v xml:space="preserve"> </v>
      </c>
      <c r="GA327" s="174" t="str">
        <f t="shared" si="499"/>
        <v>NG</v>
      </c>
      <c r="GB327" s="162"/>
      <c r="GC327" s="276" t="str">
        <f>IF(OR(FY$8="判定対象外",GB$8="判定対象外",GB327="-"),"-",IF(FY327=GB327,"OK","NG"))</f>
        <v>OK</v>
      </c>
    </row>
    <row r="328" spans="1:185" s="52" customFormat="1" ht="319.5" customHeight="1">
      <c r="B328" s="216">
        <f t="shared" si="527"/>
        <v>321</v>
      </c>
      <c r="C328" s="37"/>
      <c r="D328" s="37"/>
      <c r="E328" s="25"/>
      <c r="F328" s="218" t="s">
        <v>288</v>
      </c>
      <c r="G328" s="27"/>
      <c r="H328" s="28"/>
      <c r="I328" s="42"/>
      <c r="J328" s="42" t="s">
        <v>316</v>
      </c>
      <c r="K328" s="42"/>
      <c r="L328" s="42"/>
      <c r="M328" s="161" t="s">
        <v>343</v>
      </c>
      <c r="N328" s="39"/>
      <c r="O328" s="143"/>
      <c r="P328" s="45">
        <f t="shared" si="532"/>
        <v>295</v>
      </c>
      <c r="Q328" s="46">
        <v>2</v>
      </c>
      <c r="R328" s="41" t="str">
        <f t="shared" si="541"/>
        <v>X</v>
      </c>
      <c r="S328" s="185" t="s">
        <v>238</v>
      </c>
      <c r="T328" s="43"/>
      <c r="U328" s="41" t="s">
        <v>80</v>
      </c>
      <c r="V328" s="44"/>
      <c r="W328" s="22">
        <v>3</v>
      </c>
      <c r="X328" s="47" t="s">
        <v>239</v>
      </c>
      <c r="Y328" s="47">
        <v>2</v>
      </c>
      <c r="Z328" s="47">
        <v>2</v>
      </c>
      <c r="AA328" s="42" t="s">
        <v>81</v>
      </c>
      <c r="AB328" s="42" t="s">
        <v>80</v>
      </c>
      <c r="AC328" s="164"/>
      <c r="AD328" s="160"/>
      <c r="AE328" s="162"/>
      <c r="AF328" s="167" t="str">
        <f t="shared" si="501"/>
        <v xml:space="preserve">  </v>
      </c>
      <c r="AG328" s="174" t="str">
        <f t="shared" ref="AG328:AG391" si="542">IF(OR(AE$8="判定対象外",AF$8="判定対象外",AF328="-"),"-",IF(AE328=AF328,"OK","NG"))</f>
        <v>NG</v>
      </c>
      <c r="AH328" s="162"/>
      <c r="AI328" s="276" t="str">
        <f>IF(OR(AE$8="判定対象外",AH$8="判定対象外",AH328="-"),"-",IF(AE328=AH328,"OK","NG"))</f>
        <v>OK</v>
      </c>
      <c r="AJ328" s="160"/>
      <c r="AK328" s="162"/>
      <c r="AL328" s="167" t="str">
        <f t="shared" si="500"/>
        <v xml:space="preserve">  </v>
      </c>
      <c r="AM328" s="174" t="str">
        <f t="shared" si="528"/>
        <v>NG</v>
      </c>
      <c r="AN328" s="162"/>
      <c r="AO328" s="276" t="str">
        <f>IF(OR(AK$8="判定対象外",AN$8="判定対象外",AN328="-"),"-",IF(AK328=AN328,"OK","NG"))</f>
        <v>OK</v>
      </c>
      <c r="AP328" s="160"/>
      <c r="AQ328" s="162"/>
      <c r="AR328" s="167" t="str">
        <f t="shared" si="502"/>
        <v xml:space="preserve">  </v>
      </c>
      <c r="AS328" s="174" t="str">
        <f t="shared" ref="AS328:AS391" si="543">IF(OR(AQ$8="判定対象外",AR$8="判定対象外",AR328="-"),"-",IF(AQ328=AR328,"OK","NG"))</f>
        <v>NG</v>
      </c>
      <c r="AT328" s="162"/>
      <c r="AU328" s="276" t="str">
        <f>IF(OR(AQ$8="判定対象外",AT$8="判定対象外",AT328="-"),"-",IF(AQ328=AT328,"OK","NG"))</f>
        <v>OK</v>
      </c>
      <c r="AV328" s="160"/>
      <c r="AW328" s="162"/>
      <c r="AX328" s="167" t="str">
        <f t="shared" si="503"/>
        <v xml:space="preserve">  </v>
      </c>
      <c r="AY328" s="174" t="str">
        <f t="shared" ref="AY328:AY391" si="544">IF(OR(AW$8="判定対象外",AX$8="判定対象外",AX328="-"),"-",IF(AW328=AX328,"OK","NG"))</f>
        <v>NG</v>
      </c>
      <c r="AZ328" s="162"/>
      <c r="BA328" s="276" t="str">
        <f>IF(OR(AW$8="判定対象外",AZ$8="判定対象外",AZ328="-"),"-",IF(AW328=AZ328,"OK","NG"))</f>
        <v>OK</v>
      </c>
      <c r="BB328" s="160"/>
      <c r="BC328" s="162"/>
      <c r="BD328" s="167" t="str">
        <f t="shared" si="504"/>
        <v xml:space="preserve">  </v>
      </c>
      <c r="BE328" s="174" t="str">
        <f t="shared" ref="BE328:BE391" si="545">IF(OR(BC$8="判定対象外",BD$8="判定対象外",BD328="-"),"-",IF(BC328=BD328,"OK","NG"))</f>
        <v>NG</v>
      </c>
      <c r="BF328" s="162"/>
      <c r="BG328" s="276" t="str">
        <f>IF(OR(BC$8="判定対象外",BF$8="判定対象外",BF328="-"),"-",IF(BC328=BF328,"OK","NG"))</f>
        <v>OK</v>
      </c>
      <c r="BH328" s="160"/>
      <c r="BI328" s="162"/>
      <c r="BJ328" s="167" t="str">
        <f t="shared" si="505"/>
        <v xml:space="preserve">  </v>
      </c>
      <c r="BK328" s="174" t="str">
        <f t="shared" ref="BK328:BK391" si="546">IF(OR(BI$8="判定対象外",BJ$8="判定対象外",BJ328="-"),"-",IF(BI328=BJ328,"OK","NG"))</f>
        <v>NG</v>
      </c>
      <c r="BL328" s="162"/>
      <c r="BM328" s="276" t="str">
        <f>IF(OR(BI$8="判定対象外",BL$8="判定対象外",BL328="-"),"-",IF(BI328=BL328,"OK","NG"))</f>
        <v>OK</v>
      </c>
      <c r="BN328" s="160"/>
      <c r="BO328" s="162"/>
      <c r="BP328" s="167" t="str">
        <f t="shared" si="506"/>
        <v xml:space="preserve">  </v>
      </c>
      <c r="BQ328" s="174" t="str">
        <f t="shared" ref="BQ328:BQ391" si="547">IF(OR(BO$8="判定対象外",BP$8="判定対象外",BP328="-"),"-",IF(BO328=BP328,"OK","NG"))</f>
        <v>NG</v>
      </c>
      <c r="BR328" s="162"/>
      <c r="BS328" s="276" t="str">
        <f>IF(OR(BO$8="判定対象外",BR$8="判定対象外",BR328="-"),"-",IF(BO328=BR328,"OK","NG"))</f>
        <v>OK</v>
      </c>
      <c r="BT328" s="160"/>
      <c r="BU328" s="162"/>
      <c r="BV328" s="167" t="str">
        <f t="shared" si="507"/>
        <v xml:space="preserve">  </v>
      </c>
      <c r="BW328" s="174" t="str">
        <f t="shared" ref="BW328:BW391" si="548">IF(OR(BU$8="判定対象外",BV$8="判定対象外",BV328="-"),"-",IF(BU328=BV328,"OK","NG"))</f>
        <v>NG</v>
      </c>
      <c r="BX328" s="162"/>
      <c r="BY328" s="276" t="str">
        <f>IF(OR(BU$8="判定対象外",BX$8="判定対象外",BX328="-"),"-",IF(BU328=BX328,"OK","NG"))</f>
        <v>OK</v>
      </c>
      <c r="BZ328" s="160"/>
      <c r="CA328" s="162"/>
      <c r="CB328" s="167" t="str">
        <f t="shared" si="508"/>
        <v xml:space="preserve">  </v>
      </c>
      <c r="CC328" s="174" t="str">
        <f t="shared" ref="CC328:CC391" si="549">IF(OR(CA$8="判定対象外",CB$8="判定対象外",CB328="-"),"-",IF(CA328=CB328,"OK","NG"))</f>
        <v>NG</v>
      </c>
      <c r="CD328" s="162"/>
      <c r="CE328" s="276" t="str">
        <f>IF(OR(CA$8="判定対象外",CD$8="判定対象外",CD328="-"),"-",IF(CA328=CD328,"OK","NG"))</f>
        <v>OK</v>
      </c>
      <c r="CF328" s="160"/>
      <c r="CG328" s="162"/>
      <c r="CH328" s="167" t="str">
        <f t="shared" si="509"/>
        <v xml:space="preserve">  </v>
      </c>
      <c r="CI328" s="174" t="str">
        <f t="shared" ref="CI328:CI391" si="550">IF(OR(CG$8="判定対象外",CH$8="判定対象外",CH328="-"),"-",IF(CG328=CH328,"OK","NG"))</f>
        <v>NG</v>
      </c>
      <c r="CJ328" s="162"/>
      <c r="CK328" s="276" t="str">
        <f>IF(OR(CG$8="判定対象外",CJ$8="判定対象外",CJ328="-"),"-",IF(CG328=CJ328,"OK","NG"))</f>
        <v>OK</v>
      </c>
      <c r="CL328" s="160"/>
      <c r="CM328" s="162"/>
      <c r="CN328" s="167" t="str">
        <f t="shared" si="510"/>
        <v xml:space="preserve">  </v>
      </c>
      <c r="CO328" s="174" t="str">
        <f t="shared" ref="CO328:CO391" si="551">IF(OR(CM$8="判定対象外",CN$8="判定対象外",CN328="-"),"-",IF(CM328=CN328,"OK","NG"))</f>
        <v>NG</v>
      </c>
      <c r="CP328" s="162"/>
      <c r="CQ328" s="276" t="str">
        <f>IF(OR(CM$8="判定対象外",CP$8="判定対象外",CP328="-"),"-",IF(CM328=CP328,"OK","NG"))</f>
        <v>OK</v>
      </c>
      <c r="CR328" s="160"/>
      <c r="CS328" s="162"/>
      <c r="CT328" s="167" t="str">
        <f t="shared" si="511"/>
        <v xml:space="preserve">  </v>
      </c>
      <c r="CU328" s="174" t="str">
        <f t="shared" ref="CU328:CU391" si="552">IF(OR(CS$8="判定対象外",CT$8="判定対象外",CT328="-"),"-",IF(CS328=CT328,"OK","NG"))</f>
        <v>NG</v>
      </c>
      <c r="CV328" s="162"/>
      <c r="CW328" s="276" t="str">
        <f>IF(OR(CS$8="判定対象外",CV$8="判定対象外",CV328="-"),"-",IF(CS328=CV328,"OK","NG"))</f>
        <v>OK</v>
      </c>
      <c r="CX328" s="160"/>
      <c r="CY328" s="162"/>
      <c r="CZ328" s="167" t="str">
        <f t="shared" si="512"/>
        <v xml:space="preserve">  </v>
      </c>
      <c r="DA328" s="174" t="str">
        <f t="shared" ref="DA328:DA391" si="553">IF(OR(CY$8="判定対象外",CZ$8="判定対象外",CZ328="-"),"-",IF(CY328=CZ328,"OK","NG"))</f>
        <v>NG</v>
      </c>
      <c r="DB328" s="162"/>
      <c r="DC328" s="276" t="str">
        <f>IF(OR(CY$8="判定対象外",DB$8="判定対象外",DB328="-"),"-",IF(CY328=DB328,"OK","NG"))</f>
        <v>OK</v>
      </c>
      <c r="DD328" s="160"/>
      <c r="DE328" s="162"/>
      <c r="DF328" s="167" t="str">
        <f t="shared" si="513"/>
        <v xml:space="preserve">  </v>
      </c>
      <c r="DG328" s="174" t="str">
        <f t="shared" ref="DG328:DG391" si="554">IF(OR(DE$8="判定対象外",DF$8="判定対象外",DF328="-"),"-",IF(DE328=DF328,"OK","NG"))</f>
        <v>NG</v>
      </c>
      <c r="DH328" s="162"/>
      <c r="DI328" s="276" t="str">
        <f>IF(OR(DE$8="判定対象外",DH$8="判定対象外",DH328="-"),"-",IF(DE328=DH328,"OK","NG"))</f>
        <v>OK</v>
      </c>
      <c r="DJ328" s="160"/>
      <c r="DK328" s="162"/>
      <c r="DL328" s="167" t="str">
        <f t="shared" si="514"/>
        <v xml:space="preserve">  </v>
      </c>
      <c r="DM328" s="174" t="str">
        <f t="shared" ref="DM328:DM391" si="555">IF(OR(DK$8="判定対象外",DL$8="判定対象外",DL328="-"),"-",IF(DK328=DL328,"OK","NG"))</f>
        <v>NG</v>
      </c>
      <c r="DN328" s="162"/>
      <c r="DO328" s="276" t="str">
        <f>IF(OR(DK$8="判定対象外",DN$8="判定対象外",DN328="-"),"-",IF(DK328=DN328,"OK","NG"))</f>
        <v>OK</v>
      </c>
      <c r="DP328" s="160"/>
      <c r="DQ328" s="162"/>
      <c r="DR328" s="167" t="str">
        <f t="shared" si="515"/>
        <v xml:space="preserve">  </v>
      </c>
      <c r="DS328" s="174" t="str">
        <f t="shared" si="533"/>
        <v>NG</v>
      </c>
      <c r="DT328" s="162"/>
      <c r="DU328" s="276" t="str">
        <f>IF(OR(DQ$8="判定対象外",DT$8="判定対象外",DT328="-"),"-",IF(DQ328=DT328,"OK","NG"))</f>
        <v>OK</v>
      </c>
      <c r="DV328" s="160"/>
      <c r="DW328" s="162"/>
      <c r="DX328" s="167" t="str">
        <f t="shared" si="516"/>
        <v xml:space="preserve">  </v>
      </c>
      <c r="DY328" s="174" t="str">
        <f t="shared" si="534"/>
        <v>NG</v>
      </c>
      <c r="DZ328" s="162"/>
      <c r="EA328" s="276" t="str">
        <f>IF(OR(DW$8="判定対象外",DZ$8="判定対象外",DZ328="-"),"-",IF(DW328=DZ328,"OK","NG"))</f>
        <v>OK</v>
      </c>
      <c r="EB328" s="160"/>
      <c r="EC328" s="162"/>
      <c r="ED328" s="167" t="str">
        <f t="shared" si="517"/>
        <v xml:space="preserve">  </v>
      </c>
      <c r="EE328" s="174" t="str">
        <f t="shared" si="535"/>
        <v>NG</v>
      </c>
      <c r="EF328" s="162"/>
      <c r="EG328" s="276" t="str">
        <f>IF(OR(EC$8="判定対象外",EF$8="判定対象外",EF328="-"),"-",IF(EC328=EF328,"OK","NG"))</f>
        <v>OK</v>
      </c>
      <c r="EH328" s="160"/>
      <c r="EI328" s="162"/>
      <c r="EJ328" s="167" t="str">
        <f t="shared" si="518"/>
        <v xml:space="preserve">  </v>
      </c>
      <c r="EK328" s="174" t="str">
        <f t="shared" si="536"/>
        <v>NG</v>
      </c>
      <c r="EL328" s="162"/>
      <c r="EM328" s="276" t="str">
        <f>IF(OR(EI$8="判定対象外",EL$8="判定対象外",EL328="-"),"-",IF(EI328=EL328,"OK","NG"))</f>
        <v>OK</v>
      </c>
      <c r="EN328" s="160"/>
      <c r="EO328" s="162"/>
      <c r="EP328" s="167" t="str">
        <f t="shared" si="519"/>
        <v xml:space="preserve">  </v>
      </c>
      <c r="EQ328" s="174" t="str">
        <f t="shared" si="537"/>
        <v>NG</v>
      </c>
      <c r="ER328" s="162"/>
      <c r="ES328" s="276" t="str">
        <f>IF(OR(EO$8="判定対象外",ER$8="判定対象外",ER328="-"),"-",IF(EO328=ER328,"OK","NG"))</f>
        <v>OK</v>
      </c>
      <c r="ET328" s="160"/>
      <c r="EU328" s="162"/>
      <c r="EV328" s="167" t="str">
        <f t="shared" si="520"/>
        <v xml:space="preserve">  </v>
      </c>
      <c r="EW328" s="174" t="str">
        <f t="shared" si="538"/>
        <v>NG</v>
      </c>
      <c r="EX328" s="162"/>
      <c r="EY328" s="276" t="str">
        <f>IF(OR(EU$8="判定対象外",EX$8="判定対象外",EX328="-"),"-",IF(EU328=EX328,"OK","NG"))</f>
        <v>OK</v>
      </c>
      <c r="EZ328" s="160"/>
      <c r="FA328" s="162"/>
      <c r="FB328" s="167" t="str">
        <f t="shared" si="521"/>
        <v xml:space="preserve">  </v>
      </c>
      <c r="FC328" s="174" t="str">
        <f t="shared" si="539"/>
        <v>NG</v>
      </c>
      <c r="FD328" s="162"/>
      <c r="FE328" s="276" t="str">
        <f>IF(OR(FA$8="判定対象外",FD$8="判定対象外",FD328="-"),"-",IF(FA328=FD328,"OK","NG"))</f>
        <v>OK</v>
      </c>
      <c r="FF328" s="160"/>
      <c r="FG328" s="162"/>
      <c r="FH328" s="167" t="str">
        <f t="shared" si="522"/>
        <v xml:space="preserve">  </v>
      </c>
      <c r="FI328" s="174" t="str">
        <f t="shared" si="540"/>
        <v>NG</v>
      </c>
      <c r="FJ328" s="162"/>
      <c r="FK328" s="276" t="str">
        <f>IF(OR(FG$8="判定対象外",FJ$8="判定対象外",FJ328="-"),"-",IF(FG328=FJ328,"OK","NG"))</f>
        <v>OK</v>
      </c>
      <c r="FL328" s="160"/>
      <c r="FM328" s="162"/>
      <c r="FN328" s="167" t="str">
        <f t="shared" si="523"/>
        <v xml:space="preserve">  </v>
      </c>
      <c r="FO328" s="174" t="str">
        <f t="shared" ref="FO328:FO391" si="556">IF(OR(FM$8="判定対象外",FN$8="判定対象外",FN328="-"),"-",IF(FM328=FN328,"OK","NG"))</f>
        <v>NG</v>
      </c>
      <c r="FP328" s="162"/>
      <c r="FQ328" s="276" t="str">
        <f>IF(OR(FM$8="判定対象外",FP$8="判定対象外",FP328="-"),"-",IF(FM328=FP328,"OK","NG"))</f>
        <v>OK</v>
      </c>
      <c r="FR328" s="160"/>
      <c r="FS328" s="162"/>
      <c r="FT328" s="167" t="str">
        <f t="shared" si="524"/>
        <v xml:space="preserve">  </v>
      </c>
      <c r="FU328" s="174" t="str">
        <f t="shared" ref="FU328:FU391" si="557">IF(OR(FS$8="判定対象外",FT$8="判定対象外",FT328="-"),"-",IF(FS328=FT328,"OK","NG"))</f>
        <v>NG</v>
      </c>
      <c r="FV328" s="162"/>
      <c r="FW328" s="276" t="str">
        <f>IF(OR(FS$8="判定対象外",FV$8="判定対象外",FV328="-"),"-",IF(FS328=FV328,"OK","NG"))</f>
        <v>OK</v>
      </c>
      <c r="FX328" s="160"/>
      <c r="FY328" s="162"/>
      <c r="FZ328" s="167" t="str">
        <f t="shared" si="525"/>
        <v xml:space="preserve">  </v>
      </c>
      <c r="GA328" s="174" t="str">
        <f t="shared" ref="GA328:GA391" si="558">IF(OR(FY$8="判定対象外",FZ$8="判定対象外",FZ328="-"),"-",IF(FY328=FZ328,"OK","NG"))</f>
        <v>NG</v>
      </c>
      <c r="GB328" s="162"/>
      <c r="GC328" s="276" t="str">
        <f>IF(OR(FY$8="判定対象外",GB$8="判定対象外",GB328="-"),"-",IF(FY328=GB328,"OK","NG"))</f>
        <v>OK</v>
      </c>
    </row>
    <row r="329" spans="1:185" s="52" customFormat="1" ht="25.5">
      <c r="B329" s="216">
        <f t="shared" si="527"/>
        <v>322</v>
      </c>
      <c r="C329" s="37"/>
      <c r="D329" s="37"/>
      <c r="E329" s="25"/>
      <c r="F329" s="184" t="s">
        <v>344</v>
      </c>
      <c r="G329" s="27"/>
      <c r="H329" s="28"/>
      <c r="I329" s="42"/>
      <c r="J329" s="42"/>
      <c r="K329" s="42"/>
      <c r="L329" s="42"/>
      <c r="M329" s="63" t="s">
        <v>345</v>
      </c>
      <c r="N329" s="39"/>
      <c r="O329" s="143"/>
      <c r="P329" s="45">
        <f t="shared" si="532"/>
        <v>296</v>
      </c>
      <c r="Q329" s="46">
        <v>7</v>
      </c>
      <c r="R329" s="41" t="str">
        <f t="shared" si="541"/>
        <v>X</v>
      </c>
      <c r="S329" s="185" t="s">
        <v>240</v>
      </c>
      <c r="T329" s="43"/>
      <c r="U329" s="41" t="s">
        <v>80</v>
      </c>
      <c r="V329" s="44"/>
      <c r="W329" s="22">
        <v>3</v>
      </c>
      <c r="X329" s="47" t="s">
        <v>241</v>
      </c>
      <c r="Y329" s="47">
        <v>7</v>
      </c>
      <c r="Z329" s="47">
        <v>7</v>
      </c>
      <c r="AA329" s="42" t="s">
        <v>81</v>
      </c>
      <c r="AB329" s="42" t="s">
        <v>80</v>
      </c>
      <c r="AC329" s="219"/>
      <c r="AD329" s="160"/>
      <c r="AE329" s="141"/>
      <c r="AF329" s="203" t="str">
        <f t="shared" si="501"/>
        <v xml:space="preserve">       </v>
      </c>
      <c r="AG329" s="174" t="str">
        <f t="shared" si="542"/>
        <v>NG</v>
      </c>
      <c r="AH329" s="141"/>
      <c r="AI329" s="172" t="s">
        <v>71</v>
      </c>
      <c r="AJ329" s="160"/>
      <c r="AK329" s="141"/>
      <c r="AL329" s="203" t="str">
        <f t="shared" si="500"/>
        <v xml:space="preserve">       </v>
      </c>
      <c r="AM329" s="174" t="str">
        <f t="shared" si="528"/>
        <v>NG</v>
      </c>
      <c r="AN329" s="141"/>
      <c r="AO329" s="172" t="s">
        <v>71</v>
      </c>
      <c r="AP329" s="160"/>
      <c r="AQ329" s="141"/>
      <c r="AR329" s="203" t="str">
        <f t="shared" si="502"/>
        <v xml:space="preserve">       </v>
      </c>
      <c r="AS329" s="174" t="str">
        <f t="shared" si="543"/>
        <v>NG</v>
      </c>
      <c r="AT329" s="141"/>
      <c r="AU329" s="172" t="s">
        <v>71</v>
      </c>
      <c r="AV329" s="160"/>
      <c r="AW329" s="141"/>
      <c r="AX329" s="203" t="str">
        <f t="shared" si="503"/>
        <v xml:space="preserve">       </v>
      </c>
      <c r="AY329" s="174" t="str">
        <f t="shared" si="544"/>
        <v>NG</v>
      </c>
      <c r="AZ329" s="141"/>
      <c r="BA329" s="172" t="s">
        <v>71</v>
      </c>
      <c r="BB329" s="160"/>
      <c r="BC329" s="141"/>
      <c r="BD329" s="203" t="str">
        <f t="shared" si="504"/>
        <v xml:space="preserve">       </v>
      </c>
      <c r="BE329" s="174" t="str">
        <f t="shared" si="545"/>
        <v>NG</v>
      </c>
      <c r="BF329" s="141"/>
      <c r="BG329" s="172" t="s">
        <v>71</v>
      </c>
      <c r="BH329" s="160"/>
      <c r="BI329" s="141"/>
      <c r="BJ329" s="203" t="str">
        <f t="shared" si="505"/>
        <v xml:space="preserve">       </v>
      </c>
      <c r="BK329" s="174" t="str">
        <f t="shared" si="546"/>
        <v>NG</v>
      </c>
      <c r="BL329" s="141"/>
      <c r="BM329" s="172" t="s">
        <v>71</v>
      </c>
      <c r="BN329" s="160"/>
      <c r="BO329" s="141"/>
      <c r="BP329" s="203" t="str">
        <f t="shared" si="506"/>
        <v xml:space="preserve">       </v>
      </c>
      <c r="BQ329" s="174" t="str">
        <f t="shared" si="547"/>
        <v>NG</v>
      </c>
      <c r="BR329" s="141"/>
      <c r="BS329" s="172" t="s">
        <v>71</v>
      </c>
      <c r="BT329" s="160"/>
      <c r="BU329" s="141"/>
      <c r="BV329" s="203" t="str">
        <f t="shared" si="507"/>
        <v xml:space="preserve">       </v>
      </c>
      <c r="BW329" s="174" t="str">
        <f t="shared" si="548"/>
        <v>NG</v>
      </c>
      <c r="BX329" s="141"/>
      <c r="BY329" s="172" t="s">
        <v>71</v>
      </c>
      <c r="BZ329" s="160"/>
      <c r="CA329" s="141"/>
      <c r="CB329" s="203" t="str">
        <f t="shared" si="508"/>
        <v xml:space="preserve">       </v>
      </c>
      <c r="CC329" s="174" t="str">
        <f t="shared" si="549"/>
        <v>NG</v>
      </c>
      <c r="CD329" s="141"/>
      <c r="CE329" s="172" t="s">
        <v>71</v>
      </c>
      <c r="CF329" s="160"/>
      <c r="CG329" s="141"/>
      <c r="CH329" s="203" t="str">
        <f t="shared" si="509"/>
        <v xml:space="preserve">       </v>
      </c>
      <c r="CI329" s="174" t="str">
        <f t="shared" si="550"/>
        <v>NG</v>
      </c>
      <c r="CJ329" s="141"/>
      <c r="CK329" s="172" t="s">
        <v>71</v>
      </c>
      <c r="CL329" s="160"/>
      <c r="CM329" s="141"/>
      <c r="CN329" s="203" t="str">
        <f t="shared" si="510"/>
        <v xml:space="preserve">       </v>
      </c>
      <c r="CO329" s="174" t="str">
        <f t="shared" si="551"/>
        <v>NG</v>
      </c>
      <c r="CP329" s="141"/>
      <c r="CQ329" s="172" t="s">
        <v>71</v>
      </c>
      <c r="CR329" s="160"/>
      <c r="CS329" s="141"/>
      <c r="CT329" s="203" t="str">
        <f t="shared" si="511"/>
        <v xml:space="preserve">       </v>
      </c>
      <c r="CU329" s="174" t="str">
        <f t="shared" si="552"/>
        <v>NG</v>
      </c>
      <c r="CV329" s="141"/>
      <c r="CW329" s="172" t="s">
        <v>71</v>
      </c>
      <c r="CX329" s="160"/>
      <c r="CY329" s="141"/>
      <c r="CZ329" s="203" t="str">
        <f t="shared" si="512"/>
        <v xml:space="preserve">       </v>
      </c>
      <c r="DA329" s="174" t="str">
        <f t="shared" si="553"/>
        <v>NG</v>
      </c>
      <c r="DB329" s="141"/>
      <c r="DC329" s="172" t="s">
        <v>71</v>
      </c>
      <c r="DD329" s="160"/>
      <c r="DE329" s="141"/>
      <c r="DF329" s="203" t="str">
        <f t="shared" si="513"/>
        <v xml:space="preserve">       </v>
      </c>
      <c r="DG329" s="174" t="str">
        <f t="shared" si="554"/>
        <v>NG</v>
      </c>
      <c r="DH329" s="141"/>
      <c r="DI329" s="172" t="s">
        <v>71</v>
      </c>
      <c r="DJ329" s="160"/>
      <c r="DK329" s="141"/>
      <c r="DL329" s="203" t="str">
        <f t="shared" si="514"/>
        <v xml:space="preserve">       </v>
      </c>
      <c r="DM329" s="174" t="str">
        <f t="shared" si="555"/>
        <v>NG</v>
      </c>
      <c r="DN329" s="141"/>
      <c r="DO329" s="172" t="s">
        <v>71</v>
      </c>
      <c r="DP329" s="160"/>
      <c r="DQ329" s="141"/>
      <c r="DR329" s="203" t="str">
        <f t="shared" si="515"/>
        <v xml:space="preserve">       </v>
      </c>
      <c r="DS329" s="174" t="str">
        <f t="shared" si="533"/>
        <v>NG</v>
      </c>
      <c r="DT329" s="141"/>
      <c r="DU329" s="172" t="s">
        <v>71</v>
      </c>
      <c r="DV329" s="160"/>
      <c r="DW329" s="141"/>
      <c r="DX329" s="203" t="str">
        <f t="shared" si="516"/>
        <v xml:space="preserve">       </v>
      </c>
      <c r="DY329" s="174" t="str">
        <f t="shared" si="534"/>
        <v>NG</v>
      </c>
      <c r="DZ329" s="141"/>
      <c r="EA329" s="172" t="s">
        <v>71</v>
      </c>
      <c r="EB329" s="160"/>
      <c r="EC329" s="141"/>
      <c r="ED329" s="203" t="str">
        <f t="shared" si="517"/>
        <v xml:space="preserve">       </v>
      </c>
      <c r="EE329" s="174" t="str">
        <f t="shared" si="535"/>
        <v>NG</v>
      </c>
      <c r="EF329" s="141"/>
      <c r="EG329" s="172" t="s">
        <v>71</v>
      </c>
      <c r="EH329" s="160"/>
      <c r="EI329" s="141"/>
      <c r="EJ329" s="203" t="str">
        <f t="shared" si="518"/>
        <v xml:space="preserve">       </v>
      </c>
      <c r="EK329" s="174" t="str">
        <f t="shared" si="536"/>
        <v>NG</v>
      </c>
      <c r="EL329" s="141"/>
      <c r="EM329" s="172" t="s">
        <v>71</v>
      </c>
      <c r="EN329" s="160"/>
      <c r="EO329" s="141"/>
      <c r="EP329" s="203" t="str">
        <f t="shared" si="519"/>
        <v xml:space="preserve">       </v>
      </c>
      <c r="EQ329" s="174" t="str">
        <f t="shared" si="537"/>
        <v>NG</v>
      </c>
      <c r="ER329" s="141"/>
      <c r="ES329" s="172" t="s">
        <v>71</v>
      </c>
      <c r="ET329" s="160"/>
      <c r="EU329" s="141"/>
      <c r="EV329" s="203" t="str">
        <f t="shared" si="520"/>
        <v xml:space="preserve">       </v>
      </c>
      <c r="EW329" s="174" t="str">
        <f t="shared" si="538"/>
        <v>NG</v>
      </c>
      <c r="EX329" s="141"/>
      <c r="EY329" s="172" t="s">
        <v>71</v>
      </c>
      <c r="EZ329" s="160"/>
      <c r="FA329" s="141"/>
      <c r="FB329" s="203" t="str">
        <f t="shared" si="521"/>
        <v xml:space="preserve">       </v>
      </c>
      <c r="FC329" s="174" t="str">
        <f t="shared" si="539"/>
        <v>NG</v>
      </c>
      <c r="FD329" s="141"/>
      <c r="FE329" s="172" t="s">
        <v>71</v>
      </c>
      <c r="FF329" s="160"/>
      <c r="FG329" s="141"/>
      <c r="FH329" s="203" t="str">
        <f t="shared" si="522"/>
        <v xml:space="preserve">       </v>
      </c>
      <c r="FI329" s="174" t="str">
        <f t="shared" si="540"/>
        <v>NG</v>
      </c>
      <c r="FJ329" s="141"/>
      <c r="FK329" s="172" t="s">
        <v>71</v>
      </c>
      <c r="FL329" s="160"/>
      <c r="FM329" s="141"/>
      <c r="FN329" s="203" t="str">
        <f t="shared" si="523"/>
        <v xml:space="preserve">       </v>
      </c>
      <c r="FO329" s="174" t="str">
        <f t="shared" si="556"/>
        <v>NG</v>
      </c>
      <c r="FP329" s="141"/>
      <c r="FQ329" s="172" t="s">
        <v>71</v>
      </c>
      <c r="FR329" s="160"/>
      <c r="FS329" s="141"/>
      <c r="FT329" s="203" t="str">
        <f t="shared" si="524"/>
        <v xml:space="preserve">       </v>
      </c>
      <c r="FU329" s="174" t="str">
        <f t="shared" si="557"/>
        <v>NG</v>
      </c>
      <c r="FV329" s="141"/>
      <c r="FW329" s="172" t="s">
        <v>71</v>
      </c>
      <c r="FX329" s="160"/>
      <c r="FY329" s="141"/>
      <c r="FZ329" s="203" t="str">
        <f t="shared" si="525"/>
        <v xml:space="preserve">       </v>
      </c>
      <c r="GA329" s="174" t="str">
        <f t="shared" si="558"/>
        <v>NG</v>
      </c>
      <c r="GB329" s="141"/>
      <c r="GC329" s="172" t="s">
        <v>71</v>
      </c>
    </row>
    <row r="330" spans="1:185" s="237" customFormat="1" ht="25.5">
      <c r="B330" s="216">
        <f t="shared" si="527"/>
        <v>323</v>
      </c>
      <c r="C330" s="220"/>
      <c r="D330" s="220"/>
      <c r="E330" s="221"/>
      <c r="F330" s="222" t="s">
        <v>346</v>
      </c>
      <c r="G330" s="223"/>
      <c r="H330" s="224"/>
      <c r="I330" s="225"/>
      <c r="J330" s="225"/>
      <c r="K330" s="226"/>
      <c r="L330" s="226"/>
      <c r="M330" s="227" t="s">
        <v>345</v>
      </c>
      <c r="N330" s="228"/>
      <c r="O330" s="229"/>
      <c r="P330" s="45">
        <f t="shared" si="532"/>
        <v>297</v>
      </c>
      <c r="Q330" s="230">
        <v>10</v>
      </c>
      <c r="R330" s="41" t="str">
        <f t="shared" si="541"/>
        <v>X</v>
      </c>
      <c r="S330" s="185" t="s">
        <v>242</v>
      </c>
      <c r="T330" s="231"/>
      <c r="U330" s="41" t="s">
        <v>80</v>
      </c>
      <c r="V330" s="229"/>
      <c r="W330" s="232">
        <v>3</v>
      </c>
      <c r="X330" s="194" t="s">
        <v>243</v>
      </c>
      <c r="Y330" s="194">
        <v>10</v>
      </c>
      <c r="Z330" s="194">
        <v>10</v>
      </c>
      <c r="AA330" s="225" t="s">
        <v>163</v>
      </c>
      <c r="AB330" s="225" t="s">
        <v>57</v>
      </c>
      <c r="AC330" s="219"/>
      <c r="AD330" s="233"/>
      <c r="AE330" s="268"/>
      <c r="AF330" s="235" t="str">
        <f t="shared" si="501"/>
        <v xml:space="preserve">          </v>
      </c>
      <c r="AG330" s="174" t="str">
        <f t="shared" si="542"/>
        <v>NG</v>
      </c>
      <c r="AH330" s="268"/>
      <c r="AI330" s="172" t="s">
        <v>71</v>
      </c>
      <c r="AJ330" s="233"/>
      <c r="AK330" s="234"/>
      <c r="AL330" s="235" t="str">
        <f t="shared" si="500"/>
        <v xml:space="preserve">          </v>
      </c>
      <c r="AM330" s="174" t="str">
        <f t="shared" si="528"/>
        <v>NG</v>
      </c>
      <c r="AN330" s="268"/>
      <c r="AO330" s="172" t="s">
        <v>71</v>
      </c>
      <c r="AP330" s="233"/>
      <c r="AQ330" s="268"/>
      <c r="AR330" s="235" t="str">
        <f t="shared" si="502"/>
        <v xml:space="preserve">          </v>
      </c>
      <c r="AS330" s="174" t="str">
        <f t="shared" si="543"/>
        <v>NG</v>
      </c>
      <c r="AT330" s="268"/>
      <c r="AU330" s="172" t="s">
        <v>71</v>
      </c>
      <c r="AV330" s="233"/>
      <c r="AW330" s="268"/>
      <c r="AX330" s="235" t="str">
        <f t="shared" si="503"/>
        <v xml:space="preserve">          </v>
      </c>
      <c r="AY330" s="174" t="str">
        <f t="shared" si="544"/>
        <v>NG</v>
      </c>
      <c r="AZ330" s="268"/>
      <c r="BA330" s="172" t="s">
        <v>71</v>
      </c>
      <c r="BB330" s="233"/>
      <c r="BC330" s="268"/>
      <c r="BD330" s="235" t="str">
        <f t="shared" si="504"/>
        <v xml:space="preserve">          </v>
      </c>
      <c r="BE330" s="174" t="str">
        <f t="shared" si="545"/>
        <v>NG</v>
      </c>
      <c r="BF330" s="268"/>
      <c r="BG330" s="172" t="s">
        <v>71</v>
      </c>
      <c r="BH330" s="233"/>
      <c r="BI330" s="268"/>
      <c r="BJ330" s="235" t="str">
        <f t="shared" si="505"/>
        <v xml:space="preserve">          </v>
      </c>
      <c r="BK330" s="174" t="str">
        <f t="shared" si="546"/>
        <v>NG</v>
      </c>
      <c r="BL330" s="268"/>
      <c r="BM330" s="172" t="s">
        <v>71</v>
      </c>
      <c r="BN330" s="233"/>
      <c r="BO330" s="268"/>
      <c r="BP330" s="235" t="str">
        <f t="shared" si="506"/>
        <v xml:space="preserve">          </v>
      </c>
      <c r="BQ330" s="174" t="str">
        <f t="shared" si="547"/>
        <v>NG</v>
      </c>
      <c r="BR330" s="268"/>
      <c r="BS330" s="172" t="s">
        <v>71</v>
      </c>
      <c r="BT330" s="233"/>
      <c r="BU330" s="268"/>
      <c r="BV330" s="235" t="str">
        <f t="shared" si="507"/>
        <v xml:space="preserve">          </v>
      </c>
      <c r="BW330" s="174" t="str">
        <f t="shared" si="548"/>
        <v>NG</v>
      </c>
      <c r="BX330" s="268"/>
      <c r="BY330" s="172" t="s">
        <v>71</v>
      </c>
      <c r="BZ330" s="233"/>
      <c r="CA330" s="268"/>
      <c r="CB330" s="235" t="str">
        <f t="shared" si="508"/>
        <v xml:space="preserve">          </v>
      </c>
      <c r="CC330" s="174" t="str">
        <f t="shared" si="549"/>
        <v>NG</v>
      </c>
      <c r="CD330" s="268"/>
      <c r="CE330" s="172" t="s">
        <v>71</v>
      </c>
      <c r="CF330" s="233"/>
      <c r="CG330" s="268"/>
      <c r="CH330" s="235" t="str">
        <f t="shared" si="509"/>
        <v xml:space="preserve">          </v>
      </c>
      <c r="CI330" s="174" t="str">
        <f t="shared" si="550"/>
        <v>NG</v>
      </c>
      <c r="CJ330" s="268"/>
      <c r="CK330" s="172" t="s">
        <v>71</v>
      </c>
      <c r="CL330" s="233"/>
      <c r="CM330" s="268"/>
      <c r="CN330" s="235" t="str">
        <f t="shared" si="510"/>
        <v xml:space="preserve">          </v>
      </c>
      <c r="CO330" s="174" t="str">
        <f t="shared" si="551"/>
        <v>NG</v>
      </c>
      <c r="CP330" s="268"/>
      <c r="CQ330" s="172" t="s">
        <v>71</v>
      </c>
      <c r="CR330" s="233"/>
      <c r="CS330" s="268"/>
      <c r="CT330" s="235" t="str">
        <f t="shared" si="511"/>
        <v xml:space="preserve">          </v>
      </c>
      <c r="CU330" s="174" t="str">
        <f t="shared" si="552"/>
        <v>NG</v>
      </c>
      <c r="CV330" s="268"/>
      <c r="CW330" s="172" t="s">
        <v>71</v>
      </c>
      <c r="CX330" s="233"/>
      <c r="CY330" s="268"/>
      <c r="CZ330" s="235" t="str">
        <f t="shared" si="512"/>
        <v xml:space="preserve">          </v>
      </c>
      <c r="DA330" s="174" t="str">
        <f t="shared" si="553"/>
        <v>NG</v>
      </c>
      <c r="DB330" s="268"/>
      <c r="DC330" s="172" t="s">
        <v>71</v>
      </c>
      <c r="DD330" s="233"/>
      <c r="DE330" s="268"/>
      <c r="DF330" s="235" t="str">
        <f t="shared" si="513"/>
        <v xml:space="preserve">          </v>
      </c>
      <c r="DG330" s="174" t="str">
        <f t="shared" si="554"/>
        <v>NG</v>
      </c>
      <c r="DH330" s="268"/>
      <c r="DI330" s="172" t="s">
        <v>71</v>
      </c>
      <c r="DJ330" s="233"/>
      <c r="DK330" s="268"/>
      <c r="DL330" s="235" t="str">
        <f t="shared" si="514"/>
        <v xml:space="preserve">          </v>
      </c>
      <c r="DM330" s="174" t="str">
        <f t="shared" si="555"/>
        <v>NG</v>
      </c>
      <c r="DN330" s="268"/>
      <c r="DO330" s="172" t="s">
        <v>71</v>
      </c>
      <c r="DP330" s="233"/>
      <c r="DQ330" s="268"/>
      <c r="DR330" s="235" t="str">
        <f t="shared" si="515"/>
        <v xml:space="preserve">          </v>
      </c>
      <c r="DS330" s="174" t="str">
        <f t="shared" si="533"/>
        <v>NG</v>
      </c>
      <c r="DT330" s="268"/>
      <c r="DU330" s="172" t="s">
        <v>71</v>
      </c>
      <c r="DV330" s="233"/>
      <c r="DW330" s="268"/>
      <c r="DX330" s="235" t="str">
        <f t="shared" si="516"/>
        <v xml:space="preserve">          </v>
      </c>
      <c r="DY330" s="174" t="str">
        <f t="shared" si="534"/>
        <v>NG</v>
      </c>
      <c r="DZ330" s="268"/>
      <c r="EA330" s="172" t="s">
        <v>71</v>
      </c>
      <c r="EB330" s="233"/>
      <c r="EC330" s="268"/>
      <c r="ED330" s="235" t="str">
        <f t="shared" si="517"/>
        <v xml:space="preserve">          </v>
      </c>
      <c r="EE330" s="174" t="str">
        <f t="shared" si="535"/>
        <v>NG</v>
      </c>
      <c r="EF330" s="268"/>
      <c r="EG330" s="172" t="s">
        <v>71</v>
      </c>
      <c r="EH330" s="233"/>
      <c r="EI330" s="268"/>
      <c r="EJ330" s="235" t="str">
        <f t="shared" si="518"/>
        <v xml:space="preserve">          </v>
      </c>
      <c r="EK330" s="174" t="str">
        <f t="shared" si="536"/>
        <v>NG</v>
      </c>
      <c r="EL330" s="268"/>
      <c r="EM330" s="172" t="s">
        <v>71</v>
      </c>
      <c r="EN330" s="233"/>
      <c r="EO330" s="268"/>
      <c r="EP330" s="235" t="str">
        <f t="shared" si="519"/>
        <v xml:space="preserve">          </v>
      </c>
      <c r="EQ330" s="174" t="str">
        <f t="shared" si="537"/>
        <v>NG</v>
      </c>
      <c r="ER330" s="268"/>
      <c r="ES330" s="172" t="s">
        <v>71</v>
      </c>
      <c r="ET330" s="233"/>
      <c r="EU330" s="268"/>
      <c r="EV330" s="235" t="str">
        <f t="shared" si="520"/>
        <v xml:space="preserve">          </v>
      </c>
      <c r="EW330" s="174" t="str">
        <f t="shared" si="538"/>
        <v>NG</v>
      </c>
      <c r="EX330" s="268"/>
      <c r="EY330" s="172" t="s">
        <v>71</v>
      </c>
      <c r="EZ330" s="233"/>
      <c r="FA330" s="268"/>
      <c r="FB330" s="235" t="str">
        <f t="shared" si="521"/>
        <v xml:space="preserve">          </v>
      </c>
      <c r="FC330" s="174" t="str">
        <f t="shared" si="539"/>
        <v>NG</v>
      </c>
      <c r="FD330" s="268"/>
      <c r="FE330" s="172" t="s">
        <v>71</v>
      </c>
      <c r="FF330" s="233"/>
      <c r="FG330" s="268"/>
      <c r="FH330" s="235" t="str">
        <f t="shared" si="522"/>
        <v xml:space="preserve">          </v>
      </c>
      <c r="FI330" s="174" t="str">
        <f t="shared" si="540"/>
        <v>NG</v>
      </c>
      <c r="FJ330" s="268"/>
      <c r="FK330" s="172" t="s">
        <v>71</v>
      </c>
      <c r="FL330" s="233"/>
      <c r="FM330" s="268"/>
      <c r="FN330" s="235" t="str">
        <f t="shared" si="523"/>
        <v xml:space="preserve">          </v>
      </c>
      <c r="FO330" s="174" t="str">
        <f t="shared" si="556"/>
        <v>NG</v>
      </c>
      <c r="FP330" s="268"/>
      <c r="FQ330" s="172" t="s">
        <v>71</v>
      </c>
      <c r="FR330" s="233"/>
      <c r="FS330" s="268"/>
      <c r="FT330" s="235" t="str">
        <f t="shared" si="524"/>
        <v xml:space="preserve">          </v>
      </c>
      <c r="FU330" s="174" t="str">
        <f t="shared" si="557"/>
        <v>NG</v>
      </c>
      <c r="FV330" s="268"/>
      <c r="FW330" s="172" t="s">
        <v>71</v>
      </c>
      <c r="FX330" s="233"/>
      <c r="FY330" s="268"/>
      <c r="FZ330" s="235" t="str">
        <f t="shared" si="525"/>
        <v xml:space="preserve">          </v>
      </c>
      <c r="GA330" s="174" t="str">
        <f t="shared" si="558"/>
        <v>NG</v>
      </c>
      <c r="GB330" s="268"/>
      <c r="GC330" s="172" t="s">
        <v>71</v>
      </c>
    </row>
    <row r="331" spans="1:185" s="237" customFormat="1" ht="25.5">
      <c r="B331" s="216">
        <f t="shared" si="527"/>
        <v>324</v>
      </c>
      <c r="C331" s="220"/>
      <c r="D331" s="220"/>
      <c r="E331" s="220"/>
      <c r="F331" s="238" t="s">
        <v>244</v>
      </c>
      <c r="G331" s="168"/>
      <c r="H331" s="239"/>
      <c r="I331" s="225"/>
      <c r="J331" s="225"/>
      <c r="K331" s="226"/>
      <c r="L331" s="226"/>
      <c r="M331" s="227" t="s">
        <v>345</v>
      </c>
      <c r="N331" s="228"/>
      <c r="O331" s="229"/>
      <c r="P331" s="45">
        <f t="shared" si="532"/>
        <v>298</v>
      </c>
      <c r="Q331" s="230">
        <v>3</v>
      </c>
      <c r="R331" s="41" t="str">
        <f t="shared" si="541"/>
        <v>X</v>
      </c>
      <c r="S331" s="185" t="s">
        <v>245</v>
      </c>
      <c r="T331" s="231"/>
      <c r="U331" s="41" t="s">
        <v>80</v>
      </c>
      <c r="V331" s="229"/>
      <c r="W331" s="232">
        <v>3</v>
      </c>
      <c r="X331" s="194" t="s">
        <v>246</v>
      </c>
      <c r="Y331" s="194">
        <v>3</v>
      </c>
      <c r="Z331" s="194">
        <v>3</v>
      </c>
      <c r="AA331" s="225" t="s">
        <v>163</v>
      </c>
      <c r="AB331" s="225" t="s">
        <v>57</v>
      </c>
      <c r="AC331" s="219"/>
      <c r="AD331" s="233"/>
      <c r="AE331" s="268"/>
      <c r="AF331" s="235" t="str">
        <f t="shared" si="501"/>
        <v xml:space="preserve">   </v>
      </c>
      <c r="AG331" s="174" t="str">
        <f t="shared" si="542"/>
        <v>NG</v>
      </c>
      <c r="AH331" s="268"/>
      <c r="AI331" s="172" t="s">
        <v>71</v>
      </c>
      <c r="AJ331" s="233"/>
      <c r="AK331" s="234"/>
      <c r="AL331" s="235" t="str">
        <f t="shared" si="500"/>
        <v xml:space="preserve">   </v>
      </c>
      <c r="AM331" s="174" t="str">
        <f t="shared" si="528"/>
        <v>NG</v>
      </c>
      <c r="AN331" s="268"/>
      <c r="AO331" s="172" t="s">
        <v>71</v>
      </c>
      <c r="AP331" s="233"/>
      <c r="AQ331" s="268"/>
      <c r="AR331" s="235" t="str">
        <f t="shared" si="502"/>
        <v xml:space="preserve">   </v>
      </c>
      <c r="AS331" s="174" t="str">
        <f t="shared" si="543"/>
        <v>NG</v>
      </c>
      <c r="AT331" s="268"/>
      <c r="AU331" s="172" t="s">
        <v>71</v>
      </c>
      <c r="AV331" s="233"/>
      <c r="AW331" s="268"/>
      <c r="AX331" s="235" t="str">
        <f t="shared" si="503"/>
        <v xml:space="preserve">   </v>
      </c>
      <c r="AY331" s="174" t="str">
        <f t="shared" si="544"/>
        <v>NG</v>
      </c>
      <c r="AZ331" s="268"/>
      <c r="BA331" s="172" t="s">
        <v>71</v>
      </c>
      <c r="BB331" s="233"/>
      <c r="BC331" s="268"/>
      <c r="BD331" s="235" t="str">
        <f t="shared" si="504"/>
        <v xml:space="preserve">   </v>
      </c>
      <c r="BE331" s="174" t="str">
        <f t="shared" si="545"/>
        <v>NG</v>
      </c>
      <c r="BF331" s="268"/>
      <c r="BG331" s="172" t="s">
        <v>71</v>
      </c>
      <c r="BH331" s="233"/>
      <c r="BI331" s="268"/>
      <c r="BJ331" s="235" t="str">
        <f t="shared" si="505"/>
        <v xml:space="preserve">   </v>
      </c>
      <c r="BK331" s="174" t="str">
        <f t="shared" si="546"/>
        <v>NG</v>
      </c>
      <c r="BL331" s="268"/>
      <c r="BM331" s="172" t="s">
        <v>71</v>
      </c>
      <c r="BN331" s="233"/>
      <c r="BO331" s="268"/>
      <c r="BP331" s="235" t="str">
        <f t="shared" si="506"/>
        <v xml:space="preserve">   </v>
      </c>
      <c r="BQ331" s="174" t="str">
        <f t="shared" si="547"/>
        <v>NG</v>
      </c>
      <c r="BR331" s="268"/>
      <c r="BS331" s="172" t="s">
        <v>71</v>
      </c>
      <c r="BT331" s="233"/>
      <c r="BU331" s="268"/>
      <c r="BV331" s="235" t="str">
        <f t="shared" si="507"/>
        <v xml:space="preserve">   </v>
      </c>
      <c r="BW331" s="174" t="str">
        <f t="shared" si="548"/>
        <v>NG</v>
      </c>
      <c r="BX331" s="268"/>
      <c r="BY331" s="172" t="s">
        <v>71</v>
      </c>
      <c r="BZ331" s="233"/>
      <c r="CA331" s="268"/>
      <c r="CB331" s="235" t="str">
        <f t="shared" si="508"/>
        <v xml:space="preserve">   </v>
      </c>
      <c r="CC331" s="174" t="str">
        <f t="shared" si="549"/>
        <v>NG</v>
      </c>
      <c r="CD331" s="268"/>
      <c r="CE331" s="172" t="s">
        <v>71</v>
      </c>
      <c r="CF331" s="233"/>
      <c r="CG331" s="268"/>
      <c r="CH331" s="235" t="str">
        <f t="shared" si="509"/>
        <v xml:space="preserve">   </v>
      </c>
      <c r="CI331" s="174" t="str">
        <f t="shared" si="550"/>
        <v>NG</v>
      </c>
      <c r="CJ331" s="268"/>
      <c r="CK331" s="172" t="s">
        <v>71</v>
      </c>
      <c r="CL331" s="233"/>
      <c r="CM331" s="268"/>
      <c r="CN331" s="235" t="str">
        <f t="shared" si="510"/>
        <v xml:space="preserve">   </v>
      </c>
      <c r="CO331" s="174" t="str">
        <f t="shared" si="551"/>
        <v>NG</v>
      </c>
      <c r="CP331" s="268"/>
      <c r="CQ331" s="172" t="s">
        <v>71</v>
      </c>
      <c r="CR331" s="233"/>
      <c r="CS331" s="268"/>
      <c r="CT331" s="235" t="str">
        <f t="shared" si="511"/>
        <v xml:space="preserve">   </v>
      </c>
      <c r="CU331" s="174" t="str">
        <f t="shared" si="552"/>
        <v>NG</v>
      </c>
      <c r="CV331" s="268"/>
      <c r="CW331" s="172" t="s">
        <v>71</v>
      </c>
      <c r="CX331" s="233"/>
      <c r="CY331" s="268"/>
      <c r="CZ331" s="235" t="str">
        <f t="shared" si="512"/>
        <v xml:space="preserve">   </v>
      </c>
      <c r="DA331" s="174" t="str">
        <f t="shared" si="553"/>
        <v>NG</v>
      </c>
      <c r="DB331" s="268"/>
      <c r="DC331" s="172" t="s">
        <v>71</v>
      </c>
      <c r="DD331" s="233"/>
      <c r="DE331" s="268"/>
      <c r="DF331" s="235" t="str">
        <f t="shared" si="513"/>
        <v xml:space="preserve">   </v>
      </c>
      <c r="DG331" s="174" t="str">
        <f t="shared" si="554"/>
        <v>NG</v>
      </c>
      <c r="DH331" s="268"/>
      <c r="DI331" s="172" t="s">
        <v>71</v>
      </c>
      <c r="DJ331" s="233"/>
      <c r="DK331" s="268"/>
      <c r="DL331" s="235" t="str">
        <f t="shared" si="514"/>
        <v xml:space="preserve">   </v>
      </c>
      <c r="DM331" s="174" t="str">
        <f t="shared" si="555"/>
        <v>NG</v>
      </c>
      <c r="DN331" s="268"/>
      <c r="DO331" s="172" t="s">
        <v>71</v>
      </c>
      <c r="DP331" s="233"/>
      <c r="DQ331" s="268"/>
      <c r="DR331" s="235" t="str">
        <f t="shared" si="515"/>
        <v xml:space="preserve">   </v>
      </c>
      <c r="DS331" s="174" t="str">
        <f t="shared" si="533"/>
        <v>NG</v>
      </c>
      <c r="DT331" s="268"/>
      <c r="DU331" s="172" t="s">
        <v>71</v>
      </c>
      <c r="DV331" s="233"/>
      <c r="DW331" s="268"/>
      <c r="DX331" s="235" t="str">
        <f t="shared" si="516"/>
        <v xml:space="preserve">   </v>
      </c>
      <c r="DY331" s="174" t="str">
        <f t="shared" si="534"/>
        <v>NG</v>
      </c>
      <c r="DZ331" s="268"/>
      <c r="EA331" s="172" t="s">
        <v>71</v>
      </c>
      <c r="EB331" s="233"/>
      <c r="EC331" s="268"/>
      <c r="ED331" s="235" t="str">
        <f t="shared" si="517"/>
        <v xml:space="preserve">   </v>
      </c>
      <c r="EE331" s="174" t="str">
        <f t="shared" si="535"/>
        <v>NG</v>
      </c>
      <c r="EF331" s="268"/>
      <c r="EG331" s="172" t="s">
        <v>71</v>
      </c>
      <c r="EH331" s="233"/>
      <c r="EI331" s="268"/>
      <c r="EJ331" s="235" t="str">
        <f t="shared" si="518"/>
        <v xml:space="preserve">   </v>
      </c>
      <c r="EK331" s="174" t="str">
        <f t="shared" si="536"/>
        <v>NG</v>
      </c>
      <c r="EL331" s="268"/>
      <c r="EM331" s="172" t="s">
        <v>71</v>
      </c>
      <c r="EN331" s="233"/>
      <c r="EO331" s="268"/>
      <c r="EP331" s="235" t="str">
        <f t="shared" si="519"/>
        <v xml:space="preserve">   </v>
      </c>
      <c r="EQ331" s="174" t="str">
        <f t="shared" si="537"/>
        <v>NG</v>
      </c>
      <c r="ER331" s="268"/>
      <c r="ES331" s="172" t="s">
        <v>71</v>
      </c>
      <c r="ET331" s="233"/>
      <c r="EU331" s="268"/>
      <c r="EV331" s="235" t="str">
        <f t="shared" si="520"/>
        <v xml:space="preserve">   </v>
      </c>
      <c r="EW331" s="174" t="str">
        <f t="shared" si="538"/>
        <v>NG</v>
      </c>
      <c r="EX331" s="268"/>
      <c r="EY331" s="172" t="s">
        <v>71</v>
      </c>
      <c r="EZ331" s="233"/>
      <c r="FA331" s="268"/>
      <c r="FB331" s="235" t="str">
        <f t="shared" si="521"/>
        <v xml:space="preserve">   </v>
      </c>
      <c r="FC331" s="174" t="str">
        <f t="shared" si="539"/>
        <v>NG</v>
      </c>
      <c r="FD331" s="268"/>
      <c r="FE331" s="172" t="s">
        <v>71</v>
      </c>
      <c r="FF331" s="233"/>
      <c r="FG331" s="268"/>
      <c r="FH331" s="235" t="str">
        <f t="shared" si="522"/>
        <v xml:space="preserve">   </v>
      </c>
      <c r="FI331" s="174" t="str">
        <f t="shared" si="540"/>
        <v>NG</v>
      </c>
      <c r="FJ331" s="268"/>
      <c r="FK331" s="172" t="s">
        <v>71</v>
      </c>
      <c r="FL331" s="233"/>
      <c r="FM331" s="268"/>
      <c r="FN331" s="235" t="str">
        <f t="shared" si="523"/>
        <v xml:space="preserve">   </v>
      </c>
      <c r="FO331" s="174" t="str">
        <f t="shared" si="556"/>
        <v>NG</v>
      </c>
      <c r="FP331" s="268"/>
      <c r="FQ331" s="172" t="s">
        <v>71</v>
      </c>
      <c r="FR331" s="233"/>
      <c r="FS331" s="268"/>
      <c r="FT331" s="235" t="str">
        <f t="shared" si="524"/>
        <v xml:space="preserve">   </v>
      </c>
      <c r="FU331" s="174" t="str">
        <f t="shared" si="557"/>
        <v>NG</v>
      </c>
      <c r="FV331" s="268"/>
      <c r="FW331" s="172" t="s">
        <v>71</v>
      </c>
      <c r="FX331" s="233"/>
      <c r="FY331" s="268"/>
      <c r="FZ331" s="235" t="str">
        <f t="shared" si="525"/>
        <v xml:space="preserve">   </v>
      </c>
      <c r="GA331" s="174" t="str">
        <f t="shared" si="558"/>
        <v>NG</v>
      </c>
      <c r="GB331" s="268"/>
      <c r="GC331" s="172" t="s">
        <v>71</v>
      </c>
    </row>
    <row r="332" spans="1:185" s="237" customFormat="1" ht="25.5">
      <c r="B332" s="216">
        <f t="shared" si="527"/>
        <v>325</v>
      </c>
      <c r="C332" s="220"/>
      <c r="D332" s="220"/>
      <c r="E332" s="220"/>
      <c r="F332" s="238" t="s">
        <v>347</v>
      </c>
      <c r="G332" s="168"/>
      <c r="H332" s="239"/>
      <c r="I332" s="225"/>
      <c r="J332" s="225"/>
      <c r="K332" s="226"/>
      <c r="L332" s="226"/>
      <c r="M332" s="227" t="s">
        <v>345</v>
      </c>
      <c r="N332" s="228"/>
      <c r="O332" s="229"/>
      <c r="P332" s="45">
        <f t="shared" si="532"/>
        <v>299</v>
      </c>
      <c r="Q332" s="230">
        <v>2</v>
      </c>
      <c r="R332" s="41" t="str">
        <f t="shared" si="541"/>
        <v>X</v>
      </c>
      <c r="S332" s="185" t="s">
        <v>247</v>
      </c>
      <c r="T332" s="231"/>
      <c r="U332" s="41" t="s">
        <v>80</v>
      </c>
      <c r="V332" s="229"/>
      <c r="W332" s="232">
        <v>3</v>
      </c>
      <c r="X332" s="194" t="s">
        <v>248</v>
      </c>
      <c r="Y332" s="194">
        <v>2</v>
      </c>
      <c r="Z332" s="194">
        <v>2</v>
      </c>
      <c r="AA332" s="225" t="s">
        <v>163</v>
      </c>
      <c r="AB332" s="225" t="s">
        <v>57</v>
      </c>
      <c r="AC332" s="219"/>
      <c r="AD332" s="233"/>
      <c r="AE332" s="268"/>
      <c r="AF332" s="235" t="str">
        <f t="shared" si="501"/>
        <v xml:space="preserve">  </v>
      </c>
      <c r="AG332" s="174" t="str">
        <f t="shared" si="542"/>
        <v>NG</v>
      </c>
      <c r="AH332" s="268"/>
      <c r="AI332" s="172" t="s">
        <v>71</v>
      </c>
      <c r="AJ332" s="233"/>
      <c r="AK332" s="234"/>
      <c r="AL332" s="235" t="str">
        <f t="shared" si="500"/>
        <v xml:space="preserve">  </v>
      </c>
      <c r="AM332" s="174" t="str">
        <f t="shared" si="528"/>
        <v>NG</v>
      </c>
      <c r="AN332" s="268"/>
      <c r="AO332" s="172" t="s">
        <v>71</v>
      </c>
      <c r="AP332" s="233"/>
      <c r="AQ332" s="268"/>
      <c r="AR332" s="235" t="str">
        <f t="shared" si="502"/>
        <v xml:space="preserve">  </v>
      </c>
      <c r="AS332" s="174" t="str">
        <f t="shared" si="543"/>
        <v>NG</v>
      </c>
      <c r="AT332" s="268"/>
      <c r="AU332" s="172" t="s">
        <v>71</v>
      </c>
      <c r="AV332" s="233"/>
      <c r="AW332" s="268"/>
      <c r="AX332" s="235" t="str">
        <f t="shared" si="503"/>
        <v xml:space="preserve">  </v>
      </c>
      <c r="AY332" s="174" t="str">
        <f t="shared" si="544"/>
        <v>NG</v>
      </c>
      <c r="AZ332" s="268"/>
      <c r="BA332" s="172" t="s">
        <v>71</v>
      </c>
      <c r="BB332" s="233"/>
      <c r="BC332" s="268"/>
      <c r="BD332" s="235" t="str">
        <f t="shared" si="504"/>
        <v xml:space="preserve">  </v>
      </c>
      <c r="BE332" s="174" t="str">
        <f t="shared" si="545"/>
        <v>NG</v>
      </c>
      <c r="BF332" s="268"/>
      <c r="BG332" s="172" t="s">
        <v>71</v>
      </c>
      <c r="BH332" s="233"/>
      <c r="BI332" s="268"/>
      <c r="BJ332" s="235" t="str">
        <f t="shared" si="505"/>
        <v xml:space="preserve">  </v>
      </c>
      <c r="BK332" s="174" t="str">
        <f t="shared" si="546"/>
        <v>NG</v>
      </c>
      <c r="BL332" s="268"/>
      <c r="BM332" s="172" t="s">
        <v>71</v>
      </c>
      <c r="BN332" s="233"/>
      <c r="BO332" s="268"/>
      <c r="BP332" s="235" t="str">
        <f t="shared" si="506"/>
        <v xml:space="preserve">  </v>
      </c>
      <c r="BQ332" s="174" t="str">
        <f t="shared" si="547"/>
        <v>NG</v>
      </c>
      <c r="BR332" s="268"/>
      <c r="BS332" s="172" t="s">
        <v>71</v>
      </c>
      <c r="BT332" s="233"/>
      <c r="BU332" s="268"/>
      <c r="BV332" s="235" t="str">
        <f t="shared" si="507"/>
        <v xml:space="preserve">  </v>
      </c>
      <c r="BW332" s="174" t="str">
        <f t="shared" si="548"/>
        <v>NG</v>
      </c>
      <c r="BX332" s="268"/>
      <c r="BY332" s="172" t="s">
        <v>71</v>
      </c>
      <c r="BZ332" s="233"/>
      <c r="CA332" s="268"/>
      <c r="CB332" s="235" t="str">
        <f t="shared" si="508"/>
        <v xml:space="preserve">  </v>
      </c>
      <c r="CC332" s="174" t="str">
        <f t="shared" si="549"/>
        <v>NG</v>
      </c>
      <c r="CD332" s="268"/>
      <c r="CE332" s="172" t="s">
        <v>71</v>
      </c>
      <c r="CF332" s="233"/>
      <c r="CG332" s="268"/>
      <c r="CH332" s="235" t="str">
        <f t="shared" si="509"/>
        <v xml:space="preserve">  </v>
      </c>
      <c r="CI332" s="174" t="str">
        <f t="shared" si="550"/>
        <v>NG</v>
      </c>
      <c r="CJ332" s="268"/>
      <c r="CK332" s="172" t="s">
        <v>71</v>
      </c>
      <c r="CL332" s="233"/>
      <c r="CM332" s="268"/>
      <c r="CN332" s="235" t="str">
        <f t="shared" si="510"/>
        <v xml:space="preserve">  </v>
      </c>
      <c r="CO332" s="174" t="str">
        <f t="shared" si="551"/>
        <v>NG</v>
      </c>
      <c r="CP332" s="268"/>
      <c r="CQ332" s="172" t="s">
        <v>71</v>
      </c>
      <c r="CR332" s="233"/>
      <c r="CS332" s="268"/>
      <c r="CT332" s="235" t="str">
        <f t="shared" si="511"/>
        <v xml:space="preserve">  </v>
      </c>
      <c r="CU332" s="174" t="str">
        <f t="shared" si="552"/>
        <v>NG</v>
      </c>
      <c r="CV332" s="268"/>
      <c r="CW332" s="172" t="s">
        <v>71</v>
      </c>
      <c r="CX332" s="233"/>
      <c r="CY332" s="268"/>
      <c r="CZ332" s="235" t="str">
        <f t="shared" si="512"/>
        <v xml:space="preserve">  </v>
      </c>
      <c r="DA332" s="174" t="str">
        <f t="shared" si="553"/>
        <v>NG</v>
      </c>
      <c r="DB332" s="268"/>
      <c r="DC332" s="172" t="s">
        <v>71</v>
      </c>
      <c r="DD332" s="233"/>
      <c r="DE332" s="268"/>
      <c r="DF332" s="235" t="str">
        <f t="shared" si="513"/>
        <v xml:space="preserve">  </v>
      </c>
      <c r="DG332" s="174" t="str">
        <f t="shared" si="554"/>
        <v>NG</v>
      </c>
      <c r="DH332" s="268"/>
      <c r="DI332" s="172" t="s">
        <v>71</v>
      </c>
      <c r="DJ332" s="233"/>
      <c r="DK332" s="268"/>
      <c r="DL332" s="235" t="str">
        <f t="shared" si="514"/>
        <v xml:space="preserve">  </v>
      </c>
      <c r="DM332" s="174" t="str">
        <f t="shared" si="555"/>
        <v>NG</v>
      </c>
      <c r="DN332" s="268"/>
      <c r="DO332" s="172" t="s">
        <v>71</v>
      </c>
      <c r="DP332" s="233"/>
      <c r="DQ332" s="268"/>
      <c r="DR332" s="235" t="str">
        <f t="shared" si="515"/>
        <v xml:space="preserve">  </v>
      </c>
      <c r="DS332" s="174" t="str">
        <f t="shared" si="533"/>
        <v>NG</v>
      </c>
      <c r="DT332" s="268"/>
      <c r="DU332" s="172" t="s">
        <v>71</v>
      </c>
      <c r="DV332" s="233"/>
      <c r="DW332" s="268"/>
      <c r="DX332" s="235" t="str">
        <f t="shared" si="516"/>
        <v xml:space="preserve">  </v>
      </c>
      <c r="DY332" s="174" t="str">
        <f t="shared" si="534"/>
        <v>NG</v>
      </c>
      <c r="DZ332" s="268"/>
      <c r="EA332" s="172" t="s">
        <v>71</v>
      </c>
      <c r="EB332" s="233"/>
      <c r="EC332" s="268"/>
      <c r="ED332" s="235" t="str">
        <f t="shared" si="517"/>
        <v xml:space="preserve">  </v>
      </c>
      <c r="EE332" s="174" t="str">
        <f t="shared" si="535"/>
        <v>NG</v>
      </c>
      <c r="EF332" s="268"/>
      <c r="EG332" s="172" t="s">
        <v>71</v>
      </c>
      <c r="EH332" s="233"/>
      <c r="EI332" s="268"/>
      <c r="EJ332" s="235" t="str">
        <f t="shared" si="518"/>
        <v xml:space="preserve">  </v>
      </c>
      <c r="EK332" s="174" t="str">
        <f t="shared" si="536"/>
        <v>NG</v>
      </c>
      <c r="EL332" s="268"/>
      <c r="EM332" s="172" t="s">
        <v>71</v>
      </c>
      <c r="EN332" s="233"/>
      <c r="EO332" s="268"/>
      <c r="EP332" s="235" t="str">
        <f t="shared" si="519"/>
        <v xml:space="preserve">  </v>
      </c>
      <c r="EQ332" s="174" t="str">
        <f t="shared" si="537"/>
        <v>NG</v>
      </c>
      <c r="ER332" s="268"/>
      <c r="ES332" s="172" t="s">
        <v>71</v>
      </c>
      <c r="ET332" s="233"/>
      <c r="EU332" s="268"/>
      <c r="EV332" s="235" t="str">
        <f t="shared" si="520"/>
        <v xml:space="preserve">  </v>
      </c>
      <c r="EW332" s="174" t="str">
        <f t="shared" si="538"/>
        <v>NG</v>
      </c>
      <c r="EX332" s="268"/>
      <c r="EY332" s="172" t="s">
        <v>71</v>
      </c>
      <c r="EZ332" s="233"/>
      <c r="FA332" s="268"/>
      <c r="FB332" s="235" t="str">
        <f t="shared" si="521"/>
        <v xml:space="preserve">  </v>
      </c>
      <c r="FC332" s="174" t="str">
        <f t="shared" si="539"/>
        <v>NG</v>
      </c>
      <c r="FD332" s="268"/>
      <c r="FE332" s="172" t="s">
        <v>71</v>
      </c>
      <c r="FF332" s="233"/>
      <c r="FG332" s="268"/>
      <c r="FH332" s="235" t="str">
        <f t="shared" si="522"/>
        <v xml:space="preserve">  </v>
      </c>
      <c r="FI332" s="174" t="str">
        <f t="shared" si="540"/>
        <v>NG</v>
      </c>
      <c r="FJ332" s="268"/>
      <c r="FK332" s="172" t="s">
        <v>71</v>
      </c>
      <c r="FL332" s="233"/>
      <c r="FM332" s="268"/>
      <c r="FN332" s="235" t="str">
        <f t="shared" si="523"/>
        <v xml:space="preserve">  </v>
      </c>
      <c r="FO332" s="174" t="str">
        <f t="shared" si="556"/>
        <v>NG</v>
      </c>
      <c r="FP332" s="268"/>
      <c r="FQ332" s="172" t="s">
        <v>71</v>
      </c>
      <c r="FR332" s="233"/>
      <c r="FS332" s="268"/>
      <c r="FT332" s="235" t="str">
        <f t="shared" si="524"/>
        <v xml:space="preserve">  </v>
      </c>
      <c r="FU332" s="174" t="str">
        <f t="shared" si="557"/>
        <v>NG</v>
      </c>
      <c r="FV332" s="268"/>
      <c r="FW332" s="172" t="s">
        <v>71</v>
      </c>
      <c r="FX332" s="233"/>
      <c r="FY332" s="268"/>
      <c r="FZ332" s="235" t="str">
        <f t="shared" si="525"/>
        <v xml:space="preserve">  </v>
      </c>
      <c r="GA332" s="174" t="str">
        <f t="shared" si="558"/>
        <v>NG</v>
      </c>
      <c r="GB332" s="268"/>
      <c r="GC332" s="172" t="s">
        <v>71</v>
      </c>
    </row>
    <row r="333" spans="1:185" s="237" customFormat="1" ht="51.75" customHeight="1">
      <c r="B333" s="216">
        <f t="shared" si="527"/>
        <v>326</v>
      </c>
      <c r="C333" s="220"/>
      <c r="D333" s="220"/>
      <c r="E333" s="220"/>
      <c r="F333" s="240" t="s">
        <v>348</v>
      </c>
      <c r="G333" s="241"/>
      <c r="H333" s="242"/>
      <c r="I333" s="225"/>
      <c r="J333" s="225"/>
      <c r="K333" s="226"/>
      <c r="L333" s="226"/>
      <c r="M333" s="227" t="s">
        <v>349</v>
      </c>
      <c r="N333" s="228"/>
      <c r="O333" s="229"/>
      <c r="P333" s="45">
        <f t="shared" si="532"/>
        <v>300</v>
      </c>
      <c r="Q333" s="230">
        <v>5</v>
      </c>
      <c r="R333" s="41" t="str">
        <f t="shared" si="541"/>
        <v>X</v>
      </c>
      <c r="S333" s="185" t="s">
        <v>249</v>
      </c>
      <c r="T333" s="231"/>
      <c r="U333" s="41" t="s">
        <v>80</v>
      </c>
      <c r="V333" s="229"/>
      <c r="W333" s="232">
        <v>3</v>
      </c>
      <c r="X333" s="194" t="s">
        <v>250</v>
      </c>
      <c r="Y333" s="194">
        <v>5</v>
      </c>
      <c r="Z333" s="194">
        <v>5</v>
      </c>
      <c r="AA333" s="225" t="s">
        <v>163</v>
      </c>
      <c r="AB333" s="225" t="s">
        <v>57</v>
      </c>
      <c r="AC333" s="243"/>
      <c r="AD333" s="233"/>
      <c r="AE333" s="297"/>
      <c r="AF333" s="235" t="str">
        <f t="shared" si="501"/>
        <v xml:space="preserve">     </v>
      </c>
      <c r="AG333" s="174" t="str">
        <f t="shared" si="542"/>
        <v>NG</v>
      </c>
      <c r="AH333" s="297"/>
      <c r="AI333" s="276" t="str">
        <f>IF(OR(AE$8="判定対象外",AH$8="判定対象外",AH333="-"),"-",IF(AE333=AH333,"OK","NG"))</f>
        <v>OK</v>
      </c>
      <c r="AJ333" s="233"/>
      <c r="AK333" s="269"/>
      <c r="AL333" s="235" t="str">
        <f t="shared" si="500"/>
        <v xml:space="preserve">     </v>
      </c>
      <c r="AM333" s="174" t="str">
        <f t="shared" si="528"/>
        <v>NG</v>
      </c>
      <c r="AN333" s="297"/>
      <c r="AO333" s="276" t="str">
        <f>IF(OR(AK$8="判定対象外",AN$8="判定対象外",AN333="-"),"-",IF(AK333=AN333,"OK","NG"))</f>
        <v>OK</v>
      </c>
      <c r="AP333" s="233"/>
      <c r="AQ333" s="297"/>
      <c r="AR333" s="235" t="str">
        <f t="shared" si="502"/>
        <v xml:space="preserve">     </v>
      </c>
      <c r="AS333" s="174" t="str">
        <f t="shared" si="543"/>
        <v>NG</v>
      </c>
      <c r="AT333" s="297"/>
      <c r="AU333" s="276" t="str">
        <f>IF(OR(AQ$8="判定対象外",AT$8="判定対象外",AT333="-"),"-",IF(AQ333=AT333,"OK","NG"))</f>
        <v>OK</v>
      </c>
      <c r="AV333" s="233"/>
      <c r="AW333" s="297"/>
      <c r="AX333" s="235" t="str">
        <f t="shared" si="503"/>
        <v xml:space="preserve">     </v>
      </c>
      <c r="AY333" s="174" t="str">
        <f t="shared" si="544"/>
        <v>NG</v>
      </c>
      <c r="AZ333" s="297"/>
      <c r="BA333" s="276" t="str">
        <f>IF(OR(AW$8="判定対象外",AZ$8="判定対象外",AZ333="-"),"-",IF(AW333=AZ333,"OK","NG"))</f>
        <v>OK</v>
      </c>
      <c r="BB333" s="233"/>
      <c r="BC333" s="297"/>
      <c r="BD333" s="235" t="str">
        <f t="shared" si="504"/>
        <v xml:space="preserve">     </v>
      </c>
      <c r="BE333" s="174" t="str">
        <f t="shared" si="545"/>
        <v>NG</v>
      </c>
      <c r="BF333" s="297"/>
      <c r="BG333" s="276" t="str">
        <f>IF(OR(BC$8="判定対象外",BF$8="判定対象外",BF333="-"),"-",IF(BC333=BF333,"OK","NG"))</f>
        <v>OK</v>
      </c>
      <c r="BH333" s="233"/>
      <c r="BI333" s="297"/>
      <c r="BJ333" s="235" t="str">
        <f t="shared" si="505"/>
        <v xml:space="preserve">     </v>
      </c>
      <c r="BK333" s="174" t="str">
        <f t="shared" si="546"/>
        <v>NG</v>
      </c>
      <c r="BL333" s="297"/>
      <c r="BM333" s="276" t="str">
        <f>IF(OR(BI$8="判定対象外",BL$8="判定対象外",BL333="-"),"-",IF(BI333=BL333,"OK","NG"))</f>
        <v>OK</v>
      </c>
      <c r="BN333" s="233"/>
      <c r="BO333" s="297"/>
      <c r="BP333" s="235" t="str">
        <f t="shared" si="506"/>
        <v xml:space="preserve">     </v>
      </c>
      <c r="BQ333" s="174" t="str">
        <f t="shared" si="547"/>
        <v>NG</v>
      </c>
      <c r="BR333" s="297"/>
      <c r="BS333" s="276" t="str">
        <f>IF(OR(BO$8="判定対象外",BR$8="判定対象外",BR333="-"),"-",IF(BO333=BR333,"OK","NG"))</f>
        <v>OK</v>
      </c>
      <c r="BT333" s="233"/>
      <c r="BU333" s="297"/>
      <c r="BV333" s="235" t="str">
        <f t="shared" si="507"/>
        <v xml:space="preserve">     </v>
      </c>
      <c r="BW333" s="174" t="str">
        <f t="shared" si="548"/>
        <v>NG</v>
      </c>
      <c r="BX333" s="297"/>
      <c r="BY333" s="276" t="str">
        <f>IF(OR(BU$8="判定対象外",BX$8="判定対象外",BX333="-"),"-",IF(BU333=BX333,"OK","NG"))</f>
        <v>OK</v>
      </c>
      <c r="BZ333" s="233"/>
      <c r="CA333" s="297"/>
      <c r="CB333" s="235" t="str">
        <f t="shared" si="508"/>
        <v xml:space="preserve">     </v>
      </c>
      <c r="CC333" s="174" t="str">
        <f t="shared" si="549"/>
        <v>NG</v>
      </c>
      <c r="CD333" s="297"/>
      <c r="CE333" s="276" t="str">
        <f>IF(OR(CA$8="判定対象外",CD$8="判定対象外",CD333="-"),"-",IF(CA333=CD333,"OK","NG"))</f>
        <v>OK</v>
      </c>
      <c r="CF333" s="233"/>
      <c r="CG333" s="297"/>
      <c r="CH333" s="235" t="str">
        <f t="shared" si="509"/>
        <v xml:space="preserve">     </v>
      </c>
      <c r="CI333" s="174" t="str">
        <f t="shared" si="550"/>
        <v>NG</v>
      </c>
      <c r="CJ333" s="297"/>
      <c r="CK333" s="276" t="str">
        <f>IF(OR(CG$8="判定対象外",CJ$8="判定対象外",CJ333="-"),"-",IF(CG333=CJ333,"OK","NG"))</f>
        <v>OK</v>
      </c>
      <c r="CL333" s="233"/>
      <c r="CM333" s="297"/>
      <c r="CN333" s="235" t="str">
        <f t="shared" si="510"/>
        <v xml:space="preserve">     </v>
      </c>
      <c r="CO333" s="174" t="str">
        <f t="shared" si="551"/>
        <v>NG</v>
      </c>
      <c r="CP333" s="297"/>
      <c r="CQ333" s="276" t="str">
        <f>IF(OR(CM$8="判定対象外",CP$8="判定対象外",CP333="-"),"-",IF(CM333=CP333,"OK","NG"))</f>
        <v>OK</v>
      </c>
      <c r="CR333" s="233"/>
      <c r="CS333" s="297"/>
      <c r="CT333" s="235" t="str">
        <f t="shared" si="511"/>
        <v xml:space="preserve">     </v>
      </c>
      <c r="CU333" s="174" t="str">
        <f t="shared" si="552"/>
        <v>NG</v>
      </c>
      <c r="CV333" s="297"/>
      <c r="CW333" s="276" t="str">
        <f>IF(OR(CS$8="判定対象外",CV$8="判定対象外",CV333="-"),"-",IF(CS333=CV333,"OK","NG"))</f>
        <v>OK</v>
      </c>
      <c r="CX333" s="233"/>
      <c r="CY333" s="297"/>
      <c r="CZ333" s="235" t="str">
        <f t="shared" si="512"/>
        <v xml:space="preserve">     </v>
      </c>
      <c r="DA333" s="174" t="str">
        <f t="shared" si="553"/>
        <v>NG</v>
      </c>
      <c r="DB333" s="297"/>
      <c r="DC333" s="276" t="str">
        <f>IF(OR(CY$8="判定対象外",DB$8="判定対象外",DB333="-"),"-",IF(CY333=DB333,"OK","NG"))</f>
        <v>OK</v>
      </c>
      <c r="DD333" s="233"/>
      <c r="DE333" s="297"/>
      <c r="DF333" s="235" t="str">
        <f t="shared" si="513"/>
        <v xml:space="preserve">     </v>
      </c>
      <c r="DG333" s="174" t="str">
        <f t="shared" si="554"/>
        <v>NG</v>
      </c>
      <c r="DH333" s="297"/>
      <c r="DI333" s="276" t="str">
        <f>IF(OR(DE$8="判定対象外",DH$8="判定対象外",DH333="-"),"-",IF(DE333=DH333,"OK","NG"))</f>
        <v>OK</v>
      </c>
      <c r="DJ333" s="233"/>
      <c r="DK333" s="297"/>
      <c r="DL333" s="235" t="str">
        <f t="shared" si="514"/>
        <v xml:space="preserve">     </v>
      </c>
      <c r="DM333" s="174" t="str">
        <f t="shared" si="555"/>
        <v>NG</v>
      </c>
      <c r="DN333" s="297"/>
      <c r="DO333" s="276" t="str">
        <f>IF(OR(DK$8="判定対象外",DN$8="判定対象外",DN333="-"),"-",IF(DK333=DN333,"OK","NG"))</f>
        <v>OK</v>
      </c>
      <c r="DP333" s="233"/>
      <c r="DQ333" s="297"/>
      <c r="DR333" s="235" t="str">
        <f t="shared" si="515"/>
        <v xml:space="preserve">     </v>
      </c>
      <c r="DS333" s="174" t="str">
        <f t="shared" si="533"/>
        <v>NG</v>
      </c>
      <c r="DT333" s="297"/>
      <c r="DU333" s="276" t="str">
        <f>IF(OR(DQ$8="判定対象外",DT$8="判定対象外",DT333="-"),"-",IF(DQ333=DT333,"OK","NG"))</f>
        <v>OK</v>
      </c>
      <c r="DV333" s="233"/>
      <c r="DW333" s="297"/>
      <c r="DX333" s="235" t="str">
        <f t="shared" si="516"/>
        <v xml:space="preserve">     </v>
      </c>
      <c r="DY333" s="174" t="str">
        <f t="shared" si="534"/>
        <v>NG</v>
      </c>
      <c r="DZ333" s="297"/>
      <c r="EA333" s="276" t="str">
        <f>IF(OR(DW$8="判定対象外",DZ$8="判定対象外",DZ333="-"),"-",IF(DW333=DZ333,"OK","NG"))</f>
        <v>OK</v>
      </c>
      <c r="EB333" s="233"/>
      <c r="EC333" s="297"/>
      <c r="ED333" s="235" t="str">
        <f t="shared" si="517"/>
        <v xml:space="preserve">     </v>
      </c>
      <c r="EE333" s="174" t="str">
        <f t="shared" si="535"/>
        <v>NG</v>
      </c>
      <c r="EF333" s="297"/>
      <c r="EG333" s="276" t="str">
        <f>IF(OR(EC$8="判定対象外",EF$8="判定対象外",EF333="-"),"-",IF(EC333=EF333,"OK","NG"))</f>
        <v>OK</v>
      </c>
      <c r="EH333" s="233"/>
      <c r="EI333" s="297"/>
      <c r="EJ333" s="235" t="str">
        <f t="shared" si="518"/>
        <v xml:space="preserve">     </v>
      </c>
      <c r="EK333" s="174" t="str">
        <f t="shared" si="536"/>
        <v>NG</v>
      </c>
      <c r="EL333" s="297"/>
      <c r="EM333" s="276" t="str">
        <f>IF(OR(EI$8="判定対象外",EL$8="判定対象外",EL333="-"),"-",IF(EI333=EL333,"OK","NG"))</f>
        <v>OK</v>
      </c>
      <c r="EN333" s="233"/>
      <c r="EO333" s="297"/>
      <c r="EP333" s="235" t="str">
        <f t="shared" si="519"/>
        <v xml:space="preserve">     </v>
      </c>
      <c r="EQ333" s="174" t="str">
        <f t="shared" si="537"/>
        <v>NG</v>
      </c>
      <c r="ER333" s="297"/>
      <c r="ES333" s="276" t="str">
        <f>IF(OR(EO$8="判定対象外",ER$8="判定対象外",ER333="-"),"-",IF(EO333=ER333,"OK","NG"))</f>
        <v>OK</v>
      </c>
      <c r="ET333" s="233"/>
      <c r="EU333" s="297"/>
      <c r="EV333" s="235" t="str">
        <f t="shared" si="520"/>
        <v xml:space="preserve">     </v>
      </c>
      <c r="EW333" s="174" t="str">
        <f t="shared" si="538"/>
        <v>NG</v>
      </c>
      <c r="EX333" s="297"/>
      <c r="EY333" s="276" t="str">
        <f>IF(OR(EU$8="判定対象外",EX$8="判定対象外",EX333="-"),"-",IF(EU333=EX333,"OK","NG"))</f>
        <v>OK</v>
      </c>
      <c r="EZ333" s="233"/>
      <c r="FA333" s="297"/>
      <c r="FB333" s="235" t="str">
        <f t="shared" si="521"/>
        <v xml:space="preserve">     </v>
      </c>
      <c r="FC333" s="174" t="str">
        <f t="shared" si="539"/>
        <v>NG</v>
      </c>
      <c r="FD333" s="297"/>
      <c r="FE333" s="276" t="str">
        <f>IF(OR(FA$8="判定対象外",FD$8="判定対象外",FD333="-"),"-",IF(FA333=FD333,"OK","NG"))</f>
        <v>OK</v>
      </c>
      <c r="FF333" s="233"/>
      <c r="FG333" s="297"/>
      <c r="FH333" s="235" t="str">
        <f t="shared" si="522"/>
        <v xml:space="preserve">     </v>
      </c>
      <c r="FI333" s="174" t="str">
        <f t="shared" si="540"/>
        <v>NG</v>
      </c>
      <c r="FJ333" s="297"/>
      <c r="FK333" s="276" t="str">
        <f>IF(OR(FG$8="判定対象外",FJ$8="判定対象外",FJ333="-"),"-",IF(FG333=FJ333,"OK","NG"))</f>
        <v>OK</v>
      </c>
      <c r="FL333" s="233"/>
      <c r="FM333" s="297"/>
      <c r="FN333" s="235" t="str">
        <f t="shared" si="523"/>
        <v xml:space="preserve">     </v>
      </c>
      <c r="FO333" s="174" t="str">
        <f t="shared" si="556"/>
        <v>NG</v>
      </c>
      <c r="FP333" s="297"/>
      <c r="FQ333" s="276" t="str">
        <f>IF(OR(FM$8="判定対象外",FP$8="判定対象外",FP333="-"),"-",IF(FM333=FP333,"OK","NG"))</f>
        <v>OK</v>
      </c>
      <c r="FR333" s="233"/>
      <c r="FS333" s="297"/>
      <c r="FT333" s="235" t="str">
        <f t="shared" si="524"/>
        <v xml:space="preserve">     </v>
      </c>
      <c r="FU333" s="174" t="str">
        <f t="shared" si="557"/>
        <v>NG</v>
      </c>
      <c r="FV333" s="297"/>
      <c r="FW333" s="276" t="str">
        <f>IF(OR(FS$8="判定対象外",FV$8="判定対象外",FV333="-"),"-",IF(FS333=FV333,"OK","NG"))</f>
        <v>OK</v>
      </c>
      <c r="FX333" s="233"/>
      <c r="FY333" s="297"/>
      <c r="FZ333" s="235" t="str">
        <f t="shared" si="525"/>
        <v xml:space="preserve">     </v>
      </c>
      <c r="GA333" s="174" t="str">
        <f t="shared" si="558"/>
        <v>NG</v>
      </c>
      <c r="GB333" s="297"/>
      <c r="GC333" s="276" t="str">
        <f>IF(OR(FY$8="判定対象外",GB$8="判定対象外",GB333="-"),"-",IF(FY333=GB333,"OK","NG"))</f>
        <v>OK</v>
      </c>
    </row>
    <row r="334" spans="1:185" s="237" customFormat="1" ht="51.75" customHeight="1">
      <c r="B334" s="216">
        <f t="shared" si="527"/>
        <v>327</v>
      </c>
      <c r="C334" s="220"/>
      <c r="D334" s="220"/>
      <c r="E334" s="220"/>
      <c r="F334" s="240" t="s">
        <v>350</v>
      </c>
      <c r="G334" s="241"/>
      <c r="H334" s="242"/>
      <c r="I334" s="225"/>
      <c r="J334" s="225"/>
      <c r="K334" s="226"/>
      <c r="L334" s="226"/>
      <c r="M334" s="227" t="s">
        <v>351</v>
      </c>
      <c r="N334" s="228"/>
      <c r="O334" s="229"/>
      <c r="P334" s="45">
        <f t="shared" si="532"/>
        <v>301</v>
      </c>
      <c r="Q334" s="230">
        <v>64</v>
      </c>
      <c r="R334" s="41" t="str">
        <f t="shared" si="541"/>
        <v>NX</v>
      </c>
      <c r="S334" s="185" t="s">
        <v>251</v>
      </c>
      <c r="T334" s="231"/>
      <c r="U334" s="41" t="s">
        <v>80</v>
      </c>
      <c r="V334" s="229" t="s">
        <v>252</v>
      </c>
      <c r="W334" s="232">
        <v>3</v>
      </c>
      <c r="X334" s="194" t="s">
        <v>253</v>
      </c>
      <c r="Y334" s="194">
        <v>1</v>
      </c>
      <c r="Z334" s="194">
        <v>64</v>
      </c>
      <c r="AA334" s="225" t="s">
        <v>101</v>
      </c>
      <c r="AB334" s="225" t="s">
        <v>57</v>
      </c>
      <c r="AC334" s="243" t="s">
        <v>252</v>
      </c>
      <c r="AD334" s="233"/>
      <c r="AE334" s="297"/>
      <c r="AF334" s="235" t="str">
        <f t="shared" si="501"/>
        <v xml:space="preserve">                                                                </v>
      </c>
      <c r="AG334" s="174" t="str">
        <f t="shared" si="542"/>
        <v>NG</v>
      </c>
      <c r="AH334" s="297"/>
      <c r="AI334" s="276" t="str">
        <f>IF(OR(AE$8="判定対象外",AH$8="判定対象外",AH334="-"),"-",IF(AE334=AH334,"OK","NG"))</f>
        <v>OK</v>
      </c>
      <c r="AJ334" s="233"/>
      <c r="AK334" s="269"/>
      <c r="AL334" s="235" t="str">
        <f t="shared" ref="AL334:AL397" si="559">IF(AN334="-","-",AN334&amp;REPT(IF($R334="N","　",IF($R334="9","0"," ")),$Z334-LENB(AN334)))</f>
        <v xml:space="preserve">                                                                </v>
      </c>
      <c r="AM334" s="174" t="str">
        <f t="shared" si="528"/>
        <v>NG</v>
      </c>
      <c r="AN334" s="269"/>
      <c r="AO334" s="276" t="str">
        <f>IF(OR(AK$8="判定対象外",AN$8="判定対象外",AN334="-"),"-",IF(AK334=AN334,"OK","NG"))</f>
        <v>OK</v>
      </c>
      <c r="AP334" s="233"/>
      <c r="AQ334" s="297"/>
      <c r="AR334" s="235" t="str">
        <f t="shared" si="502"/>
        <v xml:space="preserve">                                                                </v>
      </c>
      <c r="AS334" s="174" t="str">
        <f t="shared" si="543"/>
        <v>NG</v>
      </c>
      <c r="AT334" s="297"/>
      <c r="AU334" s="276" t="str">
        <f>IF(OR(AQ$8="判定対象外",AT$8="判定対象外",AT334="-"),"-",IF(AQ334=AT334,"OK","NG"))</f>
        <v>OK</v>
      </c>
      <c r="AV334" s="233"/>
      <c r="AW334" s="297"/>
      <c r="AX334" s="235" t="str">
        <f t="shared" si="503"/>
        <v xml:space="preserve">                                                                </v>
      </c>
      <c r="AY334" s="174" t="str">
        <f t="shared" si="544"/>
        <v>NG</v>
      </c>
      <c r="AZ334" s="297"/>
      <c r="BA334" s="276" t="str">
        <f>IF(OR(AW$8="判定対象外",AZ$8="判定対象外",AZ334="-"),"-",IF(AW334=AZ334,"OK","NG"))</f>
        <v>OK</v>
      </c>
      <c r="BB334" s="233"/>
      <c r="BC334" s="297"/>
      <c r="BD334" s="235" t="str">
        <f t="shared" si="504"/>
        <v xml:space="preserve">                                                                </v>
      </c>
      <c r="BE334" s="174" t="str">
        <f t="shared" si="545"/>
        <v>NG</v>
      </c>
      <c r="BF334" s="297"/>
      <c r="BG334" s="276" t="str">
        <f>IF(OR(BC$8="判定対象外",BF$8="判定対象外",BF334="-"),"-",IF(BC334=BF334,"OK","NG"))</f>
        <v>OK</v>
      </c>
      <c r="BH334" s="233"/>
      <c r="BI334" s="297"/>
      <c r="BJ334" s="235" t="str">
        <f t="shared" si="505"/>
        <v xml:space="preserve">                                                                </v>
      </c>
      <c r="BK334" s="174" t="str">
        <f t="shared" si="546"/>
        <v>NG</v>
      </c>
      <c r="BL334" s="297"/>
      <c r="BM334" s="276" t="str">
        <f>IF(OR(BI$8="判定対象外",BL$8="判定対象外",BL334="-"),"-",IF(BI334=BL334,"OK","NG"))</f>
        <v>OK</v>
      </c>
      <c r="BN334" s="233"/>
      <c r="BO334" s="297"/>
      <c r="BP334" s="235" t="str">
        <f t="shared" si="506"/>
        <v xml:space="preserve">                                                                </v>
      </c>
      <c r="BQ334" s="174" t="str">
        <f t="shared" si="547"/>
        <v>NG</v>
      </c>
      <c r="BR334" s="297"/>
      <c r="BS334" s="276" t="str">
        <f>IF(OR(BO$8="判定対象外",BR$8="判定対象外",BR334="-"),"-",IF(BO334=BR334,"OK","NG"))</f>
        <v>OK</v>
      </c>
      <c r="BT334" s="233"/>
      <c r="BU334" s="297"/>
      <c r="BV334" s="235" t="str">
        <f t="shared" si="507"/>
        <v xml:space="preserve">                                                                </v>
      </c>
      <c r="BW334" s="174" t="str">
        <f t="shared" si="548"/>
        <v>NG</v>
      </c>
      <c r="BX334" s="297"/>
      <c r="BY334" s="276" t="str">
        <f>IF(OR(BU$8="判定対象外",BX$8="判定対象外",BX334="-"),"-",IF(BU334=BX334,"OK","NG"))</f>
        <v>OK</v>
      </c>
      <c r="BZ334" s="233"/>
      <c r="CA334" s="297"/>
      <c r="CB334" s="235" t="str">
        <f t="shared" si="508"/>
        <v xml:space="preserve">                                                                </v>
      </c>
      <c r="CC334" s="174" t="str">
        <f t="shared" si="549"/>
        <v>NG</v>
      </c>
      <c r="CD334" s="297"/>
      <c r="CE334" s="276" t="str">
        <f>IF(OR(CA$8="判定対象外",CD$8="判定対象外",CD334="-"),"-",IF(CA334=CD334,"OK","NG"))</f>
        <v>OK</v>
      </c>
      <c r="CF334" s="233"/>
      <c r="CG334" s="297"/>
      <c r="CH334" s="235" t="str">
        <f t="shared" si="509"/>
        <v xml:space="preserve">                                                                </v>
      </c>
      <c r="CI334" s="174" t="str">
        <f t="shared" si="550"/>
        <v>NG</v>
      </c>
      <c r="CJ334" s="297"/>
      <c r="CK334" s="276" t="str">
        <f>IF(OR(CG$8="判定対象外",CJ$8="判定対象外",CJ334="-"),"-",IF(CG334=CJ334,"OK","NG"))</f>
        <v>OK</v>
      </c>
      <c r="CL334" s="233"/>
      <c r="CM334" s="297"/>
      <c r="CN334" s="235" t="str">
        <f t="shared" si="510"/>
        <v xml:space="preserve">                                                                </v>
      </c>
      <c r="CO334" s="174" t="str">
        <f t="shared" si="551"/>
        <v>NG</v>
      </c>
      <c r="CP334" s="297"/>
      <c r="CQ334" s="276" t="str">
        <f>IF(OR(CM$8="判定対象外",CP$8="判定対象外",CP334="-"),"-",IF(CM334=CP334,"OK","NG"))</f>
        <v>OK</v>
      </c>
      <c r="CR334" s="233"/>
      <c r="CS334" s="297"/>
      <c r="CT334" s="235" t="str">
        <f t="shared" si="511"/>
        <v xml:space="preserve">                                                                </v>
      </c>
      <c r="CU334" s="174" t="str">
        <f t="shared" si="552"/>
        <v>NG</v>
      </c>
      <c r="CV334" s="297"/>
      <c r="CW334" s="276" t="str">
        <f>IF(OR(CS$8="判定対象外",CV$8="判定対象外",CV334="-"),"-",IF(CS334=CV334,"OK","NG"))</f>
        <v>OK</v>
      </c>
      <c r="CX334" s="233"/>
      <c r="CY334" s="297"/>
      <c r="CZ334" s="235" t="str">
        <f t="shared" si="512"/>
        <v xml:space="preserve">                                                                </v>
      </c>
      <c r="DA334" s="174" t="str">
        <f t="shared" si="553"/>
        <v>NG</v>
      </c>
      <c r="DB334" s="297"/>
      <c r="DC334" s="276" t="str">
        <f>IF(OR(CY$8="判定対象外",DB$8="判定対象外",DB334="-"),"-",IF(CY334=DB334,"OK","NG"))</f>
        <v>OK</v>
      </c>
      <c r="DD334" s="233"/>
      <c r="DE334" s="297"/>
      <c r="DF334" s="235" t="str">
        <f t="shared" si="513"/>
        <v xml:space="preserve">                                                                </v>
      </c>
      <c r="DG334" s="174" t="str">
        <f t="shared" si="554"/>
        <v>NG</v>
      </c>
      <c r="DH334" s="297"/>
      <c r="DI334" s="276" t="str">
        <f>IF(OR(DE$8="判定対象外",DH$8="判定対象外",DH334="-"),"-",IF(DE334=DH334,"OK","NG"))</f>
        <v>OK</v>
      </c>
      <c r="DJ334" s="233"/>
      <c r="DK334" s="297"/>
      <c r="DL334" s="235" t="str">
        <f t="shared" si="514"/>
        <v xml:space="preserve">                                                                </v>
      </c>
      <c r="DM334" s="174" t="str">
        <f t="shared" si="555"/>
        <v>NG</v>
      </c>
      <c r="DN334" s="297"/>
      <c r="DO334" s="276" t="str">
        <f>IF(OR(DK$8="判定対象外",DN$8="判定対象外",DN334="-"),"-",IF(DK334=DN334,"OK","NG"))</f>
        <v>OK</v>
      </c>
      <c r="DP334" s="233"/>
      <c r="DQ334" s="297"/>
      <c r="DR334" s="235" t="str">
        <f t="shared" si="515"/>
        <v xml:space="preserve">                                                                </v>
      </c>
      <c r="DS334" s="174" t="str">
        <f t="shared" si="533"/>
        <v>NG</v>
      </c>
      <c r="DT334" s="297"/>
      <c r="DU334" s="276" t="str">
        <f>IF(OR(DQ$8="判定対象外",DT$8="判定対象外",DT334="-"),"-",IF(DQ334=DT334,"OK","NG"))</f>
        <v>OK</v>
      </c>
      <c r="DV334" s="233"/>
      <c r="DW334" s="297"/>
      <c r="DX334" s="235" t="str">
        <f t="shared" si="516"/>
        <v xml:space="preserve">                                                                </v>
      </c>
      <c r="DY334" s="174" t="str">
        <f t="shared" si="534"/>
        <v>NG</v>
      </c>
      <c r="DZ334" s="297"/>
      <c r="EA334" s="276" t="str">
        <f>IF(OR(DW$8="判定対象外",DZ$8="判定対象外",DZ334="-"),"-",IF(DW334=DZ334,"OK","NG"))</f>
        <v>OK</v>
      </c>
      <c r="EB334" s="233"/>
      <c r="EC334" s="297"/>
      <c r="ED334" s="235" t="str">
        <f t="shared" si="517"/>
        <v xml:space="preserve">                                                                </v>
      </c>
      <c r="EE334" s="174" t="str">
        <f t="shared" si="535"/>
        <v>NG</v>
      </c>
      <c r="EF334" s="297"/>
      <c r="EG334" s="276" t="str">
        <f>IF(OR(EC$8="判定対象外",EF$8="判定対象外",EF334="-"),"-",IF(EC334=EF334,"OK","NG"))</f>
        <v>OK</v>
      </c>
      <c r="EH334" s="233"/>
      <c r="EI334" s="297"/>
      <c r="EJ334" s="235" t="str">
        <f t="shared" si="518"/>
        <v xml:space="preserve">                                                                </v>
      </c>
      <c r="EK334" s="174" t="str">
        <f t="shared" si="536"/>
        <v>NG</v>
      </c>
      <c r="EL334" s="297"/>
      <c r="EM334" s="276" t="str">
        <f>IF(OR(EI$8="判定対象外",EL$8="判定対象外",EL334="-"),"-",IF(EI334=EL334,"OK","NG"))</f>
        <v>OK</v>
      </c>
      <c r="EN334" s="233"/>
      <c r="EO334" s="297"/>
      <c r="EP334" s="235" t="str">
        <f t="shared" si="519"/>
        <v xml:space="preserve">                                                                </v>
      </c>
      <c r="EQ334" s="174" t="str">
        <f t="shared" si="537"/>
        <v>NG</v>
      </c>
      <c r="ER334" s="297"/>
      <c r="ES334" s="276" t="str">
        <f>IF(OR(EO$8="判定対象外",ER$8="判定対象外",ER334="-"),"-",IF(EO334=ER334,"OK","NG"))</f>
        <v>OK</v>
      </c>
      <c r="ET334" s="233"/>
      <c r="EU334" s="297"/>
      <c r="EV334" s="235" t="str">
        <f t="shared" si="520"/>
        <v xml:space="preserve">                                                                </v>
      </c>
      <c r="EW334" s="174" t="str">
        <f t="shared" si="538"/>
        <v>NG</v>
      </c>
      <c r="EX334" s="297"/>
      <c r="EY334" s="276" t="str">
        <f>IF(OR(EU$8="判定対象外",EX$8="判定対象外",EX334="-"),"-",IF(EU334=EX334,"OK","NG"))</f>
        <v>OK</v>
      </c>
      <c r="EZ334" s="233"/>
      <c r="FA334" s="297"/>
      <c r="FB334" s="235" t="str">
        <f t="shared" si="521"/>
        <v xml:space="preserve">                                                                </v>
      </c>
      <c r="FC334" s="174" t="str">
        <f t="shared" si="539"/>
        <v>NG</v>
      </c>
      <c r="FD334" s="297"/>
      <c r="FE334" s="276" t="str">
        <f>IF(OR(FA$8="判定対象外",FD$8="判定対象外",FD334="-"),"-",IF(FA334=FD334,"OK","NG"))</f>
        <v>OK</v>
      </c>
      <c r="FF334" s="233"/>
      <c r="FG334" s="297"/>
      <c r="FH334" s="235" t="str">
        <f t="shared" si="522"/>
        <v xml:space="preserve">                                                                </v>
      </c>
      <c r="FI334" s="174" t="str">
        <f t="shared" si="540"/>
        <v>NG</v>
      </c>
      <c r="FJ334" s="297"/>
      <c r="FK334" s="276" t="str">
        <f>IF(OR(FG$8="判定対象外",FJ$8="判定対象外",FJ334="-"),"-",IF(FG334=FJ334,"OK","NG"))</f>
        <v>OK</v>
      </c>
      <c r="FL334" s="233"/>
      <c r="FM334" s="297"/>
      <c r="FN334" s="235" t="str">
        <f t="shared" si="523"/>
        <v xml:space="preserve">                                                                </v>
      </c>
      <c r="FO334" s="174" t="str">
        <f t="shared" si="556"/>
        <v>NG</v>
      </c>
      <c r="FP334" s="297"/>
      <c r="FQ334" s="276" t="str">
        <f>IF(OR(FM$8="判定対象外",FP$8="判定対象外",FP334="-"),"-",IF(FM334=FP334,"OK","NG"))</f>
        <v>OK</v>
      </c>
      <c r="FR334" s="233"/>
      <c r="FS334" s="297"/>
      <c r="FT334" s="235" t="str">
        <f t="shared" si="524"/>
        <v xml:space="preserve">                                                                </v>
      </c>
      <c r="FU334" s="174" t="str">
        <f t="shared" si="557"/>
        <v>NG</v>
      </c>
      <c r="FV334" s="297"/>
      <c r="FW334" s="276" t="str">
        <f>IF(OR(FS$8="判定対象外",FV$8="判定対象外",FV334="-"),"-",IF(FS334=FV334,"OK","NG"))</f>
        <v>OK</v>
      </c>
      <c r="FX334" s="233"/>
      <c r="FY334" s="297"/>
      <c r="FZ334" s="235" t="str">
        <f t="shared" si="525"/>
        <v xml:space="preserve">                                                                </v>
      </c>
      <c r="GA334" s="174" t="str">
        <f t="shared" si="558"/>
        <v>NG</v>
      </c>
      <c r="GB334" s="297"/>
      <c r="GC334" s="276" t="str">
        <f>IF(OR(FY$8="判定対象外",GB$8="判定対象外",GB334="-"),"-",IF(FY334=GB334,"OK","NG"))</f>
        <v>OK</v>
      </c>
    </row>
    <row r="335" spans="1:185" s="237" customFormat="1" ht="92.25" customHeight="1">
      <c r="B335" s="216">
        <f t="shared" si="527"/>
        <v>328</v>
      </c>
      <c r="C335" s="220"/>
      <c r="D335" s="220"/>
      <c r="E335" s="220"/>
      <c r="F335" s="238" t="s">
        <v>352</v>
      </c>
      <c r="G335" s="168"/>
      <c r="H335" s="239"/>
      <c r="I335" s="225"/>
      <c r="J335" s="225"/>
      <c r="K335" s="226"/>
      <c r="L335" s="226"/>
      <c r="M335" s="279" t="s">
        <v>353</v>
      </c>
      <c r="N335" s="228"/>
      <c r="O335" s="229"/>
      <c r="P335" s="45">
        <f t="shared" si="532"/>
        <v>302</v>
      </c>
      <c r="Q335" s="230">
        <v>7</v>
      </c>
      <c r="R335" s="41" t="s">
        <v>81</v>
      </c>
      <c r="S335" s="185" t="s">
        <v>254</v>
      </c>
      <c r="T335" s="231"/>
      <c r="U335" s="41" t="s">
        <v>80</v>
      </c>
      <c r="V335" s="229"/>
      <c r="W335" s="232">
        <v>3</v>
      </c>
      <c r="X335" s="194" t="s">
        <v>255</v>
      </c>
      <c r="Y335" s="194">
        <v>7</v>
      </c>
      <c r="Z335" s="194">
        <v>7</v>
      </c>
      <c r="AA335" s="225" t="s">
        <v>81</v>
      </c>
      <c r="AB335" s="225" t="s">
        <v>57</v>
      </c>
      <c r="AC335" s="243"/>
      <c r="AD335" s="233"/>
      <c r="AE335" s="268"/>
      <c r="AF335" s="235" t="str">
        <f t="shared" si="501"/>
        <v xml:space="preserve">       </v>
      </c>
      <c r="AG335" s="174" t="str">
        <f t="shared" si="542"/>
        <v>NG</v>
      </c>
      <c r="AH335" s="268"/>
      <c r="AI335" s="276" t="str">
        <f>IF(OR(AE$8="判定対象外",AH$8="判定対象外",AH335="-"),"-",IF(AE335=AH335,"OK","NG"))</f>
        <v>OK</v>
      </c>
      <c r="AJ335" s="233"/>
      <c r="AK335" s="234"/>
      <c r="AL335" s="235" t="str">
        <f t="shared" si="559"/>
        <v xml:space="preserve">       </v>
      </c>
      <c r="AM335" s="174" t="str">
        <f t="shared" si="528"/>
        <v>NG</v>
      </c>
      <c r="AN335" s="268"/>
      <c r="AO335" s="276" t="str">
        <f>IF(OR(AK$8="判定対象外",AN$8="判定対象外",AN335="-"),"-",IF(AK335=AN335,"OK","NG"))</f>
        <v>OK</v>
      </c>
      <c r="AP335" s="233"/>
      <c r="AQ335" s="268"/>
      <c r="AR335" s="235" t="str">
        <f t="shared" si="502"/>
        <v xml:space="preserve">       </v>
      </c>
      <c r="AS335" s="174" t="str">
        <f t="shared" si="543"/>
        <v>NG</v>
      </c>
      <c r="AT335" s="268"/>
      <c r="AU335" s="276" t="str">
        <f>IF(OR(AQ$8="判定対象外",AT$8="判定対象外",AT335="-"),"-",IF(AQ335=AT335,"OK","NG"))</f>
        <v>OK</v>
      </c>
      <c r="AV335" s="233"/>
      <c r="AW335" s="268"/>
      <c r="AX335" s="235" t="str">
        <f t="shared" si="503"/>
        <v xml:space="preserve">       </v>
      </c>
      <c r="AY335" s="174" t="str">
        <f t="shared" si="544"/>
        <v>NG</v>
      </c>
      <c r="AZ335" s="268"/>
      <c r="BA335" s="276" t="str">
        <f>IF(OR(AW$8="判定対象外",AZ$8="判定対象外",AZ335="-"),"-",IF(AW335=AZ335,"OK","NG"))</f>
        <v>OK</v>
      </c>
      <c r="BB335" s="233"/>
      <c r="BC335" s="268"/>
      <c r="BD335" s="235" t="str">
        <f t="shared" si="504"/>
        <v xml:space="preserve">       </v>
      </c>
      <c r="BE335" s="174" t="str">
        <f t="shared" si="545"/>
        <v>NG</v>
      </c>
      <c r="BF335" s="268"/>
      <c r="BG335" s="276" t="str">
        <f>IF(OR(BC$8="判定対象外",BF$8="判定対象外",BF335="-"),"-",IF(BC335=BF335,"OK","NG"))</f>
        <v>OK</v>
      </c>
      <c r="BH335" s="233"/>
      <c r="BI335" s="268"/>
      <c r="BJ335" s="235" t="str">
        <f t="shared" si="505"/>
        <v xml:space="preserve">       </v>
      </c>
      <c r="BK335" s="174" t="str">
        <f t="shared" si="546"/>
        <v>NG</v>
      </c>
      <c r="BL335" s="268"/>
      <c r="BM335" s="276" t="str">
        <f>IF(OR(BI$8="判定対象外",BL$8="判定対象外",BL335="-"),"-",IF(BI335=BL335,"OK","NG"))</f>
        <v>OK</v>
      </c>
      <c r="BN335" s="233"/>
      <c r="BO335" s="268"/>
      <c r="BP335" s="235" t="str">
        <f t="shared" si="506"/>
        <v xml:space="preserve">       </v>
      </c>
      <c r="BQ335" s="174" t="str">
        <f t="shared" si="547"/>
        <v>NG</v>
      </c>
      <c r="BR335" s="268"/>
      <c r="BS335" s="276" t="str">
        <f>IF(OR(BO$8="判定対象外",BR$8="判定対象外",BR335="-"),"-",IF(BO335=BR335,"OK","NG"))</f>
        <v>OK</v>
      </c>
      <c r="BT335" s="233"/>
      <c r="BU335" s="268"/>
      <c r="BV335" s="235" t="str">
        <f t="shared" si="507"/>
        <v xml:space="preserve">       </v>
      </c>
      <c r="BW335" s="174" t="str">
        <f t="shared" si="548"/>
        <v>NG</v>
      </c>
      <c r="BX335" s="268"/>
      <c r="BY335" s="276" t="str">
        <f>IF(OR(BU$8="判定対象外",BX$8="判定対象外",BX335="-"),"-",IF(BU335=BX335,"OK","NG"))</f>
        <v>OK</v>
      </c>
      <c r="BZ335" s="233"/>
      <c r="CA335" s="268"/>
      <c r="CB335" s="235" t="str">
        <f t="shared" si="508"/>
        <v xml:space="preserve">       </v>
      </c>
      <c r="CC335" s="174" t="str">
        <f t="shared" si="549"/>
        <v>NG</v>
      </c>
      <c r="CD335" s="268"/>
      <c r="CE335" s="276" t="str">
        <f>IF(OR(CA$8="判定対象外",CD$8="判定対象外",CD335="-"),"-",IF(CA335=CD335,"OK","NG"))</f>
        <v>OK</v>
      </c>
      <c r="CF335" s="233"/>
      <c r="CG335" s="268"/>
      <c r="CH335" s="235" t="str">
        <f t="shared" si="509"/>
        <v xml:space="preserve">       </v>
      </c>
      <c r="CI335" s="174" t="str">
        <f t="shared" si="550"/>
        <v>NG</v>
      </c>
      <c r="CJ335" s="268"/>
      <c r="CK335" s="276" t="str">
        <f>IF(OR(CG$8="判定対象外",CJ$8="判定対象外",CJ335="-"),"-",IF(CG335=CJ335,"OK","NG"))</f>
        <v>OK</v>
      </c>
      <c r="CL335" s="233"/>
      <c r="CM335" s="268"/>
      <c r="CN335" s="235" t="str">
        <f t="shared" si="510"/>
        <v xml:space="preserve">       </v>
      </c>
      <c r="CO335" s="174" t="str">
        <f t="shared" si="551"/>
        <v>NG</v>
      </c>
      <c r="CP335" s="268"/>
      <c r="CQ335" s="276" t="str">
        <f>IF(OR(CM$8="判定対象外",CP$8="判定対象外",CP335="-"),"-",IF(CM335=CP335,"OK","NG"))</f>
        <v>OK</v>
      </c>
      <c r="CR335" s="233"/>
      <c r="CS335" s="268"/>
      <c r="CT335" s="235" t="str">
        <f t="shared" si="511"/>
        <v xml:space="preserve">       </v>
      </c>
      <c r="CU335" s="174" t="str">
        <f t="shared" si="552"/>
        <v>NG</v>
      </c>
      <c r="CV335" s="268"/>
      <c r="CW335" s="276" t="str">
        <f>IF(OR(CS$8="判定対象外",CV$8="判定対象外",CV335="-"),"-",IF(CS335=CV335,"OK","NG"))</f>
        <v>OK</v>
      </c>
      <c r="CX335" s="233"/>
      <c r="CY335" s="268"/>
      <c r="CZ335" s="235" t="str">
        <f t="shared" si="512"/>
        <v xml:space="preserve">       </v>
      </c>
      <c r="DA335" s="174" t="str">
        <f t="shared" si="553"/>
        <v>NG</v>
      </c>
      <c r="DB335" s="268"/>
      <c r="DC335" s="276" t="str">
        <f>IF(OR(CY$8="判定対象外",DB$8="判定対象外",DB335="-"),"-",IF(CY335=DB335,"OK","NG"))</f>
        <v>OK</v>
      </c>
      <c r="DD335" s="233"/>
      <c r="DE335" s="268"/>
      <c r="DF335" s="235" t="str">
        <f t="shared" si="513"/>
        <v xml:space="preserve">       </v>
      </c>
      <c r="DG335" s="174" t="str">
        <f t="shared" si="554"/>
        <v>NG</v>
      </c>
      <c r="DH335" s="268"/>
      <c r="DI335" s="276" t="str">
        <f>IF(OR(DE$8="判定対象外",DH$8="判定対象外",DH335="-"),"-",IF(DE335=DH335,"OK","NG"))</f>
        <v>OK</v>
      </c>
      <c r="DJ335" s="233"/>
      <c r="DK335" s="268"/>
      <c r="DL335" s="235" t="str">
        <f t="shared" si="514"/>
        <v xml:space="preserve">       </v>
      </c>
      <c r="DM335" s="174" t="str">
        <f t="shared" si="555"/>
        <v>NG</v>
      </c>
      <c r="DN335" s="268"/>
      <c r="DO335" s="276" t="str">
        <f>IF(OR(DK$8="判定対象外",DN$8="判定対象外",DN335="-"),"-",IF(DK335=DN335,"OK","NG"))</f>
        <v>OK</v>
      </c>
      <c r="DP335" s="233"/>
      <c r="DQ335" s="268"/>
      <c r="DR335" s="235" t="str">
        <f t="shared" si="515"/>
        <v xml:space="preserve">       </v>
      </c>
      <c r="DS335" s="174" t="str">
        <f t="shared" si="533"/>
        <v>NG</v>
      </c>
      <c r="DT335" s="268"/>
      <c r="DU335" s="276" t="str">
        <f>IF(OR(DQ$8="判定対象外",DT$8="判定対象外",DT335="-"),"-",IF(DQ335=DT335,"OK","NG"))</f>
        <v>OK</v>
      </c>
      <c r="DV335" s="233"/>
      <c r="DW335" s="268"/>
      <c r="DX335" s="235" t="str">
        <f t="shared" si="516"/>
        <v xml:space="preserve">       </v>
      </c>
      <c r="DY335" s="174" t="str">
        <f t="shared" si="534"/>
        <v>NG</v>
      </c>
      <c r="DZ335" s="268"/>
      <c r="EA335" s="276" t="str">
        <f>IF(OR(DW$8="判定対象外",DZ$8="判定対象外",DZ335="-"),"-",IF(DW335=DZ335,"OK","NG"))</f>
        <v>OK</v>
      </c>
      <c r="EB335" s="233"/>
      <c r="EC335" s="268"/>
      <c r="ED335" s="235" t="str">
        <f t="shared" si="517"/>
        <v xml:space="preserve">       </v>
      </c>
      <c r="EE335" s="174" t="str">
        <f t="shared" si="535"/>
        <v>NG</v>
      </c>
      <c r="EF335" s="268"/>
      <c r="EG335" s="276" t="str">
        <f>IF(OR(EC$8="判定対象外",EF$8="判定対象外",EF335="-"),"-",IF(EC335=EF335,"OK","NG"))</f>
        <v>OK</v>
      </c>
      <c r="EH335" s="233"/>
      <c r="EI335" s="268"/>
      <c r="EJ335" s="235" t="str">
        <f t="shared" si="518"/>
        <v xml:space="preserve">       </v>
      </c>
      <c r="EK335" s="174" t="str">
        <f t="shared" si="536"/>
        <v>NG</v>
      </c>
      <c r="EL335" s="268"/>
      <c r="EM335" s="276" t="str">
        <f>IF(OR(EI$8="判定対象外",EL$8="判定対象外",EL335="-"),"-",IF(EI335=EL335,"OK","NG"))</f>
        <v>OK</v>
      </c>
      <c r="EN335" s="233"/>
      <c r="EO335" s="268"/>
      <c r="EP335" s="235" t="str">
        <f t="shared" si="519"/>
        <v xml:space="preserve">       </v>
      </c>
      <c r="EQ335" s="174" t="str">
        <f t="shared" si="537"/>
        <v>NG</v>
      </c>
      <c r="ER335" s="268"/>
      <c r="ES335" s="276" t="str">
        <f>IF(OR(EO$8="判定対象外",ER$8="判定対象外",ER335="-"),"-",IF(EO335=ER335,"OK","NG"))</f>
        <v>OK</v>
      </c>
      <c r="ET335" s="233"/>
      <c r="EU335" s="268"/>
      <c r="EV335" s="235" t="str">
        <f t="shared" si="520"/>
        <v xml:space="preserve">       </v>
      </c>
      <c r="EW335" s="174" t="str">
        <f t="shared" si="538"/>
        <v>NG</v>
      </c>
      <c r="EX335" s="268"/>
      <c r="EY335" s="276" t="str">
        <f>IF(OR(EU$8="判定対象外",EX$8="判定対象外",EX335="-"),"-",IF(EU335=EX335,"OK","NG"))</f>
        <v>OK</v>
      </c>
      <c r="EZ335" s="233"/>
      <c r="FA335" s="268"/>
      <c r="FB335" s="235" t="str">
        <f t="shared" si="521"/>
        <v xml:space="preserve">       </v>
      </c>
      <c r="FC335" s="174" t="str">
        <f t="shared" si="539"/>
        <v>NG</v>
      </c>
      <c r="FD335" s="268"/>
      <c r="FE335" s="276" t="str">
        <f>IF(OR(FA$8="判定対象外",FD$8="判定対象外",FD335="-"),"-",IF(FA335=FD335,"OK","NG"))</f>
        <v>OK</v>
      </c>
      <c r="FF335" s="233"/>
      <c r="FG335" s="268"/>
      <c r="FH335" s="235" t="str">
        <f t="shared" si="522"/>
        <v xml:space="preserve">       </v>
      </c>
      <c r="FI335" s="174" t="str">
        <f t="shared" si="540"/>
        <v>NG</v>
      </c>
      <c r="FJ335" s="268"/>
      <c r="FK335" s="276" t="str">
        <f>IF(OR(FG$8="判定対象外",FJ$8="判定対象外",FJ335="-"),"-",IF(FG335=FJ335,"OK","NG"))</f>
        <v>OK</v>
      </c>
      <c r="FL335" s="233"/>
      <c r="FM335" s="268"/>
      <c r="FN335" s="235" t="str">
        <f t="shared" si="523"/>
        <v xml:space="preserve">       </v>
      </c>
      <c r="FO335" s="174" t="str">
        <f t="shared" si="556"/>
        <v>NG</v>
      </c>
      <c r="FP335" s="268"/>
      <c r="FQ335" s="276" t="str">
        <f>IF(OR(FM$8="判定対象外",FP$8="判定対象外",FP335="-"),"-",IF(FM335=FP335,"OK","NG"))</f>
        <v>OK</v>
      </c>
      <c r="FR335" s="233"/>
      <c r="FS335" s="268"/>
      <c r="FT335" s="235" t="str">
        <f t="shared" si="524"/>
        <v xml:space="preserve">       </v>
      </c>
      <c r="FU335" s="174" t="str">
        <f t="shared" si="557"/>
        <v>NG</v>
      </c>
      <c r="FV335" s="268"/>
      <c r="FW335" s="276" t="str">
        <f>IF(OR(FS$8="判定対象外",FV$8="判定対象外",FV335="-"),"-",IF(FS335=FV335,"OK","NG"))</f>
        <v>OK</v>
      </c>
      <c r="FX335" s="233"/>
      <c r="FY335" s="268"/>
      <c r="FZ335" s="235" t="str">
        <f t="shared" si="525"/>
        <v xml:space="preserve">       </v>
      </c>
      <c r="GA335" s="174" t="str">
        <f t="shared" si="558"/>
        <v>NG</v>
      </c>
      <c r="GB335" s="268"/>
      <c r="GC335" s="276" t="str">
        <f>IF(OR(FY$8="判定対象外",GB$8="判定対象外",GB335="-"),"-",IF(FY335=GB335,"OK","NG"))</f>
        <v>OK</v>
      </c>
    </row>
    <row r="336" spans="1:185" s="237" customFormat="1" ht="127.9" thickBot="1">
      <c r="A336" s="244"/>
      <c r="B336" s="286">
        <f t="shared" si="527"/>
        <v>329</v>
      </c>
      <c r="C336" s="245"/>
      <c r="D336" s="245"/>
      <c r="E336" s="245"/>
      <c r="F336" s="287" t="s">
        <v>354</v>
      </c>
      <c r="G336" s="288"/>
      <c r="H336" s="289"/>
      <c r="I336" s="290"/>
      <c r="J336" s="290"/>
      <c r="K336" s="290"/>
      <c r="L336" s="290"/>
      <c r="M336" s="291" t="s">
        <v>355</v>
      </c>
      <c r="N336" s="280"/>
      <c r="O336" s="284"/>
      <c r="P336" s="71">
        <f t="shared" si="532"/>
        <v>303</v>
      </c>
      <c r="Q336" s="74">
        <v>1</v>
      </c>
      <c r="R336" s="73">
        <v>9</v>
      </c>
      <c r="S336" s="74" t="s">
        <v>256</v>
      </c>
      <c r="T336" s="74"/>
      <c r="U336" s="73" t="s">
        <v>80</v>
      </c>
      <c r="V336" s="246"/>
      <c r="W336" s="76" t="str">
        <f>IF(C336&lt;&gt;"","0",IF(D336&lt;&gt;"","1",IF(E336&lt;&gt;"","2",IF(F336&lt;&gt;"","3",IF(G336&lt;&gt;"","4",IF(H336&lt;&gt;"","5"))))))</f>
        <v>3</v>
      </c>
      <c r="X336" s="77" t="s">
        <v>258</v>
      </c>
      <c r="Y336" s="77">
        <v>1</v>
      </c>
      <c r="Z336" s="77">
        <v>1</v>
      </c>
      <c r="AA336" s="247">
        <v>9</v>
      </c>
      <c r="AB336" s="68" t="s">
        <v>80</v>
      </c>
      <c r="AC336" s="248"/>
      <c r="AD336" s="249"/>
      <c r="AE336" s="300"/>
      <c r="AF336" s="253" t="str">
        <f t="shared" si="501"/>
        <v xml:space="preserve"> </v>
      </c>
      <c r="AG336" s="177" t="str">
        <f t="shared" si="542"/>
        <v>NG</v>
      </c>
      <c r="AH336" s="300"/>
      <c r="AI336" s="270" t="str">
        <f>IF(OR(AE$8="判定対象外",AH$8="判定対象外",AH336="-"),"-",IF(AE336=AH336,"OK","NG"))</f>
        <v>OK</v>
      </c>
      <c r="AJ336" s="249"/>
      <c r="AK336" s="250"/>
      <c r="AL336" s="253" t="str">
        <f t="shared" si="559"/>
        <v xml:space="preserve"> </v>
      </c>
      <c r="AM336" s="177" t="str">
        <f t="shared" si="528"/>
        <v>NG</v>
      </c>
      <c r="AN336" s="250"/>
      <c r="AO336" s="270" t="str">
        <f>IF(OR(AK$8="判定対象外",AN$8="判定対象外",AN336="-"),"-",IF(AK336=AN336,"OK","NG"))</f>
        <v>OK</v>
      </c>
      <c r="AP336" s="249"/>
      <c r="AQ336" s="300"/>
      <c r="AR336" s="253" t="str">
        <f t="shared" si="502"/>
        <v xml:space="preserve"> </v>
      </c>
      <c r="AS336" s="177" t="str">
        <f t="shared" si="543"/>
        <v>NG</v>
      </c>
      <c r="AT336" s="300"/>
      <c r="AU336" s="270" t="str">
        <f>IF(OR(AQ$8="判定対象外",AT$8="判定対象外",AT336="-"),"-",IF(AQ336=AT336,"OK","NG"))</f>
        <v>OK</v>
      </c>
      <c r="AV336" s="249"/>
      <c r="AW336" s="300"/>
      <c r="AX336" s="253" t="str">
        <f t="shared" si="503"/>
        <v xml:space="preserve"> </v>
      </c>
      <c r="AY336" s="177" t="str">
        <f t="shared" si="544"/>
        <v>NG</v>
      </c>
      <c r="AZ336" s="300"/>
      <c r="BA336" s="270" t="str">
        <f>IF(OR(AW$8="判定対象外",AZ$8="判定対象外",AZ336="-"),"-",IF(AW336=AZ336,"OK","NG"))</f>
        <v>OK</v>
      </c>
      <c r="BB336" s="249"/>
      <c r="BC336" s="300"/>
      <c r="BD336" s="253" t="str">
        <f t="shared" si="504"/>
        <v xml:space="preserve"> </v>
      </c>
      <c r="BE336" s="177" t="str">
        <f t="shared" si="545"/>
        <v>NG</v>
      </c>
      <c r="BF336" s="300"/>
      <c r="BG336" s="270" t="str">
        <f>IF(OR(BC$8="判定対象外",BF$8="判定対象外",BF336="-"),"-",IF(BC336=BF336,"OK","NG"))</f>
        <v>OK</v>
      </c>
      <c r="BH336" s="249"/>
      <c r="BI336" s="300"/>
      <c r="BJ336" s="253" t="str">
        <f t="shared" si="505"/>
        <v xml:space="preserve"> </v>
      </c>
      <c r="BK336" s="177" t="str">
        <f t="shared" si="546"/>
        <v>NG</v>
      </c>
      <c r="BL336" s="300"/>
      <c r="BM336" s="270" t="str">
        <f>IF(OR(BI$8="判定対象外",BL$8="判定対象外",BL336="-"),"-",IF(BI336=BL336,"OK","NG"))</f>
        <v>OK</v>
      </c>
      <c r="BN336" s="249"/>
      <c r="BO336" s="300"/>
      <c r="BP336" s="253" t="str">
        <f t="shared" si="506"/>
        <v xml:space="preserve"> </v>
      </c>
      <c r="BQ336" s="177" t="str">
        <f t="shared" si="547"/>
        <v>NG</v>
      </c>
      <c r="BR336" s="300"/>
      <c r="BS336" s="270" t="str">
        <f>IF(OR(BO$8="判定対象外",BR$8="判定対象外",BR336="-"),"-",IF(BO336=BR336,"OK","NG"))</f>
        <v>OK</v>
      </c>
      <c r="BT336" s="249"/>
      <c r="BU336" s="300"/>
      <c r="BV336" s="253" t="str">
        <f t="shared" si="507"/>
        <v xml:space="preserve"> </v>
      </c>
      <c r="BW336" s="177" t="str">
        <f t="shared" si="548"/>
        <v>NG</v>
      </c>
      <c r="BX336" s="300"/>
      <c r="BY336" s="270" t="str">
        <f>IF(OR(BU$8="判定対象外",BX$8="判定対象外",BX336="-"),"-",IF(BU336=BX336,"OK","NG"))</f>
        <v>OK</v>
      </c>
      <c r="BZ336" s="249"/>
      <c r="CA336" s="300"/>
      <c r="CB336" s="253" t="str">
        <f t="shared" si="508"/>
        <v xml:space="preserve"> </v>
      </c>
      <c r="CC336" s="177" t="str">
        <f t="shared" si="549"/>
        <v>NG</v>
      </c>
      <c r="CD336" s="300"/>
      <c r="CE336" s="270" t="str">
        <f>IF(OR(CA$8="判定対象外",CD$8="判定対象外",CD336="-"),"-",IF(CA336=CD336,"OK","NG"))</f>
        <v>OK</v>
      </c>
      <c r="CF336" s="249"/>
      <c r="CG336" s="300"/>
      <c r="CH336" s="253" t="str">
        <f t="shared" si="509"/>
        <v xml:space="preserve"> </v>
      </c>
      <c r="CI336" s="177" t="str">
        <f t="shared" si="550"/>
        <v>NG</v>
      </c>
      <c r="CJ336" s="300"/>
      <c r="CK336" s="270" t="str">
        <f>IF(OR(CG$8="判定対象外",CJ$8="判定対象外",CJ336="-"),"-",IF(CG336=CJ336,"OK","NG"))</f>
        <v>OK</v>
      </c>
      <c r="CL336" s="249"/>
      <c r="CM336" s="300"/>
      <c r="CN336" s="253" t="str">
        <f t="shared" si="510"/>
        <v xml:space="preserve"> </v>
      </c>
      <c r="CO336" s="177" t="str">
        <f t="shared" si="551"/>
        <v>NG</v>
      </c>
      <c r="CP336" s="300"/>
      <c r="CQ336" s="270" t="str">
        <f>IF(OR(CM$8="判定対象外",CP$8="判定対象外",CP336="-"),"-",IF(CM336=CP336,"OK","NG"))</f>
        <v>OK</v>
      </c>
      <c r="CR336" s="249"/>
      <c r="CS336" s="300"/>
      <c r="CT336" s="253" t="str">
        <f t="shared" si="511"/>
        <v xml:space="preserve"> </v>
      </c>
      <c r="CU336" s="177" t="str">
        <f t="shared" si="552"/>
        <v>NG</v>
      </c>
      <c r="CV336" s="300"/>
      <c r="CW336" s="270" t="str">
        <f>IF(OR(CS$8="判定対象外",CV$8="判定対象外",CV336="-"),"-",IF(CS336=CV336,"OK","NG"))</f>
        <v>OK</v>
      </c>
      <c r="CX336" s="249"/>
      <c r="CY336" s="300"/>
      <c r="CZ336" s="253" t="str">
        <f t="shared" si="512"/>
        <v xml:space="preserve"> </v>
      </c>
      <c r="DA336" s="177" t="str">
        <f t="shared" si="553"/>
        <v>NG</v>
      </c>
      <c r="DB336" s="300"/>
      <c r="DC336" s="270" t="str">
        <f>IF(OR(CY$8="判定対象外",DB$8="判定対象外",DB336="-"),"-",IF(CY336=DB336,"OK","NG"))</f>
        <v>OK</v>
      </c>
      <c r="DD336" s="249"/>
      <c r="DE336" s="300"/>
      <c r="DF336" s="253" t="str">
        <f t="shared" si="513"/>
        <v xml:space="preserve"> </v>
      </c>
      <c r="DG336" s="177" t="str">
        <f t="shared" si="554"/>
        <v>NG</v>
      </c>
      <c r="DH336" s="300"/>
      <c r="DI336" s="270" t="str">
        <f>IF(OR(DE$8="判定対象外",DH$8="判定対象外",DH336="-"),"-",IF(DE336=DH336,"OK","NG"))</f>
        <v>OK</v>
      </c>
      <c r="DJ336" s="249"/>
      <c r="DK336" s="300"/>
      <c r="DL336" s="253" t="str">
        <f t="shared" si="514"/>
        <v xml:space="preserve"> </v>
      </c>
      <c r="DM336" s="177" t="str">
        <f t="shared" si="555"/>
        <v>NG</v>
      </c>
      <c r="DN336" s="300"/>
      <c r="DO336" s="270" t="str">
        <f>IF(OR(DK$8="判定対象外",DN$8="判定対象外",DN336="-"),"-",IF(DK336=DN336,"OK","NG"))</f>
        <v>OK</v>
      </c>
      <c r="DP336" s="249"/>
      <c r="DQ336" s="300"/>
      <c r="DR336" s="253" t="str">
        <f t="shared" si="515"/>
        <v xml:space="preserve"> </v>
      </c>
      <c r="DS336" s="177" t="str">
        <f t="shared" si="533"/>
        <v>NG</v>
      </c>
      <c r="DT336" s="300"/>
      <c r="DU336" s="270" t="str">
        <f>IF(OR(DQ$8="判定対象外",DT$8="判定対象外",DT336="-"),"-",IF(DQ336=DT336,"OK","NG"))</f>
        <v>OK</v>
      </c>
      <c r="DV336" s="249"/>
      <c r="DW336" s="300"/>
      <c r="DX336" s="253" t="str">
        <f t="shared" si="516"/>
        <v xml:space="preserve"> </v>
      </c>
      <c r="DY336" s="177" t="str">
        <f t="shared" si="534"/>
        <v>NG</v>
      </c>
      <c r="DZ336" s="300"/>
      <c r="EA336" s="270" t="str">
        <f>IF(OR(DW$8="判定対象外",DZ$8="判定対象外",DZ336="-"),"-",IF(DW336=DZ336,"OK","NG"))</f>
        <v>OK</v>
      </c>
      <c r="EB336" s="249"/>
      <c r="EC336" s="300"/>
      <c r="ED336" s="253" t="str">
        <f t="shared" si="517"/>
        <v xml:space="preserve"> </v>
      </c>
      <c r="EE336" s="177" t="str">
        <f t="shared" si="535"/>
        <v>NG</v>
      </c>
      <c r="EF336" s="300"/>
      <c r="EG336" s="270" t="str">
        <f>IF(OR(EC$8="判定対象外",EF$8="判定対象外",EF336="-"),"-",IF(EC336=EF336,"OK","NG"))</f>
        <v>OK</v>
      </c>
      <c r="EH336" s="249"/>
      <c r="EI336" s="300"/>
      <c r="EJ336" s="253" t="str">
        <f t="shared" si="518"/>
        <v xml:space="preserve"> </v>
      </c>
      <c r="EK336" s="177" t="str">
        <f t="shared" si="536"/>
        <v>NG</v>
      </c>
      <c r="EL336" s="300"/>
      <c r="EM336" s="270" t="str">
        <f>IF(OR(EI$8="判定対象外",EL$8="判定対象外",EL336="-"),"-",IF(EI336=EL336,"OK","NG"))</f>
        <v>OK</v>
      </c>
      <c r="EN336" s="249"/>
      <c r="EO336" s="300"/>
      <c r="EP336" s="253" t="str">
        <f t="shared" si="519"/>
        <v xml:space="preserve"> </v>
      </c>
      <c r="EQ336" s="177" t="str">
        <f t="shared" si="537"/>
        <v>NG</v>
      </c>
      <c r="ER336" s="300"/>
      <c r="ES336" s="270" t="str">
        <f>IF(OR(EO$8="判定対象外",ER$8="判定対象外",ER336="-"),"-",IF(EO336=ER336,"OK","NG"))</f>
        <v>OK</v>
      </c>
      <c r="ET336" s="249"/>
      <c r="EU336" s="300"/>
      <c r="EV336" s="253" t="str">
        <f t="shared" si="520"/>
        <v xml:space="preserve"> </v>
      </c>
      <c r="EW336" s="177" t="str">
        <f t="shared" si="538"/>
        <v>NG</v>
      </c>
      <c r="EX336" s="300"/>
      <c r="EY336" s="270" t="str">
        <f>IF(OR(EU$8="判定対象外",EX$8="判定対象外",EX336="-"),"-",IF(EU336=EX336,"OK","NG"))</f>
        <v>OK</v>
      </c>
      <c r="EZ336" s="249"/>
      <c r="FA336" s="300"/>
      <c r="FB336" s="253" t="str">
        <f t="shared" si="521"/>
        <v xml:space="preserve"> </v>
      </c>
      <c r="FC336" s="177" t="str">
        <f t="shared" si="539"/>
        <v>NG</v>
      </c>
      <c r="FD336" s="300"/>
      <c r="FE336" s="270" t="str">
        <f>IF(OR(FA$8="判定対象外",FD$8="判定対象外",FD336="-"),"-",IF(FA336=FD336,"OK","NG"))</f>
        <v>OK</v>
      </c>
      <c r="FF336" s="249"/>
      <c r="FG336" s="300"/>
      <c r="FH336" s="253" t="str">
        <f t="shared" si="522"/>
        <v xml:space="preserve"> </v>
      </c>
      <c r="FI336" s="177" t="str">
        <f t="shared" si="540"/>
        <v>NG</v>
      </c>
      <c r="FJ336" s="300"/>
      <c r="FK336" s="270" t="str">
        <f>IF(OR(FG$8="判定対象外",FJ$8="判定対象外",FJ336="-"),"-",IF(FG336=FJ336,"OK","NG"))</f>
        <v>OK</v>
      </c>
      <c r="FL336" s="249"/>
      <c r="FM336" s="300"/>
      <c r="FN336" s="253" t="str">
        <f t="shared" si="523"/>
        <v xml:space="preserve"> </v>
      </c>
      <c r="FO336" s="177" t="str">
        <f t="shared" si="556"/>
        <v>NG</v>
      </c>
      <c r="FP336" s="300"/>
      <c r="FQ336" s="270" t="str">
        <f>IF(OR(FM$8="判定対象外",FP$8="判定対象外",FP336="-"),"-",IF(FM336=FP336,"OK","NG"))</f>
        <v>OK</v>
      </c>
      <c r="FR336" s="249"/>
      <c r="FS336" s="300"/>
      <c r="FT336" s="253" t="str">
        <f t="shared" si="524"/>
        <v xml:space="preserve"> </v>
      </c>
      <c r="FU336" s="177" t="str">
        <f t="shared" si="557"/>
        <v>NG</v>
      </c>
      <c r="FV336" s="300"/>
      <c r="FW336" s="270" t="str">
        <f>IF(OR(FS$8="判定対象外",FV$8="判定対象外",FV336="-"),"-",IF(FS336=FV336,"OK","NG"))</f>
        <v>OK</v>
      </c>
      <c r="FX336" s="249"/>
      <c r="FY336" s="300"/>
      <c r="FZ336" s="253" t="str">
        <f t="shared" si="525"/>
        <v xml:space="preserve"> </v>
      </c>
      <c r="GA336" s="177" t="str">
        <f t="shared" si="558"/>
        <v>NG</v>
      </c>
      <c r="GB336" s="300"/>
      <c r="GC336" s="270" t="str">
        <f>IF(OR(FY$8="判定対象外",GB$8="判定対象外",GB336="-"),"-",IF(FY336=GB336,"OK","NG"))</f>
        <v>OK</v>
      </c>
    </row>
    <row r="337" spans="2:185" s="52" customFormat="1" ht="18.75" customHeight="1" thickTop="1">
      <c r="B337" s="48">
        <f t="shared" si="527"/>
        <v>330</v>
      </c>
      <c r="C337" s="37"/>
      <c r="D337" s="37"/>
      <c r="E337" s="26" t="s">
        <v>315</v>
      </c>
      <c r="F337" s="254"/>
      <c r="G337" s="254"/>
      <c r="H337" s="28"/>
      <c r="I337" s="42" t="s">
        <v>1</v>
      </c>
      <c r="J337" s="42" t="s">
        <v>316</v>
      </c>
      <c r="K337" s="42"/>
      <c r="L337" s="42"/>
      <c r="M337" s="47" t="s">
        <v>317</v>
      </c>
      <c r="N337" s="281"/>
      <c r="O337" s="282"/>
      <c r="P337" s="20"/>
      <c r="Q337" s="21"/>
      <c r="R337" s="16"/>
      <c r="S337" s="283"/>
      <c r="T337" s="281"/>
      <c r="U337" s="16"/>
      <c r="V337" s="207"/>
      <c r="W337" s="22" t="str">
        <f>IF(C337&lt;&gt;"","0",IF(D337&lt;&gt;"","1",IF(E337&lt;&gt;"","2",IF(F337&lt;&gt;"","3",IF(G337&lt;&gt;"","4",IF(H337&lt;&gt;"","5"))))))</f>
        <v>2</v>
      </c>
      <c r="X337" s="47" t="s">
        <v>187</v>
      </c>
      <c r="Y337" s="47"/>
      <c r="Z337" s="47"/>
      <c r="AA337" s="42"/>
      <c r="AB337" s="42" t="s">
        <v>80</v>
      </c>
      <c r="AC337" s="251"/>
      <c r="AD337" s="160"/>
      <c r="AE337" s="141"/>
      <c r="AF337" s="203" t="str">
        <f t="shared" si="501"/>
        <v/>
      </c>
      <c r="AG337" s="174" t="str">
        <f t="shared" si="542"/>
        <v>OK</v>
      </c>
      <c r="AH337" s="203"/>
      <c r="AI337" s="276" t="s">
        <v>71</v>
      </c>
      <c r="AJ337" s="160"/>
      <c r="AK337" s="141"/>
      <c r="AL337" s="203" t="str">
        <f t="shared" si="559"/>
        <v/>
      </c>
      <c r="AM337" s="174" t="str">
        <f t="shared" si="528"/>
        <v>OK</v>
      </c>
      <c r="AN337" s="203"/>
      <c r="AO337" s="276" t="s">
        <v>71</v>
      </c>
      <c r="AP337" s="160"/>
      <c r="AQ337" s="141"/>
      <c r="AR337" s="203" t="str">
        <f t="shared" si="502"/>
        <v/>
      </c>
      <c r="AS337" s="174" t="str">
        <f t="shared" si="543"/>
        <v>OK</v>
      </c>
      <c r="AT337" s="203"/>
      <c r="AU337" s="276" t="s">
        <v>71</v>
      </c>
      <c r="AV337" s="160"/>
      <c r="AW337" s="141"/>
      <c r="AX337" s="203" t="str">
        <f t="shared" si="503"/>
        <v/>
      </c>
      <c r="AY337" s="174" t="str">
        <f t="shared" si="544"/>
        <v>OK</v>
      </c>
      <c r="AZ337" s="203"/>
      <c r="BA337" s="276" t="s">
        <v>71</v>
      </c>
      <c r="BB337" s="160"/>
      <c r="BC337" s="141"/>
      <c r="BD337" s="203" t="str">
        <f t="shared" si="504"/>
        <v/>
      </c>
      <c r="BE337" s="174" t="str">
        <f t="shared" si="545"/>
        <v>OK</v>
      </c>
      <c r="BF337" s="203"/>
      <c r="BG337" s="276" t="s">
        <v>71</v>
      </c>
      <c r="BH337" s="160"/>
      <c r="BI337" s="141"/>
      <c r="BJ337" s="203" t="str">
        <f t="shared" si="505"/>
        <v/>
      </c>
      <c r="BK337" s="174" t="str">
        <f t="shared" si="546"/>
        <v>OK</v>
      </c>
      <c r="BL337" s="203"/>
      <c r="BM337" s="276" t="s">
        <v>71</v>
      </c>
      <c r="BN337" s="160"/>
      <c r="BO337" s="141"/>
      <c r="BP337" s="203" t="str">
        <f t="shared" si="506"/>
        <v/>
      </c>
      <c r="BQ337" s="174" t="str">
        <f t="shared" si="547"/>
        <v>OK</v>
      </c>
      <c r="BR337" s="203"/>
      <c r="BS337" s="276" t="s">
        <v>71</v>
      </c>
      <c r="BT337" s="160"/>
      <c r="BU337" s="141"/>
      <c r="BV337" s="203" t="str">
        <f t="shared" si="507"/>
        <v/>
      </c>
      <c r="BW337" s="174" t="str">
        <f t="shared" si="548"/>
        <v>OK</v>
      </c>
      <c r="BX337" s="203"/>
      <c r="BY337" s="276" t="s">
        <v>71</v>
      </c>
      <c r="BZ337" s="160"/>
      <c r="CA337" s="141"/>
      <c r="CB337" s="203" t="str">
        <f t="shared" si="508"/>
        <v/>
      </c>
      <c r="CC337" s="174" t="str">
        <f t="shared" si="549"/>
        <v>OK</v>
      </c>
      <c r="CD337" s="203"/>
      <c r="CE337" s="276" t="s">
        <v>71</v>
      </c>
      <c r="CF337" s="160"/>
      <c r="CG337" s="141"/>
      <c r="CH337" s="203" t="str">
        <f t="shared" si="509"/>
        <v/>
      </c>
      <c r="CI337" s="174" t="str">
        <f t="shared" si="550"/>
        <v>OK</v>
      </c>
      <c r="CJ337" s="203"/>
      <c r="CK337" s="276" t="s">
        <v>71</v>
      </c>
      <c r="CL337" s="160"/>
      <c r="CM337" s="141"/>
      <c r="CN337" s="203" t="str">
        <f t="shared" si="510"/>
        <v/>
      </c>
      <c r="CO337" s="174" t="str">
        <f t="shared" si="551"/>
        <v>OK</v>
      </c>
      <c r="CP337" s="203"/>
      <c r="CQ337" s="276" t="s">
        <v>71</v>
      </c>
      <c r="CR337" s="160"/>
      <c r="CS337" s="141"/>
      <c r="CT337" s="203" t="str">
        <f t="shared" si="511"/>
        <v/>
      </c>
      <c r="CU337" s="174" t="str">
        <f t="shared" si="552"/>
        <v>OK</v>
      </c>
      <c r="CV337" s="203"/>
      <c r="CW337" s="276" t="s">
        <v>71</v>
      </c>
      <c r="CX337" s="160"/>
      <c r="CY337" s="141"/>
      <c r="CZ337" s="203" t="str">
        <f t="shared" si="512"/>
        <v/>
      </c>
      <c r="DA337" s="174" t="str">
        <f t="shared" si="553"/>
        <v>OK</v>
      </c>
      <c r="DB337" s="203"/>
      <c r="DC337" s="276" t="s">
        <v>71</v>
      </c>
      <c r="DD337" s="160"/>
      <c r="DE337" s="141"/>
      <c r="DF337" s="203" t="str">
        <f t="shared" si="513"/>
        <v/>
      </c>
      <c r="DG337" s="174" t="str">
        <f t="shared" si="554"/>
        <v>OK</v>
      </c>
      <c r="DH337" s="203"/>
      <c r="DI337" s="276" t="s">
        <v>71</v>
      </c>
      <c r="DJ337" s="160"/>
      <c r="DK337" s="141"/>
      <c r="DL337" s="203" t="str">
        <f t="shared" si="514"/>
        <v/>
      </c>
      <c r="DM337" s="174" t="str">
        <f t="shared" si="555"/>
        <v>OK</v>
      </c>
      <c r="DN337" s="203"/>
      <c r="DO337" s="276" t="s">
        <v>71</v>
      </c>
      <c r="DP337" s="160"/>
      <c r="DQ337" s="141"/>
      <c r="DR337" s="203" t="str">
        <f t="shared" si="515"/>
        <v/>
      </c>
      <c r="DS337" s="174" t="str">
        <f t="shared" si="533"/>
        <v>OK</v>
      </c>
      <c r="DT337" s="203"/>
      <c r="DU337" s="276" t="s">
        <v>71</v>
      </c>
      <c r="DV337" s="160"/>
      <c r="DW337" s="141"/>
      <c r="DX337" s="203" t="str">
        <f t="shared" si="516"/>
        <v/>
      </c>
      <c r="DY337" s="174" t="str">
        <f t="shared" si="534"/>
        <v>OK</v>
      </c>
      <c r="DZ337" s="203"/>
      <c r="EA337" s="276" t="s">
        <v>71</v>
      </c>
      <c r="EB337" s="160"/>
      <c r="EC337" s="141"/>
      <c r="ED337" s="203" t="str">
        <f t="shared" si="517"/>
        <v/>
      </c>
      <c r="EE337" s="174" t="str">
        <f t="shared" si="535"/>
        <v>OK</v>
      </c>
      <c r="EF337" s="203"/>
      <c r="EG337" s="276" t="s">
        <v>71</v>
      </c>
      <c r="EH337" s="160"/>
      <c r="EI337" s="141"/>
      <c r="EJ337" s="203" t="str">
        <f t="shared" si="518"/>
        <v/>
      </c>
      <c r="EK337" s="174" t="str">
        <f t="shared" si="536"/>
        <v>OK</v>
      </c>
      <c r="EL337" s="203"/>
      <c r="EM337" s="276" t="s">
        <v>71</v>
      </c>
      <c r="EN337" s="160"/>
      <c r="EO337" s="141"/>
      <c r="EP337" s="203" t="str">
        <f t="shared" si="519"/>
        <v/>
      </c>
      <c r="EQ337" s="174" t="str">
        <f t="shared" si="537"/>
        <v>OK</v>
      </c>
      <c r="ER337" s="203"/>
      <c r="ES337" s="276" t="s">
        <v>71</v>
      </c>
      <c r="ET337" s="160"/>
      <c r="EU337" s="141"/>
      <c r="EV337" s="203" t="str">
        <f t="shared" si="520"/>
        <v/>
      </c>
      <c r="EW337" s="174" t="str">
        <f t="shared" si="538"/>
        <v>OK</v>
      </c>
      <c r="EX337" s="203"/>
      <c r="EY337" s="276" t="s">
        <v>71</v>
      </c>
      <c r="EZ337" s="160"/>
      <c r="FA337" s="141"/>
      <c r="FB337" s="203" t="str">
        <f t="shared" si="521"/>
        <v/>
      </c>
      <c r="FC337" s="174" t="str">
        <f t="shared" si="539"/>
        <v>OK</v>
      </c>
      <c r="FD337" s="203"/>
      <c r="FE337" s="276" t="s">
        <v>71</v>
      </c>
      <c r="FF337" s="160"/>
      <c r="FG337" s="141"/>
      <c r="FH337" s="203" t="str">
        <f t="shared" si="522"/>
        <v/>
      </c>
      <c r="FI337" s="174" t="str">
        <f t="shared" si="540"/>
        <v>OK</v>
      </c>
      <c r="FJ337" s="203"/>
      <c r="FK337" s="276" t="s">
        <v>71</v>
      </c>
      <c r="FL337" s="160"/>
      <c r="FM337" s="141"/>
      <c r="FN337" s="203" t="str">
        <f t="shared" si="523"/>
        <v/>
      </c>
      <c r="FO337" s="174" t="str">
        <f t="shared" si="556"/>
        <v>OK</v>
      </c>
      <c r="FP337" s="203"/>
      <c r="FQ337" s="276" t="s">
        <v>71</v>
      </c>
      <c r="FR337" s="160"/>
      <c r="FS337" s="141"/>
      <c r="FT337" s="203" t="str">
        <f t="shared" si="524"/>
        <v/>
      </c>
      <c r="FU337" s="174" t="str">
        <f t="shared" si="557"/>
        <v>OK</v>
      </c>
      <c r="FV337" s="203"/>
      <c r="FW337" s="276" t="s">
        <v>71</v>
      </c>
      <c r="FX337" s="160"/>
      <c r="FY337" s="141"/>
      <c r="FZ337" s="203" t="str">
        <f t="shared" si="525"/>
        <v/>
      </c>
      <c r="GA337" s="174" t="str">
        <f t="shared" si="558"/>
        <v>OK</v>
      </c>
      <c r="GB337" s="203"/>
      <c r="GC337" s="276" t="s">
        <v>71</v>
      </c>
    </row>
    <row r="338" spans="2:185" s="52" customFormat="1" ht="63.75">
      <c r="B338" s="48">
        <f t="shared" si="527"/>
        <v>331</v>
      </c>
      <c r="C338" s="187"/>
      <c r="D338" s="37"/>
      <c r="E338" s="37"/>
      <c r="F338" s="188" t="s">
        <v>318</v>
      </c>
      <c r="G338" s="39"/>
      <c r="H338" s="40"/>
      <c r="I338" s="57"/>
      <c r="J338" s="57"/>
      <c r="K338" s="57"/>
      <c r="L338" s="42"/>
      <c r="M338" s="58" t="s">
        <v>319</v>
      </c>
      <c r="N338" s="47"/>
      <c r="O338" s="143"/>
      <c r="P338" s="45">
        <f>P336+1</f>
        <v>304</v>
      </c>
      <c r="Q338" s="200">
        <v>2</v>
      </c>
      <c r="R338" s="41" t="str">
        <f t="shared" ref="R338:R344" si="560">IF(AA338="M","NX",AA338)</f>
        <v>X</v>
      </c>
      <c r="S338" s="185" t="s">
        <v>99</v>
      </c>
      <c r="T338" s="43"/>
      <c r="U338" s="41" t="s">
        <v>80</v>
      </c>
      <c r="V338" s="212" t="s">
        <v>188</v>
      </c>
      <c r="W338" s="22" t="str">
        <f>IF(C338&lt;&gt;"","0",IF(D338&lt;&gt;"","1",IF(E338&lt;&gt;"","2",IF(F338&lt;&gt;"","3",IF(G338&lt;&gt;"","4",IF(H338&lt;&gt;"","5"))))))</f>
        <v>3</v>
      </c>
      <c r="X338" s="62" t="s">
        <v>189</v>
      </c>
      <c r="Y338" s="201">
        <v>2</v>
      </c>
      <c r="Z338" s="201">
        <v>2</v>
      </c>
      <c r="AA338" s="202" t="s">
        <v>163</v>
      </c>
      <c r="AB338" s="202" t="s">
        <v>57</v>
      </c>
      <c r="AC338" s="166"/>
      <c r="AD338" s="160"/>
      <c r="AE338" s="162"/>
      <c r="AF338" s="167" t="str">
        <f t="shared" si="501"/>
        <v xml:space="preserve">  </v>
      </c>
      <c r="AG338" s="174" t="str">
        <f t="shared" si="542"/>
        <v>NG</v>
      </c>
      <c r="AH338" s="204"/>
      <c r="AI338" s="276" t="str">
        <f>IF(OR(AE$8="判定対象外",AH$8="判定対象外",AH338="-"),"-",IF(AE338=AH338,"OK","NG"))</f>
        <v>OK</v>
      </c>
      <c r="AJ338" s="160"/>
      <c r="AK338" s="162"/>
      <c r="AL338" s="167" t="str">
        <f t="shared" si="559"/>
        <v xml:space="preserve">  </v>
      </c>
      <c r="AM338" s="174" t="str">
        <f t="shared" si="528"/>
        <v>NG</v>
      </c>
      <c r="AN338" s="204"/>
      <c r="AO338" s="276" t="str">
        <f>IF(OR(AK$8="判定対象外",AN$8="判定対象外",AN338="-"),"-",IF(AK338=AN338,"OK","NG"))</f>
        <v>OK</v>
      </c>
      <c r="AP338" s="160"/>
      <c r="AQ338" s="162"/>
      <c r="AR338" s="167" t="str">
        <f t="shared" si="502"/>
        <v xml:space="preserve">  </v>
      </c>
      <c r="AS338" s="174" t="str">
        <f t="shared" si="543"/>
        <v>NG</v>
      </c>
      <c r="AT338" s="204"/>
      <c r="AU338" s="276" t="str">
        <f>IF(OR(AQ$8="判定対象外",AT$8="判定対象外",AT338="-"),"-",IF(AQ338=AT338,"OK","NG"))</f>
        <v>OK</v>
      </c>
      <c r="AV338" s="160"/>
      <c r="AW338" s="162"/>
      <c r="AX338" s="167" t="str">
        <f t="shared" si="503"/>
        <v xml:space="preserve">  </v>
      </c>
      <c r="AY338" s="174" t="str">
        <f t="shared" si="544"/>
        <v>NG</v>
      </c>
      <c r="AZ338" s="204"/>
      <c r="BA338" s="276" t="str">
        <f>IF(OR(AW$8="判定対象外",AZ$8="判定対象外",AZ338="-"),"-",IF(AW338=AZ338,"OK","NG"))</f>
        <v>OK</v>
      </c>
      <c r="BB338" s="160"/>
      <c r="BC338" s="162"/>
      <c r="BD338" s="167" t="str">
        <f t="shared" si="504"/>
        <v xml:space="preserve">  </v>
      </c>
      <c r="BE338" s="174" t="str">
        <f t="shared" si="545"/>
        <v>NG</v>
      </c>
      <c r="BF338" s="204"/>
      <c r="BG338" s="276" t="str">
        <f>IF(OR(BC$8="判定対象外",BF$8="判定対象外",BF338="-"),"-",IF(BC338=BF338,"OK","NG"))</f>
        <v>OK</v>
      </c>
      <c r="BH338" s="160"/>
      <c r="BI338" s="162"/>
      <c r="BJ338" s="167" t="str">
        <f t="shared" si="505"/>
        <v xml:space="preserve">  </v>
      </c>
      <c r="BK338" s="174" t="str">
        <f t="shared" si="546"/>
        <v>NG</v>
      </c>
      <c r="BL338" s="204"/>
      <c r="BM338" s="276" t="str">
        <f>IF(OR(BI$8="判定対象外",BL$8="判定対象外",BL338="-"),"-",IF(BI338=BL338,"OK","NG"))</f>
        <v>OK</v>
      </c>
      <c r="BN338" s="160"/>
      <c r="BO338" s="162"/>
      <c r="BP338" s="167" t="str">
        <f t="shared" si="506"/>
        <v xml:space="preserve">  </v>
      </c>
      <c r="BQ338" s="174" t="str">
        <f t="shared" si="547"/>
        <v>NG</v>
      </c>
      <c r="BR338" s="204"/>
      <c r="BS338" s="276" t="str">
        <f>IF(OR(BO$8="判定対象外",BR$8="判定対象外",BR338="-"),"-",IF(BO338=BR338,"OK","NG"))</f>
        <v>OK</v>
      </c>
      <c r="BT338" s="160"/>
      <c r="BU338" s="162"/>
      <c r="BV338" s="167" t="str">
        <f t="shared" si="507"/>
        <v xml:space="preserve">  </v>
      </c>
      <c r="BW338" s="174" t="str">
        <f t="shared" si="548"/>
        <v>NG</v>
      </c>
      <c r="BX338" s="204"/>
      <c r="BY338" s="276" t="str">
        <f>IF(OR(BU$8="判定対象外",BX$8="判定対象外",BX338="-"),"-",IF(BU338=BX338,"OK","NG"))</f>
        <v>OK</v>
      </c>
      <c r="BZ338" s="160"/>
      <c r="CA338" s="162"/>
      <c r="CB338" s="167" t="str">
        <f t="shared" si="508"/>
        <v xml:space="preserve">  </v>
      </c>
      <c r="CC338" s="174" t="str">
        <f t="shared" si="549"/>
        <v>NG</v>
      </c>
      <c r="CD338" s="204"/>
      <c r="CE338" s="276" t="str">
        <f>IF(OR(CA$8="判定対象外",CD$8="判定対象外",CD338="-"),"-",IF(CA338=CD338,"OK","NG"))</f>
        <v>OK</v>
      </c>
      <c r="CF338" s="160"/>
      <c r="CG338" s="162"/>
      <c r="CH338" s="167" t="str">
        <f t="shared" si="509"/>
        <v xml:space="preserve">  </v>
      </c>
      <c r="CI338" s="174" t="str">
        <f t="shared" si="550"/>
        <v>NG</v>
      </c>
      <c r="CJ338" s="204"/>
      <c r="CK338" s="276" t="str">
        <f>IF(OR(CG$8="判定対象外",CJ$8="判定対象外",CJ338="-"),"-",IF(CG338=CJ338,"OK","NG"))</f>
        <v>OK</v>
      </c>
      <c r="CL338" s="160"/>
      <c r="CM338" s="162"/>
      <c r="CN338" s="167" t="str">
        <f t="shared" si="510"/>
        <v xml:space="preserve">  </v>
      </c>
      <c r="CO338" s="174" t="str">
        <f t="shared" si="551"/>
        <v>NG</v>
      </c>
      <c r="CP338" s="204"/>
      <c r="CQ338" s="276" t="str">
        <f>IF(OR(CM$8="判定対象外",CP$8="判定対象外",CP338="-"),"-",IF(CM338=CP338,"OK","NG"))</f>
        <v>OK</v>
      </c>
      <c r="CR338" s="160"/>
      <c r="CS338" s="162"/>
      <c r="CT338" s="167" t="str">
        <f t="shared" si="511"/>
        <v xml:space="preserve">  </v>
      </c>
      <c r="CU338" s="174" t="str">
        <f t="shared" si="552"/>
        <v>NG</v>
      </c>
      <c r="CV338" s="204"/>
      <c r="CW338" s="276" t="str">
        <f>IF(OR(CS$8="判定対象外",CV$8="判定対象外",CV338="-"),"-",IF(CS338=CV338,"OK","NG"))</f>
        <v>OK</v>
      </c>
      <c r="CX338" s="160"/>
      <c r="CY338" s="162"/>
      <c r="CZ338" s="167" t="str">
        <f t="shared" si="512"/>
        <v xml:space="preserve">  </v>
      </c>
      <c r="DA338" s="174" t="str">
        <f t="shared" si="553"/>
        <v>NG</v>
      </c>
      <c r="DB338" s="204"/>
      <c r="DC338" s="276" t="str">
        <f>IF(OR(CY$8="判定対象外",DB$8="判定対象外",DB338="-"),"-",IF(CY338=DB338,"OK","NG"))</f>
        <v>OK</v>
      </c>
      <c r="DD338" s="160"/>
      <c r="DE338" s="162"/>
      <c r="DF338" s="167" t="str">
        <f t="shared" si="513"/>
        <v xml:space="preserve">  </v>
      </c>
      <c r="DG338" s="174" t="str">
        <f t="shared" si="554"/>
        <v>NG</v>
      </c>
      <c r="DH338" s="204"/>
      <c r="DI338" s="276" t="str">
        <f>IF(OR(DE$8="判定対象外",DH$8="判定対象外",DH338="-"),"-",IF(DE338=DH338,"OK","NG"))</f>
        <v>OK</v>
      </c>
      <c r="DJ338" s="160"/>
      <c r="DK338" s="162"/>
      <c r="DL338" s="167" t="str">
        <f t="shared" si="514"/>
        <v xml:space="preserve">  </v>
      </c>
      <c r="DM338" s="174" t="str">
        <f t="shared" si="555"/>
        <v>NG</v>
      </c>
      <c r="DN338" s="204"/>
      <c r="DO338" s="276" t="str">
        <f>IF(OR(DK$8="判定対象外",DN$8="判定対象外",DN338="-"),"-",IF(DK338=DN338,"OK","NG"))</f>
        <v>OK</v>
      </c>
      <c r="DP338" s="160"/>
      <c r="DQ338" s="162"/>
      <c r="DR338" s="167" t="str">
        <f t="shared" si="515"/>
        <v xml:space="preserve">  </v>
      </c>
      <c r="DS338" s="174" t="str">
        <f t="shared" si="533"/>
        <v>NG</v>
      </c>
      <c r="DT338" s="204"/>
      <c r="DU338" s="276" t="str">
        <f>IF(OR(DQ$8="判定対象外",DT$8="判定対象外",DT338="-"),"-",IF(DQ338=DT338,"OK","NG"))</f>
        <v>OK</v>
      </c>
      <c r="DV338" s="160"/>
      <c r="DW338" s="162"/>
      <c r="DX338" s="167" t="str">
        <f t="shared" si="516"/>
        <v xml:space="preserve">  </v>
      </c>
      <c r="DY338" s="174" t="str">
        <f t="shared" si="534"/>
        <v>NG</v>
      </c>
      <c r="DZ338" s="204"/>
      <c r="EA338" s="276" t="str">
        <f>IF(OR(DW$8="判定対象外",DZ$8="判定対象外",DZ338="-"),"-",IF(DW338=DZ338,"OK","NG"))</f>
        <v>OK</v>
      </c>
      <c r="EB338" s="160"/>
      <c r="EC338" s="162"/>
      <c r="ED338" s="167" t="str">
        <f t="shared" si="517"/>
        <v xml:space="preserve">  </v>
      </c>
      <c r="EE338" s="174" t="str">
        <f t="shared" si="535"/>
        <v>NG</v>
      </c>
      <c r="EF338" s="204"/>
      <c r="EG338" s="276" t="str">
        <f>IF(OR(EC$8="判定対象外",EF$8="判定対象外",EF338="-"),"-",IF(EC338=EF338,"OK","NG"))</f>
        <v>OK</v>
      </c>
      <c r="EH338" s="160"/>
      <c r="EI338" s="162"/>
      <c r="EJ338" s="167" t="str">
        <f t="shared" si="518"/>
        <v xml:space="preserve">  </v>
      </c>
      <c r="EK338" s="174" t="str">
        <f t="shared" si="536"/>
        <v>NG</v>
      </c>
      <c r="EL338" s="204"/>
      <c r="EM338" s="276" t="str">
        <f>IF(OR(EI$8="判定対象外",EL$8="判定対象外",EL338="-"),"-",IF(EI338=EL338,"OK","NG"))</f>
        <v>OK</v>
      </c>
      <c r="EN338" s="160"/>
      <c r="EO338" s="162"/>
      <c r="EP338" s="167" t="str">
        <f t="shared" si="519"/>
        <v xml:space="preserve">  </v>
      </c>
      <c r="EQ338" s="174" t="str">
        <f t="shared" si="537"/>
        <v>NG</v>
      </c>
      <c r="ER338" s="204"/>
      <c r="ES338" s="276" t="str">
        <f>IF(OR(EO$8="判定対象外",ER$8="判定対象外",ER338="-"),"-",IF(EO338=ER338,"OK","NG"))</f>
        <v>OK</v>
      </c>
      <c r="ET338" s="160"/>
      <c r="EU338" s="162"/>
      <c r="EV338" s="167" t="str">
        <f t="shared" si="520"/>
        <v xml:space="preserve">  </v>
      </c>
      <c r="EW338" s="174" t="str">
        <f t="shared" si="538"/>
        <v>NG</v>
      </c>
      <c r="EX338" s="204"/>
      <c r="EY338" s="276" t="str">
        <f>IF(OR(EU$8="判定対象外",EX$8="判定対象外",EX338="-"),"-",IF(EU338=EX338,"OK","NG"))</f>
        <v>OK</v>
      </c>
      <c r="EZ338" s="160"/>
      <c r="FA338" s="162"/>
      <c r="FB338" s="167" t="str">
        <f t="shared" si="521"/>
        <v xml:space="preserve">  </v>
      </c>
      <c r="FC338" s="174" t="str">
        <f t="shared" si="539"/>
        <v>NG</v>
      </c>
      <c r="FD338" s="204"/>
      <c r="FE338" s="276" t="str">
        <f>IF(OR(FA$8="判定対象外",FD$8="判定対象外",FD338="-"),"-",IF(FA338=FD338,"OK","NG"))</f>
        <v>OK</v>
      </c>
      <c r="FF338" s="160"/>
      <c r="FG338" s="162"/>
      <c r="FH338" s="167" t="str">
        <f t="shared" si="522"/>
        <v xml:space="preserve">  </v>
      </c>
      <c r="FI338" s="174" t="str">
        <f t="shared" si="540"/>
        <v>NG</v>
      </c>
      <c r="FJ338" s="204"/>
      <c r="FK338" s="276" t="str">
        <f>IF(OR(FG$8="判定対象外",FJ$8="判定対象外",FJ338="-"),"-",IF(FG338=FJ338,"OK","NG"))</f>
        <v>OK</v>
      </c>
      <c r="FL338" s="160"/>
      <c r="FM338" s="162"/>
      <c r="FN338" s="167" t="str">
        <f t="shared" si="523"/>
        <v xml:space="preserve">  </v>
      </c>
      <c r="FO338" s="174" t="str">
        <f t="shared" si="556"/>
        <v>NG</v>
      </c>
      <c r="FP338" s="204"/>
      <c r="FQ338" s="276" t="str">
        <f>IF(OR(FM$8="判定対象外",FP$8="判定対象外",FP338="-"),"-",IF(FM338=FP338,"OK","NG"))</f>
        <v>OK</v>
      </c>
      <c r="FR338" s="160"/>
      <c r="FS338" s="162"/>
      <c r="FT338" s="167" t="str">
        <f t="shared" si="524"/>
        <v xml:space="preserve">  </v>
      </c>
      <c r="FU338" s="174" t="str">
        <f t="shared" si="557"/>
        <v>NG</v>
      </c>
      <c r="FV338" s="204"/>
      <c r="FW338" s="276" t="str">
        <f>IF(OR(FS$8="判定対象外",FV$8="判定対象外",FV338="-"),"-",IF(FS338=FV338,"OK","NG"))</f>
        <v>OK</v>
      </c>
      <c r="FX338" s="160"/>
      <c r="FY338" s="162"/>
      <c r="FZ338" s="167" t="str">
        <f t="shared" si="525"/>
        <v xml:space="preserve">  </v>
      </c>
      <c r="GA338" s="174" t="str">
        <f t="shared" si="558"/>
        <v>NG</v>
      </c>
      <c r="GB338" s="204"/>
      <c r="GC338" s="276" t="str">
        <f>IF(OR(FY$8="判定対象外",GB$8="判定対象外",GB338="-"),"-",IF(FY338=GB338,"OK","NG"))</f>
        <v>OK</v>
      </c>
    </row>
    <row r="339" spans="2:185" s="52" customFormat="1" ht="344.25">
      <c r="B339" s="48">
        <f t="shared" si="527"/>
        <v>332</v>
      </c>
      <c r="C339" s="37"/>
      <c r="D339" s="37"/>
      <c r="E339" s="37"/>
      <c r="F339" s="188" t="s">
        <v>320</v>
      </c>
      <c r="G339" s="39"/>
      <c r="H339" s="40"/>
      <c r="I339" s="42"/>
      <c r="J339" s="42" t="s">
        <v>316</v>
      </c>
      <c r="K339" s="42"/>
      <c r="L339" s="42"/>
      <c r="M339" s="189" t="s">
        <v>321</v>
      </c>
      <c r="N339" s="63"/>
      <c r="O339" s="143"/>
      <c r="P339" s="45">
        <f>P338+1</f>
        <v>305</v>
      </c>
      <c r="Q339" s="46">
        <v>2</v>
      </c>
      <c r="R339" s="41" t="str">
        <f t="shared" si="560"/>
        <v>X</v>
      </c>
      <c r="S339" s="185" t="s">
        <v>100</v>
      </c>
      <c r="T339" s="43"/>
      <c r="U339" s="41" t="s">
        <v>80</v>
      </c>
      <c r="V339" s="44"/>
      <c r="W339" s="22">
        <v>3</v>
      </c>
      <c r="X339" s="47" t="s">
        <v>162</v>
      </c>
      <c r="Y339" s="47">
        <v>2</v>
      </c>
      <c r="Z339" s="47">
        <v>2</v>
      </c>
      <c r="AA339" s="42" t="s">
        <v>163</v>
      </c>
      <c r="AB339" s="42" t="s">
        <v>57</v>
      </c>
      <c r="AC339" s="166"/>
      <c r="AD339" s="160"/>
      <c r="AE339" s="162"/>
      <c r="AF339" s="167" t="str">
        <f t="shared" si="501"/>
        <v xml:space="preserve">  </v>
      </c>
      <c r="AG339" s="174" t="str">
        <f t="shared" si="542"/>
        <v>NG</v>
      </c>
      <c r="AH339" s="204"/>
      <c r="AI339" s="276" t="str">
        <f>IF(OR(AE$8="判定対象外",AH$8="判定対象外",AH339="-"),"-",IF(AE339=AH339,"OK","NG"))</f>
        <v>OK</v>
      </c>
      <c r="AJ339" s="160"/>
      <c r="AK339" s="162"/>
      <c r="AL339" s="167" t="str">
        <f t="shared" si="559"/>
        <v xml:space="preserve">  </v>
      </c>
      <c r="AM339" s="174" t="str">
        <f t="shared" si="528"/>
        <v>NG</v>
      </c>
      <c r="AN339" s="204"/>
      <c r="AO339" s="276" t="str">
        <f>IF(OR(AK$8="判定対象外",AN$8="判定対象外",AN339="-"),"-",IF(AK339=AN339,"OK","NG"))</f>
        <v>OK</v>
      </c>
      <c r="AP339" s="160"/>
      <c r="AQ339" s="162"/>
      <c r="AR339" s="167" t="str">
        <f t="shared" si="502"/>
        <v xml:space="preserve">  </v>
      </c>
      <c r="AS339" s="174" t="str">
        <f t="shared" si="543"/>
        <v>NG</v>
      </c>
      <c r="AT339" s="204"/>
      <c r="AU339" s="276" t="str">
        <f>IF(OR(AQ$8="判定対象外",AT$8="判定対象外",AT339="-"),"-",IF(AQ339=AT339,"OK","NG"))</f>
        <v>OK</v>
      </c>
      <c r="AV339" s="160"/>
      <c r="AW339" s="162"/>
      <c r="AX339" s="167" t="str">
        <f t="shared" si="503"/>
        <v xml:space="preserve">  </v>
      </c>
      <c r="AY339" s="174" t="str">
        <f t="shared" si="544"/>
        <v>NG</v>
      </c>
      <c r="AZ339" s="204"/>
      <c r="BA339" s="276" t="str">
        <f>IF(OR(AW$8="判定対象外",AZ$8="判定対象外",AZ339="-"),"-",IF(AW339=AZ339,"OK","NG"))</f>
        <v>OK</v>
      </c>
      <c r="BB339" s="160"/>
      <c r="BC339" s="162"/>
      <c r="BD339" s="167" t="str">
        <f t="shared" si="504"/>
        <v xml:space="preserve">  </v>
      </c>
      <c r="BE339" s="174" t="str">
        <f t="shared" si="545"/>
        <v>NG</v>
      </c>
      <c r="BF339" s="204"/>
      <c r="BG339" s="276" t="str">
        <f>IF(OR(BC$8="判定対象外",BF$8="判定対象外",BF339="-"),"-",IF(BC339=BF339,"OK","NG"))</f>
        <v>OK</v>
      </c>
      <c r="BH339" s="160"/>
      <c r="BI339" s="162"/>
      <c r="BJ339" s="167" t="str">
        <f t="shared" si="505"/>
        <v xml:space="preserve">  </v>
      </c>
      <c r="BK339" s="174" t="str">
        <f t="shared" si="546"/>
        <v>NG</v>
      </c>
      <c r="BL339" s="204"/>
      <c r="BM339" s="276" t="str">
        <f>IF(OR(BI$8="判定対象外",BL$8="判定対象外",BL339="-"),"-",IF(BI339=BL339,"OK","NG"))</f>
        <v>OK</v>
      </c>
      <c r="BN339" s="160"/>
      <c r="BO339" s="162"/>
      <c r="BP339" s="167" t="str">
        <f t="shared" si="506"/>
        <v xml:space="preserve">  </v>
      </c>
      <c r="BQ339" s="174" t="str">
        <f t="shared" si="547"/>
        <v>NG</v>
      </c>
      <c r="BR339" s="204"/>
      <c r="BS339" s="276" t="str">
        <f>IF(OR(BO$8="判定対象外",BR$8="判定対象外",BR339="-"),"-",IF(BO339=BR339,"OK","NG"))</f>
        <v>OK</v>
      </c>
      <c r="BT339" s="160"/>
      <c r="BU339" s="162"/>
      <c r="BV339" s="167" t="str">
        <f t="shared" si="507"/>
        <v xml:space="preserve">  </v>
      </c>
      <c r="BW339" s="174" t="str">
        <f t="shared" si="548"/>
        <v>NG</v>
      </c>
      <c r="BX339" s="204"/>
      <c r="BY339" s="276" t="str">
        <f>IF(OR(BU$8="判定対象外",BX$8="判定対象外",BX339="-"),"-",IF(BU339=BX339,"OK","NG"))</f>
        <v>OK</v>
      </c>
      <c r="BZ339" s="160"/>
      <c r="CA339" s="162"/>
      <c r="CB339" s="167" t="str">
        <f t="shared" si="508"/>
        <v xml:space="preserve">  </v>
      </c>
      <c r="CC339" s="174" t="str">
        <f t="shared" si="549"/>
        <v>NG</v>
      </c>
      <c r="CD339" s="204"/>
      <c r="CE339" s="276" t="str">
        <f>IF(OR(CA$8="判定対象外",CD$8="判定対象外",CD339="-"),"-",IF(CA339=CD339,"OK","NG"))</f>
        <v>OK</v>
      </c>
      <c r="CF339" s="160"/>
      <c r="CG339" s="162"/>
      <c r="CH339" s="167" t="str">
        <f t="shared" si="509"/>
        <v xml:space="preserve">  </v>
      </c>
      <c r="CI339" s="174" t="str">
        <f t="shared" si="550"/>
        <v>NG</v>
      </c>
      <c r="CJ339" s="204"/>
      <c r="CK339" s="276" t="str">
        <f>IF(OR(CG$8="判定対象外",CJ$8="判定対象外",CJ339="-"),"-",IF(CG339=CJ339,"OK","NG"))</f>
        <v>OK</v>
      </c>
      <c r="CL339" s="160"/>
      <c r="CM339" s="162"/>
      <c r="CN339" s="167" t="str">
        <f t="shared" si="510"/>
        <v xml:space="preserve">  </v>
      </c>
      <c r="CO339" s="174" t="str">
        <f t="shared" si="551"/>
        <v>NG</v>
      </c>
      <c r="CP339" s="204"/>
      <c r="CQ339" s="276" t="str">
        <f>IF(OR(CM$8="判定対象外",CP$8="判定対象外",CP339="-"),"-",IF(CM339=CP339,"OK","NG"))</f>
        <v>OK</v>
      </c>
      <c r="CR339" s="160"/>
      <c r="CS339" s="162"/>
      <c r="CT339" s="167" t="str">
        <f t="shared" si="511"/>
        <v xml:space="preserve">  </v>
      </c>
      <c r="CU339" s="174" t="str">
        <f t="shared" si="552"/>
        <v>NG</v>
      </c>
      <c r="CV339" s="204"/>
      <c r="CW339" s="276" t="str">
        <f>IF(OR(CS$8="判定対象外",CV$8="判定対象外",CV339="-"),"-",IF(CS339=CV339,"OK","NG"))</f>
        <v>OK</v>
      </c>
      <c r="CX339" s="160"/>
      <c r="CY339" s="162"/>
      <c r="CZ339" s="167" t="str">
        <f t="shared" si="512"/>
        <v xml:space="preserve">  </v>
      </c>
      <c r="DA339" s="174" t="str">
        <f t="shared" si="553"/>
        <v>NG</v>
      </c>
      <c r="DB339" s="204"/>
      <c r="DC339" s="276" t="str">
        <f>IF(OR(CY$8="判定対象外",DB$8="判定対象外",DB339="-"),"-",IF(CY339=DB339,"OK","NG"))</f>
        <v>OK</v>
      </c>
      <c r="DD339" s="160"/>
      <c r="DE339" s="162"/>
      <c r="DF339" s="167" t="str">
        <f t="shared" si="513"/>
        <v xml:space="preserve">  </v>
      </c>
      <c r="DG339" s="174" t="str">
        <f t="shared" si="554"/>
        <v>NG</v>
      </c>
      <c r="DH339" s="204"/>
      <c r="DI339" s="276" t="str">
        <f>IF(OR(DE$8="判定対象外",DH$8="判定対象外",DH339="-"),"-",IF(DE339=DH339,"OK","NG"))</f>
        <v>OK</v>
      </c>
      <c r="DJ339" s="160"/>
      <c r="DK339" s="162"/>
      <c r="DL339" s="167" t="str">
        <f t="shared" si="514"/>
        <v xml:space="preserve">  </v>
      </c>
      <c r="DM339" s="174" t="str">
        <f t="shared" si="555"/>
        <v>NG</v>
      </c>
      <c r="DN339" s="204"/>
      <c r="DO339" s="276" t="str">
        <f>IF(OR(DK$8="判定対象外",DN$8="判定対象外",DN339="-"),"-",IF(DK339=DN339,"OK","NG"))</f>
        <v>OK</v>
      </c>
      <c r="DP339" s="160"/>
      <c r="DQ339" s="162"/>
      <c r="DR339" s="167" t="str">
        <f t="shared" si="515"/>
        <v xml:space="preserve">  </v>
      </c>
      <c r="DS339" s="174" t="str">
        <f t="shared" si="533"/>
        <v>NG</v>
      </c>
      <c r="DT339" s="204"/>
      <c r="DU339" s="276" t="str">
        <f>IF(OR(DQ$8="判定対象外",DT$8="判定対象外",DT339="-"),"-",IF(DQ339=DT339,"OK","NG"))</f>
        <v>OK</v>
      </c>
      <c r="DV339" s="160"/>
      <c r="DW339" s="162"/>
      <c r="DX339" s="167" t="str">
        <f t="shared" si="516"/>
        <v xml:space="preserve">  </v>
      </c>
      <c r="DY339" s="174" t="str">
        <f t="shared" si="534"/>
        <v>NG</v>
      </c>
      <c r="DZ339" s="204"/>
      <c r="EA339" s="276" t="str">
        <f>IF(OR(DW$8="判定対象外",DZ$8="判定対象外",DZ339="-"),"-",IF(DW339=DZ339,"OK","NG"))</f>
        <v>OK</v>
      </c>
      <c r="EB339" s="160"/>
      <c r="EC339" s="162"/>
      <c r="ED339" s="167" t="str">
        <f t="shared" si="517"/>
        <v xml:space="preserve">  </v>
      </c>
      <c r="EE339" s="174" t="str">
        <f t="shared" si="535"/>
        <v>NG</v>
      </c>
      <c r="EF339" s="204"/>
      <c r="EG339" s="276" t="str">
        <f>IF(OR(EC$8="判定対象外",EF$8="判定対象外",EF339="-"),"-",IF(EC339=EF339,"OK","NG"))</f>
        <v>OK</v>
      </c>
      <c r="EH339" s="160"/>
      <c r="EI339" s="162"/>
      <c r="EJ339" s="167" t="str">
        <f t="shared" si="518"/>
        <v xml:space="preserve">  </v>
      </c>
      <c r="EK339" s="174" t="str">
        <f t="shared" si="536"/>
        <v>NG</v>
      </c>
      <c r="EL339" s="204"/>
      <c r="EM339" s="276" t="str">
        <f>IF(OR(EI$8="判定対象外",EL$8="判定対象外",EL339="-"),"-",IF(EI339=EL339,"OK","NG"))</f>
        <v>OK</v>
      </c>
      <c r="EN339" s="160"/>
      <c r="EO339" s="162"/>
      <c r="EP339" s="167" t="str">
        <f t="shared" si="519"/>
        <v xml:space="preserve">  </v>
      </c>
      <c r="EQ339" s="174" t="str">
        <f t="shared" si="537"/>
        <v>NG</v>
      </c>
      <c r="ER339" s="204"/>
      <c r="ES339" s="276" t="str">
        <f>IF(OR(EO$8="判定対象外",ER$8="判定対象外",ER339="-"),"-",IF(EO339=ER339,"OK","NG"))</f>
        <v>OK</v>
      </c>
      <c r="ET339" s="160"/>
      <c r="EU339" s="162"/>
      <c r="EV339" s="167" t="str">
        <f t="shared" si="520"/>
        <v xml:space="preserve">  </v>
      </c>
      <c r="EW339" s="174" t="str">
        <f t="shared" si="538"/>
        <v>NG</v>
      </c>
      <c r="EX339" s="204"/>
      <c r="EY339" s="276" t="str">
        <f>IF(OR(EU$8="判定対象外",EX$8="判定対象外",EX339="-"),"-",IF(EU339=EX339,"OK","NG"))</f>
        <v>OK</v>
      </c>
      <c r="EZ339" s="160"/>
      <c r="FA339" s="162"/>
      <c r="FB339" s="167" t="str">
        <f t="shared" si="521"/>
        <v xml:space="preserve">  </v>
      </c>
      <c r="FC339" s="174" t="str">
        <f t="shared" si="539"/>
        <v>NG</v>
      </c>
      <c r="FD339" s="204"/>
      <c r="FE339" s="276" t="str">
        <f>IF(OR(FA$8="判定対象外",FD$8="判定対象外",FD339="-"),"-",IF(FA339=FD339,"OK","NG"))</f>
        <v>OK</v>
      </c>
      <c r="FF339" s="160"/>
      <c r="FG339" s="162"/>
      <c r="FH339" s="167" t="str">
        <f t="shared" si="522"/>
        <v xml:space="preserve">  </v>
      </c>
      <c r="FI339" s="174" t="str">
        <f t="shared" si="540"/>
        <v>NG</v>
      </c>
      <c r="FJ339" s="204"/>
      <c r="FK339" s="276" t="str">
        <f>IF(OR(FG$8="判定対象外",FJ$8="判定対象外",FJ339="-"),"-",IF(FG339=FJ339,"OK","NG"))</f>
        <v>OK</v>
      </c>
      <c r="FL339" s="160"/>
      <c r="FM339" s="162"/>
      <c r="FN339" s="167" t="str">
        <f t="shared" si="523"/>
        <v xml:space="preserve">  </v>
      </c>
      <c r="FO339" s="174" t="str">
        <f t="shared" si="556"/>
        <v>NG</v>
      </c>
      <c r="FP339" s="204"/>
      <c r="FQ339" s="276" t="str">
        <f>IF(OR(FM$8="判定対象外",FP$8="判定対象外",FP339="-"),"-",IF(FM339=FP339,"OK","NG"))</f>
        <v>OK</v>
      </c>
      <c r="FR339" s="160"/>
      <c r="FS339" s="162"/>
      <c r="FT339" s="167" t="str">
        <f t="shared" si="524"/>
        <v xml:space="preserve">  </v>
      </c>
      <c r="FU339" s="174" t="str">
        <f t="shared" si="557"/>
        <v>NG</v>
      </c>
      <c r="FV339" s="204"/>
      <c r="FW339" s="276" t="str">
        <f>IF(OR(FS$8="判定対象外",FV$8="判定対象外",FV339="-"),"-",IF(FS339=FV339,"OK","NG"))</f>
        <v>OK</v>
      </c>
      <c r="FX339" s="160"/>
      <c r="FY339" s="162"/>
      <c r="FZ339" s="167" t="str">
        <f t="shared" si="525"/>
        <v xml:space="preserve">  </v>
      </c>
      <c r="GA339" s="174" t="str">
        <f t="shared" si="558"/>
        <v>NG</v>
      </c>
      <c r="GB339" s="204"/>
      <c r="GC339" s="276" t="str">
        <f>IF(OR(FY$8="判定対象外",GB$8="判定対象外",GB339="-"),"-",IF(FY339=GB339,"OK","NG"))</f>
        <v>OK</v>
      </c>
    </row>
    <row r="340" spans="2:185" s="52" customFormat="1">
      <c r="B340" s="48">
        <f t="shared" si="527"/>
        <v>333</v>
      </c>
      <c r="C340" s="37"/>
      <c r="D340" s="37"/>
      <c r="E340" s="37"/>
      <c r="F340" s="49" t="s">
        <v>322</v>
      </c>
      <c r="G340" s="39"/>
      <c r="H340" s="40"/>
      <c r="I340" s="42"/>
      <c r="J340" s="42"/>
      <c r="K340" s="42"/>
      <c r="L340" s="42"/>
      <c r="M340" s="213" t="s">
        <v>323</v>
      </c>
      <c r="N340" s="63"/>
      <c r="O340" s="143"/>
      <c r="P340" s="45">
        <f t="shared" ref="P340:P366" si="561">P339+1</f>
        <v>306</v>
      </c>
      <c r="Q340" s="46">
        <v>2</v>
      </c>
      <c r="R340" s="41" t="str">
        <f t="shared" si="560"/>
        <v>X</v>
      </c>
      <c r="S340" s="185" t="s">
        <v>190</v>
      </c>
      <c r="T340" s="43"/>
      <c r="U340" s="41" t="s">
        <v>80</v>
      </c>
      <c r="V340" s="44"/>
      <c r="W340" s="22">
        <v>3</v>
      </c>
      <c r="X340" s="47" t="s">
        <v>191</v>
      </c>
      <c r="Y340" s="47">
        <v>2</v>
      </c>
      <c r="Z340" s="47">
        <v>2</v>
      </c>
      <c r="AA340" s="42" t="s">
        <v>163</v>
      </c>
      <c r="AB340" s="42" t="s">
        <v>57</v>
      </c>
      <c r="AC340" s="166"/>
      <c r="AD340" s="160"/>
      <c r="AE340" s="141"/>
      <c r="AF340" s="203" t="str">
        <f t="shared" si="501"/>
        <v xml:space="preserve">  </v>
      </c>
      <c r="AG340" s="174" t="str">
        <f t="shared" si="542"/>
        <v>NG</v>
      </c>
      <c r="AH340" s="203"/>
      <c r="AI340" s="172" t="s">
        <v>71</v>
      </c>
      <c r="AJ340" s="160"/>
      <c r="AK340" s="141"/>
      <c r="AL340" s="203" t="str">
        <f t="shared" si="559"/>
        <v xml:space="preserve">  </v>
      </c>
      <c r="AM340" s="174" t="str">
        <f t="shared" si="528"/>
        <v>NG</v>
      </c>
      <c r="AN340" s="203"/>
      <c r="AO340" s="172" t="s">
        <v>71</v>
      </c>
      <c r="AP340" s="160"/>
      <c r="AQ340" s="141"/>
      <c r="AR340" s="203" t="str">
        <f t="shared" si="502"/>
        <v xml:space="preserve">  </v>
      </c>
      <c r="AS340" s="174" t="str">
        <f t="shared" si="543"/>
        <v>NG</v>
      </c>
      <c r="AT340" s="203"/>
      <c r="AU340" s="172" t="s">
        <v>71</v>
      </c>
      <c r="AV340" s="160"/>
      <c r="AW340" s="141"/>
      <c r="AX340" s="203" t="str">
        <f t="shared" si="503"/>
        <v xml:space="preserve">  </v>
      </c>
      <c r="AY340" s="174" t="str">
        <f t="shared" si="544"/>
        <v>NG</v>
      </c>
      <c r="AZ340" s="203"/>
      <c r="BA340" s="172" t="s">
        <v>71</v>
      </c>
      <c r="BB340" s="160"/>
      <c r="BC340" s="141"/>
      <c r="BD340" s="203" t="str">
        <f t="shared" si="504"/>
        <v xml:space="preserve">  </v>
      </c>
      <c r="BE340" s="174" t="str">
        <f t="shared" si="545"/>
        <v>NG</v>
      </c>
      <c r="BF340" s="203"/>
      <c r="BG340" s="172" t="s">
        <v>71</v>
      </c>
      <c r="BH340" s="160"/>
      <c r="BI340" s="141"/>
      <c r="BJ340" s="203" t="str">
        <f t="shared" si="505"/>
        <v xml:space="preserve">  </v>
      </c>
      <c r="BK340" s="174" t="str">
        <f t="shared" si="546"/>
        <v>NG</v>
      </c>
      <c r="BL340" s="203"/>
      <c r="BM340" s="172" t="s">
        <v>71</v>
      </c>
      <c r="BN340" s="160"/>
      <c r="BO340" s="141"/>
      <c r="BP340" s="203" t="str">
        <f t="shared" si="506"/>
        <v xml:space="preserve">  </v>
      </c>
      <c r="BQ340" s="174" t="str">
        <f t="shared" si="547"/>
        <v>NG</v>
      </c>
      <c r="BR340" s="203"/>
      <c r="BS340" s="172" t="s">
        <v>71</v>
      </c>
      <c r="BT340" s="160"/>
      <c r="BU340" s="141"/>
      <c r="BV340" s="203" t="str">
        <f t="shared" si="507"/>
        <v xml:space="preserve">  </v>
      </c>
      <c r="BW340" s="174" t="str">
        <f t="shared" si="548"/>
        <v>NG</v>
      </c>
      <c r="BX340" s="203"/>
      <c r="BY340" s="172" t="s">
        <v>71</v>
      </c>
      <c r="BZ340" s="160"/>
      <c r="CA340" s="141"/>
      <c r="CB340" s="203" t="str">
        <f t="shared" si="508"/>
        <v xml:space="preserve">  </v>
      </c>
      <c r="CC340" s="174" t="str">
        <f t="shared" si="549"/>
        <v>NG</v>
      </c>
      <c r="CD340" s="203"/>
      <c r="CE340" s="172" t="s">
        <v>71</v>
      </c>
      <c r="CF340" s="160"/>
      <c r="CG340" s="141"/>
      <c r="CH340" s="203" t="str">
        <f t="shared" si="509"/>
        <v xml:space="preserve">  </v>
      </c>
      <c r="CI340" s="174" t="str">
        <f t="shared" si="550"/>
        <v>NG</v>
      </c>
      <c r="CJ340" s="203"/>
      <c r="CK340" s="172" t="s">
        <v>71</v>
      </c>
      <c r="CL340" s="160"/>
      <c r="CM340" s="141"/>
      <c r="CN340" s="203" t="str">
        <f t="shared" si="510"/>
        <v xml:space="preserve">  </v>
      </c>
      <c r="CO340" s="174" t="str">
        <f t="shared" si="551"/>
        <v>NG</v>
      </c>
      <c r="CP340" s="203"/>
      <c r="CQ340" s="172" t="s">
        <v>71</v>
      </c>
      <c r="CR340" s="160"/>
      <c r="CS340" s="141"/>
      <c r="CT340" s="203" t="str">
        <f t="shared" si="511"/>
        <v xml:space="preserve">  </v>
      </c>
      <c r="CU340" s="174" t="str">
        <f t="shared" si="552"/>
        <v>NG</v>
      </c>
      <c r="CV340" s="203"/>
      <c r="CW340" s="172" t="s">
        <v>71</v>
      </c>
      <c r="CX340" s="160"/>
      <c r="CY340" s="141"/>
      <c r="CZ340" s="203" t="str">
        <f t="shared" si="512"/>
        <v xml:space="preserve">  </v>
      </c>
      <c r="DA340" s="174" t="str">
        <f t="shared" si="553"/>
        <v>NG</v>
      </c>
      <c r="DB340" s="203"/>
      <c r="DC340" s="172" t="s">
        <v>71</v>
      </c>
      <c r="DD340" s="160"/>
      <c r="DE340" s="141"/>
      <c r="DF340" s="203" t="str">
        <f t="shared" si="513"/>
        <v xml:space="preserve">  </v>
      </c>
      <c r="DG340" s="174" t="str">
        <f t="shared" si="554"/>
        <v>NG</v>
      </c>
      <c r="DH340" s="203"/>
      <c r="DI340" s="172" t="s">
        <v>71</v>
      </c>
      <c r="DJ340" s="160"/>
      <c r="DK340" s="141"/>
      <c r="DL340" s="203" t="str">
        <f t="shared" si="514"/>
        <v xml:space="preserve">  </v>
      </c>
      <c r="DM340" s="174" t="str">
        <f t="shared" si="555"/>
        <v>NG</v>
      </c>
      <c r="DN340" s="203"/>
      <c r="DO340" s="172" t="s">
        <v>71</v>
      </c>
      <c r="DP340" s="160"/>
      <c r="DQ340" s="141"/>
      <c r="DR340" s="203" t="str">
        <f t="shared" si="515"/>
        <v xml:space="preserve">  </v>
      </c>
      <c r="DS340" s="174" t="str">
        <f t="shared" si="533"/>
        <v>NG</v>
      </c>
      <c r="DT340" s="203"/>
      <c r="DU340" s="172" t="s">
        <v>71</v>
      </c>
      <c r="DV340" s="160"/>
      <c r="DW340" s="141"/>
      <c r="DX340" s="203" t="str">
        <f t="shared" si="516"/>
        <v xml:space="preserve">  </v>
      </c>
      <c r="DY340" s="174" t="str">
        <f t="shared" si="534"/>
        <v>NG</v>
      </c>
      <c r="DZ340" s="203"/>
      <c r="EA340" s="172" t="s">
        <v>71</v>
      </c>
      <c r="EB340" s="160"/>
      <c r="EC340" s="141"/>
      <c r="ED340" s="203" t="str">
        <f t="shared" si="517"/>
        <v xml:space="preserve">  </v>
      </c>
      <c r="EE340" s="174" t="str">
        <f t="shared" si="535"/>
        <v>NG</v>
      </c>
      <c r="EF340" s="203"/>
      <c r="EG340" s="172" t="s">
        <v>71</v>
      </c>
      <c r="EH340" s="160"/>
      <c r="EI340" s="141"/>
      <c r="EJ340" s="203" t="str">
        <f t="shared" si="518"/>
        <v xml:space="preserve">  </v>
      </c>
      <c r="EK340" s="174" t="str">
        <f t="shared" si="536"/>
        <v>NG</v>
      </c>
      <c r="EL340" s="203"/>
      <c r="EM340" s="172" t="s">
        <v>71</v>
      </c>
      <c r="EN340" s="160"/>
      <c r="EO340" s="141"/>
      <c r="EP340" s="203" t="str">
        <f t="shared" si="519"/>
        <v xml:space="preserve">  </v>
      </c>
      <c r="EQ340" s="174" t="str">
        <f t="shared" si="537"/>
        <v>NG</v>
      </c>
      <c r="ER340" s="203"/>
      <c r="ES340" s="172" t="s">
        <v>71</v>
      </c>
      <c r="ET340" s="160"/>
      <c r="EU340" s="141"/>
      <c r="EV340" s="203" t="str">
        <f t="shared" si="520"/>
        <v xml:space="preserve">  </v>
      </c>
      <c r="EW340" s="174" t="str">
        <f t="shared" si="538"/>
        <v>NG</v>
      </c>
      <c r="EX340" s="203"/>
      <c r="EY340" s="172" t="s">
        <v>71</v>
      </c>
      <c r="EZ340" s="160"/>
      <c r="FA340" s="141"/>
      <c r="FB340" s="203" t="str">
        <f t="shared" si="521"/>
        <v xml:space="preserve">  </v>
      </c>
      <c r="FC340" s="174" t="str">
        <f t="shared" si="539"/>
        <v>NG</v>
      </c>
      <c r="FD340" s="203"/>
      <c r="FE340" s="172" t="s">
        <v>71</v>
      </c>
      <c r="FF340" s="160"/>
      <c r="FG340" s="141"/>
      <c r="FH340" s="203" t="str">
        <f t="shared" si="522"/>
        <v xml:space="preserve">  </v>
      </c>
      <c r="FI340" s="174" t="str">
        <f t="shared" si="540"/>
        <v>NG</v>
      </c>
      <c r="FJ340" s="203"/>
      <c r="FK340" s="172" t="s">
        <v>71</v>
      </c>
      <c r="FL340" s="160"/>
      <c r="FM340" s="141"/>
      <c r="FN340" s="203" t="str">
        <f t="shared" si="523"/>
        <v xml:space="preserve">  </v>
      </c>
      <c r="FO340" s="174" t="str">
        <f t="shared" si="556"/>
        <v>NG</v>
      </c>
      <c r="FP340" s="203"/>
      <c r="FQ340" s="172" t="s">
        <v>71</v>
      </c>
      <c r="FR340" s="160"/>
      <c r="FS340" s="141"/>
      <c r="FT340" s="203" t="str">
        <f t="shared" si="524"/>
        <v xml:space="preserve">  </v>
      </c>
      <c r="FU340" s="174" t="str">
        <f t="shared" si="557"/>
        <v>NG</v>
      </c>
      <c r="FV340" s="203"/>
      <c r="FW340" s="172" t="s">
        <v>71</v>
      </c>
      <c r="FX340" s="160"/>
      <c r="FY340" s="141"/>
      <c r="FZ340" s="203" t="str">
        <f t="shared" si="525"/>
        <v xml:space="preserve">  </v>
      </c>
      <c r="GA340" s="174" t="str">
        <f t="shared" si="558"/>
        <v>NG</v>
      </c>
      <c r="GB340" s="203"/>
      <c r="GC340" s="172" t="s">
        <v>71</v>
      </c>
    </row>
    <row r="341" spans="2:185" s="52" customFormat="1">
      <c r="B341" s="48">
        <f t="shared" si="527"/>
        <v>334</v>
      </c>
      <c r="C341" s="37"/>
      <c r="D341" s="37"/>
      <c r="E341" s="37"/>
      <c r="F341" s="49" t="s">
        <v>192</v>
      </c>
      <c r="G341" s="39"/>
      <c r="H341" s="40"/>
      <c r="I341" s="42"/>
      <c r="J341" s="42" t="s">
        <v>316</v>
      </c>
      <c r="K341" s="42"/>
      <c r="L341" s="42"/>
      <c r="M341" s="47" t="s">
        <v>324</v>
      </c>
      <c r="N341" s="47"/>
      <c r="O341" s="143"/>
      <c r="P341" s="45">
        <f t="shared" si="561"/>
        <v>307</v>
      </c>
      <c r="Q341" s="46">
        <v>255</v>
      </c>
      <c r="R341" s="41" t="str">
        <f t="shared" si="560"/>
        <v>NX</v>
      </c>
      <c r="S341" s="185" t="s">
        <v>193</v>
      </c>
      <c r="T341" s="43"/>
      <c r="U341" s="41" t="s">
        <v>80</v>
      </c>
      <c r="V341" s="44"/>
      <c r="W341" s="22">
        <v>3</v>
      </c>
      <c r="X341" s="47" t="s">
        <v>194</v>
      </c>
      <c r="Y341" s="47">
        <v>1</v>
      </c>
      <c r="Z341" s="47">
        <v>255</v>
      </c>
      <c r="AA341" s="42" t="s">
        <v>195</v>
      </c>
      <c r="AB341" s="42" t="s">
        <v>57</v>
      </c>
      <c r="AC341" s="166"/>
      <c r="AD341" s="160"/>
      <c r="AE341" s="162"/>
      <c r="AF341" s="204" t="str">
        <f t="shared" ref="AF341:AF404" si="562">IF(AH341="-","-",AH341&amp;REPT(IF($R341="N","　",IF($R341="9","0"," ")),$Z341-LENB(AH341)))</f>
        <v xml:space="preserve">                                                                                                                                                                                                                                                               </v>
      </c>
      <c r="AG341" s="174" t="str">
        <f t="shared" si="542"/>
        <v>NG</v>
      </c>
      <c r="AH341" s="204"/>
      <c r="AI341" s="276" t="str">
        <f>IF(OR(AE$8="判定対象外",AH$8="判定対象外",AH341="-"),"-",IF(AE341=AH341,"OK","NG"))</f>
        <v>OK</v>
      </c>
      <c r="AJ341" s="160"/>
      <c r="AK341" s="162"/>
      <c r="AL341" s="204" t="str">
        <f t="shared" si="559"/>
        <v xml:space="preserve">                                                                                                                                                                                                                                                               </v>
      </c>
      <c r="AM341" s="174" t="str">
        <f t="shared" si="528"/>
        <v>NG</v>
      </c>
      <c r="AN341" s="204"/>
      <c r="AO341" s="276" t="str">
        <f>IF(OR(AK$8="判定対象外",AN$8="判定対象外",AN341="-"),"-",IF(AK341=AN341,"OK","NG"))</f>
        <v>OK</v>
      </c>
      <c r="AP341" s="160"/>
      <c r="AQ341" s="162"/>
      <c r="AR341" s="204" t="str">
        <f t="shared" ref="AR341:AR404" si="563">IF(AT341="-","-",AT341&amp;REPT(IF($R341="N","　",IF($R341="9","0"," ")),$Z341-LENB(AT341)))</f>
        <v xml:space="preserve">                                                                                                                                                                                                                                                               </v>
      </c>
      <c r="AS341" s="174" t="str">
        <f t="shared" si="543"/>
        <v>NG</v>
      </c>
      <c r="AT341" s="204"/>
      <c r="AU341" s="276" t="str">
        <f>IF(OR(AQ$8="判定対象外",AT$8="判定対象外",AT341="-"),"-",IF(AQ341=AT341,"OK","NG"))</f>
        <v>OK</v>
      </c>
      <c r="AV341" s="160"/>
      <c r="AW341" s="162"/>
      <c r="AX341" s="204" t="str">
        <f t="shared" ref="AX341:AX404" si="564">IF(AZ341="-","-",AZ341&amp;REPT(IF($R341="N","　",IF($R341="9","0"," ")),$Z341-LENB(AZ341)))</f>
        <v xml:space="preserve">                                                                                                                                                                                                                                                               </v>
      </c>
      <c r="AY341" s="174" t="str">
        <f t="shared" si="544"/>
        <v>NG</v>
      </c>
      <c r="AZ341" s="204"/>
      <c r="BA341" s="276" t="str">
        <f>IF(OR(AW$8="判定対象外",AZ$8="判定対象外",AZ341="-"),"-",IF(AW341=AZ341,"OK","NG"))</f>
        <v>OK</v>
      </c>
      <c r="BB341" s="160"/>
      <c r="BC341" s="162"/>
      <c r="BD341" s="204" t="str">
        <f t="shared" ref="BD341:BD404" si="565">IF(BF341="-","-",BF341&amp;REPT(IF($R341="N","　",IF($R341="9","0"," ")),$Z341-LENB(BF341)))</f>
        <v xml:space="preserve">                                                                                                                                                                                                                                                               </v>
      </c>
      <c r="BE341" s="174" t="str">
        <f t="shared" si="545"/>
        <v>NG</v>
      </c>
      <c r="BF341" s="204"/>
      <c r="BG341" s="276" t="str">
        <f>IF(OR(BC$8="判定対象外",BF$8="判定対象外",BF341="-"),"-",IF(BC341=BF341,"OK","NG"))</f>
        <v>OK</v>
      </c>
      <c r="BH341" s="160"/>
      <c r="BI341" s="162"/>
      <c r="BJ341" s="204" t="str">
        <f t="shared" ref="BJ341:BJ404" si="566">IF(BL341="-","-",BL341&amp;REPT(IF($R341="N","　",IF($R341="9","0"," ")),$Z341-LENB(BL341)))</f>
        <v xml:space="preserve">                                                                                                                                                                                                                                                               </v>
      </c>
      <c r="BK341" s="174" t="str">
        <f t="shared" si="546"/>
        <v>NG</v>
      </c>
      <c r="BL341" s="204"/>
      <c r="BM341" s="276" t="str">
        <f>IF(OR(BI$8="判定対象外",BL$8="判定対象外",BL341="-"),"-",IF(BI341=BL341,"OK","NG"))</f>
        <v>OK</v>
      </c>
      <c r="BN341" s="160"/>
      <c r="BO341" s="162"/>
      <c r="BP341" s="204" t="str">
        <f t="shared" ref="BP341:BP404" si="567">IF(BR341="-","-",BR341&amp;REPT(IF($R341="N","　",IF($R341="9","0"," ")),$Z341-LENB(BR341)))</f>
        <v xml:space="preserve">                                                                                                                                                                                                                                                               </v>
      </c>
      <c r="BQ341" s="174" t="str">
        <f t="shared" si="547"/>
        <v>NG</v>
      </c>
      <c r="BR341" s="204"/>
      <c r="BS341" s="276" t="str">
        <f>IF(OR(BO$8="判定対象外",BR$8="判定対象外",BR341="-"),"-",IF(BO341=BR341,"OK","NG"))</f>
        <v>OK</v>
      </c>
      <c r="BT341" s="160"/>
      <c r="BU341" s="162"/>
      <c r="BV341" s="204" t="str">
        <f t="shared" ref="BV341:BV404" si="568">IF(BX341="-","-",BX341&amp;REPT(IF($R341="N","　",IF($R341="9","0"," ")),$Z341-LENB(BX341)))</f>
        <v xml:space="preserve">                                                                                                                                                                                                                                                               </v>
      </c>
      <c r="BW341" s="174" t="str">
        <f t="shared" si="548"/>
        <v>NG</v>
      </c>
      <c r="BX341" s="204"/>
      <c r="BY341" s="276" t="str">
        <f>IF(OR(BU$8="判定対象外",BX$8="判定対象外",BX341="-"),"-",IF(BU341=BX341,"OK","NG"))</f>
        <v>OK</v>
      </c>
      <c r="BZ341" s="160"/>
      <c r="CA341" s="162"/>
      <c r="CB341" s="204" t="str">
        <f t="shared" ref="CB341:CB404" si="569">IF(CD341="-","-",CD341&amp;REPT(IF($R341="N","　",IF($R341="9","0"," ")),$Z341-LENB(CD341)))</f>
        <v xml:space="preserve">                                                                                                                                                                                                                                                               </v>
      </c>
      <c r="CC341" s="174" t="str">
        <f t="shared" si="549"/>
        <v>NG</v>
      </c>
      <c r="CD341" s="204"/>
      <c r="CE341" s="276" t="str">
        <f>IF(OR(CA$8="判定対象外",CD$8="判定対象外",CD341="-"),"-",IF(CA341=CD341,"OK","NG"))</f>
        <v>OK</v>
      </c>
      <c r="CF341" s="160"/>
      <c r="CG341" s="162"/>
      <c r="CH341" s="204" t="str">
        <f t="shared" ref="CH341:CH404" si="570">IF(CJ341="-","-",CJ341&amp;REPT(IF($R341="N","　",IF($R341="9","0"," ")),$Z341-LENB(CJ341)))</f>
        <v xml:space="preserve">                                                                                                                                                                                                                                                               </v>
      </c>
      <c r="CI341" s="174" t="str">
        <f t="shared" si="550"/>
        <v>NG</v>
      </c>
      <c r="CJ341" s="204"/>
      <c r="CK341" s="276" t="str">
        <f>IF(OR(CG$8="判定対象外",CJ$8="判定対象外",CJ341="-"),"-",IF(CG341=CJ341,"OK","NG"))</f>
        <v>OK</v>
      </c>
      <c r="CL341" s="160"/>
      <c r="CM341" s="162"/>
      <c r="CN341" s="204" t="str">
        <f t="shared" ref="CN341:CN404" si="571">IF(CP341="-","-",CP341&amp;REPT(IF($R341="N","　",IF($R341="9","0"," ")),$Z341-LENB(CP341)))</f>
        <v xml:space="preserve">                                                                                                                                                                                                                                                               </v>
      </c>
      <c r="CO341" s="174" t="str">
        <f t="shared" si="551"/>
        <v>NG</v>
      </c>
      <c r="CP341" s="204"/>
      <c r="CQ341" s="276" t="str">
        <f>IF(OR(CM$8="判定対象外",CP$8="判定対象外",CP341="-"),"-",IF(CM341=CP341,"OK","NG"))</f>
        <v>OK</v>
      </c>
      <c r="CR341" s="160"/>
      <c r="CS341" s="162"/>
      <c r="CT341" s="204" t="str">
        <f t="shared" ref="CT341:CT404" si="572">IF(CV341="-","-",CV341&amp;REPT(IF($R341="N","　",IF($R341="9","0"," ")),$Z341-LENB(CV341)))</f>
        <v xml:space="preserve">                                                                                                                                                                                                                                                               </v>
      </c>
      <c r="CU341" s="174" t="str">
        <f t="shared" si="552"/>
        <v>NG</v>
      </c>
      <c r="CV341" s="204"/>
      <c r="CW341" s="276" t="str">
        <f>IF(OR(CS$8="判定対象外",CV$8="判定対象外",CV341="-"),"-",IF(CS341=CV341,"OK","NG"))</f>
        <v>OK</v>
      </c>
      <c r="CX341" s="160"/>
      <c r="CY341" s="162"/>
      <c r="CZ341" s="204" t="str">
        <f t="shared" ref="CZ341:CZ404" si="573">IF(DB341="-","-",DB341&amp;REPT(IF($R341="N","　",IF($R341="9","0"," ")),$Z341-LENB(DB341)))</f>
        <v xml:space="preserve">                                                                                                                                                                                                                                                               </v>
      </c>
      <c r="DA341" s="174" t="str">
        <f t="shared" si="553"/>
        <v>NG</v>
      </c>
      <c r="DB341" s="204"/>
      <c r="DC341" s="276" t="str">
        <f>IF(OR(CY$8="判定対象外",DB$8="判定対象外",DB341="-"),"-",IF(CY341=DB341,"OK","NG"))</f>
        <v>OK</v>
      </c>
      <c r="DD341" s="160"/>
      <c r="DE341" s="162"/>
      <c r="DF341" s="204" t="str">
        <f t="shared" ref="DF341:DF404" si="574">IF(DH341="-","-",DH341&amp;REPT(IF($R341="N","　",IF($R341="9","0"," ")),$Z341-LENB(DH341)))</f>
        <v xml:space="preserve">                                                                                                                                                                                                                                                               </v>
      </c>
      <c r="DG341" s="174" t="str">
        <f t="shared" si="554"/>
        <v>NG</v>
      </c>
      <c r="DH341" s="204"/>
      <c r="DI341" s="276" t="str">
        <f>IF(OR(DE$8="判定対象外",DH$8="判定対象外",DH341="-"),"-",IF(DE341=DH341,"OK","NG"))</f>
        <v>OK</v>
      </c>
      <c r="DJ341" s="160"/>
      <c r="DK341" s="162"/>
      <c r="DL341" s="204" t="str">
        <f t="shared" ref="DL341:DL404" si="575">IF(DN341="-","-",DN341&amp;REPT(IF($R341="N","　",IF($R341="9","0"," ")),$Z341-LENB(DN341)))</f>
        <v xml:space="preserve">                                                                                                                                                                                                                                                               </v>
      </c>
      <c r="DM341" s="174" t="str">
        <f t="shared" si="555"/>
        <v>NG</v>
      </c>
      <c r="DN341" s="204"/>
      <c r="DO341" s="276" t="str">
        <f>IF(OR(DK$8="判定対象外",DN$8="判定対象外",DN341="-"),"-",IF(DK341=DN341,"OK","NG"))</f>
        <v>OK</v>
      </c>
      <c r="DP341" s="160"/>
      <c r="DQ341" s="162"/>
      <c r="DR341" s="204" t="str">
        <f t="shared" ref="DR341:DR404" si="576">IF(DT341="-","-",DT341&amp;REPT(IF($R341="N","　",IF($R341="9","0"," ")),$Z341-LENB(DT341)))</f>
        <v xml:space="preserve">                                                                                                                                                                                                                                                               </v>
      </c>
      <c r="DS341" s="174" t="str">
        <f t="shared" si="533"/>
        <v>NG</v>
      </c>
      <c r="DT341" s="204"/>
      <c r="DU341" s="276" t="str">
        <f>IF(OR(DQ$8="判定対象外",DT$8="判定対象外",DT341="-"),"-",IF(DQ341=DT341,"OK","NG"))</f>
        <v>OK</v>
      </c>
      <c r="DV341" s="160"/>
      <c r="DW341" s="162"/>
      <c r="DX341" s="204" t="str">
        <f t="shared" ref="DX341:DX404" si="577">IF(DZ341="-","-",DZ341&amp;REPT(IF($R341="N","　",IF($R341="9","0"," ")),$Z341-LENB(DZ341)))</f>
        <v xml:space="preserve">                                                                                                                                                                                                                                                               </v>
      </c>
      <c r="DY341" s="174" t="str">
        <f t="shared" si="534"/>
        <v>NG</v>
      </c>
      <c r="DZ341" s="204"/>
      <c r="EA341" s="276" t="str">
        <f>IF(OR(DW$8="判定対象外",DZ$8="判定対象外",DZ341="-"),"-",IF(DW341=DZ341,"OK","NG"))</f>
        <v>OK</v>
      </c>
      <c r="EB341" s="160"/>
      <c r="EC341" s="162"/>
      <c r="ED341" s="204" t="str">
        <f t="shared" ref="ED341:ED404" si="578">IF(EF341="-","-",EF341&amp;REPT(IF($R341="N","　",IF($R341="9","0"," ")),$Z341-LENB(EF341)))</f>
        <v xml:space="preserve">                                                                                                                                                                                                                                                               </v>
      </c>
      <c r="EE341" s="174" t="str">
        <f t="shared" si="535"/>
        <v>NG</v>
      </c>
      <c r="EF341" s="204"/>
      <c r="EG341" s="276" t="str">
        <f>IF(OR(EC$8="判定対象外",EF$8="判定対象外",EF341="-"),"-",IF(EC341=EF341,"OK","NG"))</f>
        <v>OK</v>
      </c>
      <c r="EH341" s="160"/>
      <c r="EI341" s="162"/>
      <c r="EJ341" s="204" t="str">
        <f t="shared" ref="EJ341:EJ404" si="579">IF(EL341="-","-",EL341&amp;REPT(IF($R341="N","　",IF($R341="9","0"," ")),$Z341-LENB(EL341)))</f>
        <v xml:space="preserve">                                                                                                                                                                                                                                                               </v>
      </c>
      <c r="EK341" s="174" t="str">
        <f t="shared" si="536"/>
        <v>NG</v>
      </c>
      <c r="EL341" s="204"/>
      <c r="EM341" s="276" t="str">
        <f>IF(OR(EI$8="判定対象外",EL$8="判定対象外",EL341="-"),"-",IF(EI341=EL341,"OK","NG"))</f>
        <v>OK</v>
      </c>
      <c r="EN341" s="160"/>
      <c r="EO341" s="162"/>
      <c r="EP341" s="204" t="str">
        <f t="shared" ref="EP341:EP404" si="580">IF(ER341="-","-",ER341&amp;REPT(IF($R341="N","　",IF($R341="9","0"," ")),$Z341-LENB(ER341)))</f>
        <v xml:space="preserve">                                                                                                                                                                                                                                                               </v>
      </c>
      <c r="EQ341" s="174" t="str">
        <f t="shared" si="537"/>
        <v>NG</v>
      </c>
      <c r="ER341" s="204"/>
      <c r="ES341" s="276" t="str">
        <f>IF(OR(EO$8="判定対象外",ER$8="判定対象外",ER341="-"),"-",IF(EO341=ER341,"OK","NG"))</f>
        <v>OK</v>
      </c>
      <c r="ET341" s="160"/>
      <c r="EU341" s="162"/>
      <c r="EV341" s="204" t="str">
        <f t="shared" ref="EV341:EV404" si="581">IF(EX341="-","-",EX341&amp;REPT(IF($R341="N","　",IF($R341="9","0"," ")),$Z341-LENB(EX341)))</f>
        <v xml:space="preserve">                                                                                                                                                                                                                                                               </v>
      </c>
      <c r="EW341" s="174" t="str">
        <f t="shared" si="538"/>
        <v>NG</v>
      </c>
      <c r="EX341" s="204"/>
      <c r="EY341" s="276" t="str">
        <f>IF(OR(EU$8="判定対象外",EX$8="判定対象外",EX341="-"),"-",IF(EU341=EX341,"OK","NG"))</f>
        <v>OK</v>
      </c>
      <c r="EZ341" s="160"/>
      <c r="FA341" s="162"/>
      <c r="FB341" s="204" t="str">
        <f t="shared" ref="FB341:FB404" si="582">IF(FD341="-","-",FD341&amp;REPT(IF($R341="N","　",IF($R341="9","0"," ")),$Z341-LENB(FD341)))</f>
        <v xml:space="preserve">                                                                                                                                                                                                                                                               </v>
      </c>
      <c r="FC341" s="174" t="str">
        <f t="shared" si="539"/>
        <v>NG</v>
      </c>
      <c r="FD341" s="204"/>
      <c r="FE341" s="276" t="str">
        <f>IF(OR(FA$8="判定対象外",FD$8="判定対象外",FD341="-"),"-",IF(FA341=FD341,"OK","NG"))</f>
        <v>OK</v>
      </c>
      <c r="FF341" s="160"/>
      <c r="FG341" s="162"/>
      <c r="FH341" s="204" t="str">
        <f t="shared" ref="FH341:FH404" si="583">IF(FJ341="-","-",FJ341&amp;REPT(IF($R341="N","　",IF($R341="9","0"," ")),$Z341-LENB(FJ341)))</f>
        <v xml:space="preserve">                                                                                                                                                                                                                                                               </v>
      </c>
      <c r="FI341" s="174" t="str">
        <f t="shared" si="540"/>
        <v>NG</v>
      </c>
      <c r="FJ341" s="204"/>
      <c r="FK341" s="276" t="str">
        <f>IF(OR(FG$8="判定対象外",FJ$8="判定対象外",FJ341="-"),"-",IF(FG341=FJ341,"OK","NG"))</f>
        <v>OK</v>
      </c>
      <c r="FL341" s="160"/>
      <c r="FM341" s="162"/>
      <c r="FN341" s="204" t="str">
        <f t="shared" ref="FN341:FN404" si="584">IF(FP341="-","-",FP341&amp;REPT(IF($R341="N","　",IF($R341="9","0"," ")),$Z341-LENB(FP341)))</f>
        <v xml:space="preserve">                                                                                                                                                                                                                                                               </v>
      </c>
      <c r="FO341" s="174" t="str">
        <f t="shared" si="556"/>
        <v>NG</v>
      </c>
      <c r="FP341" s="204"/>
      <c r="FQ341" s="276" t="str">
        <f>IF(OR(FM$8="判定対象外",FP$8="判定対象外",FP341="-"),"-",IF(FM341=FP341,"OK","NG"))</f>
        <v>OK</v>
      </c>
      <c r="FR341" s="160"/>
      <c r="FS341" s="162"/>
      <c r="FT341" s="204" t="str">
        <f t="shared" ref="FT341:FT404" si="585">IF(FV341="-","-",FV341&amp;REPT(IF($R341="N","　",IF($R341="9","0"," ")),$Z341-LENB(FV341)))</f>
        <v xml:space="preserve">                                                                                                                                                                                                                                                               </v>
      </c>
      <c r="FU341" s="174" t="str">
        <f t="shared" si="557"/>
        <v>NG</v>
      </c>
      <c r="FV341" s="204"/>
      <c r="FW341" s="276" t="str">
        <f>IF(OR(FS$8="判定対象外",FV$8="判定対象外",FV341="-"),"-",IF(FS341=FV341,"OK","NG"))</f>
        <v>OK</v>
      </c>
      <c r="FX341" s="160"/>
      <c r="FY341" s="162"/>
      <c r="FZ341" s="204" t="str">
        <f t="shared" ref="FZ341:FZ404" si="586">IF(GB341="-","-",GB341&amp;REPT(IF($R341="N","　",IF($R341="9","0"," ")),$Z341-LENB(GB341)))</f>
        <v xml:space="preserve">                                                                                                                                                                                                                                                               </v>
      </c>
      <c r="GA341" s="174" t="str">
        <f t="shared" si="558"/>
        <v>NG</v>
      </c>
      <c r="GB341" s="204"/>
      <c r="GC341" s="276" t="str">
        <f>IF(OR(FY$8="判定対象外",GB$8="判定対象外",GB341="-"),"-",IF(FY341=GB341,"OK","NG"))</f>
        <v>OK</v>
      </c>
    </row>
    <row r="342" spans="2:185" s="52" customFormat="1">
      <c r="B342" s="53">
        <f t="shared" si="527"/>
        <v>335</v>
      </c>
      <c r="C342" s="37"/>
      <c r="D342" s="37"/>
      <c r="E342" s="37"/>
      <c r="F342" s="54" t="s">
        <v>325</v>
      </c>
      <c r="G342" s="54"/>
      <c r="H342" s="55"/>
      <c r="I342" s="57"/>
      <c r="J342" s="57"/>
      <c r="K342" s="57"/>
      <c r="L342" s="57"/>
      <c r="M342" s="58" t="s">
        <v>326</v>
      </c>
      <c r="N342" s="62"/>
      <c r="O342" s="150"/>
      <c r="P342" s="45">
        <f t="shared" si="561"/>
        <v>308</v>
      </c>
      <c r="Q342" s="60">
        <v>256</v>
      </c>
      <c r="R342" s="41" t="str">
        <f t="shared" si="560"/>
        <v>NX</v>
      </c>
      <c r="S342" s="185" t="s">
        <v>196</v>
      </c>
      <c r="T342" s="43"/>
      <c r="U342" s="41" t="s">
        <v>80</v>
      </c>
      <c r="V342" s="44"/>
      <c r="W342" s="61">
        <v>3</v>
      </c>
      <c r="X342" s="62" t="s">
        <v>197</v>
      </c>
      <c r="Y342" s="62">
        <v>1</v>
      </c>
      <c r="Z342" s="62">
        <v>256</v>
      </c>
      <c r="AA342" s="57" t="s">
        <v>101</v>
      </c>
      <c r="AB342" s="57" t="s">
        <v>80</v>
      </c>
      <c r="AC342" s="214"/>
      <c r="AD342" s="160"/>
      <c r="AE342" s="141"/>
      <c r="AF342" s="203" t="str">
        <f t="shared" si="562"/>
        <v xml:space="preserve">                                                                                                                                                                                                                                                                </v>
      </c>
      <c r="AG342" s="174" t="str">
        <f t="shared" si="542"/>
        <v>NG</v>
      </c>
      <c r="AH342" s="203"/>
      <c r="AI342" s="172" t="s">
        <v>71</v>
      </c>
      <c r="AJ342" s="160"/>
      <c r="AK342" s="141"/>
      <c r="AL342" s="203" t="str">
        <f t="shared" si="559"/>
        <v xml:space="preserve">                                                                                                                                                                                                                                                                </v>
      </c>
      <c r="AM342" s="174" t="str">
        <f t="shared" si="528"/>
        <v>NG</v>
      </c>
      <c r="AN342" s="203"/>
      <c r="AO342" s="172" t="s">
        <v>71</v>
      </c>
      <c r="AP342" s="160"/>
      <c r="AQ342" s="141"/>
      <c r="AR342" s="203" t="str">
        <f t="shared" si="563"/>
        <v xml:space="preserve">                                                                                                                                                                                                                                                                </v>
      </c>
      <c r="AS342" s="174" t="str">
        <f t="shared" si="543"/>
        <v>NG</v>
      </c>
      <c r="AT342" s="203"/>
      <c r="AU342" s="172" t="s">
        <v>71</v>
      </c>
      <c r="AV342" s="160"/>
      <c r="AW342" s="141"/>
      <c r="AX342" s="203" t="str">
        <f t="shared" si="564"/>
        <v xml:space="preserve">                                                                                                                                                                                                                                                                </v>
      </c>
      <c r="AY342" s="174" t="str">
        <f t="shared" si="544"/>
        <v>NG</v>
      </c>
      <c r="AZ342" s="203"/>
      <c r="BA342" s="172" t="s">
        <v>71</v>
      </c>
      <c r="BB342" s="160"/>
      <c r="BC342" s="141"/>
      <c r="BD342" s="203" t="str">
        <f t="shared" si="565"/>
        <v xml:space="preserve">                                                                                                                                                                                                                                                                </v>
      </c>
      <c r="BE342" s="174" t="str">
        <f t="shared" si="545"/>
        <v>NG</v>
      </c>
      <c r="BF342" s="203"/>
      <c r="BG342" s="172" t="s">
        <v>71</v>
      </c>
      <c r="BH342" s="160"/>
      <c r="BI342" s="141"/>
      <c r="BJ342" s="203" t="str">
        <f t="shared" si="566"/>
        <v xml:space="preserve">                                                                                                                                                                                                                                                                </v>
      </c>
      <c r="BK342" s="174" t="str">
        <f t="shared" si="546"/>
        <v>NG</v>
      </c>
      <c r="BL342" s="203"/>
      <c r="BM342" s="172" t="s">
        <v>71</v>
      </c>
      <c r="BN342" s="160"/>
      <c r="BO342" s="141"/>
      <c r="BP342" s="203" t="str">
        <f t="shared" si="567"/>
        <v xml:space="preserve">                                                                                                                                                                                                                                                                </v>
      </c>
      <c r="BQ342" s="174" t="str">
        <f t="shared" si="547"/>
        <v>NG</v>
      </c>
      <c r="BR342" s="203"/>
      <c r="BS342" s="172" t="s">
        <v>71</v>
      </c>
      <c r="BT342" s="160"/>
      <c r="BU342" s="141"/>
      <c r="BV342" s="203" t="str">
        <f t="shared" si="568"/>
        <v xml:space="preserve">                                                                                                                                                                                                                                                                </v>
      </c>
      <c r="BW342" s="174" t="str">
        <f t="shared" si="548"/>
        <v>NG</v>
      </c>
      <c r="BX342" s="203"/>
      <c r="BY342" s="172" t="s">
        <v>71</v>
      </c>
      <c r="BZ342" s="160"/>
      <c r="CA342" s="141"/>
      <c r="CB342" s="203" t="str">
        <f t="shared" si="569"/>
        <v xml:space="preserve">                                                                                                                                                                                                                                                                </v>
      </c>
      <c r="CC342" s="174" t="str">
        <f t="shared" si="549"/>
        <v>NG</v>
      </c>
      <c r="CD342" s="203"/>
      <c r="CE342" s="172" t="s">
        <v>71</v>
      </c>
      <c r="CF342" s="160"/>
      <c r="CG342" s="141"/>
      <c r="CH342" s="203" t="str">
        <f t="shared" si="570"/>
        <v xml:space="preserve">                                                                                                                                                                                                                                                                </v>
      </c>
      <c r="CI342" s="174" t="str">
        <f t="shared" si="550"/>
        <v>NG</v>
      </c>
      <c r="CJ342" s="203"/>
      <c r="CK342" s="172" t="s">
        <v>71</v>
      </c>
      <c r="CL342" s="160"/>
      <c r="CM342" s="141"/>
      <c r="CN342" s="203" t="str">
        <f t="shared" si="571"/>
        <v xml:space="preserve">                                                                                                                                                                                                                                                                </v>
      </c>
      <c r="CO342" s="174" t="str">
        <f t="shared" si="551"/>
        <v>NG</v>
      </c>
      <c r="CP342" s="203"/>
      <c r="CQ342" s="172" t="s">
        <v>71</v>
      </c>
      <c r="CR342" s="160"/>
      <c r="CS342" s="141"/>
      <c r="CT342" s="203" t="str">
        <f t="shared" si="572"/>
        <v xml:space="preserve">                                                                                                                                                                                                                                                                </v>
      </c>
      <c r="CU342" s="174" t="str">
        <f t="shared" si="552"/>
        <v>NG</v>
      </c>
      <c r="CV342" s="203"/>
      <c r="CW342" s="172" t="s">
        <v>71</v>
      </c>
      <c r="CX342" s="160"/>
      <c r="CY342" s="141"/>
      <c r="CZ342" s="203" t="str">
        <f t="shared" si="573"/>
        <v xml:space="preserve">                                                                                                                                                                                                                                                                </v>
      </c>
      <c r="DA342" s="174" t="str">
        <f t="shared" si="553"/>
        <v>NG</v>
      </c>
      <c r="DB342" s="203"/>
      <c r="DC342" s="172" t="s">
        <v>71</v>
      </c>
      <c r="DD342" s="160"/>
      <c r="DE342" s="141"/>
      <c r="DF342" s="203" t="str">
        <f t="shared" si="574"/>
        <v xml:space="preserve">                                                                                                                                                                                                                                                                </v>
      </c>
      <c r="DG342" s="174" t="str">
        <f t="shared" si="554"/>
        <v>NG</v>
      </c>
      <c r="DH342" s="203"/>
      <c r="DI342" s="172" t="s">
        <v>71</v>
      </c>
      <c r="DJ342" s="160"/>
      <c r="DK342" s="141"/>
      <c r="DL342" s="203" t="str">
        <f t="shared" si="575"/>
        <v xml:space="preserve">                                                                                                                                                                                                                                                                </v>
      </c>
      <c r="DM342" s="174" t="str">
        <f t="shared" si="555"/>
        <v>NG</v>
      </c>
      <c r="DN342" s="203"/>
      <c r="DO342" s="172" t="s">
        <v>71</v>
      </c>
      <c r="DP342" s="160"/>
      <c r="DQ342" s="141"/>
      <c r="DR342" s="203" t="str">
        <f t="shared" si="576"/>
        <v xml:space="preserve">                                                                                                                                                                                                                                                                </v>
      </c>
      <c r="DS342" s="174" t="str">
        <f t="shared" si="533"/>
        <v>NG</v>
      </c>
      <c r="DT342" s="203"/>
      <c r="DU342" s="172" t="s">
        <v>71</v>
      </c>
      <c r="DV342" s="160"/>
      <c r="DW342" s="141"/>
      <c r="DX342" s="203" t="str">
        <f t="shared" si="577"/>
        <v xml:space="preserve">                                                                                                                                                                                                                                                                </v>
      </c>
      <c r="DY342" s="174" t="str">
        <f t="shared" si="534"/>
        <v>NG</v>
      </c>
      <c r="DZ342" s="203"/>
      <c r="EA342" s="172" t="s">
        <v>71</v>
      </c>
      <c r="EB342" s="160"/>
      <c r="EC342" s="141"/>
      <c r="ED342" s="203" t="str">
        <f t="shared" si="578"/>
        <v xml:space="preserve">                                                                                                                                                                                                                                                                </v>
      </c>
      <c r="EE342" s="174" t="str">
        <f t="shared" si="535"/>
        <v>NG</v>
      </c>
      <c r="EF342" s="203"/>
      <c r="EG342" s="172" t="s">
        <v>71</v>
      </c>
      <c r="EH342" s="160"/>
      <c r="EI342" s="141"/>
      <c r="EJ342" s="203" t="str">
        <f t="shared" si="579"/>
        <v xml:space="preserve">                                                                                                                                                                                                                                                                </v>
      </c>
      <c r="EK342" s="174" t="str">
        <f t="shared" si="536"/>
        <v>NG</v>
      </c>
      <c r="EL342" s="203"/>
      <c r="EM342" s="172" t="s">
        <v>71</v>
      </c>
      <c r="EN342" s="160"/>
      <c r="EO342" s="141"/>
      <c r="EP342" s="203" t="str">
        <f t="shared" si="580"/>
        <v xml:space="preserve">                                                                                                                                                                                                                                                                </v>
      </c>
      <c r="EQ342" s="174" t="str">
        <f t="shared" si="537"/>
        <v>NG</v>
      </c>
      <c r="ER342" s="203"/>
      <c r="ES342" s="172" t="s">
        <v>71</v>
      </c>
      <c r="ET342" s="160"/>
      <c r="EU342" s="141"/>
      <c r="EV342" s="203" t="str">
        <f t="shared" si="581"/>
        <v xml:space="preserve">                                                                                                                                                                                                                                                                </v>
      </c>
      <c r="EW342" s="174" t="str">
        <f t="shared" si="538"/>
        <v>NG</v>
      </c>
      <c r="EX342" s="203"/>
      <c r="EY342" s="172" t="s">
        <v>71</v>
      </c>
      <c r="EZ342" s="160"/>
      <c r="FA342" s="141"/>
      <c r="FB342" s="203" t="str">
        <f t="shared" si="582"/>
        <v xml:space="preserve">                                                                                                                                                                                                                                                                </v>
      </c>
      <c r="FC342" s="174" t="str">
        <f t="shared" si="539"/>
        <v>NG</v>
      </c>
      <c r="FD342" s="203"/>
      <c r="FE342" s="172" t="s">
        <v>71</v>
      </c>
      <c r="FF342" s="160"/>
      <c r="FG342" s="141"/>
      <c r="FH342" s="203" t="str">
        <f t="shared" si="583"/>
        <v xml:space="preserve">                                                                                                                                                                                                                                                                </v>
      </c>
      <c r="FI342" s="174" t="str">
        <f t="shared" si="540"/>
        <v>NG</v>
      </c>
      <c r="FJ342" s="203"/>
      <c r="FK342" s="172" t="s">
        <v>71</v>
      </c>
      <c r="FL342" s="160"/>
      <c r="FM342" s="141"/>
      <c r="FN342" s="203" t="str">
        <f t="shared" si="584"/>
        <v xml:space="preserve">                                                                                                                                                                                                                                                                </v>
      </c>
      <c r="FO342" s="174" t="str">
        <f t="shared" si="556"/>
        <v>NG</v>
      </c>
      <c r="FP342" s="203"/>
      <c r="FQ342" s="172" t="s">
        <v>71</v>
      </c>
      <c r="FR342" s="160"/>
      <c r="FS342" s="141"/>
      <c r="FT342" s="203" t="str">
        <f t="shared" si="585"/>
        <v xml:space="preserve">                                                                                                                                                                                                                                                                </v>
      </c>
      <c r="FU342" s="174" t="str">
        <f t="shared" si="557"/>
        <v>NG</v>
      </c>
      <c r="FV342" s="203"/>
      <c r="FW342" s="172" t="s">
        <v>71</v>
      </c>
      <c r="FX342" s="160"/>
      <c r="FY342" s="141"/>
      <c r="FZ342" s="203" t="str">
        <f t="shared" si="586"/>
        <v xml:space="preserve">                                                                                                                                                                                                                                                                </v>
      </c>
      <c r="GA342" s="174" t="str">
        <f t="shared" si="558"/>
        <v>NG</v>
      </c>
      <c r="GB342" s="203"/>
      <c r="GC342" s="172" t="s">
        <v>71</v>
      </c>
    </row>
    <row r="343" spans="2:185" s="52" customFormat="1" ht="63.75">
      <c r="B343" s="48">
        <f t="shared" ref="B343:B406" si="587">ROW()-7</f>
        <v>336</v>
      </c>
      <c r="C343" s="37"/>
      <c r="D343" s="37"/>
      <c r="E343" s="37"/>
      <c r="F343" s="49" t="s">
        <v>198</v>
      </c>
      <c r="G343" s="39"/>
      <c r="H343" s="40"/>
      <c r="I343" s="42"/>
      <c r="J343" s="42"/>
      <c r="K343" s="42"/>
      <c r="L343" s="42"/>
      <c r="M343" s="63" t="s">
        <v>327</v>
      </c>
      <c r="N343" s="47"/>
      <c r="O343" s="143"/>
      <c r="P343" s="45">
        <f t="shared" si="561"/>
        <v>309</v>
      </c>
      <c r="Q343" s="46">
        <v>256</v>
      </c>
      <c r="R343" s="41" t="str">
        <f t="shared" si="560"/>
        <v>NX</v>
      </c>
      <c r="S343" s="185" t="s">
        <v>199</v>
      </c>
      <c r="T343" s="43"/>
      <c r="U343" s="41" t="s">
        <v>80</v>
      </c>
      <c r="V343" s="44"/>
      <c r="W343" s="22">
        <v>3</v>
      </c>
      <c r="X343" s="47" t="s">
        <v>200</v>
      </c>
      <c r="Y343" s="47">
        <v>1</v>
      </c>
      <c r="Z343" s="47">
        <v>256</v>
      </c>
      <c r="AA343" s="42" t="s">
        <v>195</v>
      </c>
      <c r="AB343" s="42" t="s">
        <v>80</v>
      </c>
      <c r="AC343" s="166"/>
      <c r="AD343" s="160"/>
      <c r="AE343" s="162"/>
      <c r="AF343" s="167" t="str">
        <f t="shared" si="562"/>
        <v xml:space="preserve">                                                                                                                                                                                                                                                                </v>
      </c>
      <c r="AG343" s="174" t="str">
        <f t="shared" si="542"/>
        <v>NG</v>
      </c>
      <c r="AH343" s="204"/>
      <c r="AI343" s="172" t="s">
        <v>71</v>
      </c>
      <c r="AJ343" s="160"/>
      <c r="AK343" s="162"/>
      <c r="AL343" s="167" t="str">
        <f t="shared" si="559"/>
        <v xml:space="preserve">                                                                                                                                                                                                                                                                </v>
      </c>
      <c r="AM343" s="174" t="str">
        <f t="shared" ref="AM343:AM406" si="588">IF(OR(AK$8="判定対象外",AL$8="判定対象外",AL343="-"),"-",IF(AK343=AL343,"OK","NG"))</f>
        <v>NG</v>
      </c>
      <c r="AN343" s="204"/>
      <c r="AO343" s="172" t="s">
        <v>71</v>
      </c>
      <c r="AP343" s="160"/>
      <c r="AQ343" s="162"/>
      <c r="AR343" s="167" t="str">
        <f t="shared" si="563"/>
        <v xml:space="preserve">                                                                                                                                                                                                                                                                </v>
      </c>
      <c r="AS343" s="174" t="str">
        <f t="shared" si="543"/>
        <v>NG</v>
      </c>
      <c r="AT343" s="204"/>
      <c r="AU343" s="172" t="s">
        <v>71</v>
      </c>
      <c r="AV343" s="160"/>
      <c r="AW343" s="162"/>
      <c r="AX343" s="167" t="str">
        <f t="shared" si="564"/>
        <v xml:space="preserve">                                                                                                                                                                                                                                                                </v>
      </c>
      <c r="AY343" s="174" t="str">
        <f t="shared" si="544"/>
        <v>NG</v>
      </c>
      <c r="AZ343" s="204"/>
      <c r="BA343" s="172" t="s">
        <v>71</v>
      </c>
      <c r="BB343" s="160"/>
      <c r="BC343" s="162"/>
      <c r="BD343" s="167" t="str">
        <f t="shared" si="565"/>
        <v xml:space="preserve">                                                                                                                                                                                                                                                                </v>
      </c>
      <c r="BE343" s="174" t="str">
        <f t="shared" si="545"/>
        <v>NG</v>
      </c>
      <c r="BF343" s="204"/>
      <c r="BG343" s="172" t="s">
        <v>71</v>
      </c>
      <c r="BH343" s="160"/>
      <c r="BI343" s="162"/>
      <c r="BJ343" s="167" t="str">
        <f t="shared" si="566"/>
        <v xml:space="preserve">                                                                                                                                                                                                                                                                </v>
      </c>
      <c r="BK343" s="174" t="str">
        <f t="shared" si="546"/>
        <v>NG</v>
      </c>
      <c r="BL343" s="204"/>
      <c r="BM343" s="172" t="s">
        <v>71</v>
      </c>
      <c r="BN343" s="160"/>
      <c r="BO343" s="162"/>
      <c r="BP343" s="167" t="str">
        <f t="shared" si="567"/>
        <v xml:space="preserve">                                                                                                                                                                                                                                                                </v>
      </c>
      <c r="BQ343" s="174" t="str">
        <f t="shared" si="547"/>
        <v>NG</v>
      </c>
      <c r="BR343" s="204"/>
      <c r="BS343" s="172" t="s">
        <v>71</v>
      </c>
      <c r="BT343" s="160"/>
      <c r="BU343" s="162"/>
      <c r="BV343" s="167" t="str">
        <f t="shared" si="568"/>
        <v xml:space="preserve">                                                                                                                                                                                                                                                                </v>
      </c>
      <c r="BW343" s="174" t="str">
        <f t="shared" si="548"/>
        <v>NG</v>
      </c>
      <c r="BX343" s="204"/>
      <c r="BY343" s="172" t="s">
        <v>71</v>
      </c>
      <c r="BZ343" s="160"/>
      <c r="CA343" s="162"/>
      <c r="CB343" s="167" t="str">
        <f t="shared" si="569"/>
        <v xml:space="preserve">                                                                                                                                                                                                                                                                </v>
      </c>
      <c r="CC343" s="174" t="str">
        <f t="shared" si="549"/>
        <v>NG</v>
      </c>
      <c r="CD343" s="204"/>
      <c r="CE343" s="172" t="s">
        <v>71</v>
      </c>
      <c r="CF343" s="160"/>
      <c r="CG343" s="162"/>
      <c r="CH343" s="167" t="str">
        <f t="shared" si="570"/>
        <v xml:space="preserve">                                                                                                                                                                                                                                                                </v>
      </c>
      <c r="CI343" s="174" t="str">
        <f t="shared" si="550"/>
        <v>NG</v>
      </c>
      <c r="CJ343" s="204"/>
      <c r="CK343" s="172" t="s">
        <v>71</v>
      </c>
      <c r="CL343" s="160"/>
      <c r="CM343" s="162"/>
      <c r="CN343" s="167" t="str">
        <f t="shared" si="571"/>
        <v xml:space="preserve">                                                                                                                                                                                                                                                                </v>
      </c>
      <c r="CO343" s="174" t="str">
        <f t="shared" si="551"/>
        <v>NG</v>
      </c>
      <c r="CP343" s="204"/>
      <c r="CQ343" s="172" t="s">
        <v>71</v>
      </c>
      <c r="CR343" s="160"/>
      <c r="CS343" s="162"/>
      <c r="CT343" s="167" t="str">
        <f t="shared" si="572"/>
        <v xml:space="preserve">                                                                                                                                                                                                                                                                </v>
      </c>
      <c r="CU343" s="174" t="str">
        <f t="shared" si="552"/>
        <v>NG</v>
      </c>
      <c r="CV343" s="204"/>
      <c r="CW343" s="172" t="s">
        <v>71</v>
      </c>
      <c r="CX343" s="160"/>
      <c r="CY343" s="162"/>
      <c r="CZ343" s="167" t="str">
        <f t="shared" si="573"/>
        <v xml:space="preserve">                                                                                                                                                                                                                                                                </v>
      </c>
      <c r="DA343" s="174" t="str">
        <f t="shared" si="553"/>
        <v>NG</v>
      </c>
      <c r="DB343" s="204"/>
      <c r="DC343" s="172" t="s">
        <v>71</v>
      </c>
      <c r="DD343" s="160"/>
      <c r="DE343" s="162"/>
      <c r="DF343" s="167" t="str">
        <f t="shared" si="574"/>
        <v xml:space="preserve">                                                                                                                                                                                                                                                                </v>
      </c>
      <c r="DG343" s="174" t="str">
        <f t="shared" si="554"/>
        <v>NG</v>
      </c>
      <c r="DH343" s="204"/>
      <c r="DI343" s="172" t="s">
        <v>71</v>
      </c>
      <c r="DJ343" s="160"/>
      <c r="DK343" s="162"/>
      <c r="DL343" s="167" t="str">
        <f t="shared" si="575"/>
        <v xml:space="preserve">                                                                                                                                                                                                                                                                </v>
      </c>
      <c r="DM343" s="174" t="str">
        <f t="shared" si="555"/>
        <v>NG</v>
      </c>
      <c r="DN343" s="204"/>
      <c r="DO343" s="172" t="s">
        <v>71</v>
      </c>
      <c r="DP343" s="160"/>
      <c r="DQ343" s="162"/>
      <c r="DR343" s="167" t="str">
        <f t="shared" si="576"/>
        <v xml:space="preserve">                                                                                                                                                                                                                                                                </v>
      </c>
      <c r="DS343" s="174" t="str">
        <f t="shared" si="533"/>
        <v>NG</v>
      </c>
      <c r="DT343" s="204"/>
      <c r="DU343" s="172" t="s">
        <v>71</v>
      </c>
      <c r="DV343" s="160"/>
      <c r="DW343" s="162"/>
      <c r="DX343" s="167" t="str">
        <f t="shared" si="577"/>
        <v xml:space="preserve">                                                                                                                                                                                                                                                                </v>
      </c>
      <c r="DY343" s="174" t="str">
        <f t="shared" si="534"/>
        <v>NG</v>
      </c>
      <c r="DZ343" s="204"/>
      <c r="EA343" s="172" t="s">
        <v>71</v>
      </c>
      <c r="EB343" s="160"/>
      <c r="EC343" s="162"/>
      <c r="ED343" s="167" t="str">
        <f t="shared" si="578"/>
        <v xml:space="preserve">                                                                                                                                                                                                                                                                </v>
      </c>
      <c r="EE343" s="174" t="str">
        <f t="shared" si="535"/>
        <v>NG</v>
      </c>
      <c r="EF343" s="204"/>
      <c r="EG343" s="172" t="s">
        <v>71</v>
      </c>
      <c r="EH343" s="160"/>
      <c r="EI343" s="162"/>
      <c r="EJ343" s="167" t="str">
        <f t="shared" si="579"/>
        <v xml:space="preserve">                                                                                                                                                                                                                                                                </v>
      </c>
      <c r="EK343" s="174" t="str">
        <f t="shared" si="536"/>
        <v>NG</v>
      </c>
      <c r="EL343" s="204"/>
      <c r="EM343" s="172" t="s">
        <v>71</v>
      </c>
      <c r="EN343" s="160"/>
      <c r="EO343" s="162"/>
      <c r="EP343" s="167" t="str">
        <f t="shared" si="580"/>
        <v xml:space="preserve">                                                                                                                                                                                                                                                                </v>
      </c>
      <c r="EQ343" s="174" t="str">
        <f t="shared" si="537"/>
        <v>NG</v>
      </c>
      <c r="ER343" s="204"/>
      <c r="ES343" s="172" t="s">
        <v>71</v>
      </c>
      <c r="ET343" s="160"/>
      <c r="EU343" s="162"/>
      <c r="EV343" s="167" t="str">
        <f t="shared" si="581"/>
        <v xml:space="preserve">                                                                                                                                                                                                                                                                </v>
      </c>
      <c r="EW343" s="174" t="str">
        <f t="shared" si="538"/>
        <v>NG</v>
      </c>
      <c r="EX343" s="204"/>
      <c r="EY343" s="172" t="s">
        <v>71</v>
      </c>
      <c r="EZ343" s="160"/>
      <c r="FA343" s="162"/>
      <c r="FB343" s="167" t="str">
        <f t="shared" si="582"/>
        <v xml:space="preserve">                                                                                                                                                                                                                                                                </v>
      </c>
      <c r="FC343" s="174" t="str">
        <f t="shared" si="539"/>
        <v>NG</v>
      </c>
      <c r="FD343" s="204"/>
      <c r="FE343" s="172" t="s">
        <v>71</v>
      </c>
      <c r="FF343" s="160"/>
      <c r="FG343" s="162"/>
      <c r="FH343" s="167" t="str">
        <f t="shared" si="583"/>
        <v xml:space="preserve">                                                                                                                                                                                                                                                                </v>
      </c>
      <c r="FI343" s="174" t="str">
        <f t="shared" si="540"/>
        <v>NG</v>
      </c>
      <c r="FJ343" s="204"/>
      <c r="FK343" s="172" t="s">
        <v>71</v>
      </c>
      <c r="FL343" s="160"/>
      <c r="FM343" s="162"/>
      <c r="FN343" s="167" t="str">
        <f t="shared" si="584"/>
        <v xml:space="preserve">                                                                                                                                                                                                                                                                </v>
      </c>
      <c r="FO343" s="174" t="str">
        <f t="shared" si="556"/>
        <v>NG</v>
      </c>
      <c r="FP343" s="204"/>
      <c r="FQ343" s="172" t="s">
        <v>71</v>
      </c>
      <c r="FR343" s="160"/>
      <c r="FS343" s="162"/>
      <c r="FT343" s="167" t="str">
        <f t="shared" si="585"/>
        <v xml:space="preserve">                                                                                                                                                                                                                                                                </v>
      </c>
      <c r="FU343" s="174" t="str">
        <f t="shared" si="557"/>
        <v>NG</v>
      </c>
      <c r="FV343" s="204"/>
      <c r="FW343" s="172" t="s">
        <v>71</v>
      </c>
      <c r="FX343" s="160"/>
      <c r="FY343" s="162"/>
      <c r="FZ343" s="167" t="str">
        <f t="shared" si="586"/>
        <v xml:space="preserve">                                                                                                                                                                                                                                                                </v>
      </c>
      <c r="GA343" s="174" t="str">
        <f t="shared" si="558"/>
        <v>NG</v>
      </c>
      <c r="GB343" s="204"/>
      <c r="GC343" s="172" t="s">
        <v>71</v>
      </c>
    </row>
    <row r="344" spans="2:185" s="52" customFormat="1" ht="63.75">
      <c r="B344" s="48">
        <f t="shared" si="587"/>
        <v>337</v>
      </c>
      <c r="C344" s="37"/>
      <c r="D344" s="37"/>
      <c r="E344" s="37"/>
      <c r="F344" s="49" t="s">
        <v>201</v>
      </c>
      <c r="G344" s="39"/>
      <c r="H344" s="40"/>
      <c r="I344" s="42"/>
      <c r="J344" s="42"/>
      <c r="K344" s="42"/>
      <c r="L344" s="42"/>
      <c r="M344" s="63" t="s">
        <v>328</v>
      </c>
      <c r="N344" s="47"/>
      <c r="O344" s="143"/>
      <c r="P344" s="45">
        <f t="shared" si="561"/>
        <v>310</v>
      </c>
      <c r="Q344" s="46">
        <v>256</v>
      </c>
      <c r="R344" s="41" t="str">
        <f t="shared" si="560"/>
        <v>NX</v>
      </c>
      <c r="S344" s="185" t="s">
        <v>202</v>
      </c>
      <c r="T344" s="43"/>
      <c r="U344" s="41" t="s">
        <v>80</v>
      </c>
      <c r="V344" s="44"/>
      <c r="W344" s="22">
        <v>3</v>
      </c>
      <c r="X344" s="47" t="s">
        <v>203</v>
      </c>
      <c r="Y344" s="47">
        <v>1</v>
      </c>
      <c r="Z344" s="47">
        <v>256</v>
      </c>
      <c r="AA344" s="42" t="s">
        <v>195</v>
      </c>
      <c r="AB344" s="42" t="s">
        <v>80</v>
      </c>
      <c r="AC344" s="166"/>
      <c r="AD344" s="160"/>
      <c r="AE344" s="162"/>
      <c r="AF344" s="167" t="str">
        <f t="shared" si="562"/>
        <v xml:space="preserve">                                                                                                                                                                                                                                                                </v>
      </c>
      <c r="AG344" s="174" t="str">
        <f t="shared" si="542"/>
        <v>NG</v>
      </c>
      <c r="AH344" s="204"/>
      <c r="AI344" s="172" t="s">
        <v>71</v>
      </c>
      <c r="AJ344" s="160"/>
      <c r="AK344" s="162"/>
      <c r="AL344" s="167" t="str">
        <f t="shared" si="559"/>
        <v xml:space="preserve">                                                                                                                                                                                                                                                                </v>
      </c>
      <c r="AM344" s="174" t="str">
        <f t="shared" si="588"/>
        <v>NG</v>
      </c>
      <c r="AN344" s="204"/>
      <c r="AO344" s="172" t="s">
        <v>71</v>
      </c>
      <c r="AP344" s="160"/>
      <c r="AQ344" s="162"/>
      <c r="AR344" s="167" t="str">
        <f t="shared" si="563"/>
        <v xml:space="preserve">                                                                                                                                                                                                                                                                </v>
      </c>
      <c r="AS344" s="174" t="str">
        <f t="shared" si="543"/>
        <v>NG</v>
      </c>
      <c r="AT344" s="204"/>
      <c r="AU344" s="172" t="s">
        <v>71</v>
      </c>
      <c r="AV344" s="160"/>
      <c r="AW344" s="162"/>
      <c r="AX344" s="167" t="str">
        <f t="shared" si="564"/>
        <v xml:space="preserve">                                                                                                                                                                                                                                                                </v>
      </c>
      <c r="AY344" s="174" t="str">
        <f t="shared" si="544"/>
        <v>NG</v>
      </c>
      <c r="AZ344" s="204"/>
      <c r="BA344" s="172" t="s">
        <v>71</v>
      </c>
      <c r="BB344" s="160"/>
      <c r="BC344" s="162"/>
      <c r="BD344" s="167" t="str">
        <f t="shared" si="565"/>
        <v xml:space="preserve">                                                                                                                                                                                                                                                                </v>
      </c>
      <c r="BE344" s="174" t="str">
        <f t="shared" si="545"/>
        <v>NG</v>
      </c>
      <c r="BF344" s="204"/>
      <c r="BG344" s="172" t="s">
        <v>71</v>
      </c>
      <c r="BH344" s="160"/>
      <c r="BI344" s="162"/>
      <c r="BJ344" s="167" t="str">
        <f t="shared" si="566"/>
        <v xml:space="preserve">                                                                                                                                                                                                                                                                </v>
      </c>
      <c r="BK344" s="174" t="str">
        <f t="shared" si="546"/>
        <v>NG</v>
      </c>
      <c r="BL344" s="204"/>
      <c r="BM344" s="172" t="s">
        <v>71</v>
      </c>
      <c r="BN344" s="160"/>
      <c r="BO344" s="162"/>
      <c r="BP344" s="167" t="str">
        <f t="shared" si="567"/>
        <v xml:space="preserve">                                                                                                                                                                                                                                                                </v>
      </c>
      <c r="BQ344" s="174" t="str">
        <f t="shared" si="547"/>
        <v>NG</v>
      </c>
      <c r="BR344" s="204"/>
      <c r="BS344" s="172" t="s">
        <v>71</v>
      </c>
      <c r="BT344" s="160"/>
      <c r="BU344" s="162"/>
      <c r="BV344" s="167" t="str">
        <f t="shared" si="568"/>
        <v xml:space="preserve">                                                                                                                                                                                                                                                                </v>
      </c>
      <c r="BW344" s="174" t="str">
        <f t="shared" si="548"/>
        <v>NG</v>
      </c>
      <c r="BX344" s="204"/>
      <c r="BY344" s="172" t="s">
        <v>71</v>
      </c>
      <c r="BZ344" s="160"/>
      <c r="CA344" s="162"/>
      <c r="CB344" s="167" t="str">
        <f t="shared" si="569"/>
        <v xml:space="preserve">                                                                                                                                                                                                                                                                </v>
      </c>
      <c r="CC344" s="174" t="str">
        <f t="shared" si="549"/>
        <v>NG</v>
      </c>
      <c r="CD344" s="204"/>
      <c r="CE344" s="172" t="s">
        <v>71</v>
      </c>
      <c r="CF344" s="160"/>
      <c r="CG344" s="162"/>
      <c r="CH344" s="167" t="str">
        <f t="shared" si="570"/>
        <v xml:space="preserve">                                                                                                                                                                                                                                                                </v>
      </c>
      <c r="CI344" s="174" t="str">
        <f t="shared" si="550"/>
        <v>NG</v>
      </c>
      <c r="CJ344" s="204"/>
      <c r="CK344" s="172" t="s">
        <v>71</v>
      </c>
      <c r="CL344" s="160"/>
      <c r="CM344" s="162"/>
      <c r="CN344" s="167" t="str">
        <f t="shared" si="571"/>
        <v xml:space="preserve">                                                                                                                                                                                                                                                                </v>
      </c>
      <c r="CO344" s="174" t="str">
        <f t="shared" si="551"/>
        <v>NG</v>
      </c>
      <c r="CP344" s="204"/>
      <c r="CQ344" s="172" t="s">
        <v>71</v>
      </c>
      <c r="CR344" s="160"/>
      <c r="CS344" s="162"/>
      <c r="CT344" s="167" t="str">
        <f t="shared" si="572"/>
        <v xml:space="preserve">                                                                                                                                                                                                                                                                </v>
      </c>
      <c r="CU344" s="174" t="str">
        <f t="shared" si="552"/>
        <v>NG</v>
      </c>
      <c r="CV344" s="204"/>
      <c r="CW344" s="172" t="s">
        <v>71</v>
      </c>
      <c r="CX344" s="160"/>
      <c r="CY344" s="162"/>
      <c r="CZ344" s="167" t="str">
        <f t="shared" si="573"/>
        <v xml:space="preserve">                                                                                                                                                                                                                                                                </v>
      </c>
      <c r="DA344" s="174" t="str">
        <f t="shared" si="553"/>
        <v>NG</v>
      </c>
      <c r="DB344" s="204"/>
      <c r="DC344" s="172" t="s">
        <v>71</v>
      </c>
      <c r="DD344" s="160"/>
      <c r="DE344" s="162"/>
      <c r="DF344" s="167" t="str">
        <f t="shared" si="574"/>
        <v xml:space="preserve">                                                                                                                                                                                                                                                                </v>
      </c>
      <c r="DG344" s="174" t="str">
        <f t="shared" si="554"/>
        <v>NG</v>
      </c>
      <c r="DH344" s="204"/>
      <c r="DI344" s="172" t="s">
        <v>71</v>
      </c>
      <c r="DJ344" s="160"/>
      <c r="DK344" s="162"/>
      <c r="DL344" s="167" t="str">
        <f t="shared" si="575"/>
        <v xml:space="preserve">                                                                                                                                                                                                                                                                </v>
      </c>
      <c r="DM344" s="174" t="str">
        <f t="shared" si="555"/>
        <v>NG</v>
      </c>
      <c r="DN344" s="204"/>
      <c r="DO344" s="172" t="s">
        <v>71</v>
      </c>
      <c r="DP344" s="160"/>
      <c r="DQ344" s="162"/>
      <c r="DR344" s="167" t="str">
        <f t="shared" si="576"/>
        <v xml:space="preserve">                                                                                                                                                                                                                                                                </v>
      </c>
      <c r="DS344" s="174" t="str">
        <f t="shared" si="533"/>
        <v>NG</v>
      </c>
      <c r="DT344" s="204"/>
      <c r="DU344" s="172" t="s">
        <v>71</v>
      </c>
      <c r="DV344" s="160"/>
      <c r="DW344" s="162"/>
      <c r="DX344" s="167" t="str">
        <f t="shared" si="577"/>
        <v xml:space="preserve">                                                                                                                                                                                                                                                                </v>
      </c>
      <c r="DY344" s="174" t="str">
        <f t="shared" si="534"/>
        <v>NG</v>
      </c>
      <c r="DZ344" s="204"/>
      <c r="EA344" s="172" t="s">
        <v>71</v>
      </c>
      <c r="EB344" s="160"/>
      <c r="EC344" s="162"/>
      <c r="ED344" s="167" t="str">
        <f t="shared" si="578"/>
        <v xml:space="preserve">                                                                                                                                                                                                                                                                </v>
      </c>
      <c r="EE344" s="174" t="str">
        <f t="shared" si="535"/>
        <v>NG</v>
      </c>
      <c r="EF344" s="204"/>
      <c r="EG344" s="172" t="s">
        <v>71</v>
      </c>
      <c r="EH344" s="160"/>
      <c r="EI344" s="162"/>
      <c r="EJ344" s="167" t="str">
        <f t="shared" si="579"/>
        <v xml:space="preserve">                                                                                                                                                                                                                                                                </v>
      </c>
      <c r="EK344" s="174" t="str">
        <f t="shared" si="536"/>
        <v>NG</v>
      </c>
      <c r="EL344" s="204"/>
      <c r="EM344" s="172" t="s">
        <v>71</v>
      </c>
      <c r="EN344" s="160"/>
      <c r="EO344" s="162"/>
      <c r="EP344" s="167" t="str">
        <f t="shared" si="580"/>
        <v xml:space="preserve">                                                                                                                                                                                                                                                                </v>
      </c>
      <c r="EQ344" s="174" t="str">
        <f t="shared" si="537"/>
        <v>NG</v>
      </c>
      <c r="ER344" s="204"/>
      <c r="ES344" s="172" t="s">
        <v>71</v>
      </c>
      <c r="ET344" s="160"/>
      <c r="EU344" s="162"/>
      <c r="EV344" s="167" t="str">
        <f t="shared" si="581"/>
        <v xml:space="preserve">                                                                                                                                                                                                                                                                </v>
      </c>
      <c r="EW344" s="174" t="str">
        <f t="shared" si="538"/>
        <v>NG</v>
      </c>
      <c r="EX344" s="204"/>
      <c r="EY344" s="172" t="s">
        <v>71</v>
      </c>
      <c r="EZ344" s="160"/>
      <c r="FA344" s="162"/>
      <c r="FB344" s="167" t="str">
        <f t="shared" si="582"/>
        <v xml:space="preserve">                                                                                                                                                                                                                                                                </v>
      </c>
      <c r="FC344" s="174" t="str">
        <f t="shared" si="539"/>
        <v>NG</v>
      </c>
      <c r="FD344" s="204"/>
      <c r="FE344" s="172" t="s">
        <v>71</v>
      </c>
      <c r="FF344" s="160"/>
      <c r="FG344" s="162"/>
      <c r="FH344" s="167" t="str">
        <f t="shared" si="583"/>
        <v xml:space="preserve">                                                                                                                                                                                                                                                                </v>
      </c>
      <c r="FI344" s="174" t="str">
        <f t="shared" si="540"/>
        <v>NG</v>
      </c>
      <c r="FJ344" s="204"/>
      <c r="FK344" s="172" t="s">
        <v>71</v>
      </c>
      <c r="FL344" s="160"/>
      <c r="FM344" s="162"/>
      <c r="FN344" s="167" t="str">
        <f t="shared" si="584"/>
        <v xml:space="preserve">                                                                                                                                                                                                                                                                </v>
      </c>
      <c r="FO344" s="174" t="str">
        <f t="shared" si="556"/>
        <v>NG</v>
      </c>
      <c r="FP344" s="204"/>
      <c r="FQ344" s="172" t="s">
        <v>71</v>
      </c>
      <c r="FR344" s="160"/>
      <c r="FS344" s="162"/>
      <c r="FT344" s="167" t="str">
        <f t="shared" si="585"/>
        <v xml:space="preserve">                                                                                                                                                                                                                                                                </v>
      </c>
      <c r="FU344" s="174" t="str">
        <f t="shared" si="557"/>
        <v>NG</v>
      </c>
      <c r="FV344" s="204"/>
      <c r="FW344" s="172" t="s">
        <v>71</v>
      </c>
      <c r="FX344" s="160"/>
      <c r="FY344" s="162"/>
      <c r="FZ344" s="167" t="str">
        <f t="shared" si="586"/>
        <v xml:space="preserve">                                                                                                                                                                                                                                                                </v>
      </c>
      <c r="GA344" s="174" t="str">
        <f t="shared" si="558"/>
        <v>NG</v>
      </c>
      <c r="GB344" s="204"/>
      <c r="GC344" s="172" t="s">
        <v>71</v>
      </c>
    </row>
    <row r="345" spans="2:185" s="52" customFormat="1" ht="69" customHeight="1">
      <c r="B345" s="53">
        <f t="shared" si="587"/>
        <v>338</v>
      </c>
      <c r="C345" s="37"/>
      <c r="D345" s="37"/>
      <c r="E345" s="37"/>
      <c r="F345" s="188" t="s">
        <v>329</v>
      </c>
      <c r="G345" s="39"/>
      <c r="H345" s="40"/>
      <c r="I345" s="42"/>
      <c r="J345" s="42" t="s">
        <v>316</v>
      </c>
      <c r="K345" s="42"/>
      <c r="L345" s="42"/>
      <c r="M345" s="63" t="s">
        <v>330</v>
      </c>
      <c r="N345" s="47"/>
      <c r="O345" s="143"/>
      <c r="P345" s="45">
        <f t="shared" si="561"/>
        <v>311</v>
      </c>
      <c r="Q345" s="46">
        <v>1</v>
      </c>
      <c r="R345" s="41" t="s">
        <v>81</v>
      </c>
      <c r="S345" s="185" t="s">
        <v>204</v>
      </c>
      <c r="T345" s="43"/>
      <c r="U345" s="41" t="s">
        <v>80</v>
      </c>
      <c r="V345" s="44"/>
      <c r="W345" s="22">
        <v>3</v>
      </c>
      <c r="X345" s="47" t="s">
        <v>205</v>
      </c>
      <c r="Y345" s="47">
        <v>1</v>
      </c>
      <c r="Z345" s="47">
        <v>1</v>
      </c>
      <c r="AA345" s="42">
        <v>9</v>
      </c>
      <c r="AB345" s="42" t="s">
        <v>57</v>
      </c>
      <c r="AC345" s="166"/>
      <c r="AD345" s="160"/>
      <c r="AE345" s="162"/>
      <c r="AF345" s="203" t="str">
        <f t="shared" si="562"/>
        <v xml:space="preserve"> </v>
      </c>
      <c r="AG345" s="174" t="str">
        <f t="shared" si="542"/>
        <v>NG</v>
      </c>
      <c r="AH345" s="162"/>
      <c r="AI345" s="276" t="str">
        <f>IF(OR(AE$8="判定対象外",AH$8="判定対象外",AH345="-"),"-",IF(AE345=AH345,"OK","NG"))</f>
        <v>OK</v>
      </c>
      <c r="AJ345" s="160"/>
      <c r="AK345" s="162"/>
      <c r="AL345" s="203" t="str">
        <f t="shared" si="559"/>
        <v xml:space="preserve"> </v>
      </c>
      <c r="AM345" s="174" t="str">
        <f t="shared" si="588"/>
        <v>NG</v>
      </c>
      <c r="AN345" s="162"/>
      <c r="AO345" s="276" t="str">
        <f>IF(OR(AK$8="判定対象外",AN$8="判定対象外",AN345="-"),"-",IF(AK345=AN345,"OK","NG"))</f>
        <v>OK</v>
      </c>
      <c r="AP345" s="160"/>
      <c r="AQ345" s="162"/>
      <c r="AR345" s="203" t="str">
        <f t="shared" si="563"/>
        <v xml:space="preserve"> </v>
      </c>
      <c r="AS345" s="174" t="str">
        <f t="shared" si="543"/>
        <v>NG</v>
      </c>
      <c r="AT345" s="162"/>
      <c r="AU345" s="276" t="str">
        <f>IF(OR(AQ$8="判定対象外",AT$8="判定対象外",AT345="-"),"-",IF(AQ345=AT345,"OK","NG"))</f>
        <v>OK</v>
      </c>
      <c r="AV345" s="160"/>
      <c r="AW345" s="162"/>
      <c r="AX345" s="203" t="str">
        <f t="shared" si="564"/>
        <v xml:space="preserve"> </v>
      </c>
      <c r="AY345" s="174" t="str">
        <f t="shared" si="544"/>
        <v>NG</v>
      </c>
      <c r="AZ345" s="162"/>
      <c r="BA345" s="276" t="str">
        <f>IF(OR(AW$8="判定対象外",AZ$8="判定対象外",AZ345="-"),"-",IF(AW345=AZ345,"OK","NG"))</f>
        <v>OK</v>
      </c>
      <c r="BB345" s="160"/>
      <c r="BC345" s="162"/>
      <c r="BD345" s="203" t="str">
        <f t="shared" si="565"/>
        <v xml:space="preserve"> </v>
      </c>
      <c r="BE345" s="174" t="str">
        <f t="shared" si="545"/>
        <v>NG</v>
      </c>
      <c r="BF345" s="162"/>
      <c r="BG345" s="276" t="str">
        <f>IF(OR(BC$8="判定対象外",BF$8="判定対象外",BF345="-"),"-",IF(BC345=BF345,"OK","NG"))</f>
        <v>OK</v>
      </c>
      <c r="BH345" s="160"/>
      <c r="BI345" s="162"/>
      <c r="BJ345" s="203" t="str">
        <f t="shared" si="566"/>
        <v xml:space="preserve"> </v>
      </c>
      <c r="BK345" s="174" t="str">
        <f t="shared" si="546"/>
        <v>NG</v>
      </c>
      <c r="BL345" s="162"/>
      <c r="BM345" s="276" t="str">
        <f>IF(OR(BI$8="判定対象外",BL$8="判定対象外",BL345="-"),"-",IF(BI345=BL345,"OK","NG"))</f>
        <v>OK</v>
      </c>
      <c r="BN345" s="160"/>
      <c r="BO345" s="162"/>
      <c r="BP345" s="203" t="str">
        <f t="shared" si="567"/>
        <v xml:space="preserve"> </v>
      </c>
      <c r="BQ345" s="174" t="str">
        <f t="shared" si="547"/>
        <v>NG</v>
      </c>
      <c r="BR345" s="162"/>
      <c r="BS345" s="276" t="str">
        <f>IF(OR(BO$8="判定対象外",BR$8="判定対象外",BR345="-"),"-",IF(BO345=BR345,"OK","NG"))</f>
        <v>OK</v>
      </c>
      <c r="BT345" s="160"/>
      <c r="BU345" s="162"/>
      <c r="BV345" s="203" t="str">
        <f t="shared" si="568"/>
        <v xml:space="preserve"> </v>
      </c>
      <c r="BW345" s="174" t="str">
        <f t="shared" si="548"/>
        <v>NG</v>
      </c>
      <c r="BX345" s="162"/>
      <c r="BY345" s="276" t="str">
        <f>IF(OR(BU$8="判定対象外",BX$8="判定対象外",BX345="-"),"-",IF(BU345=BX345,"OK","NG"))</f>
        <v>OK</v>
      </c>
      <c r="BZ345" s="160"/>
      <c r="CA345" s="162"/>
      <c r="CB345" s="203" t="str">
        <f t="shared" si="569"/>
        <v xml:space="preserve"> </v>
      </c>
      <c r="CC345" s="174" t="str">
        <f t="shared" si="549"/>
        <v>NG</v>
      </c>
      <c r="CD345" s="162"/>
      <c r="CE345" s="276" t="str">
        <f>IF(OR(CA$8="判定対象外",CD$8="判定対象外",CD345="-"),"-",IF(CA345=CD345,"OK","NG"))</f>
        <v>OK</v>
      </c>
      <c r="CF345" s="160"/>
      <c r="CG345" s="162"/>
      <c r="CH345" s="203" t="str">
        <f t="shared" si="570"/>
        <v xml:space="preserve"> </v>
      </c>
      <c r="CI345" s="174" t="str">
        <f t="shared" si="550"/>
        <v>NG</v>
      </c>
      <c r="CJ345" s="162"/>
      <c r="CK345" s="276" t="str">
        <f>IF(OR(CG$8="判定対象外",CJ$8="判定対象外",CJ345="-"),"-",IF(CG345=CJ345,"OK","NG"))</f>
        <v>OK</v>
      </c>
      <c r="CL345" s="160"/>
      <c r="CM345" s="162"/>
      <c r="CN345" s="203" t="str">
        <f t="shared" si="571"/>
        <v xml:space="preserve"> </v>
      </c>
      <c r="CO345" s="174" t="str">
        <f t="shared" si="551"/>
        <v>NG</v>
      </c>
      <c r="CP345" s="162"/>
      <c r="CQ345" s="276" t="str">
        <f>IF(OR(CM$8="判定対象外",CP$8="判定対象外",CP345="-"),"-",IF(CM345=CP345,"OK","NG"))</f>
        <v>OK</v>
      </c>
      <c r="CR345" s="160"/>
      <c r="CS345" s="162"/>
      <c r="CT345" s="203" t="str">
        <f t="shared" si="572"/>
        <v xml:space="preserve"> </v>
      </c>
      <c r="CU345" s="174" t="str">
        <f t="shared" si="552"/>
        <v>NG</v>
      </c>
      <c r="CV345" s="162"/>
      <c r="CW345" s="276" t="str">
        <f>IF(OR(CS$8="判定対象外",CV$8="判定対象外",CV345="-"),"-",IF(CS345=CV345,"OK","NG"))</f>
        <v>OK</v>
      </c>
      <c r="CX345" s="160"/>
      <c r="CY345" s="162"/>
      <c r="CZ345" s="203" t="str">
        <f t="shared" si="573"/>
        <v xml:space="preserve"> </v>
      </c>
      <c r="DA345" s="174" t="str">
        <f t="shared" si="553"/>
        <v>NG</v>
      </c>
      <c r="DB345" s="162"/>
      <c r="DC345" s="276" t="str">
        <f>IF(OR(CY$8="判定対象外",DB$8="判定対象外",DB345="-"),"-",IF(CY345=DB345,"OK","NG"))</f>
        <v>OK</v>
      </c>
      <c r="DD345" s="160"/>
      <c r="DE345" s="162"/>
      <c r="DF345" s="203" t="str">
        <f t="shared" si="574"/>
        <v xml:space="preserve"> </v>
      </c>
      <c r="DG345" s="174" t="str">
        <f t="shared" si="554"/>
        <v>NG</v>
      </c>
      <c r="DH345" s="162"/>
      <c r="DI345" s="276" t="str">
        <f>IF(OR(DE$8="判定対象外",DH$8="判定対象外",DH345="-"),"-",IF(DE345=DH345,"OK","NG"))</f>
        <v>OK</v>
      </c>
      <c r="DJ345" s="160"/>
      <c r="DK345" s="162"/>
      <c r="DL345" s="203" t="str">
        <f t="shared" si="575"/>
        <v xml:space="preserve"> </v>
      </c>
      <c r="DM345" s="174" t="str">
        <f t="shared" si="555"/>
        <v>NG</v>
      </c>
      <c r="DN345" s="162"/>
      <c r="DO345" s="276" t="str">
        <f>IF(OR(DK$8="判定対象外",DN$8="判定対象外",DN345="-"),"-",IF(DK345=DN345,"OK","NG"))</f>
        <v>OK</v>
      </c>
      <c r="DP345" s="160"/>
      <c r="DQ345" s="162"/>
      <c r="DR345" s="203" t="str">
        <f t="shared" si="576"/>
        <v xml:space="preserve"> </v>
      </c>
      <c r="DS345" s="174" t="str">
        <f t="shared" si="533"/>
        <v>NG</v>
      </c>
      <c r="DT345" s="162"/>
      <c r="DU345" s="276" t="str">
        <f>IF(OR(DQ$8="判定対象外",DT$8="判定対象外",DT345="-"),"-",IF(DQ345=DT345,"OK","NG"))</f>
        <v>OK</v>
      </c>
      <c r="DV345" s="160"/>
      <c r="DW345" s="162"/>
      <c r="DX345" s="203" t="str">
        <f t="shared" si="577"/>
        <v xml:space="preserve"> </v>
      </c>
      <c r="DY345" s="174" t="str">
        <f t="shared" si="534"/>
        <v>NG</v>
      </c>
      <c r="DZ345" s="162"/>
      <c r="EA345" s="276" t="str">
        <f>IF(OR(DW$8="判定対象外",DZ$8="判定対象外",DZ345="-"),"-",IF(DW345=DZ345,"OK","NG"))</f>
        <v>OK</v>
      </c>
      <c r="EB345" s="160"/>
      <c r="EC345" s="162"/>
      <c r="ED345" s="203" t="str">
        <f t="shared" si="578"/>
        <v xml:space="preserve"> </v>
      </c>
      <c r="EE345" s="174" t="str">
        <f t="shared" si="535"/>
        <v>NG</v>
      </c>
      <c r="EF345" s="162"/>
      <c r="EG345" s="276" t="str">
        <f>IF(OR(EC$8="判定対象外",EF$8="判定対象外",EF345="-"),"-",IF(EC345=EF345,"OK","NG"))</f>
        <v>OK</v>
      </c>
      <c r="EH345" s="160"/>
      <c r="EI345" s="162"/>
      <c r="EJ345" s="203" t="str">
        <f t="shared" si="579"/>
        <v xml:space="preserve"> </v>
      </c>
      <c r="EK345" s="174" t="str">
        <f t="shared" si="536"/>
        <v>NG</v>
      </c>
      <c r="EL345" s="162"/>
      <c r="EM345" s="276" t="str">
        <f>IF(OR(EI$8="判定対象外",EL$8="判定対象外",EL345="-"),"-",IF(EI345=EL345,"OK","NG"))</f>
        <v>OK</v>
      </c>
      <c r="EN345" s="160"/>
      <c r="EO345" s="162"/>
      <c r="EP345" s="203" t="str">
        <f t="shared" si="580"/>
        <v xml:space="preserve"> </v>
      </c>
      <c r="EQ345" s="174" t="str">
        <f t="shared" si="537"/>
        <v>NG</v>
      </c>
      <c r="ER345" s="162"/>
      <c r="ES345" s="276" t="str">
        <f>IF(OR(EO$8="判定対象外",ER$8="判定対象外",ER345="-"),"-",IF(EO345=ER345,"OK","NG"))</f>
        <v>OK</v>
      </c>
      <c r="ET345" s="160"/>
      <c r="EU345" s="162"/>
      <c r="EV345" s="203" t="str">
        <f t="shared" si="581"/>
        <v xml:space="preserve"> </v>
      </c>
      <c r="EW345" s="174" t="str">
        <f t="shared" si="538"/>
        <v>NG</v>
      </c>
      <c r="EX345" s="162"/>
      <c r="EY345" s="276" t="str">
        <f>IF(OR(EU$8="判定対象外",EX$8="判定対象外",EX345="-"),"-",IF(EU345=EX345,"OK","NG"))</f>
        <v>OK</v>
      </c>
      <c r="EZ345" s="160"/>
      <c r="FA345" s="162"/>
      <c r="FB345" s="203" t="str">
        <f t="shared" si="582"/>
        <v xml:space="preserve"> </v>
      </c>
      <c r="FC345" s="174" t="str">
        <f t="shared" si="539"/>
        <v>NG</v>
      </c>
      <c r="FD345" s="162"/>
      <c r="FE345" s="276" t="str">
        <f>IF(OR(FA$8="判定対象外",FD$8="判定対象外",FD345="-"),"-",IF(FA345=FD345,"OK","NG"))</f>
        <v>OK</v>
      </c>
      <c r="FF345" s="160"/>
      <c r="FG345" s="162"/>
      <c r="FH345" s="203" t="str">
        <f t="shared" si="583"/>
        <v xml:space="preserve"> </v>
      </c>
      <c r="FI345" s="174" t="str">
        <f t="shared" si="540"/>
        <v>NG</v>
      </c>
      <c r="FJ345" s="162"/>
      <c r="FK345" s="276" t="str">
        <f>IF(OR(FG$8="判定対象外",FJ$8="判定対象外",FJ345="-"),"-",IF(FG345=FJ345,"OK","NG"))</f>
        <v>OK</v>
      </c>
      <c r="FL345" s="160"/>
      <c r="FM345" s="162"/>
      <c r="FN345" s="203" t="str">
        <f t="shared" si="584"/>
        <v xml:space="preserve"> </v>
      </c>
      <c r="FO345" s="174" t="str">
        <f t="shared" si="556"/>
        <v>NG</v>
      </c>
      <c r="FP345" s="162"/>
      <c r="FQ345" s="276" t="str">
        <f>IF(OR(FM$8="判定対象外",FP$8="判定対象外",FP345="-"),"-",IF(FM345=FP345,"OK","NG"))</f>
        <v>OK</v>
      </c>
      <c r="FR345" s="160"/>
      <c r="FS345" s="162"/>
      <c r="FT345" s="203" t="str">
        <f t="shared" si="585"/>
        <v xml:space="preserve"> </v>
      </c>
      <c r="FU345" s="174" t="str">
        <f t="shared" si="557"/>
        <v>NG</v>
      </c>
      <c r="FV345" s="162"/>
      <c r="FW345" s="276" t="str">
        <f>IF(OR(FS$8="判定対象外",FV$8="判定対象外",FV345="-"),"-",IF(FS345=FV345,"OK","NG"))</f>
        <v>OK</v>
      </c>
      <c r="FX345" s="160"/>
      <c r="FY345" s="162"/>
      <c r="FZ345" s="203" t="str">
        <f t="shared" si="586"/>
        <v xml:space="preserve"> </v>
      </c>
      <c r="GA345" s="174" t="str">
        <f t="shared" si="558"/>
        <v>NG</v>
      </c>
      <c r="GB345" s="162"/>
      <c r="GC345" s="276" t="str">
        <f>IF(OR(FY$8="判定対象外",GB$8="判定対象外",GB345="-"),"-",IF(FY345=GB345,"OK","NG"))</f>
        <v>OK</v>
      </c>
    </row>
    <row r="346" spans="2:185" s="52" customFormat="1" ht="114.75">
      <c r="B346" s="48">
        <f t="shared" si="587"/>
        <v>339</v>
      </c>
      <c r="C346" s="37"/>
      <c r="D346" s="37"/>
      <c r="E346" s="37"/>
      <c r="F346" s="49" t="s">
        <v>206</v>
      </c>
      <c r="G346" s="39"/>
      <c r="H346" s="40"/>
      <c r="I346" s="42"/>
      <c r="J346" s="42"/>
      <c r="K346" s="42"/>
      <c r="L346" s="42"/>
      <c r="M346" s="163" t="s">
        <v>331</v>
      </c>
      <c r="N346" s="47"/>
      <c r="O346" s="143"/>
      <c r="P346" s="45">
        <f t="shared" si="561"/>
        <v>312</v>
      </c>
      <c r="Q346" s="46">
        <v>1</v>
      </c>
      <c r="R346" s="41" t="s">
        <v>81</v>
      </c>
      <c r="S346" s="185" t="s">
        <v>207</v>
      </c>
      <c r="T346" s="43"/>
      <c r="U346" s="41" t="s">
        <v>80</v>
      </c>
      <c r="V346" s="44"/>
      <c r="W346" s="22">
        <v>3</v>
      </c>
      <c r="X346" s="47" t="s">
        <v>98</v>
      </c>
      <c r="Y346" s="47">
        <v>1</v>
      </c>
      <c r="Z346" s="47">
        <v>1</v>
      </c>
      <c r="AA346" s="42">
        <v>9</v>
      </c>
      <c r="AB346" s="42" t="s">
        <v>57</v>
      </c>
      <c r="AC346" s="215"/>
      <c r="AD346" s="160"/>
      <c r="AE346" s="162"/>
      <c r="AF346" s="203" t="str">
        <f t="shared" si="562"/>
        <v xml:space="preserve"> </v>
      </c>
      <c r="AG346" s="174" t="str">
        <f t="shared" si="542"/>
        <v>NG</v>
      </c>
      <c r="AH346" s="204"/>
      <c r="AI346" s="172" t="s">
        <v>71</v>
      </c>
      <c r="AJ346" s="160"/>
      <c r="AK346" s="162"/>
      <c r="AL346" s="203" t="str">
        <f t="shared" si="559"/>
        <v xml:space="preserve"> </v>
      </c>
      <c r="AM346" s="174" t="str">
        <f t="shared" si="588"/>
        <v>NG</v>
      </c>
      <c r="AN346" s="204"/>
      <c r="AO346" s="172" t="s">
        <v>71</v>
      </c>
      <c r="AP346" s="160"/>
      <c r="AQ346" s="162"/>
      <c r="AR346" s="203" t="str">
        <f t="shared" si="563"/>
        <v xml:space="preserve"> </v>
      </c>
      <c r="AS346" s="174" t="str">
        <f t="shared" si="543"/>
        <v>NG</v>
      </c>
      <c r="AT346" s="204"/>
      <c r="AU346" s="172" t="s">
        <v>71</v>
      </c>
      <c r="AV346" s="160"/>
      <c r="AW346" s="162"/>
      <c r="AX346" s="203" t="str">
        <f t="shared" si="564"/>
        <v xml:space="preserve"> </v>
      </c>
      <c r="AY346" s="174" t="str">
        <f t="shared" si="544"/>
        <v>NG</v>
      </c>
      <c r="AZ346" s="204"/>
      <c r="BA346" s="172" t="s">
        <v>71</v>
      </c>
      <c r="BB346" s="160"/>
      <c r="BC346" s="162"/>
      <c r="BD346" s="203" t="str">
        <f t="shared" si="565"/>
        <v xml:space="preserve"> </v>
      </c>
      <c r="BE346" s="174" t="str">
        <f t="shared" si="545"/>
        <v>NG</v>
      </c>
      <c r="BF346" s="204"/>
      <c r="BG346" s="172" t="s">
        <v>71</v>
      </c>
      <c r="BH346" s="160"/>
      <c r="BI346" s="162"/>
      <c r="BJ346" s="203" t="str">
        <f t="shared" si="566"/>
        <v xml:space="preserve"> </v>
      </c>
      <c r="BK346" s="174" t="str">
        <f t="shared" si="546"/>
        <v>NG</v>
      </c>
      <c r="BL346" s="204"/>
      <c r="BM346" s="172" t="s">
        <v>71</v>
      </c>
      <c r="BN346" s="160"/>
      <c r="BO346" s="162"/>
      <c r="BP346" s="203" t="str">
        <f t="shared" si="567"/>
        <v xml:space="preserve"> </v>
      </c>
      <c r="BQ346" s="174" t="str">
        <f t="shared" si="547"/>
        <v>NG</v>
      </c>
      <c r="BR346" s="204"/>
      <c r="BS346" s="172" t="s">
        <v>71</v>
      </c>
      <c r="BT346" s="160"/>
      <c r="BU346" s="162"/>
      <c r="BV346" s="203" t="str">
        <f t="shared" si="568"/>
        <v xml:space="preserve"> </v>
      </c>
      <c r="BW346" s="174" t="str">
        <f t="shared" si="548"/>
        <v>NG</v>
      </c>
      <c r="BX346" s="204"/>
      <c r="BY346" s="172" t="s">
        <v>71</v>
      </c>
      <c r="BZ346" s="160"/>
      <c r="CA346" s="162"/>
      <c r="CB346" s="203" t="str">
        <f t="shared" si="569"/>
        <v xml:space="preserve"> </v>
      </c>
      <c r="CC346" s="174" t="str">
        <f t="shared" si="549"/>
        <v>NG</v>
      </c>
      <c r="CD346" s="204"/>
      <c r="CE346" s="172" t="s">
        <v>71</v>
      </c>
      <c r="CF346" s="160"/>
      <c r="CG346" s="162"/>
      <c r="CH346" s="203" t="str">
        <f t="shared" si="570"/>
        <v xml:space="preserve"> </v>
      </c>
      <c r="CI346" s="174" t="str">
        <f t="shared" si="550"/>
        <v>NG</v>
      </c>
      <c r="CJ346" s="204"/>
      <c r="CK346" s="172" t="s">
        <v>71</v>
      </c>
      <c r="CL346" s="160"/>
      <c r="CM346" s="162"/>
      <c r="CN346" s="203" t="str">
        <f t="shared" si="571"/>
        <v xml:space="preserve"> </v>
      </c>
      <c r="CO346" s="174" t="str">
        <f t="shared" si="551"/>
        <v>NG</v>
      </c>
      <c r="CP346" s="204"/>
      <c r="CQ346" s="172" t="s">
        <v>71</v>
      </c>
      <c r="CR346" s="160"/>
      <c r="CS346" s="162"/>
      <c r="CT346" s="203" t="str">
        <f t="shared" si="572"/>
        <v xml:space="preserve"> </v>
      </c>
      <c r="CU346" s="174" t="str">
        <f t="shared" si="552"/>
        <v>NG</v>
      </c>
      <c r="CV346" s="204"/>
      <c r="CW346" s="172" t="s">
        <v>71</v>
      </c>
      <c r="CX346" s="160"/>
      <c r="CY346" s="162"/>
      <c r="CZ346" s="203" t="str">
        <f t="shared" si="573"/>
        <v xml:space="preserve"> </v>
      </c>
      <c r="DA346" s="174" t="str">
        <f t="shared" si="553"/>
        <v>NG</v>
      </c>
      <c r="DB346" s="204"/>
      <c r="DC346" s="172" t="s">
        <v>71</v>
      </c>
      <c r="DD346" s="160"/>
      <c r="DE346" s="162"/>
      <c r="DF346" s="203" t="str">
        <f t="shared" si="574"/>
        <v xml:space="preserve"> </v>
      </c>
      <c r="DG346" s="174" t="str">
        <f t="shared" si="554"/>
        <v>NG</v>
      </c>
      <c r="DH346" s="204"/>
      <c r="DI346" s="172" t="s">
        <v>71</v>
      </c>
      <c r="DJ346" s="160"/>
      <c r="DK346" s="162"/>
      <c r="DL346" s="203" t="str">
        <f t="shared" si="575"/>
        <v xml:space="preserve"> </v>
      </c>
      <c r="DM346" s="174" t="str">
        <f t="shared" si="555"/>
        <v>NG</v>
      </c>
      <c r="DN346" s="204"/>
      <c r="DO346" s="172" t="s">
        <v>71</v>
      </c>
      <c r="DP346" s="160"/>
      <c r="DQ346" s="162"/>
      <c r="DR346" s="203" t="str">
        <f t="shared" si="576"/>
        <v xml:space="preserve"> </v>
      </c>
      <c r="DS346" s="174" t="str">
        <f t="shared" si="533"/>
        <v>NG</v>
      </c>
      <c r="DT346" s="204"/>
      <c r="DU346" s="172" t="s">
        <v>71</v>
      </c>
      <c r="DV346" s="160"/>
      <c r="DW346" s="162"/>
      <c r="DX346" s="203" t="str">
        <f t="shared" si="577"/>
        <v xml:space="preserve"> </v>
      </c>
      <c r="DY346" s="174" t="str">
        <f t="shared" si="534"/>
        <v>NG</v>
      </c>
      <c r="DZ346" s="204"/>
      <c r="EA346" s="172" t="s">
        <v>71</v>
      </c>
      <c r="EB346" s="160"/>
      <c r="EC346" s="162"/>
      <c r="ED346" s="203" t="str">
        <f t="shared" si="578"/>
        <v xml:space="preserve"> </v>
      </c>
      <c r="EE346" s="174" t="str">
        <f t="shared" si="535"/>
        <v>NG</v>
      </c>
      <c r="EF346" s="204"/>
      <c r="EG346" s="172" t="s">
        <v>71</v>
      </c>
      <c r="EH346" s="160"/>
      <c r="EI346" s="162"/>
      <c r="EJ346" s="203" t="str">
        <f t="shared" si="579"/>
        <v xml:space="preserve"> </v>
      </c>
      <c r="EK346" s="174" t="str">
        <f t="shared" si="536"/>
        <v>NG</v>
      </c>
      <c r="EL346" s="204"/>
      <c r="EM346" s="172" t="s">
        <v>71</v>
      </c>
      <c r="EN346" s="160"/>
      <c r="EO346" s="162"/>
      <c r="EP346" s="203" t="str">
        <f t="shared" si="580"/>
        <v xml:space="preserve"> </v>
      </c>
      <c r="EQ346" s="174" t="str">
        <f t="shared" si="537"/>
        <v>NG</v>
      </c>
      <c r="ER346" s="204"/>
      <c r="ES346" s="172" t="s">
        <v>71</v>
      </c>
      <c r="ET346" s="160"/>
      <c r="EU346" s="162"/>
      <c r="EV346" s="203" t="str">
        <f t="shared" si="581"/>
        <v xml:space="preserve"> </v>
      </c>
      <c r="EW346" s="174" t="str">
        <f t="shared" si="538"/>
        <v>NG</v>
      </c>
      <c r="EX346" s="204"/>
      <c r="EY346" s="172" t="s">
        <v>71</v>
      </c>
      <c r="EZ346" s="160"/>
      <c r="FA346" s="162"/>
      <c r="FB346" s="203" t="str">
        <f t="shared" si="582"/>
        <v xml:space="preserve"> </v>
      </c>
      <c r="FC346" s="174" t="str">
        <f t="shared" si="539"/>
        <v>NG</v>
      </c>
      <c r="FD346" s="204"/>
      <c r="FE346" s="172" t="s">
        <v>71</v>
      </c>
      <c r="FF346" s="160"/>
      <c r="FG346" s="162"/>
      <c r="FH346" s="203" t="str">
        <f t="shared" si="583"/>
        <v xml:space="preserve"> </v>
      </c>
      <c r="FI346" s="174" t="str">
        <f t="shared" si="540"/>
        <v>NG</v>
      </c>
      <c r="FJ346" s="204"/>
      <c r="FK346" s="172" t="s">
        <v>71</v>
      </c>
      <c r="FL346" s="160"/>
      <c r="FM346" s="162"/>
      <c r="FN346" s="203" t="str">
        <f t="shared" si="584"/>
        <v xml:space="preserve"> </v>
      </c>
      <c r="FO346" s="174" t="str">
        <f t="shared" si="556"/>
        <v>NG</v>
      </c>
      <c r="FP346" s="204"/>
      <c r="FQ346" s="172" t="s">
        <v>71</v>
      </c>
      <c r="FR346" s="160"/>
      <c r="FS346" s="162"/>
      <c r="FT346" s="203" t="str">
        <f t="shared" si="585"/>
        <v xml:space="preserve"> </v>
      </c>
      <c r="FU346" s="174" t="str">
        <f t="shared" si="557"/>
        <v>NG</v>
      </c>
      <c r="FV346" s="204"/>
      <c r="FW346" s="172" t="s">
        <v>71</v>
      </c>
      <c r="FX346" s="160"/>
      <c r="FY346" s="162"/>
      <c r="FZ346" s="203" t="str">
        <f t="shared" si="586"/>
        <v xml:space="preserve"> </v>
      </c>
      <c r="GA346" s="174" t="str">
        <f t="shared" si="558"/>
        <v>NG</v>
      </c>
      <c r="GB346" s="204"/>
      <c r="GC346" s="172" t="s">
        <v>71</v>
      </c>
    </row>
    <row r="347" spans="2:185" s="52" customFormat="1" ht="126.75" customHeight="1">
      <c r="B347" s="216">
        <f t="shared" si="587"/>
        <v>340</v>
      </c>
      <c r="C347" s="37"/>
      <c r="D347" s="37"/>
      <c r="E347" s="37"/>
      <c r="F347" s="188" t="s">
        <v>332</v>
      </c>
      <c r="G347" s="39"/>
      <c r="H347" s="40"/>
      <c r="I347" s="42"/>
      <c r="J347" s="42"/>
      <c r="K347" s="42"/>
      <c r="L347" s="42"/>
      <c r="M347" s="63" t="s">
        <v>333</v>
      </c>
      <c r="N347" s="47"/>
      <c r="O347" s="143"/>
      <c r="P347" s="45">
        <f t="shared" si="561"/>
        <v>313</v>
      </c>
      <c r="Q347" s="46">
        <v>1</v>
      </c>
      <c r="R347" s="41" t="str">
        <f t="shared" ref="R347:R364" si="589">IF(AA347="M","NX",AA347)</f>
        <v>X</v>
      </c>
      <c r="S347" s="185" t="s">
        <v>208</v>
      </c>
      <c r="T347" s="43"/>
      <c r="U347" s="41" t="s">
        <v>80</v>
      </c>
      <c r="V347" s="44"/>
      <c r="W347" s="22">
        <v>3</v>
      </c>
      <c r="X347" s="47" t="s">
        <v>209</v>
      </c>
      <c r="Y347" s="47">
        <v>1</v>
      </c>
      <c r="Z347" s="47">
        <v>1</v>
      </c>
      <c r="AA347" s="42" t="s">
        <v>81</v>
      </c>
      <c r="AB347" s="42" t="s">
        <v>80</v>
      </c>
      <c r="AC347" s="166"/>
      <c r="AD347" s="160"/>
      <c r="AE347" s="162"/>
      <c r="AF347" s="203" t="str">
        <f t="shared" si="562"/>
        <v xml:space="preserve"> </v>
      </c>
      <c r="AG347" s="174" t="str">
        <f t="shared" si="542"/>
        <v>NG</v>
      </c>
      <c r="AH347" s="204"/>
      <c r="AI347" s="276" t="str">
        <f>IF(OR(AE$8="判定対象外",AH$8="判定対象外",AH347="-"),"-",IF(AE347=AH347,"OK","NG"))</f>
        <v>OK</v>
      </c>
      <c r="AJ347" s="160"/>
      <c r="AK347" s="162"/>
      <c r="AL347" s="203" t="str">
        <f t="shared" si="559"/>
        <v xml:space="preserve"> </v>
      </c>
      <c r="AM347" s="174" t="str">
        <f t="shared" si="588"/>
        <v>NG</v>
      </c>
      <c r="AN347" s="204"/>
      <c r="AO347" s="276" t="str">
        <f>IF(OR(AK$8="判定対象外",AN$8="判定対象外",AN347="-"),"-",IF(AK347=AN347,"OK","NG"))</f>
        <v>OK</v>
      </c>
      <c r="AP347" s="160"/>
      <c r="AQ347" s="162"/>
      <c r="AR347" s="203" t="str">
        <f t="shared" si="563"/>
        <v xml:space="preserve"> </v>
      </c>
      <c r="AS347" s="174" t="str">
        <f t="shared" si="543"/>
        <v>NG</v>
      </c>
      <c r="AT347" s="204"/>
      <c r="AU347" s="276" t="str">
        <f>IF(OR(AQ$8="判定対象外",AT$8="判定対象外",AT347="-"),"-",IF(AQ347=AT347,"OK","NG"))</f>
        <v>OK</v>
      </c>
      <c r="AV347" s="160"/>
      <c r="AW347" s="162"/>
      <c r="AX347" s="203" t="str">
        <f t="shared" si="564"/>
        <v xml:space="preserve"> </v>
      </c>
      <c r="AY347" s="174" t="str">
        <f t="shared" si="544"/>
        <v>NG</v>
      </c>
      <c r="AZ347" s="204"/>
      <c r="BA347" s="276" t="str">
        <f>IF(OR(AW$8="判定対象外",AZ$8="判定対象外",AZ347="-"),"-",IF(AW347=AZ347,"OK","NG"))</f>
        <v>OK</v>
      </c>
      <c r="BB347" s="160"/>
      <c r="BC347" s="162"/>
      <c r="BD347" s="203" t="str">
        <f t="shared" si="565"/>
        <v xml:space="preserve"> </v>
      </c>
      <c r="BE347" s="174" t="str">
        <f t="shared" si="545"/>
        <v>NG</v>
      </c>
      <c r="BF347" s="204"/>
      <c r="BG347" s="276" t="str">
        <f>IF(OR(BC$8="判定対象外",BF$8="判定対象外",BF347="-"),"-",IF(BC347=BF347,"OK","NG"))</f>
        <v>OK</v>
      </c>
      <c r="BH347" s="160"/>
      <c r="BI347" s="162"/>
      <c r="BJ347" s="203" t="str">
        <f t="shared" si="566"/>
        <v xml:space="preserve"> </v>
      </c>
      <c r="BK347" s="174" t="str">
        <f t="shared" si="546"/>
        <v>NG</v>
      </c>
      <c r="BL347" s="204"/>
      <c r="BM347" s="276" t="str">
        <f>IF(OR(BI$8="判定対象外",BL$8="判定対象外",BL347="-"),"-",IF(BI347=BL347,"OK","NG"))</f>
        <v>OK</v>
      </c>
      <c r="BN347" s="160"/>
      <c r="BO347" s="162"/>
      <c r="BP347" s="203" t="str">
        <f t="shared" si="567"/>
        <v xml:space="preserve"> </v>
      </c>
      <c r="BQ347" s="174" t="str">
        <f t="shared" si="547"/>
        <v>NG</v>
      </c>
      <c r="BR347" s="204"/>
      <c r="BS347" s="276" t="str">
        <f>IF(OR(BO$8="判定対象外",BR$8="判定対象外",BR347="-"),"-",IF(BO347=BR347,"OK","NG"))</f>
        <v>OK</v>
      </c>
      <c r="BT347" s="160"/>
      <c r="BU347" s="162"/>
      <c r="BV347" s="203" t="str">
        <f t="shared" si="568"/>
        <v xml:space="preserve"> </v>
      </c>
      <c r="BW347" s="174" t="str">
        <f t="shared" si="548"/>
        <v>NG</v>
      </c>
      <c r="BX347" s="204"/>
      <c r="BY347" s="276" t="str">
        <f>IF(OR(BU$8="判定対象外",BX$8="判定対象外",BX347="-"),"-",IF(BU347=BX347,"OK","NG"))</f>
        <v>OK</v>
      </c>
      <c r="BZ347" s="160"/>
      <c r="CA347" s="162"/>
      <c r="CB347" s="203" t="str">
        <f t="shared" si="569"/>
        <v xml:space="preserve"> </v>
      </c>
      <c r="CC347" s="174" t="str">
        <f t="shared" si="549"/>
        <v>NG</v>
      </c>
      <c r="CD347" s="204"/>
      <c r="CE347" s="276" t="str">
        <f>IF(OR(CA$8="判定対象外",CD$8="判定対象外",CD347="-"),"-",IF(CA347=CD347,"OK","NG"))</f>
        <v>OK</v>
      </c>
      <c r="CF347" s="160"/>
      <c r="CG347" s="162"/>
      <c r="CH347" s="203" t="str">
        <f t="shared" si="570"/>
        <v xml:space="preserve"> </v>
      </c>
      <c r="CI347" s="174" t="str">
        <f t="shared" si="550"/>
        <v>NG</v>
      </c>
      <c r="CJ347" s="204"/>
      <c r="CK347" s="276" t="str">
        <f>IF(OR(CG$8="判定対象外",CJ$8="判定対象外",CJ347="-"),"-",IF(CG347=CJ347,"OK","NG"))</f>
        <v>OK</v>
      </c>
      <c r="CL347" s="160"/>
      <c r="CM347" s="162"/>
      <c r="CN347" s="203" t="str">
        <f t="shared" si="571"/>
        <v xml:space="preserve"> </v>
      </c>
      <c r="CO347" s="174" t="str">
        <f t="shared" si="551"/>
        <v>NG</v>
      </c>
      <c r="CP347" s="204"/>
      <c r="CQ347" s="276" t="str">
        <f>IF(OR(CM$8="判定対象外",CP$8="判定対象外",CP347="-"),"-",IF(CM347=CP347,"OK","NG"))</f>
        <v>OK</v>
      </c>
      <c r="CR347" s="160"/>
      <c r="CS347" s="162"/>
      <c r="CT347" s="203" t="str">
        <f t="shared" si="572"/>
        <v xml:space="preserve"> </v>
      </c>
      <c r="CU347" s="174" t="str">
        <f t="shared" si="552"/>
        <v>NG</v>
      </c>
      <c r="CV347" s="204"/>
      <c r="CW347" s="276" t="str">
        <f>IF(OR(CS$8="判定対象外",CV$8="判定対象外",CV347="-"),"-",IF(CS347=CV347,"OK","NG"))</f>
        <v>OK</v>
      </c>
      <c r="CX347" s="160"/>
      <c r="CY347" s="162"/>
      <c r="CZ347" s="203" t="str">
        <f t="shared" si="573"/>
        <v xml:space="preserve"> </v>
      </c>
      <c r="DA347" s="174" t="str">
        <f t="shared" si="553"/>
        <v>NG</v>
      </c>
      <c r="DB347" s="204"/>
      <c r="DC347" s="276" t="str">
        <f>IF(OR(CY$8="判定対象外",DB$8="判定対象外",DB347="-"),"-",IF(CY347=DB347,"OK","NG"))</f>
        <v>OK</v>
      </c>
      <c r="DD347" s="160"/>
      <c r="DE347" s="162"/>
      <c r="DF347" s="203" t="str">
        <f t="shared" si="574"/>
        <v xml:space="preserve"> </v>
      </c>
      <c r="DG347" s="174" t="str">
        <f t="shared" si="554"/>
        <v>NG</v>
      </c>
      <c r="DH347" s="204"/>
      <c r="DI347" s="276" t="str">
        <f>IF(OR(DE$8="判定対象外",DH$8="判定対象外",DH347="-"),"-",IF(DE347=DH347,"OK","NG"))</f>
        <v>OK</v>
      </c>
      <c r="DJ347" s="160"/>
      <c r="DK347" s="162"/>
      <c r="DL347" s="203" t="str">
        <f t="shared" si="575"/>
        <v xml:space="preserve"> </v>
      </c>
      <c r="DM347" s="174" t="str">
        <f t="shared" si="555"/>
        <v>NG</v>
      </c>
      <c r="DN347" s="204"/>
      <c r="DO347" s="276" t="str">
        <f>IF(OR(DK$8="判定対象外",DN$8="判定対象外",DN347="-"),"-",IF(DK347=DN347,"OK","NG"))</f>
        <v>OK</v>
      </c>
      <c r="DP347" s="160"/>
      <c r="DQ347" s="162"/>
      <c r="DR347" s="203" t="str">
        <f t="shared" si="576"/>
        <v xml:space="preserve"> </v>
      </c>
      <c r="DS347" s="174" t="str">
        <f t="shared" si="533"/>
        <v>NG</v>
      </c>
      <c r="DT347" s="204"/>
      <c r="DU347" s="276" t="str">
        <f>IF(OR(DQ$8="判定対象外",DT$8="判定対象外",DT347="-"),"-",IF(DQ347=DT347,"OK","NG"))</f>
        <v>OK</v>
      </c>
      <c r="DV347" s="160"/>
      <c r="DW347" s="162"/>
      <c r="DX347" s="203" t="str">
        <f t="shared" si="577"/>
        <v xml:space="preserve"> </v>
      </c>
      <c r="DY347" s="174" t="str">
        <f t="shared" si="534"/>
        <v>NG</v>
      </c>
      <c r="DZ347" s="204"/>
      <c r="EA347" s="276" t="str">
        <f>IF(OR(DW$8="判定対象外",DZ$8="判定対象外",DZ347="-"),"-",IF(DW347=DZ347,"OK","NG"))</f>
        <v>OK</v>
      </c>
      <c r="EB347" s="160"/>
      <c r="EC347" s="162"/>
      <c r="ED347" s="203" t="str">
        <f t="shared" si="578"/>
        <v xml:space="preserve"> </v>
      </c>
      <c r="EE347" s="174" t="str">
        <f t="shared" si="535"/>
        <v>NG</v>
      </c>
      <c r="EF347" s="204"/>
      <c r="EG347" s="276" t="str">
        <f>IF(OR(EC$8="判定対象外",EF$8="判定対象外",EF347="-"),"-",IF(EC347=EF347,"OK","NG"))</f>
        <v>OK</v>
      </c>
      <c r="EH347" s="160"/>
      <c r="EI347" s="162"/>
      <c r="EJ347" s="203" t="str">
        <f t="shared" si="579"/>
        <v xml:space="preserve"> </v>
      </c>
      <c r="EK347" s="174" t="str">
        <f t="shared" si="536"/>
        <v>NG</v>
      </c>
      <c r="EL347" s="204"/>
      <c r="EM347" s="276" t="str">
        <f>IF(OR(EI$8="判定対象外",EL$8="判定対象外",EL347="-"),"-",IF(EI347=EL347,"OK","NG"))</f>
        <v>OK</v>
      </c>
      <c r="EN347" s="160"/>
      <c r="EO347" s="162"/>
      <c r="EP347" s="203" t="str">
        <f t="shared" si="580"/>
        <v xml:space="preserve"> </v>
      </c>
      <c r="EQ347" s="174" t="str">
        <f t="shared" si="537"/>
        <v>NG</v>
      </c>
      <c r="ER347" s="204"/>
      <c r="ES347" s="276" t="str">
        <f>IF(OR(EO$8="判定対象外",ER$8="判定対象外",ER347="-"),"-",IF(EO347=ER347,"OK","NG"))</f>
        <v>OK</v>
      </c>
      <c r="ET347" s="160"/>
      <c r="EU347" s="162"/>
      <c r="EV347" s="203" t="str">
        <f t="shared" si="581"/>
        <v xml:space="preserve"> </v>
      </c>
      <c r="EW347" s="174" t="str">
        <f t="shared" si="538"/>
        <v>NG</v>
      </c>
      <c r="EX347" s="204"/>
      <c r="EY347" s="276" t="str">
        <f>IF(OR(EU$8="判定対象外",EX$8="判定対象外",EX347="-"),"-",IF(EU347=EX347,"OK","NG"))</f>
        <v>OK</v>
      </c>
      <c r="EZ347" s="160"/>
      <c r="FA347" s="162"/>
      <c r="FB347" s="203" t="str">
        <f t="shared" si="582"/>
        <v xml:space="preserve"> </v>
      </c>
      <c r="FC347" s="174" t="str">
        <f t="shared" si="539"/>
        <v>NG</v>
      </c>
      <c r="FD347" s="204"/>
      <c r="FE347" s="276" t="str">
        <f>IF(OR(FA$8="判定対象外",FD$8="判定対象外",FD347="-"),"-",IF(FA347=FD347,"OK","NG"))</f>
        <v>OK</v>
      </c>
      <c r="FF347" s="160"/>
      <c r="FG347" s="162"/>
      <c r="FH347" s="203" t="str">
        <f t="shared" si="583"/>
        <v xml:space="preserve"> </v>
      </c>
      <c r="FI347" s="174" t="str">
        <f t="shared" si="540"/>
        <v>NG</v>
      </c>
      <c r="FJ347" s="204"/>
      <c r="FK347" s="276" t="str">
        <f>IF(OR(FG$8="判定対象外",FJ$8="判定対象外",FJ347="-"),"-",IF(FG347=FJ347,"OK","NG"))</f>
        <v>OK</v>
      </c>
      <c r="FL347" s="160"/>
      <c r="FM347" s="162"/>
      <c r="FN347" s="203" t="str">
        <f t="shared" si="584"/>
        <v xml:space="preserve"> </v>
      </c>
      <c r="FO347" s="174" t="str">
        <f t="shared" si="556"/>
        <v>NG</v>
      </c>
      <c r="FP347" s="204"/>
      <c r="FQ347" s="276" t="str">
        <f>IF(OR(FM$8="判定対象外",FP$8="判定対象外",FP347="-"),"-",IF(FM347=FP347,"OK","NG"))</f>
        <v>OK</v>
      </c>
      <c r="FR347" s="160"/>
      <c r="FS347" s="162"/>
      <c r="FT347" s="203" t="str">
        <f t="shared" si="585"/>
        <v xml:space="preserve"> </v>
      </c>
      <c r="FU347" s="174" t="str">
        <f t="shared" si="557"/>
        <v>NG</v>
      </c>
      <c r="FV347" s="204"/>
      <c r="FW347" s="276" t="str">
        <f>IF(OR(FS$8="判定対象外",FV$8="判定対象外",FV347="-"),"-",IF(FS347=FV347,"OK","NG"))</f>
        <v>OK</v>
      </c>
      <c r="FX347" s="160"/>
      <c r="FY347" s="162"/>
      <c r="FZ347" s="203" t="str">
        <f t="shared" si="586"/>
        <v xml:space="preserve"> </v>
      </c>
      <c r="GA347" s="174" t="str">
        <f t="shared" si="558"/>
        <v>NG</v>
      </c>
      <c r="GB347" s="204"/>
      <c r="GC347" s="276" t="str">
        <f>IF(OR(FY$8="判定対象外",GB$8="判定対象外",GB347="-"),"-",IF(FY347=GB347,"OK","NG"))</f>
        <v>OK</v>
      </c>
    </row>
    <row r="348" spans="2:185" s="52" customFormat="1">
      <c r="B348" s="216">
        <f t="shared" si="587"/>
        <v>341</v>
      </c>
      <c r="C348" s="37"/>
      <c r="D348" s="37"/>
      <c r="E348" s="37"/>
      <c r="F348" s="49" t="s">
        <v>210</v>
      </c>
      <c r="G348" s="39"/>
      <c r="H348" s="40"/>
      <c r="I348" s="42"/>
      <c r="J348" s="42"/>
      <c r="K348" s="42"/>
      <c r="L348" s="42"/>
      <c r="M348" s="163" t="s">
        <v>334</v>
      </c>
      <c r="N348" s="47"/>
      <c r="O348" s="143"/>
      <c r="P348" s="45">
        <f t="shared" si="561"/>
        <v>314</v>
      </c>
      <c r="Q348" s="46">
        <v>400</v>
      </c>
      <c r="R348" s="41" t="str">
        <f t="shared" si="589"/>
        <v>NX</v>
      </c>
      <c r="S348" s="185" t="s">
        <v>211</v>
      </c>
      <c r="T348" s="43"/>
      <c r="U348" s="41" t="s">
        <v>80</v>
      </c>
      <c r="V348" s="44"/>
      <c r="W348" s="22">
        <v>3</v>
      </c>
      <c r="X348" s="47" t="s">
        <v>212</v>
      </c>
      <c r="Y348" s="47">
        <v>1</v>
      </c>
      <c r="Z348" s="47">
        <v>400</v>
      </c>
      <c r="AA348" s="42" t="s">
        <v>195</v>
      </c>
      <c r="AB348" s="42" t="s">
        <v>80</v>
      </c>
      <c r="AC348" s="166"/>
      <c r="AD348" s="160"/>
      <c r="AE348" s="162"/>
      <c r="AF348" s="175" t="str">
        <f t="shared" si="562"/>
        <v xml:space="preserve">                                                                                                                                                                                                                                                                                                                                                                                                                </v>
      </c>
      <c r="AG348" s="174" t="str">
        <f t="shared" si="542"/>
        <v>NG</v>
      </c>
      <c r="AH348" s="204"/>
      <c r="AI348" s="276" t="str">
        <f>IF(OR(AE$8="判定対象外",AH$8="判定対象外",AH348="-"),"-",IF(AE348=AH348,"OK","NG"))</f>
        <v>OK</v>
      </c>
      <c r="AJ348" s="160"/>
      <c r="AK348" s="162"/>
      <c r="AL348" s="175" t="str">
        <f t="shared" si="559"/>
        <v xml:space="preserve">                                                                                                                                                                                                                                                                                                                                                                                                                </v>
      </c>
      <c r="AM348" s="174" t="str">
        <f t="shared" si="588"/>
        <v>NG</v>
      </c>
      <c r="AN348" s="204"/>
      <c r="AO348" s="276" t="str">
        <f>IF(OR(AK$8="判定対象外",AN$8="判定対象外",AN348="-"),"-",IF(AK348=AN348,"OK","NG"))</f>
        <v>OK</v>
      </c>
      <c r="AP348" s="160"/>
      <c r="AQ348" s="162"/>
      <c r="AR348" s="175" t="str">
        <f t="shared" si="563"/>
        <v xml:space="preserve">                                                                                                                                                                                                                                                                                                                                                                                                                </v>
      </c>
      <c r="AS348" s="174" t="str">
        <f t="shared" si="543"/>
        <v>NG</v>
      </c>
      <c r="AT348" s="204"/>
      <c r="AU348" s="276" t="str">
        <f>IF(OR(AQ$8="判定対象外",AT$8="判定対象外",AT348="-"),"-",IF(AQ348=AT348,"OK","NG"))</f>
        <v>OK</v>
      </c>
      <c r="AV348" s="160"/>
      <c r="AW348" s="162"/>
      <c r="AX348" s="175" t="str">
        <f t="shared" si="564"/>
        <v xml:space="preserve">                                                                                                                                                                                                                                                                                                                                                                                                                </v>
      </c>
      <c r="AY348" s="174" t="str">
        <f t="shared" si="544"/>
        <v>NG</v>
      </c>
      <c r="AZ348" s="204"/>
      <c r="BA348" s="276" t="str">
        <f>IF(OR(AW$8="判定対象外",AZ$8="判定対象外",AZ348="-"),"-",IF(AW348=AZ348,"OK","NG"))</f>
        <v>OK</v>
      </c>
      <c r="BB348" s="160"/>
      <c r="BC348" s="162"/>
      <c r="BD348" s="175" t="str">
        <f t="shared" si="565"/>
        <v xml:space="preserve">                                                                                                                                                                                                                                                                                                                                                                                                                </v>
      </c>
      <c r="BE348" s="174" t="str">
        <f t="shared" si="545"/>
        <v>NG</v>
      </c>
      <c r="BF348" s="204"/>
      <c r="BG348" s="276" t="str">
        <f>IF(OR(BC$8="判定対象外",BF$8="判定対象外",BF348="-"),"-",IF(BC348=BF348,"OK","NG"))</f>
        <v>OK</v>
      </c>
      <c r="BH348" s="160"/>
      <c r="BI348" s="162"/>
      <c r="BJ348" s="175" t="str">
        <f t="shared" si="566"/>
        <v xml:space="preserve">                                                                                                                                                                                                                                                                                                                                                                                                                </v>
      </c>
      <c r="BK348" s="174" t="str">
        <f t="shared" si="546"/>
        <v>NG</v>
      </c>
      <c r="BL348" s="204"/>
      <c r="BM348" s="276" t="str">
        <f>IF(OR(BI$8="判定対象外",BL$8="判定対象外",BL348="-"),"-",IF(BI348=BL348,"OK","NG"))</f>
        <v>OK</v>
      </c>
      <c r="BN348" s="160"/>
      <c r="BO348" s="162"/>
      <c r="BP348" s="175" t="str">
        <f t="shared" si="567"/>
        <v xml:space="preserve">                                                                                                                                                                                                                                                                                                                                                                                                                </v>
      </c>
      <c r="BQ348" s="174" t="str">
        <f t="shared" si="547"/>
        <v>NG</v>
      </c>
      <c r="BR348" s="204"/>
      <c r="BS348" s="276" t="str">
        <f>IF(OR(BO$8="判定対象外",BR$8="判定対象外",BR348="-"),"-",IF(BO348=BR348,"OK","NG"))</f>
        <v>OK</v>
      </c>
      <c r="BT348" s="160"/>
      <c r="BU348" s="162"/>
      <c r="BV348" s="175" t="str">
        <f t="shared" si="568"/>
        <v xml:space="preserve">                                                                                                                                                                                                                                                                                                                                                                                                                </v>
      </c>
      <c r="BW348" s="174" t="str">
        <f t="shared" si="548"/>
        <v>NG</v>
      </c>
      <c r="BX348" s="204"/>
      <c r="BY348" s="276" t="str">
        <f>IF(OR(BU$8="判定対象外",BX$8="判定対象外",BX348="-"),"-",IF(BU348=BX348,"OK","NG"))</f>
        <v>OK</v>
      </c>
      <c r="BZ348" s="160"/>
      <c r="CA348" s="162"/>
      <c r="CB348" s="175" t="str">
        <f t="shared" si="569"/>
        <v xml:space="preserve">                                                                                                                                                                                                                                                                                                                                                                                                                </v>
      </c>
      <c r="CC348" s="174" t="str">
        <f t="shared" si="549"/>
        <v>NG</v>
      </c>
      <c r="CD348" s="204"/>
      <c r="CE348" s="276" t="str">
        <f>IF(OR(CA$8="判定対象外",CD$8="判定対象外",CD348="-"),"-",IF(CA348=CD348,"OK","NG"))</f>
        <v>OK</v>
      </c>
      <c r="CF348" s="160"/>
      <c r="CG348" s="162"/>
      <c r="CH348" s="175" t="str">
        <f t="shared" si="570"/>
        <v xml:space="preserve">                                                                                                                                                                                                                                                                                                                                                                                                                </v>
      </c>
      <c r="CI348" s="174" t="str">
        <f t="shared" si="550"/>
        <v>NG</v>
      </c>
      <c r="CJ348" s="204"/>
      <c r="CK348" s="276" t="str">
        <f>IF(OR(CG$8="判定対象外",CJ$8="判定対象外",CJ348="-"),"-",IF(CG348=CJ348,"OK","NG"))</f>
        <v>OK</v>
      </c>
      <c r="CL348" s="160"/>
      <c r="CM348" s="162"/>
      <c r="CN348" s="175" t="str">
        <f t="shared" si="571"/>
        <v xml:space="preserve">                                                                                                                                                                                                                                                                                                                                                                                                                </v>
      </c>
      <c r="CO348" s="174" t="str">
        <f t="shared" si="551"/>
        <v>NG</v>
      </c>
      <c r="CP348" s="204"/>
      <c r="CQ348" s="276" t="str">
        <f>IF(OR(CM$8="判定対象外",CP$8="判定対象外",CP348="-"),"-",IF(CM348=CP348,"OK","NG"))</f>
        <v>OK</v>
      </c>
      <c r="CR348" s="160"/>
      <c r="CS348" s="162"/>
      <c r="CT348" s="175" t="str">
        <f t="shared" si="572"/>
        <v xml:space="preserve">                                                                                                                                                                                                                                                                                                                                                                                                                </v>
      </c>
      <c r="CU348" s="174" t="str">
        <f t="shared" si="552"/>
        <v>NG</v>
      </c>
      <c r="CV348" s="204"/>
      <c r="CW348" s="276" t="str">
        <f>IF(OR(CS$8="判定対象外",CV$8="判定対象外",CV348="-"),"-",IF(CS348=CV348,"OK","NG"))</f>
        <v>OK</v>
      </c>
      <c r="CX348" s="160"/>
      <c r="CY348" s="162"/>
      <c r="CZ348" s="175" t="str">
        <f t="shared" si="573"/>
        <v xml:space="preserve">                                                                                                                                                                                                                                                                                                                                                                                                                </v>
      </c>
      <c r="DA348" s="174" t="str">
        <f t="shared" si="553"/>
        <v>NG</v>
      </c>
      <c r="DB348" s="204"/>
      <c r="DC348" s="276" t="str">
        <f>IF(OR(CY$8="判定対象外",DB$8="判定対象外",DB348="-"),"-",IF(CY348=DB348,"OK","NG"))</f>
        <v>OK</v>
      </c>
      <c r="DD348" s="160"/>
      <c r="DE348" s="162"/>
      <c r="DF348" s="175" t="str">
        <f t="shared" si="574"/>
        <v xml:space="preserve">                                                                                                                                                                                                                                                                                                                                                                                                                </v>
      </c>
      <c r="DG348" s="174" t="str">
        <f t="shared" si="554"/>
        <v>NG</v>
      </c>
      <c r="DH348" s="204"/>
      <c r="DI348" s="276" t="str">
        <f>IF(OR(DE$8="判定対象外",DH$8="判定対象外",DH348="-"),"-",IF(DE348=DH348,"OK","NG"))</f>
        <v>OK</v>
      </c>
      <c r="DJ348" s="160"/>
      <c r="DK348" s="162"/>
      <c r="DL348" s="175" t="str">
        <f t="shared" si="575"/>
        <v xml:space="preserve">                                                                                                                                                                                                                                                                                                                                                                                                                </v>
      </c>
      <c r="DM348" s="174" t="str">
        <f t="shared" si="555"/>
        <v>NG</v>
      </c>
      <c r="DN348" s="204"/>
      <c r="DO348" s="276" t="str">
        <f>IF(OR(DK$8="判定対象外",DN$8="判定対象外",DN348="-"),"-",IF(DK348=DN348,"OK","NG"))</f>
        <v>OK</v>
      </c>
      <c r="DP348" s="160"/>
      <c r="DQ348" s="162"/>
      <c r="DR348" s="175" t="str">
        <f t="shared" si="576"/>
        <v xml:space="preserve">                                                                                                                                                                                                                                                                                                                                                                                                                </v>
      </c>
      <c r="DS348" s="174" t="str">
        <f t="shared" si="533"/>
        <v>NG</v>
      </c>
      <c r="DT348" s="204"/>
      <c r="DU348" s="276" t="str">
        <f>IF(OR(DQ$8="判定対象外",DT$8="判定対象外",DT348="-"),"-",IF(DQ348=DT348,"OK","NG"))</f>
        <v>OK</v>
      </c>
      <c r="DV348" s="160"/>
      <c r="DW348" s="162"/>
      <c r="DX348" s="175" t="str">
        <f t="shared" si="577"/>
        <v xml:space="preserve">                                                                                                                                                                                                                                                                                                                                                                                                                </v>
      </c>
      <c r="DY348" s="174" t="str">
        <f t="shared" si="534"/>
        <v>NG</v>
      </c>
      <c r="DZ348" s="204"/>
      <c r="EA348" s="276" t="str">
        <f>IF(OR(DW$8="判定対象外",DZ$8="判定対象外",DZ348="-"),"-",IF(DW348=DZ348,"OK","NG"))</f>
        <v>OK</v>
      </c>
      <c r="EB348" s="160"/>
      <c r="EC348" s="162"/>
      <c r="ED348" s="175" t="str">
        <f t="shared" si="578"/>
        <v xml:space="preserve">                                                                                                                                                                                                                                                                                                                                                                                                                </v>
      </c>
      <c r="EE348" s="174" t="str">
        <f t="shared" si="535"/>
        <v>NG</v>
      </c>
      <c r="EF348" s="204"/>
      <c r="EG348" s="276" t="str">
        <f>IF(OR(EC$8="判定対象外",EF$8="判定対象外",EF348="-"),"-",IF(EC348=EF348,"OK","NG"))</f>
        <v>OK</v>
      </c>
      <c r="EH348" s="160"/>
      <c r="EI348" s="162"/>
      <c r="EJ348" s="175" t="str">
        <f t="shared" si="579"/>
        <v xml:space="preserve">                                                                                                                                                                                                                                                                                                                                                                                                                </v>
      </c>
      <c r="EK348" s="174" t="str">
        <f t="shared" si="536"/>
        <v>NG</v>
      </c>
      <c r="EL348" s="204"/>
      <c r="EM348" s="276" t="str">
        <f>IF(OR(EI$8="判定対象外",EL$8="判定対象外",EL348="-"),"-",IF(EI348=EL348,"OK","NG"))</f>
        <v>OK</v>
      </c>
      <c r="EN348" s="160"/>
      <c r="EO348" s="162"/>
      <c r="EP348" s="175" t="str">
        <f t="shared" si="580"/>
        <v xml:space="preserve">                                                                                                                                                                                                                                                                                                                                                                                                                </v>
      </c>
      <c r="EQ348" s="174" t="str">
        <f t="shared" si="537"/>
        <v>NG</v>
      </c>
      <c r="ER348" s="204"/>
      <c r="ES348" s="276" t="str">
        <f>IF(OR(EO$8="判定対象外",ER$8="判定対象外",ER348="-"),"-",IF(EO348=ER348,"OK","NG"))</f>
        <v>OK</v>
      </c>
      <c r="ET348" s="160"/>
      <c r="EU348" s="162"/>
      <c r="EV348" s="175" t="str">
        <f t="shared" si="581"/>
        <v xml:space="preserve">                                                                                                                                                                                                                                                                                                                                                                                                                </v>
      </c>
      <c r="EW348" s="174" t="str">
        <f t="shared" si="538"/>
        <v>NG</v>
      </c>
      <c r="EX348" s="204"/>
      <c r="EY348" s="276" t="str">
        <f>IF(OR(EU$8="判定対象外",EX$8="判定対象外",EX348="-"),"-",IF(EU348=EX348,"OK","NG"))</f>
        <v>OK</v>
      </c>
      <c r="EZ348" s="160"/>
      <c r="FA348" s="162"/>
      <c r="FB348" s="175" t="str">
        <f t="shared" si="582"/>
        <v xml:space="preserve">                                                                                                                                                                                                                                                                                                                                                                                                                </v>
      </c>
      <c r="FC348" s="174" t="str">
        <f t="shared" si="539"/>
        <v>NG</v>
      </c>
      <c r="FD348" s="204"/>
      <c r="FE348" s="276" t="str">
        <f>IF(OR(FA$8="判定対象外",FD$8="判定対象外",FD348="-"),"-",IF(FA348=FD348,"OK","NG"))</f>
        <v>OK</v>
      </c>
      <c r="FF348" s="160"/>
      <c r="FG348" s="162"/>
      <c r="FH348" s="175" t="str">
        <f t="shared" si="583"/>
        <v xml:space="preserve">                                                                                                                                                                                                                                                                                                                                                                                                                </v>
      </c>
      <c r="FI348" s="174" t="str">
        <f t="shared" si="540"/>
        <v>NG</v>
      </c>
      <c r="FJ348" s="204"/>
      <c r="FK348" s="276" t="str">
        <f>IF(OR(FG$8="判定対象外",FJ$8="判定対象外",FJ348="-"),"-",IF(FG348=FJ348,"OK","NG"))</f>
        <v>OK</v>
      </c>
      <c r="FL348" s="160"/>
      <c r="FM348" s="162"/>
      <c r="FN348" s="175" t="str">
        <f t="shared" si="584"/>
        <v xml:space="preserve">                                                                                                                                                                                                                                                                                                                                                                                                                </v>
      </c>
      <c r="FO348" s="174" t="str">
        <f t="shared" si="556"/>
        <v>NG</v>
      </c>
      <c r="FP348" s="204"/>
      <c r="FQ348" s="276" t="str">
        <f>IF(OR(FM$8="判定対象外",FP$8="判定対象外",FP348="-"),"-",IF(FM348=FP348,"OK","NG"))</f>
        <v>OK</v>
      </c>
      <c r="FR348" s="160"/>
      <c r="FS348" s="162"/>
      <c r="FT348" s="175" t="str">
        <f t="shared" si="585"/>
        <v xml:space="preserve">                                                                                                                                                                                                                                                                                                                                                                                                                </v>
      </c>
      <c r="FU348" s="174" t="str">
        <f t="shared" si="557"/>
        <v>NG</v>
      </c>
      <c r="FV348" s="204"/>
      <c r="FW348" s="276" t="str">
        <f>IF(OR(FS$8="判定対象外",FV$8="判定対象外",FV348="-"),"-",IF(FS348=FV348,"OK","NG"))</f>
        <v>OK</v>
      </c>
      <c r="FX348" s="160"/>
      <c r="FY348" s="162"/>
      <c r="FZ348" s="175" t="str">
        <f t="shared" si="586"/>
        <v xml:space="preserve">                                                                                                                                                                                                                                                                                                                                                                                                                </v>
      </c>
      <c r="GA348" s="174" t="str">
        <f t="shared" si="558"/>
        <v>NG</v>
      </c>
      <c r="GB348" s="204"/>
      <c r="GC348" s="276" t="str">
        <f>IF(OR(FY$8="判定対象外",GB$8="判定対象外",GB348="-"),"-",IF(FY348=GB348,"OK","NG"))</f>
        <v>OK</v>
      </c>
    </row>
    <row r="349" spans="2:185" s="52" customFormat="1" ht="63.75">
      <c r="B349" s="216">
        <f t="shared" si="587"/>
        <v>342</v>
      </c>
      <c r="C349" s="37"/>
      <c r="D349" s="37"/>
      <c r="E349" s="37"/>
      <c r="F349" s="49" t="s">
        <v>213</v>
      </c>
      <c r="G349" s="39"/>
      <c r="H349" s="40"/>
      <c r="I349" s="42"/>
      <c r="J349" s="42"/>
      <c r="K349" s="42"/>
      <c r="L349" s="42"/>
      <c r="M349" s="163" t="s">
        <v>335</v>
      </c>
      <c r="N349" s="47"/>
      <c r="O349" s="143"/>
      <c r="P349" s="45">
        <f t="shared" si="561"/>
        <v>315</v>
      </c>
      <c r="Q349" s="46">
        <v>400</v>
      </c>
      <c r="R349" s="41" t="str">
        <f t="shared" si="589"/>
        <v>NX</v>
      </c>
      <c r="S349" s="185" t="s">
        <v>214</v>
      </c>
      <c r="T349" s="43"/>
      <c r="U349" s="41" t="s">
        <v>80</v>
      </c>
      <c r="V349" s="44"/>
      <c r="W349" s="22">
        <v>3</v>
      </c>
      <c r="X349" s="47" t="s">
        <v>215</v>
      </c>
      <c r="Y349" s="47">
        <v>1</v>
      </c>
      <c r="Z349" s="47">
        <v>400</v>
      </c>
      <c r="AA349" s="42" t="s">
        <v>195</v>
      </c>
      <c r="AB349" s="42" t="s">
        <v>80</v>
      </c>
      <c r="AC349" s="166"/>
      <c r="AD349" s="160"/>
      <c r="AE349" s="162"/>
      <c r="AF349" s="146" t="str">
        <f t="shared" si="562"/>
        <v xml:space="preserve">                                                                                                                                                                                                                                                                                                                                                                                                                </v>
      </c>
      <c r="AG349" s="174" t="str">
        <f t="shared" si="542"/>
        <v>NG</v>
      </c>
      <c r="AH349" s="204"/>
      <c r="AI349" s="172" t="s">
        <v>71</v>
      </c>
      <c r="AJ349" s="160"/>
      <c r="AK349" s="162"/>
      <c r="AL349" s="146" t="str">
        <f t="shared" si="559"/>
        <v xml:space="preserve">                                                                                                                                                                                                                                                                                                                                                                                                                </v>
      </c>
      <c r="AM349" s="174" t="str">
        <f t="shared" si="588"/>
        <v>NG</v>
      </c>
      <c r="AN349" s="204"/>
      <c r="AO349" s="172" t="s">
        <v>71</v>
      </c>
      <c r="AP349" s="160"/>
      <c r="AQ349" s="162"/>
      <c r="AR349" s="146" t="str">
        <f t="shared" si="563"/>
        <v xml:space="preserve">                                                                                                                                                                                                                                                                                                                                                                                                                </v>
      </c>
      <c r="AS349" s="174" t="str">
        <f t="shared" si="543"/>
        <v>NG</v>
      </c>
      <c r="AT349" s="204"/>
      <c r="AU349" s="172" t="s">
        <v>71</v>
      </c>
      <c r="AV349" s="160"/>
      <c r="AW349" s="162"/>
      <c r="AX349" s="146" t="str">
        <f t="shared" si="564"/>
        <v xml:space="preserve">                                                                                                                                                                                                                                                                                                                                                                                                                </v>
      </c>
      <c r="AY349" s="174" t="str">
        <f t="shared" si="544"/>
        <v>NG</v>
      </c>
      <c r="AZ349" s="204"/>
      <c r="BA349" s="172" t="s">
        <v>71</v>
      </c>
      <c r="BB349" s="160"/>
      <c r="BC349" s="162"/>
      <c r="BD349" s="146" t="str">
        <f t="shared" si="565"/>
        <v xml:space="preserve">                                                                                                                                                                                                                                                                                                                                                                                                                </v>
      </c>
      <c r="BE349" s="174" t="str">
        <f t="shared" si="545"/>
        <v>NG</v>
      </c>
      <c r="BF349" s="204"/>
      <c r="BG349" s="172" t="s">
        <v>71</v>
      </c>
      <c r="BH349" s="160"/>
      <c r="BI349" s="162"/>
      <c r="BJ349" s="146" t="str">
        <f t="shared" si="566"/>
        <v xml:space="preserve">                                                                                                                                                                                                                                                                                                                                                                                                                </v>
      </c>
      <c r="BK349" s="174" t="str">
        <f t="shared" si="546"/>
        <v>NG</v>
      </c>
      <c r="BL349" s="204"/>
      <c r="BM349" s="172" t="s">
        <v>71</v>
      </c>
      <c r="BN349" s="160"/>
      <c r="BO349" s="162"/>
      <c r="BP349" s="146" t="str">
        <f t="shared" si="567"/>
        <v xml:space="preserve">                                                                                                                                                                                                                                                                                                                                                                                                                </v>
      </c>
      <c r="BQ349" s="174" t="str">
        <f t="shared" si="547"/>
        <v>NG</v>
      </c>
      <c r="BR349" s="204"/>
      <c r="BS349" s="172" t="s">
        <v>71</v>
      </c>
      <c r="BT349" s="160"/>
      <c r="BU349" s="162"/>
      <c r="BV349" s="146" t="str">
        <f t="shared" si="568"/>
        <v xml:space="preserve">                                                                                                                                                                                                                                                                                                                                                                                                                </v>
      </c>
      <c r="BW349" s="174" t="str">
        <f t="shared" si="548"/>
        <v>NG</v>
      </c>
      <c r="BX349" s="204"/>
      <c r="BY349" s="172" t="s">
        <v>71</v>
      </c>
      <c r="BZ349" s="160"/>
      <c r="CA349" s="162"/>
      <c r="CB349" s="146" t="str">
        <f t="shared" si="569"/>
        <v xml:space="preserve">                                                                                                                                                                                                                                                                                                                                                                                                                </v>
      </c>
      <c r="CC349" s="174" t="str">
        <f t="shared" si="549"/>
        <v>NG</v>
      </c>
      <c r="CD349" s="204"/>
      <c r="CE349" s="172" t="s">
        <v>71</v>
      </c>
      <c r="CF349" s="160"/>
      <c r="CG349" s="162"/>
      <c r="CH349" s="146" t="str">
        <f t="shared" si="570"/>
        <v xml:space="preserve">                                                                                                                                                                                                                                                                                                                                                                                                                </v>
      </c>
      <c r="CI349" s="174" t="str">
        <f t="shared" si="550"/>
        <v>NG</v>
      </c>
      <c r="CJ349" s="204"/>
      <c r="CK349" s="172" t="s">
        <v>71</v>
      </c>
      <c r="CL349" s="160"/>
      <c r="CM349" s="162"/>
      <c r="CN349" s="146" t="str">
        <f t="shared" si="571"/>
        <v xml:space="preserve">                                                                                                                                                                                                                                                                                                                                                                                                                </v>
      </c>
      <c r="CO349" s="174" t="str">
        <f t="shared" si="551"/>
        <v>NG</v>
      </c>
      <c r="CP349" s="204"/>
      <c r="CQ349" s="172" t="s">
        <v>71</v>
      </c>
      <c r="CR349" s="160"/>
      <c r="CS349" s="162"/>
      <c r="CT349" s="146" t="str">
        <f t="shared" si="572"/>
        <v xml:space="preserve">                                                                                                                                                                                                                                                                                                                                                                                                                </v>
      </c>
      <c r="CU349" s="174" t="str">
        <f t="shared" si="552"/>
        <v>NG</v>
      </c>
      <c r="CV349" s="204"/>
      <c r="CW349" s="172" t="s">
        <v>71</v>
      </c>
      <c r="CX349" s="160"/>
      <c r="CY349" s="162"/>
      <c r="CZ349" s="146" t="str">
        <f t="shared" si="573"/>
        <v xml:space="preserve">                                                                                                                                                                                                                                                                                                                                                                                                                </v>
      </c>
      <c r="DA349" s="174" t="str">
        <f t="shared" si="553"/>
        <v>NG</v>
      </c>
      <c r="DB349" s="204"/>
      <c r="DC349" s="172" t="s">
        <v>71</v>
      </c>
      <c r="DD349" s="160"/>
      <c r="DE349" s="162"/>
      <c r="DF349" s="146" t="str">
        <f t="shared" si="574"/>
        <v xml:space="preserve">                                                                                                                                                                                                                                                                                                                                                                                                                </v>
      </c>
      <c r="DG349" s="174" t="str">
        <f t="shared" si="554"/>
        <v>NG</v>
      </c>
      <c r="DH349" s="204"/>
      <c r="DI349" s="172" t="s">
        <v>71</v>
      </c>
      <c r="DJ349" s="160"/>
      <c r="DK349" s="162"/>
      <c r="DL349" s="146" t="str">
        <f t="shared" si="575"/>
        <v xml:space="preserve">                                                                                                                                                                                                                                                                                                                                                                                                                </v>
      </c>
      <c r="DM349" s="174" t="str">
        <f t="shared" si="555"/>
        <v>NG</v>
      </c>
      <c r="DN349" s="204"/>
      <c r="DO349" s="172" t="s">
        <v>71</v>
      </c>
      <c r="DP349" s="160"/>
      <c r="DQ349" s="162"/>
      <c r="DR349" s="146" t="str">
        <f t="shared" si="576"/>
        <v xml:space="preserve">                                                                                                                                                                                                                                                                                                                                                                                                                </v>
      </c>
      <c r="DS349" s="174" t="str">
        <f t="shared" si="533"/>
        <v>NG</v>
      </c>
      <c r="DT349" s="204"/>
      <c r="DU349" s="172" t="s">
        <v>71</v>
      </c>
      <c r="DV349" s="160"/>
      <c r="DW349" s="162"/>
      <c r="DX349" s="146" t="str">
        <f t="shared" si="577"/>
        <v xml:space="preserve">                                                                                                                                                                                                                                                                                                                                                                                                                </v>
      </c>
      <c r="DY349" s="174" t="str">
        <f t="shared" si="534"/>
        <v>NG</v>
      </c>
      <c r="DZ349" s="204"/>
      <c r="EA349" s="172" t="s">
        <v>71</v>
      </c>
      <c r="EB349" s="160"/>
      <c r="EC349" s="162"/>
      <c r="ED349" s="146" t="str">
        <f t="shared" si="578"/>
        <v xml:space="preserve">                                                                                                                                                                                                                                                                                                                                                                                                                </v>
      </c>
      <c r="EE349" s="174" t="str">
        <f t="shared" si="535"/>
        <v>NG</v>
      </c>
      <c r="EF349" s="204"/>
      <c r="EG349" s="172" t="s">
        <v>71</v>
      </c>
      <c r="EH349" s="160"/>
      <c r="EI349" s="162"/>
      <c r="EJ349" s="146" t="str">
        <f t="shared" si="579"/>
        <v xml:space="preserve">                                                                                                                                                                                                                                                                                                                                                                                                                </v>
      </c>
      <c r="EK349" s="174" t="str">
        <f t="shared" si="536"/>
        <v>NG</v>
      </c>
      <c r="EL349" s="204"/>
      <c r="EM349" s="172" t="s">
        <v>71</v>
      </c>
      <c r="EN349" s="160"/>
      <c r="EO349" s="162"/>
      <c r="EP349" s="146" t="str">
        <f t="shared" si="580"/>
        <v xml:space="preserve">                                                                                                                                                                                                                                                                                                                                                                                                                </v>
      </c>
      <c r="EQ349" s="174" t="str">
        <f t="shared" si="537"/>
        <v>NG</v>
      </c>
      <c r="ER349" s="204"/>
      <c r="ES349" s="172" t="s">
        <v>71</v>
      </c>
      <c r="ET349" s="160"/>
      <c r="EU349" s="162"/>
      <c r="EV349" s="146" t="str">
        <f t="shared" si="581"/>
        <v xml:space="preserve">                                                                                                                                                                                                                                                                                                                                                                                                                </v>
      </c>
      <c r="EW349" s="174" t="str">
        <f t="shared" si="538"/>
        <v>NG</v>
      </c>
      <c r="EX349" s="204"/>
      <c r="EY349" s="172" t="s">
        <v>71</v>
      </c>
      <c r="EZ349" s="160"/>
      <c r="FA349" s="162"/>
      <c r="FB349" s="146" t="str">
        <f t="shared" si="582"/>
        <v xml:space="preserve">                                                                                                                                                                                                                                                                                                                                                                                                                </v>
      </c>
      <c r="FC349" s="174" t="str">
        <f t="shared" si="539"/>
        <v>NG</v>
      </c>
      <c r="FD349" s="204"/>
      <c r="FE349" s="172" t="s">
        <v>71</v>
      </c>
      <c r="FF349" s="160"/>
      <c r="FG349" s="162"/>
      <c r="FH349" s="146" t="str">
        <f t="shared" si="583"/>
        <v xml:space="preserve">                                                                                                                                                                                                                                                                                                                                                                                                                </v>
      </c>
      <c r="FI349" s="174" t="str">
        <f t="shared" si="540"/>
        <v>NG</v>
      </c>
      <c r="FJ349" s="204"/>
      <c r="FK349" s="172" t="s">
        <v>71</v>
      </c>
      <c r="FL349" s="160"/>
      <c r="FM349" s="162"/>
      <c r="FN349" s="146" t="str">
        <f t="shared" si="584"/>
        <v xml:space="preserve">                                                                                                                                                                                                                                                                                                                                                                                                                </v>
      </c>
      <c r="FO349" s="174" t="str">
        <f t="shared" si="556"/>
        <v>NG</v>
      </c>
      <c r="FP349" s="204"/>
      <c r="FQ349" s="172" t="s">
        <v>71</v>
      </c>
      <c r="FR349" s="160"/>
      <c r="FS349" s="162"/>
      <c r="FT349" s="146" t="str">
        <f t="shared" si="585"/>
        <v xml:space="preserve">                                                                                                                                                                                                                                                                                                                                                                                                                </v>
      </c>
      <c r="FU349" s="174" t="str">
        <f t="shared" si="557"/>
        <v>NG</v>
      </c>
      <c r="FV349" s="204"/>
      <c r="FW349" s="172" t="s">
        <v>71</v>
      </c>
      <c r="FX349" s="160"/>
      <c r="FY349" s="162"/>
      <c r="FZ349" s="146" t="str">
        <f t="shared" si="586"/>
        <v xml:space="preserve">                                                                                                                                                                                                                                                                                                                                                                                                                </v>
      </c>
      <c r="GA349" s="174" t="str">
        <f t="shared" si="558"/>
        <v>NG</v>
      </c>
      <c r="GB349" s="204"/>
      <c r="GC349" s="172" t="s">
        <v>71</v>
      </c>
    </row>
    <row r="350" spans="2:185" s="52" customFormat="1">
      <c r="B350" s="216">
        <f t="shared" si="587"/>
        <v>343</v>
      </c>
      <c r="C350" s="37"/>
      <c r="D350" s="37"/>
      <c r="E350" s="37"/>
      <c r="F350" s="49" t="s">
        <v>216</v>
      </c>
      <c r="G350" s="39"/>
      <c r="H350" s="40"/>
      <c r="I350" s="42"/>
      <c r="J350" s="42"/>
      <c r="K350" s="42"/>
      <c r="L350" s="42"/>
      <c r="M350" s="63" t="s">
        <v>336</v>
      </c>
      <c r="N350" s="47"/>
      <c r="O350" s="143"/>
      <c r="P350" s="45">
        <f t="shared" si="561"/>
        <v>316</v>
      </c>
      <c r="Q350" s="46">
        <v>400</v>
      </c>
      <c r="R350" s="41" t="str">
        <f t="shared" si="589"/>
        <v>NX</v>
      </c>
      <c r="S350" s="185" t="s">
        <v>217</v>
      </c>
      <c r="T350" s="43"/>
      <c r="U350" s="41" t="s">
        <v>80</v>
      </c>
      <c r="V350" s="44"/>
      <c r="W350" s="22">
        <v>3</v>
      </c>
      <c r="X350" s="47" t="s">
        <v>218</v>
      </c>
      <c r="Y350" s="47">
        <v>1</v>
      </c>
      <c r="Z350" s="47">
        <v>400</v>
      </c>
      <c r="AA350" s="42" t="s">
        <v>195</v>
      </c>
      <c r="AB350" s="42" t="s">
        <v>80</v>
      </c>
      <c r="AC350" s="166"/>
      <c r="AD350" s="160"/>
      <c r="AE350" s="141"/>
      <c r="AF350" s="146" t="str">
        <f t="shared" si="562"/>
        <v xml:space="preserve">                                                                                                                                                                                                                                                                                                                                                                                                                </v>
      </c>
      <c r="AG350" s="174" t="str">
        <f t="shared" si="542"/>
        <v>NG</v>
      </c>
      <c r="AH350" s="203"/>
      <c r="AI350" s="172" t="s">
        <v>71</v>
      </c>
      <c r="AJ350" s="160"/>
      <c r="AK350" s="141"/>
      <c r="AL350" s="146" t="str">
        <f t="shared" si="559"/>
        <v xml:space="preserve">                                                                                                                                                                                                                                                                                                                                                                                                                </v>
      </c>
      <c r="AM350" s="174" t="str">
        <f t="shared" si="588"/>
        <v>NG</v>
      </c>
      <c r="AN350" s="203"/>
      <c r="AO350" s="172" t="s">
        <v>71</v>
      </c>
      <c r="AP350" s="160"/>
      <c r="AQ350" s="141"/>
      <c r="AR350" s="146" t="str">
        <f t="shared" si="563"/>
        <v xml:space="preserve">                                                                                                                                                                                                                                                                                                                                                                                                                </v>
      </c>
      <c r="AS350" s="174" t="str">
        <f t="shared" si="543"/>
        <v>NG</v>
      </c>
      <c r="AT350" s="203"/>
      <c r="AU350" s="172" t="s">
        <v>71</v>
      </c>
      <c r="AV350" s="160"/>
      <c r="AW350" s="141"/>
      <c r="AX350" s="146" t="str">
        <f t="shared" si="564"/>
        <v xml:space="preserve">                                                                                                                                                                                                                                                                                                                                                                                                                </v>
      </c>
      <c r="AY350" s="174" t="str">
        <f t="shared" si="544"/>
        <v>NG</v>
      </c>
      <c r="AZ350" s="203"/>
      <c r="BA350" s="172" t="s">
        <v>71</v>
      </c>
      <c r="BB350" s="160"/>
      <c r="BC350" s="141"/>
      <c r="BD350" s="146" t="str">
        <f t="shared" si="565"/>
        <v xml:space="preserve">                                                                                                                                                                                                                                                                                                                                                                                                                </v>
      </c>
      <c r="BE350" s="174" t="str">
        <f t="shared" si="545"/>
        <v>NG</v>
      </c>
      <c r="BF350" s="203"/>
      <c r="BG350" s="172" t="s">
        <v>71</v>
      </c>
      <c r="BH350" s="160"/>
      <c r="BI350" s="141"/>
      <c r="BJ350" s="146" t="str">
        <f t="shared" si="566"/>
        <v xml:space="preserve">                                                                                                                                                                                                                                                                                                                                                                                                                </v>
      </c>
      <c r="BK350" s="174" t="str">
        <f t="shared" si="546"/>
        <v>NG</v>
      </c>
      <c r="BL350" s="203"/>
      <c r="BM350" s="172" t="s">
        <v>71</v>
      </c>
      <c r="BN350" s="160"/>
      <c r="BO350" s="141"/>
      <c r="BP350" s="146" t="str">
        <f t="shared" si="567"/>
        <v xml:space="preserve">                                                                                                                                                                                                                                                                                                                                                                                                                </v>
      </c>
      <c r="BQ350" s="174" t="str">
        <f t="shared" si="547"/>
        <v>NG</v>
      </c>
      <c r="BR350" s="203"/>
      <c r="BS350" s="172" t="s">
        <v>71</v>
      </c>
      <c r="BT350" s="160"/>
      <c r="BU350" s="141"/>
      <c r="BV350" s="146" t="str">
        <f t="shared" si="568"/>
        <v xml:space="preserve">                                                                                                                                                                                                                                                                                                                                                                                                                </v>
      </c>
      <c r="BW350" s="174" t="str">
        <f t="shared" si="548"/>
        <v>NG</v>
      </c>
      <c r="BX350" s="203"/>
      <c r="BY350" s="172" t="s">
        <v>71</v>
      </c>
      <c r="BZ350" s="160"/>
      <c r="CA350" s="141"/>
      <c r="CB350" s="146" t="str">
        <f t="shared" si="569"/>
        <v xml:space="preserve">                                                                                                                                                                                                                                                                                                                                                                                                                </v>
      </c>
      <c r="CC350" s="174" t="str">
        <f t="shared" si="549"/>
        <v>NG</v>
      </c>
      <c r="CD350" s="203"/>
      <c r="CE350" s="172" t="s">
        <v>71</v>
      </c>
      <c r="CF350" s="160"/>
      <c r="CG350" s="141"/>
      <c r="CH350" s="146" t="str">
        <f t="shared" si="570"/>
        <v xml:space="preserve">                                                                                                                                                                                                                                                                                                                                                                                                                </v>
      </c>
      <c r="CI350" s="174" t="str">
        <f t="shared" si="550"/>
        <v>NG</v>
      </c>
      <c r="CJ350" s="203"/>
      <c r="CK350" s="172" t="s">
        <v>71</v>
      </c>
      <c r="CL350" s="160"/>
      <c r="CM350" s="141"/>
      <c r="CN350" s="146" t="str">
        <f t="shared" si="571"/>
        <v xml:space="preserve">                                                                                                                                                                                                                                                                                                                                                                                                                </v>
      </c>
      <c r="CO350" s="174" t="str">
        <f t="shared" si="551"/>
        <v>NG</v>
      </c>
      <c r="CP350" s="203"/>
      <c r="CQ350" s="172" t="s">
        <v>71</v>
      </c>
      <c r="CR350" s="160"/>
      <c r="CS350" s="141"/>
      <c r="CT350" s="146" t="str">
        <f t="shared" si="572"/>
        <v xml:space="preserve">                                                                                                                                                                                                                                                                                                                                                                                                                </v>
      </c>
      <c r="CU350" s="174" t="str">
        <f t="shared" si="552"/>
        <v>NG</v>
      </c>
      <c r="CV350" s="203"/>
      <c r="CW350" s="172" t="s">
        <v>71</v>
      </c>
      <c r="CX350" s="160"/>
      <c r="CY350" s="141"/>
      <c r="CZ350" s="146" t="str">
        <f t="shared" si="573"/>
        <v xml:space="preserve">                                                                                                                                                                                                                                                                                                                                                                                                                </v>
      </c>
      <c r="DA350" s="174" t="str">
        <f t="shared" si="553"/>
        <v>NG</v>
      </c>
      <c r="DB350" s="203"/>
      <c r="DC350" s="172" t="s">
        <v>71</v>
      </c>
      <c r="DD350" s="160"/>
      <c r="DE350" s="141"/>
      <c r="DF350" s="146" t="str">
        <f t="shared" si="574"/>
        <v xml:space="preserve">                                                                                                                                                                                                                                                                                                                                                                                                                </v>
      </c>
      <c r="DG350" s="174" t="str">
        <f t="shared" si="554"/>
        <v>NG</v>
      </c>
      <c r="DH350" s="203"/>
      <c r="DI350" s="172" t="s">
        <v>71</v>
      </c>
      <c r="DJ350" s="160"/>
      <c r="DK350" s="141"/>
      <c r="DL350" s="146" t="str">
        <f t="shared" si="575"/>
        <v xml:space="preserve">                                                                                                                                                                                                                                                                                                                                                                                                                </v>
      </c>
      <c r="DM350" s="174" t="str">
        <f t="shared" si="555"/>
        <v>NG</v>
      </c>
      <c r="DN350" s="203"/>
      <c r="DO350" s="172" t="s">
        <v>71</v>
      </c>
      <c r="DP350" s="160"/>
      <c r="DQ350" s="141"/>
      <c r="DR350" s="146" t="str">
        <f t="shared" si="576"/>
        <v xml:space="preserve">                                                                                                                                                                                                                                                                                                                                                                                                                </v>
      </c>
      <c r="DS350" s="174" t="str">
        <f t="shared" si="533"/>
        <v>NG</v>
      </c>
      <c r="DT350" s="203"/>
      <c r="DU350" s="172" t="s">
        <v>71</v>
      </c>
      <c r="DV350" s="160"/>
      <c r="DW350" s="141"/>
      <c r="DX350" s="146" t="str">
        <f t="shared" si="577"/>
        <v xml:space="preserve">                                                                                                                                                                                                                                                                                                                                                                                                                </v>
      </c>
      <c r="DY350" s="174" t="str">
        <f t="shared" si="534"/>
        <v>NG</v>
      </c>
      <c r="DZ350" s="203"/>
      <c r="EA350" s="172" t="s">
        <v>71</v>
      </c>
      <c r="EB350" s="160"/>
      <c r="EC350" s="141"/>
      <c r="ED350" s="146" t="str">
        <f t="shared" si="578"/>
        <v xml:space="preserve">                                                                                                                                                                                                                                                                                                                                                                                                                </v>
      </c>
      <c r="EE350" s="174" t="str">
        <f t="shared" si="535"/>
        <v>NG</v>
      </c>
      <c r="EF350" s="203"/>
      <c r="EG350" s="172" t="s">
        <v>71</v>
      </c>
      <c r="EH350" s="160"/>
      <c r="EI350" s="141"/>
      <c r="EJ350" s="146" t="str">
        <f t="shared" si="579"/>
        <v xml:space="preserve">                                                                                                                                                                                                                                                                                                                                                                                                                </v>
      </c>
      <c r="EK350" s="174" t="str">
        <f t="shared" si="536"/>
        <v>NG</v>
      </c>
      <c r="EL350" s="203"/>
      <c r="EM350" s="172" t="s">
        <v>71</v>
      </c>
      <c r="EN350" s="160"/>
      <c r="EO350" s="141"/>
      <c r="EP350" s="146" t="str">
        <f t="shared" si="580"/>
        <v xml:space="preserve">                                                                                                                                                                                                                                                                                                                                                                                                                </v>
      </c>
      <c r="EQ350" s="174" t="str">
        <f t="shared" si="537"/>
        <v>NG</v>
      </c>
      <c r="ER350" s="203"/>
      <c r="ES350" s="172" t="s">
        <v>71</v>
      </c>
      <c r="ET350" s="160"/>
      <c r="EU350" s="141"/>
      <c r="EV350" s="146" t="str">
        <f t="shared" si="581"/>
        <v xml:space="preserve">                                                                                                                                                                                                                                                                                                                                                                                                                </v>
      </c>
      <c r="EW350" s="174" t="str">
        <f t="shared" si="538"/>
        <v>NG</v>
      </c>
      <c r="EX350" s="203"/>
      <c r="EY350" s="172" t="s">
        <v>71</v>
      </c>
      <c r="EZ350" s="160"/>
      <c r="FA350" s="141"/>
      <c r="FB350" s="146" t="str">
        <f t="shared" si="582"/>
        <v xml:space="preserve">                                                                                                                                                                                                                                                                                                                                                                                                                </v>
      </c>
      <c r="FC350" s="174" t="str">
        <f t="shared" si="539"/>
        <v>NG</v>
      </c>
      <c r="FD350" s="203"/>
      <c r="FE350" s="172" t="s">
        <v>71</v>
      </c>
      <c r="FF350" s="160"/>
      <c r="FG350" s="141"/>
      <c r="FH350" s="146" t="str">
        <f t="shared" si="583"/>
        <v xml:space="preserve">                                                                                                                                                                                                                                                                                                                                                                                                                </v>
      </c>
      <c r="FI350" s="174" t="str">
        <f t="shared" si="540"/>
        <v>NG</v>
      </c>
      <c r="FJ350" s="203"/>
      <c r="FK350" s="172" t="s">
        <v>71</v>
      </c>
      <c r="FL350" s="160"/>
      <c r="FM350" s="141"/>
      <c r="FN350" s="146" t="str">
        <f t="shared" si="584"/>
        <v xml:space="preserve">                                                                                                                                                                                                                                                                                                                                                                                                                </v>
      </c>
      <c r="FO350" s="174" t="str">
        <f t="shared" si="556"/>
        <v>NG</v>
      </c>
      <c r="FP350" s="203"/>
      <c r="FQ350" s="172" t="s">
        <v>71</v>
      </c>
      <c r="FR350" s="160"/>
      <c r="FS350" s="141"/>
      <c r="FT350" s="146" t="str">
        <f t="shared" si="585"/>
        <v xml:space="preserve">                                                                                                                                                                                                                                                                                                                                                                                                                </v>
      </c>
      <c r="FU350" s="174" t="str">
        <f t="shared" si="557"/>
        <v>NG</v>
      </c>
      <c r="FV350" s="203"/>
      <c r="FW350" s="172" t="s">
        <v>71</v>
      </c>
      <c r="FX350" s="160"/>
      <c r="FY350" s="141"/>
      <c r="FZ350" s="146" t="str">
        <f t="shared" si="586"/>
        <v xml:space="preserve">                                                                                                                                                                                                                                                                                                                                                                                                                </v>
      </c>
      <c r="GA350" s="174" t="str">
        <f t="shared" si="558"/>
        <v>NG</v>
      </c>
      <c r="GB350" s="203"/>
      <c r="GC350" s="172" t="s">
        <v>71</v>
      </c>
    </row>
    <row r="351" spans="2:185" s="52" customFormat="1" ht="76.5">
      <c r="B351" s="216">
        <f t="shared" si="587"/>
        <v>344</v>
      </c>
      <c r="C351" s="37"/>
      <c r="D351" s="37"/>
      <c r="E351" s="37"/>
      <c r="F351" s="49" t="s">
        <v>219</v>
      </c>
      <c r="G351" s="39"/>
      <c r="H351" s="40"/>
      <c r="I351" s="42"/>
      <c r="J351" s="42"/>
      <c r="K351" s="42"/>
      <c r="L351" s="42"/>
      <c r="M351" s="63" t="s">
        <v>337</v>
      </c>
      <c r="N351" s="47"/>
      <c r="O351" s="143"/>
      <c r="P351" s="45">
        <f t="shared" si="561"/>
        <v>317</v>
      </c>
      <c r="Q351" s="46">
        <v>400</v>
      </c>
      <c r="R351" s="41" t="str">
        <f t="shared" si="589"/>
        <v>NX</v>
      </c>
      <c r="S351" s="185" t="s">
        <v>220</v>
      </c>
      <c r="T351" s="43"/>
      <c r="U351" s="41" t="s">
        <v>80</v>
      </c>
      <c r="V351" s="44"/>
      <c r="W351" s="22">
        <v>3</v>
      </c>
      <c r="X351" s="47" t="s">
        <v>221</v>
      </c>
      <c r="Y351" s="47">
        <v>1</v>
      </c>
      <c r="Z351" s="47">
        <v>400</v>
      </c>
      <c r="AA351" s="42" t="s">
        <v>195</v>
      </c>
      <c r="AB351" s="42" t="s">
        <v>80</v>
      </c>
      <c r="AC351" s="166"/>
      <c r="AD351" s="160"/>
      <c r="AE351" s="141"/>
      <c r="AF351" s="146" t="str">
        <f t="shared" si="562"/>
        <v xml:space="preserve">                                                                                                                                                                                                                                                                                                                                                                                                                </v>
      </c>
      <c r="AG351" s="174" t="str">
        <f t="shared" si="542"/>
        <v>NG</v>
      </c>
      <c r="AH351" s="203"/>
      <c r="AI351" s="172" t="s">
        <v>71</v>
      </c>
      <c r="AJ351" s="160"/>
      <c r="AK351" s="141"/>
      <c r="AL351" s="146" t="str">
        <f t="shared" si="559"/>
        <v xml:space="preserve">                                                                                                                                                                                                                                                                                                                                                                                                                </v>
      </c>
      <c r="AM351" s="174" t="str">
        <f t="shared" si="588"/>
        <v>NG</v>
      </c>
      <c r="AN351" s="203"/>
      <c r="AO351" s="172" t="s">
        <v>71</v>
      </c>
      <c r="AP351" s="160"/>
      <c r="AQ351" s="141"/>
      <c r="AR351" s="146" t="str">
        <f t="shared" si="563"/>
        <v xml:space="preserve">                                                                                                                                                                                                                                                                                                                                                                                                                </v>
      </c>
      <c r="AS351" s="174" t="str">
        <f t="shared" si="543"/>
        <v>NG</v>
      </c>
      <c r="AT351" s="203"/>
      <c r="AU351" s="172" t="s">
        <v>71</v>
      </c>
      <c r="AV351" s="160"/>
      <c r="AW351" s="141"/>
      <c r="AX351" s="146" t="str">
        <f t="shared" si="564"/>
        <v xml:space="preserve">                                                                                                                                                                                                                                                                                                                                                                                                                </v>
      </c>
      <c r="AY351" s="174" t="str">
        <f t="shared" si="544"/>
        <v>NG</v>
      </c>
      <c r="AZ351" s="203"/>
      <c r="BA351" s="172" t="s">
        <v>71</v>
      </c>
      <c r="BB351" s="160"/>
      <c r="BC351" s="141"/>
      <c r="BD351" s="146" t="str">
        <f t="shared" si="565"/>
        <v xml:space="preserve">                                                                                                                                                                                                                                                                                                                                                                                                                </v>
      </c>
      <c r="BE351" s="174" t="str">
        <f t="shared" si="545"/>
        <v>NG</v>
      </c>
      <c r="BF351" s="203"/>
      <c r="BG351" s="172" t="s">
        <v>71</v>
      </c>
      <c r="BH351" s="160"/>
      <c r="BI351" s="141"/>
      <c r="BJ351" s="146" t="str">
        <f t="shared" si="566"/>
        <v xml:space="preserve">                                                                                                                                                                                                                                                                                                                                                                                                                </v>
      </c>
      <c r="BK351" s="174" t="str">
        <f t="shared" si="546"/>
        <v>NG</v>
      </c>
      <c r="BL351" s="203"/>
      <c r="BM351" s="172" t="s">
        <v>71</v>
      </c>
      <c r="BN351" s="160"/>
      <c r="BO351" s="141"/>
      <c r="BP351" s="146" t="str">
        <f t="shared" si="567"/>
        <v xml:space="preserve">                                                                                                                                                                                                                                                                                                                                                                                                                </v>
      </c>
      <c r="BQ351" s="174" t="str">
        <f t="shared" si="547"/>
        <v>NG</v>
      </c>
      <c r="BR351" s="203"/>
      <c r="BS351" s="172" t="s">
        <v>71</v>
      </c>
      <c r="BT351" s="160"/>
      <c r="BU351" s="141"/>
      <c r="BV351" s="146" t="str">
        <f t="shared" si="568"/>
        <v xml:space="preserve">                                                                                                                                                                                                                                                                                                                                                                                                                </v>
      </c>
      <c r="BW351" s="174" t="str">
        <f t="shared" si="548"/>
        <v>NG</v>
      </c>
      <c r="BX351" s="203"/>
      <c r="BY351" s="172" t="s">
        <v>71</v>
      </c>
      <c r="BZ351" s="160"/>
      <c r="CA351" s="141"/>
      <c r="CB351" s="146" t="str">
        <f t="shared" si="569"/>
        <v xml:space="preserve">                                                                                                                                                                                                                                                                                                                                                                                                                </v>
      </c>
      <c r="CC351" s="174" t="str">
        <f t="shared" si="549"/>
        <v>NG</v>
      </c>
      <c r="CD351" s="203"/>
      <c r="CE351" s="172" t="s">
        <v>71</v>
      </c>
      <c r="CF351" s="160"/>
      <c r="CG351" s="141"/>
      <c r="CH351" s="146" t="str">
        <f t="shared" si="570"/>
        <v xml:space="preserve">                                                                                                                                                                                                                                                                                                                                                                                                                </v>
      </c>
      <c r="CI351" s="174" t="str">
        <f t="shared" si="550"/>
        <v>NG</v>
      </c>
      <c r="CJ351" s="203"/>
      <c r="CK351" s="172" t="s">
        <v>71</v>
      </c>
      <c r="CL351" s="160"/>
      <c r="CM351" s="141"/>
      <c r="CN351" s="146" t="str">
        <f t="shared" si="571"/>
        <v xml:space="preserve">                                                                                                                                                                                                                                                                                                                                                                                                                </v>
      </c>
      <c r="CO351" s="174" t="str">
        <f t="shared" si="551"/>
        <v>NG</v>
      </c>
      <c r="CP351" s="203"/>
      <c r="CQ351" s="172" t="s">
        <v>71</v>
      </c>
      <c r="CR351" s="160"/>
      <c r="CS351" s="141"/>
      <c r="CT351" s="146" t="str">
        <f t="shared" si="572"/>
        <v xml:space="preserve">                                                                                                                                                                                                                                                                                                                                                                                                                </v>
      </c>
      <c r="CU351" s="174" t="str">
        <f t="shared" si="552"/>
        <v>NG</v>
      </c>
      <c r="CV351" s="203"/>
      <c r="CW351" s="172" t="s">
        <v>71</v>
      </c>
      <c r="CX351" s="160"/>
      <c r="CY351" s="141"/>
      <c r="CZ351" s="146" t="str">
        <f t="shared" si="573"/>
        <v xml:space="preserve">                                                                                                                                                                                                                                                                                                                                                                                                                </v>
      </c>
      <c r="DA351" s="174" t="str">
        <f t="shared" si="553"/>
        <v>NG</v>
      </c>
      <c r="DB351" s="203"/>
      <c r="DC351" s="172" t="s">
        <v>71</v>
      </c>
      <c r="DD351" s="160"/>
      <c r="DE351" s="141"/>
      <c r="DF351" s="146" t="str">
        <f t="shared" si="574"/>
        <v xml:space="preserve">                                                                                                                                                                                                                                                                                                                                                                                                                </v>
      </c>
      <c r="DG351" s="174" t="str">
        <f t="shared" si="554"/>
        <v>NG</v>
      </c>
      <c r="DH351" s="203"/>
      <c r="DI351" s="172" t="s">
        <v>71</v>
      </c>
      <c r="DJ351" s="160"/>
      <c r="DK351" s="141"/>
      <c r="DL351" s="146" t="str">
        <f t="shared" si="575"/>
        <v xml:space="preserve">                                                                                                                                                                                                                                                                                                                                                                                                                </v>
      </c>
      <c r="DM351" s="174" t="str">
        <f t="shared" si="555"/>
        <v>NG</v>
      </c>
      <c r="DN351" s="203"/>
      <c r="DO351" s="172" t="s">
        <v>71</v>
      </c>
      <c r="DP351" s="160"/>
      <c r="DQ351" s="141"/>
      <c r="DR351" s="146" t="str">
        <f t="shared" si="576"/>
        <v xml:space="preserve">                                                                                                                                                                                                                                                                                                                                                                                                                </v>
      </c>
      <c r="DS351" s="174" t="str">
        <f t="shared" si="533"/>
        <v>NG</v>
      </c>
      <c r="DT351" s="203"/>
      <c r="DU351" s="172" t="s">
        <v>71</v>
      </c>
      <c r="DV351" s="160"/>
      <c r="DW351" s="141"/>
      <c r="DX351" s="146" t="str">
        <f t="shared" si="577"/>
        <v xml:space="preserve">                                                                                                                                                                                                                                                                                                                                                                                                                </v>
      </c>
      <c r="DY351" s="174" t="str">
        <f t="shared" si="534"/>
        <v>NG</v>
      </c>
      <c r="DZ351" s="203"/>
      <c r="EA351" s="172" t="s">
        <v>71</v>
      </c>
      <c r="EB351" s="160"/>
      <c r="EC351" s="141"/>
      <c r="ED351" s="146" t="str">
        <f t="shared" si="578"/>
        <v xml:space="preserve">                                                                                                                                                                                                                                                                                                                                                                                                                </v>
      </c>
      <c r="EE351" s="174" t="str">
        <f t="shared" si="535"/>
        <v>NG</v>
      </c>
      <c r="EF351" s="203"/>
      <c r="EG351" s="172" t="s">
        <v>71</v>
      </c>
      <c r="EH351" s="160"/>
      <c r="EI351" s="141"/>
      <c r="EJ351" s="146" t="str">
        <f t="shared" si="579"/>
        <v xml:space="preserve">                                                                                                                                                                                                                                                                                                                                                                                                                </v>
      </c>
      <c r="EK351" s="174" t="str">
        <f t="shared" si="536"/>
        <v>NG</v>
      </c>
      <c r="EL351" s="203"/>
      <c r="EM351" s="172" t="s">
        <v>71</v>
      </c>
      <c r="EN351" s="160"/>
      <c r="EO351" s="141"/>
      <c r="EP351" s="146" t="str">
        <f t="shared" si="580"/>
        <v xml:space="preserve">                                                                                                                                                                                                                                                                                                                                                                                                                </v>
      </c>
      <c r="EQ351" s="174" t="str">
        <f t="shared" si="537"/>
        <v>NG</v>
      </c>
      <c r="ER351" s="203"/>
      <c r="ES351" s="172" t="s">
        <v>71</v>
      </c>
      <c r="ET351" s="160"/>
      <c r="EU351" s="141"/>
      <c r="EV351" s="146" t="str">
        <f t="shared" si="581"/>
        <v xml:space="preserve">                                                                                                                                                                                                                                                                                                                                                                                                                </v>
      </c>
      <c r="EW351" s="174" t="str">
        <f t="shared" si="538"/>
        <v>NG</v>
      </c>
      <c r="EX351" s="203"/>
      <c r="EY351" s="172" t="s">
        <v>71</v>
      </c>
      <c r="EZ351" s="160"/>
      <c r="FA351" s="141"/>
      <c r="FB351" s="146" t="str">
        <f t="shared" si="582"/>
        <v xml:space="preserve">                                                                                                                                                                                                                                                                                                                                                                                                                </v>
      </c>
      <c r="FC351" s="174" t="str">
        <f t="shared" si="539"/>
        <v>NG</v>
      </c>
      <c r="FD351" s="203"/>
      <c r="FE351" s="172" t="s">
        <v>71</v>
      </c>
      <c r="FF351" s="160"/>
      <c r="FG351" s="141"/>
      <c r="FH351" s="146" t="str">
        <f t="shared" si="583"/>
        <v xml:space="preserve">                                                                                                                                                                                                                                                                                                                                                                                                                </v>
      </c>
      <c r="FI351" s="174" t="str">
        <f t="shared" si="540"/>
        <v>NG</v>
      </c>
      <c r="FJ351" s="203"/>
      <c r="FK351" s="172" t="s">
        <v>71</v>
      </c>
      <c r="FL351" s="160"/>
      <c r="FM351" s="141"/>
      <c r="FN351" s="146" t="str">
        <f t="shared" si="584"/>
        <v xml:space="preserve">                                                                                                                                                                                                                                                                                                                                                                                                                </v>
      </c>
      <c r="FO351" s="174" t="str">
        <f t="shared" si="556"/>
        <v>NG</v>
      </c>
      <c r="FP351" s="203"/>
      <c r="FQ351" s="172" t="s">
        <v>71</v>
      </c>
      <c r="FR351" s="160"/>
      <c r="FS351" s="141"/>
      <c r="FT351" s="146" t="str">
        <f t="shared" si="585"/>
        <v xml:space="preserve">                                                                                                                                                                                                                                                                                                                                                                                                                </v>
      </c>
      <c r="FU351" s="174" t="str">
        <f t="shared" si="557"/>
        <v>NG</v>
      </c>
      <c r="FV351" s="203"/>
      <c r="FW351" s="172" t="s">
        <v>71</v>
      </c>
      <c r="FX351" s="160"/>
      <c r="FY351" s="141"/>
      <c r="FZ351" s="146" t="str">
        <f t="shared" si="586"/>
        <v xml:space="preserve">                                                                                                                                                                                                                                                                                                                                                                                                                </v>
      </c>
      <c r="GA351" s="174" t="str">
        <f t="shared" si="558"/>
        <v>NG</v>
      </c>
      <c r="GB351" s="203"/>
      <c r="GC351" s="172" t="s">
        <v>71</v>
      </c>
    </row>
    <row r="352" spans="2:185" s="52" customFormat="1">
      <c r="B352" s="216">
        <f t="shared" si="587"/>
        <v>345</v>
      </c>
      <c r="C352" s="37"/>
      <c r="D352" s="37"/>
      <c r="E352" s="37"/>
      <c r="F352" s="49" t="s">
        <v>222</v>
      </c>
      <c r="G352" s="39"/>
      <c r="H352" s="40"/>
      <c r="I352" s="42"/>
      <c r="J352" s="42"/>
      <c r="K352" s="42"/>
      <c r="L352" s="42"/>
      <c r="M352" s="63" t="s">
        <v>336</v>
      </c>
      <c r="N352" s="47"/>
      <c r="O352" s="143"/>
      <c r="P352" s="45">
        <f t="shared" si="561"/>
        <v>318</v>
      </c>
      <c r="Q352" s="46">
        <v>400</v>
      </c>
      <c r="R352" s="41" t="str">
        <f t="shared" si="589"/>
        <v>NX</v>
      </c>
      <c r="S352" s="185" t="s">
        <v>223</v>
      </c>
      <c r="T352" s="43"/>
      <c r="U352" s="41" t="s">
        <v>80</v>
      </c>
      <c r="V352" s="44"/>
      <c r="W352" s="22">
        <v>3</v>
      </c>
      <c r="X352" s="47" t="s">
        <v>224</v>
      </c>
      <c r="Y352" s="47">
        <v>1</v>
      </c>
      <c r="Z352" s="47">
        <v>400</v>
      </c>
      <c r="AA352" s="42" t="s">
        <v>195</v>
      </c>
      <c r="AB352" s="42" t="s">
        <v>80</v>
      </c>
      <c r="AC352" s="166"/>
      <c r="AD352" s="160"/>
      <c r="AE352" s="141"/>
      <c r="AF352" s="146" t="str">
        <f t="shared" si="562"/>
        <v xml:space="preserve">                                                                                                                                                                                                                                                                                                                                                                                                                </v>
      </c>
      <c r="AG352" s="174" t="str">
        <f t="shared" si="542"/>
        <v>NG</v>
      </c>
      <c r="AH352" s="203"/>
      <c r="AI352" s="172" t="s">
        <v>71</v>
      </c>
      <c r="AJ352" s="160"/>
      <c r="AK352" s="141"/>
      <c r="AL352" s="146" t="str">
        <f t="shared" si="559"/>
        <v xml:space="preserve">                                                                                                                                                                                                                                                                                                                                                                                                                </v>
      </c>
      <c r="AM352" s="174" t="str">
        <f t="shared" si="588"/>
        <v>NG</v>
      </c>
      <c r="AN352" s="203"/>
      <c r="AO352" s="172" t="s">
        <v>71</v>
      </c>
      <c r="AP352" s="160"/>
      <c r="AQ352" s="141"/>
      <c r="AR352" s="146" t="str">
        <f t="shared" si="563"/>
        <v xml:space="preserve">                                                                                                                                                                                                                                                                                                                                                                                                                </v>
      </c>
      <c r="AS352" s="174" t="str">
        <f t="shared" si="543"/>
        <v>NG</v>
      </c>
      <c r="AT352" s="203"/>
      <c r="AU352" s="172" t="s">
        <v>71</v>
      </c>
      <c r="AV352" s="160"/>
      <c r="AW352" s="141"/>
      <c r="AX352" s="146" t="str">
        <f t="shared" si="564"/>
        <v xml:space="preserve">                                                                                                                                                                                                                                                                                                                                                                                                                </v>
      </c>
      <c r="AY352" s="174" t="str">
        <f t="shared" si="544"/>
        <v>NG</v>
      </c>
      <c r="AZ352" s="203"/>
      <c r="BA352" s="172" t="s">
        <v>71</v>
      </c>
      <c r="BB352" s="160"/>
      <c r="BC352" s="141"/>
      <c r="BD352" s="146" t="str">
        <f t="shared" si="565"/>
        <v xml:space="preserve">                                                                                                                                                                                                                                                                                                                                                                                                                </v>
      </c>
      <c r="BE352" s="174" t="str">
        <f t="shared" si="545"/>
        <v>NG</v>
      </c>
      <c r="BF352" s="203"/>
      <c r="BG352" s="172" t="s">
        <v>71</v>
      </c>
      <c r="BH352" s="160"/>
      <c r="BI352" s="141"/>
      <c r="BJ352" s="146" t="str">
        <f t="shared" si="566"/>
        <v xml:space="preserve">                                                                                                                                                                                                                                                                                                                                                                                                                </v>
      </c>
      <c r="BK352" s="174" t="str">
        <f t="shared" si="546"/>
        <v>NG</v>
      </c>
      <c r="BL352" s="203"/>
      <c r="BM352" s="172" t="s">
        <v>71</v>
      </c>
      <c r="BN352" s="160"/>
      <c r="BO352" s="141"/>
      <c r="BP352" s="146" t="str">
        <f t="shared" si="567"/>
        <v xml:space="preserve">                                                                                                                                                                                                                                                                                                                                                                                                                </v>
      </c>
      <c r="BQ352" s="174" t="str">
        <f t="shared" si="547"/>
        <v>NG</v>
      </c>
      <c r="BR352" s="203"/>
      <c r="BS352" s="172" t="s">
        <v>71</v>
      </c>
      <c r="BT352" s="160"/>
      <c r="BU352" s="141"/>
      <c r="BV352" s="146" t="str">
        <f t="shared" si="568"/>
        <v xml:space="preserve">                                                                                                                                                                                                                                                                                                                                                                                                                </v>
      </c>
      <c r="BW352" s="174" t="str">
        <f t="shared" si="548"/>
        <v>NG</v>
      </c>
      <c r="BX352" s="203"/>
      <c r="BY352" s="172" t="s">
        <v>71</v>
      </c>
      <c r="BZ352" s="160"/>
      <c r="CA352" s="141"/>
      <c r="CB352" s="146" t="str">
        <f t="shared" si="569"/>
        <v xml:space="preserve">                                                                                                                                                                                                                                                                                                                                                                                                                </v>
      </c>
      <c r="CC352" s="174" t="str">
        <f t="shared" si="549"/>
        <v>NG</v>
      </c>
      <c r="CD352" s="203"/>
      <c r="CE352" s="172" t="s">
        <v>71</v>
      </c>
      <c r="CF352" s="160"/>
      <c r="CG352" s="141"/>
      <c r="CH352" s="146" t="str">
        <f t="shared" si="570"/>
        <v xml:space="preserve">                                                                                                                                                                                                                                                                                                                                                                                                                </v>
      </c>
      <c r="CI352" s="174" t="str">
        <f t="shared" si="550"/>
        <v>NG</v>
      </c>
      <c r="CJ352" s="203"/>
      <c r="CK352" s="172" t="s">
        <v>71</v>
      </c>
      <c r="CL352" s="160"/>
      <c r="CM352" s="141"/>
      <c r="CN352" s="146" t="str">
        <f t="shared" si="571"/>
        <v xml:space="preserve">                                                                                                                                                                                                                                                                                                                                                                                                                </v>
      </c>
      <c r="CO352" s="174" t="str">
        <f t="shared" si="551"/>
        <v>NG</v>
      </c>
      <c r="CP352" s="203"/>
      <c r="CQ352" s="172" t="s">
        <v>71</v>
      </c>
      <c r="CR352" s="160"/>
      <c r="CS352" s="141"/>
      <c r="CT352" s="146" t="str">
        <f t="shared" si="572"/>
        <v xml:space="preserve">                                                                                                                                                                                                                                                                                                                                                                                                                </v>
      </c>
      <c r="CU352" s="174" t="str">
        <f t="shared" si="552"/>
        <v>NG</v>
      </c>
      <c r="CV352" s="203"/>
      <c r="CW352" s="172" t="s">
        <v>71</v>
      </c>
      <c r="CX352" s="160"/>
      <c r="CY352" s="141"/>
      <c r="CZ352" s="146" t="str">
        <f t="shared" si="573"/>
        <v xml:space="preserve">                                                                                                                                                                                                                                                                                                                                                                                                                </v>
      </c>
      <c r="DA352" s="174" t="str">
        <f t="shared" si="553"/>
        <v>NG</v>
      </c>
      <c r="DB352" s="203"/>
      <c r="DC352" s="172" t="s">
        <v>71</v>
      </c>
      <c r="DD352" s="160"/>
      <c r="DE352" s="141"/>
      <c r="DF352" s="146" t="str">
        <f t="shared" si="574"/>
        <v xml:space="preserve">                                                                                                                                                                                                                                                                                                                                                                                                                </v>
      </c>
      <c r="DG352" s="174" t="str">
        <f t="shared" si="554"/>
        <v>NG</v>
      </c>
      <c r="DH352" s="203"/>
      <c r="DI352" s="172" t="s">
        <v>71</v>
      </c>
      <c r="DJ352" s="160"/>
      <c r="DK352" s="141"/>
      <c r="DL352" s="146" t="str">
        <f t="shared" si="575"/>
        <v xml:space="preserve">                                                                                                                                                                                                                                                                                                                                                                                                                </v>
      </c>
      <c r="DM352" s="174" t="str">
        <f t="shared" si="555"/>
        <v>NG</v>
      </c>
      <c r="DN352" s="203"/>
      <c r="DO352" s="172" t="s">
        <v>71</v>
      </c>
      <c r="DP352" s="160"/>
      <c r="DQ352" s="141"/>
      <c r="DR352" s="146" t="str">
        <f t="shared" si="576"/>
        <v xml:space="preserve">                                                                                                                                                                                                                                                                                                                                                                                                                </v>
      </c>
      <c r="DS352" s="174" t="str">
        <f t="shared" si="533"/>
        <v>NG</v>
      </c>
      <c r="DT352" s="203"/>
      <c r="DU352" s="172" t="s">
        <v>71</v>
      </c>
      <c r="DV352" s="160"/>
      <c r="DW352" s="141"/>
      <c r="DX352" s="146" t="str">
        <f t="shared" si="577"/>
        <v xml:space="preserve">                                                                                                                                                                                                                                                                                                                                                                                                                </v>
      </c>
      <c r="DY352" s="174" t="str">
        <f t="shared" si="534"/>
        <v>NG</v>
      </c>
      <c r="DZ352" s="203"/>
      <c r="EA352" s="172" t="s">
        <v>71</v>
      </c>
      <c r="EB352" s="160"/>
      <c r="EC352" s="141"/>
      <c r="ED352" s="146" t="str">
        <f t="shared" si="578"/>
        <v xml:space="preserve">                                                                                                                                                                                                                                                                                                                                                                                                                </v>
      </c>
      <c r="EE352" s="174" t="str">
        <f t="shared" si="535"/>
        <v>NG</v>
      </c>
      <c r="EF352" s="203"/>
      <c r="EG352" s="172" t="s">
        <v>71</v>
      </c>
      <c r="EH352" s="160"/>
      <c r="EI352" s="141"/>
      <c r="EJ352" s="146" t="str">
        <f t="shared" si="579"/>
        <v xml:space="preserve">                                                                                                                                                                                                                                                                                                                                                                                                                </v>
      </c>
      <c r="EK352" s="174" t="str">
        <f t="shared" si="536"/>
        <v>NG</v>
      </c>
      <c r="EL352" s="203"/>
      <c r="EM352" s="172" t="s">
        <v>71</v>
      </c>
      <c r="EN352" s="160"/>
      <c r="EO352" s="141"/>
      <c r="EP352" s="146" t="str">
        <f t="shared" si="580"/>
        <v xml:space="preserve">                                                                                                                                                                                                                                                                                                                                                                                                                </v>
      </c>
      <c r="EQ352" s="174" t="str">
        <f t="shared" si="537"/>
        <v>NG</v>
      </c>
      <c r="ER352" s="203"/>
      <c r="ES352" s="172" t="s">
        <v>71</v>
      </c>
      <c r="ET352" s="160"/>
      <c r="EU352" s="141"/>
      <c r="EV352" s="146" t="str">
        <f t="shared" si="581"/>
        <v xml:space="preserve">                                                                                                                                                                                                                                                                                                                                                                                                                </v>
      </c>
      <c r="EW352" s="174" t="str">
        <f t="shared" si="538"/>
        <v>NG</v>
      </c>
      <c r="EX352" s="203"/>
      <c r="EY352" s="172" t="s">
        <v>71</v>
      </c>
      <c r="EZ352" s="160"/>
      <c r="FA352" s="141"/>
      <c r="FB352" s="146" t="str">
        <f t="shared" si="582"/>
        <v xml:space="preserve">                                                                                                                                                                                                                                                                                                                                                                                                                </v>
      </c>
      <c r="FC352" s="174" t="str">
        <f t="shared" si="539"/>
        <v>NG</v>
      </c>
      <c r="FD352" s="203"/>
      <c r="FE352" s="172" t="s">
        <v>71</v>
      </c>
      <c r="FF352" s="160"/>
      <c r="FG352" s="141"/>
      <c r="FH352" s="146" t="str">
        <f t="shared" si="583"/>
        <v xml:space="preserve">                                                                                                                                                                                                                                                                                                                                                                                                                </v>
      </c>
      <c r="FI352" s="174" t="str">
        <f t="shared" si="540"/>
        <v>NG</v>
      </c>
      <c r="FJ352" s="203"/>
      <c r="FK352" s="172" t="s">
        <v>71</v>
      </c>
      <c r="FL352" s="160"/>
      <c r="FM352" s="141"/>
      <c r="FN352" s="146" t="str">
        <f t="shared" si="584"/>
        <v xml:space="preserve">                                                                                                                                                                                                                                                                                                                                                                                                                </v>
      </c>
      <c r="FO352" s="174" t="str">
        <f t="shared" si="556"/>
        <v>NG</v>
      </c>
      <c r="FP352" s="203"/>
      <c r="FQ352" s="172" t="s">
        <v>71</v>
      </c>
      <c r="FR352" s="160"/>
      <c r="FS352" s="141"/>
      <c r="FT352" s="146" t="str">
        <f t="shared" si="585"/>
        <v xml:space="preserve">                                                                                                                                                                                                                                                                                                                                                                                                                </v>
      </c>
      <c r="FU352" s="174" t="str">
        <f t="shared" si="557"/>
        <v>NG</v>
      </c>
      <c r="FV352" s="203"/>
      <c r="FW352" s="172" t="s">
        <v>71</v>
      </c>
      <c r="FX352" s="160"/>
      <c r="FY352" s="141"/>
      <c r="FZ352" s="146" t="str">
        <f t="shared" si="586"/>
        <v xml:space="preserve">                                                                                                                                                                                                                                                                                                                                                                                                                </v>
      </c>
      <c r="GA352" s="174" t="str">
        <f t="shared" si="558"/>
        <v>NG</v>
      </c>
      <c r="GB352" s="203"/>
      <c r="GC352" s="172" t="s">
        <v>71</v>
      </c>
    </row>
    <row r="353" spans="1:185" s="52" customFormat="1">
      <c r="B353" s="216">
        <f t="shared" si="587"/>
        <v>346</v>
      </c>
      <c r="C353" s="37"/>
      <c r="D353" s="37"/>
      <c r="E353" s="37"/>
      <c r="F353" s="49" t="s">
        <v>225</v>
      </c>
      <c r="G353" s="39"/>
      <c r="H353" s="40"/>
      <c r="I353" s="42"/>
      <c r="J353" s="42"/>
      <c r="K353" s="42"/>
      <c r="L353" s="42"/>
      <c r="M353" s="63" t="s">
        <v>336</v>
      </c>
      <c r="N353" s="47"/>
      <c r="O353" s="143"/>
      <c r="P353" s="45">
        <f t="shared" si="561"/>
        <v>319</v>
      </c>
      <c r="Q353" s="46">
        <v>400</v>
      </c>
      <c r="R353" s="41" t="str">
        <f t="shared" si="589"/>
        <v>NX</v>
      </c>
      <c r="S353" s="185" t="s">
        <v>226</v>
      </c>
      <c r="T353" s="43"/>
      <c r="U353" s="41" t="s">
        <v>80</v>
      </c>
      <c r="V353" s="44"/>
      <c r="W353" s="22">
        <v>3</v>
      </c>
      <c r="X353" s="47" t="s">
        <v>227</v>
      </c>
      <c r="Y353" s="47">
        <v>1</v>
      </c>
      <c r="Z353" s="47">
        <v>400</v>
      </c>
      <c r="AA353" s="42" t="s">
        <v>195</v>
      </c>
      <c r="AB353" s="42" t="s">
        <v>80</v>
      </c>
      <c r="AC353" s="166"/>
      <c r="AD353" s="160"/>
      <c r="AE353" s="141"/>
      <c r="AF353" s="146" t="str">
        <f t="shared" si="562"/>
        <v xml:space="preserve">                                                                                                                                                                                                                                                                                                                                                                                                                </v>
      </c>
      <c r="AG353" s="174" t="str">
        <f t="shared" si="542"/>
        <v>NG</v>
      </c>
      <c r="AH353" s="203"/>
      <c r="AI353" s="172" t="s">
        <v>71</v>
      </c>
      <c r="AJ353" s="160"/>
      <c r="AK353" s="141"/>
      <c r="AL353" s="146" t="str">
        <f t="shared" si="559"/>
        <v xml:space="preserve">                                                                                                                                                                                                                                                                                                                                                                                                                </v>
      </c>
      <c r="AM353" s="174" t="str">
        <f t="shared" si="588"/>
        <v>NG</v>
      </c>
      <c r="AN353" s="203"/>
      <c r="AO353" s="172" t="s">
        <v>71</v>
      </c>
      <c r="AP353" s="160"/>
      <c r="AQ353" s="141"/>
      <c r="AR353" s="146" t="str">
        <f t="shared" si="563"/>
        <v xml:space="preserve">                                                                                                                                                                                                                                                                                                                                                                                                                </v>
      </c>
      <c r="AS353" s="174" t="str">
        <f t="shared" si="543"/>
        <v>NG</v>
      </c>
      <c r="AT353" s="203"/>
      <c r="AU353" s="172" t="s">
        <v>71</v>
      </c>
      <c r="AV353" s="160"/>
      <c r="AW353" s="141"/>
      <c r="AX353" s="146" t="str">
        <f t="shared" si="564"/>
        <v xml:space="preserve">                                                                                                                                                                                                                                                                                                                                                                                                                </v>
      </c>
      <c r="AY353" s="174" t="str">
        <f t="shared" si="544"/>
        <v>NG</v>
      </c>
      <c r="AZ353" s="203"/>
      <c r="BA353" s="172" t="s">
        <v>71</v>
      </c>
      <c r="BB353" s="160"/>
      <c r="BC353" s="141"/>
      <c r="BD353" s="146" t="str">
        <f t="shared" si="565"/>
        <v xml:space="preserve">                                                                                                                                                                                                                                                                                                                                                                                                                </v>
      </c>
      <c r="BE353" s="174" t="str">
        <f t="shared" si="545"/>
        <v>NG</v>
      </c>
      <c r="BF353" s="203"/>
      <c r="BG353" s="172" t="s">
        <v>71</v>
      </c>
      <c r="BH353" s="160"/>
      <c r="BI353" s="141"/>
      <c r="BJ353" s="146" t="str">
        <f t="shared" si="566"/>
        <v xml:space="preserve">                                                                                                                                                                                                                                                                                                                                                                                                                </v>
      </c>
      <c r="BK353" s="174" t="str">
        <f t="shared" si="546"/>
        <v>NG</v>
      </c>
      <c r="BL353" s="203"/>
      <c r="BM353" s="172" t="s">
        <v>71</v>
      </c>
      <c r="BN353" s="160"/>
      <c r="BO353" s="141"/>
      <c r="BP353" s="146" t="str">
        <f t="shared" si="567"/>
        <v xml:space="preserve">                                                                                                                                                                                                                                                                                                                                                                                                                </v>
      </c>
      <c r="BQ353" s="174" t="str">
        <f t="shared" si="547"/>
        <v>NG</v>
      </c>
      <c r="BR353" s="203"/>
      <c r="BS353" s="172" t="s">
        <v>71</v>
      </c>
      <c r="BT353" s="160"/>
      <c r="BU353" s="141"/>
      <c r="BV353" s="146" t="str">
        <f t="shared" si="568"/>
        <v xml:space="preserve">                                                                                                                                                                                                                                                                                                                                                                                                                </v>
      </c>
      <c r="BW353" s="174" t="str">
        <f t="shared" si="548"/>
        <v>NG</v>
      </c>
      <c r="BX353" s="203"/>
      <c r="BY353" s="172" t="s">
        <v>71</v>
      </c>
      <c r="BZ353" s="160"/>
      <c r="CA353" s="141"/>
      <c r="CB353" s="146" t="str">
        <f t="shared" si="569"/>
        <v xml:space="preserve">                                                                                                                                                                                                                                                                                                                                                                                                                </v>
      </c>
      <c r="CC353" s="174" t="str">
        <f t="shared" si="549"/>
        <v>NG</v>
      </c>
      <c r="CD353" s="203"/>
      <c r="CE353" s="172" t="s">
        <v>71</v>
      </c>
      <c r="CF353" s="160"/>
      <c r="CG353" s="141"/>
      <c r="CH353" s="146" t="str">
        <f t="shared" si="570"/>
        <v xml:space="preserve">                                                                                                                                                                                                                                                                                                                                                                                                                </v>
      </c>
      <c r="CI353" s="174" t="str">
        <f t="shared" si="550"/>
        <v>NG</v>
      </c>
      <c r="CJ353" s="203"/>
      <c r="CK353" s="172" t="s">
        <v>71</v>
      </c>
      <c r="CL353" s="160"/>
      <c r="CM353" s="141"/>
      <c r="CN353" s="146" t="str">
        <f t="shared" si="571"/>
        <v xml:space="preserve">                                                                                                                                                                                                                                                                                                                                                                                                                </v>
      </c>
      <c r="CO353" s="174" t="str">
        <f t="shared" si="551"/>
        <v>NG</v>
      </c>
      <c r="CP353" s="203"/>
      <c r="CQ353" s="172" t="s">
        <v>71</v>
      </c>
      <c r="CR353" s="160"/>
      <c r="CS353" s="141"/>
      <c r="CT353" s="146" t="str">
        <f t="shared" si="572"/>
        <v xml:space="preserve">                                                                                                                                                                                                                                                                                                                                                                                                                </v>
      </c>
      <c r="CU353" s="174" t="str">
        <f t="shared" si="552"/>
        <v>NG</v>
      </c>
      <c r="CV353" s="203"/>
      <c r="CW353" s="172" t="s">
        <v>71</v>
      </c>
      <c r="CX353" s="160"/>
      <c r="CY353" s="141"/>
      <c r="CZ353" s="146" t="str">
        <f t="shared" si="573"/>
        <v xml:space="preserve">                                                                                                                                                                                                                                                                                                                                                                                                                </v>
      </c>
      <c r="DA353" s="174" t="str">
        <f t="shared" si="553"/>
        <v>NG</v>
      </c>
      <c r="DB353" s="203"/>
      <c r="DC353" s="172" t="s">
        <v>71</v>
      </c>
      <c r="DD353" s="160"/>
      <c r="DE353" s="141"/>
      <c r="DF353" s="146" t="str">
        <f t="shared" si="574"/>
        <v xml:space="preserve">                                                                                                                                                                                                                                                                                                                                                                                                                </v>
      </c>
      <c r="DG353" s="174" t="str">
        <f t="shared" si="554"/>
        <v>NG</v>
      </c>
      <c r="DH353" s="203"/>
      <c r="DI353" s="172" t="s">
        <v>71</v>
      </c>
      <c r="DJ353" s="160"/>
      <c r="DK353" s="141"/>
      <c r="DL353" s="146" t="str">
        <f t="shared" si="575"/>
        <v xml:space="preserve">                                                                                                                                                                                                                                                                                                                                                                                                                </v>
      </c>
      <c r="DM353" s="174" t="str">
        <f t="shared" si="555"/>
        <v>NG</v>
      </c>
      <c r="DN353" s="203"/>
      <c r="DO353" s="172" t="s">
        <v>71</v>
      </c>
      <c r="DP353" s="160"/>
      <c r="DQ353" s="141"/>
      <c r="DR353" s="146" t="str">
        <f t="shared" si="576"/>
        <v xml:space="preserve">                                                                                                                                                                                                                                                                                                                                                                                                                </v>
      </c>
      <c r="DS353" s="174" t="str">
        <f t="shared" si="533"/>
        <v>NG</v>
      </c>
      <c r="DT353" s="203"/>
      <c r="DU353" s="172" t="s">
        <v>71</v>
      </c>
      <c r="DV353" s="160"/>
      <c r="DW353" s="141"/>
      <c r="DX353" s="146" t="str">
        <f t="shared" si="577"/>
        <v xml:space="preserve">                                                                                                                                                                                                                                                                                                                                                                                                                </v>
      </c>
      <c r="DY353" s="174" t="str">
        <f t="shared" si="534"/>
        <v>NG</v>
      </c>
      <c r="DZ353" s="203"/>
      <c r="EA353" s="172" t="s">
        <v>71</v>
      </c>
      <c r="EB353" s="160"/>
      <c r="EC353" s="141"/>
      <c r="ED353" s="146" t="str">
        <f t="shared" si="578"/>
        <v xml:space="preserve">                                                                                                                                                                                                                                                                                                                                                                                                                </v>
      </c>
      <c r="EE353" s="174" t="str">
        <f t="shared" si="535"/>
        <v>NG</v>
      </c>
      <c r="EF353" s="203"/>
      <c r="EG353" s="172" t="s">
        <v>71</v>
      </c>
      <c r="EH353" s="160"/>
      <c r="EI353" s="141"/>
      <c r="EJ353" s="146" t="str">
        <f t="shared" si="579"/>
        <v xml:space="preserve">                                                                                                                                                                                                                                                                                                                                                                                                                </v>
      </c>
      <c r="EK353" s="174" t="str">
        <f t="shared" si="536"/>
        <v>NG</v>
      </c>
      <c r="EL353" s="203"/>
      <c r="EM353" s="172" t="s">
        <v>71</v>
      </c>
      <c r="EN353" s="160"/>
      <c r="EO353" s="141"/>
      <c r="EP353" s="146" t="str">
        <f t="shared" si="580"/>
        <v xml:space="preserve">                                                                                                                                                                                                                                                                                                                                                                                                                </v>
      </c>
      <c r="EQ353" s="174" t="str">
        <f t="shared" si="537"/>
        <v>NG</v>
      </c>
      <c r="ER353" s="203"/>
      <c r="ES353" s="172" t="s">
        <v>71</v>
      </c>
      <c r="ET353" s="160"/>
      <c r="EU353" s="141"/>
      <c r="EV353" s="146" t="str">
        <f t="shared" si="581"/>
        <v xml:space="preserve">                                                                                                                                                                                                                                                                                                                                                                                                                </v>
      </c>
      <c r="EW353" s="174" t="str">
        <f t="shared" si="538"/>
        <v>NG</v>
      </c>
      <c r="EX353" s="203"/>
      <c r="EY353" s="172" t="s">
        <v>71</v>
      </c>
      <c r="EZ353" s="160"/>
      <c r="FA353" s="141"/>
      <c r="FB353" s="146" t="str">
        <f t="shared" si="582"/>
        <v xml:space="preserve">                                                                                                                                                                                                                                                                                                                                                                                                                </v>
      </c>
      <c r="FC353" s="174" t="str">
        <f t="shared" si="539"/>
        <v>NG</v>
      </c>
      <c r="FD353" s="203"/>
      <c r="FE353" s="172" t="s">
        <v>71</v>
      </c>
      <c r="FF353" s="160"/>
      <c r="FG353" s="141"/>
      <c r="FH353" s="146" t="str">
        <f t="shared" si="583"/>
        <v xml:space="preserve">                                                                                                                                                                                                                                                                                                                                                                                                                </v>
      </c>
      <c r="FI353" s="174" t="str">
        <f t="shared" si="540"/>
        <v>NG</v>
      </c>
      <c r="FJ353" s="203"/>
      <c r="FK353" s="172" t="s">
        <v>71</v>
      </c>
      <c r="FL353" s="160"/>
      <c r="FM353" s="141"/>
      <c r="FN353" s="146" t="str">
        <f t="shared" si="584"/>
        <v xml:space="preserve">                                                                                                                                                                                                                                                                                                                                                                                                                </v>
      </c>
      <c r="FO353" s="174" t="str">
        <f t="shared" si="556"/>
        <v>NG</v>
      </c>
      <c r="FP353" s="203"/>
      <c r="FQ353" s="172" t="s">
        <v>71</v>
      </c>
      <c r="FR353" s="160"/>
      <c r="FS353" s="141"/>
      <c r="FT353" s="146" t="str">
        <f t="shared" si="585"/>
        <v xml:space="preserve">                                                                                                                                                                                                                                                                                                                                                                                                                </v>
      </c>
      <c r="FU353" s="174" t="str">
        <f t="shared" si="557"/>
        <v>NG</v>
      </c>
      <c r="FV353" s="203"/>
      <c r="FW353" s="172" t="s">
        <v>71</v>
      </c>
      <c r="FX353" s="160"/>
      <c r="FY353" s="141"/>
      <c r="FZ353" s="146" t="str">
        <f t="shared" si="586"/>
        <v xml:space="preserve">                                                                                                                                                                                                                                                                                                                                                                                                                </v>
      </c>
      <c r="GA353" s="174" t="str">
        <f t="shared" si="558"/>
        <v>NG</v>
      </c>
      <c r="GB353" s="203"/>
      <c r="GC353" s="172" t="s">
        <v>71</v>
      </c>
    </row>
    <row r="354" spans="1:185" s="52" customFormat="1" ht="89.25">
      <c r="B354" s="216">
        <f t="shared" si="587"/>
        <v>347</v>
      </c>
      <c r="C354" s="37"/>
      <c r="D354" s="37"/>
      <c r="E354" s="37"/>
      <c r="F354" s="49" t="s">
        <v>228</v>
      </c>
      <c r="G354" s="39"/>
      <c r="H354" s="40"/>
      <c r="I354" s="42"/>
      <c r="J354" s="42"/>
      <c r="K354" s="42"/>
      <c r="L354" s="42"/>
      <c r="M354" s="63" t="s">
        <v>338</v>
      </c>
      <c r="N354" s="47"/>
      <c r="O354" s="143"/>
      <c r="P354" s="45">
        <f t="shared" si="561"/>
        <v>320</v>
      </c>
      <c r="Q354" s="46">
        <v>1</v>
      </c>
      <c r="R354" s="41" t="str">
        <f t="shared" si="589"/>
        <v>X</v>
      </c>
      <c r="S354" s="185" t="s">
        <v>229</v>
      </c>
      <c r="T354" s="43"/>
      <c r="U354" s="41" t="s">
        <v>80</v>
      </c>
      <c r="V354" s="44"/>
      <c r="W354" s="22">
        <v>3</v>
      </c>
      <c r="X354" s="47" t="s">
        <v>230</v>
      </c>
      <c r="Y354" s="47">
        <v>1</v>
      </c>
      <c r="Z354" s="47">
        <v>1</v>
      </c>
      <c r="AA354" s="42" t="s">
        <v>163</v>
      </c>
      <c r="AB354" s="42" t="s">
        <v>57</v>
      </c>
      <c r="AC354" s="217"/>
      <c r="AD354" s="160"/>
      <c r="AE354" s="162"/>
      <c r="AF354" s="203" t="str">
        <f t="shared" si="562"/>
        <v xml:space="preserve"> </v>
      </c>
      <c r="AG354" s="174" t="str">
        <f t="shared" si="542"/>
        <v>NG</v>
      </c>
      <c r="AH354" s="204"/>
      <c r="AI354" s="172" t="s">
        <v>71</v>
      </c>
      <c r="AJ354" s="160"/>
      <c r="AK354" s="162"/>
      <c r="AL354" s="203" t="str">
        <f t="shared" si="559"/>
        <v xml:space="preserve"> </v>
      </c>
      <c r="AM354" s="174" t="str">
        <f t="shared" si="588"/>
        <v>NG</v>
      </c>
      <c r="AN354" s="204"/>
      <c r="AO354" s="172" t="s">
        <v>71</v>
      </c>
      <c r="AP354" s="160"/>
      <c r="AQ354" s="162"/>
      <c r="AR354" s="203" t="str">
        <f t="shared" si="563"/>
        <v xml:space="preserve"> </v>
      </c>
      <c r="AS354" s="174" t="str">
        <f t="shared" si="543"/>
        <v>NG</v>
      </c>
      <c r="AT354" s="204"/>
      <c r="AU354" s="172" t="s">
        <v>71</v>
      </c>
      <c r="AV354" s="160"/>
      <c r="AW354" s="162"/>
      <c r="AX354" s="203" t="str">
        <f t="shared" si="564"/>
        <v xml:space="preserve"> </v>
      </c>
      <c r="AY354" s="174" t="str">
        <f t="shared" si="544"/>
        <v>NG</v>
      </c>
      <c r="AZ354" s="204"/>
      <c r="BA354" s="172" t="s">
        <v>71</v>
      </c>
      <c r="BB354" s="160"/>
      <c r="BC354" s="162"/>
      <c r="BD354" s="203" t="str">
        <f t="shared" si="565"/>
        <v xml:space="preserve"> </v>
      </c>
      <c r="BE354" s="174" t="str">
        <f t="shared" si="545"/>
        <v>NG</v>
      </c>
      <c r="BF354" s="204"/>
      <c r="BG354" s="172" t="s">
        <v>71</v>
      </c>
      <c r="BH354" s="160"/>
      <c r="BI354" s="162"/>
      <c r="BJ354" s="203" t="str">
        <f t="shared" si="566"/>
        <v xml:space="preserve"> </v>
      </c>
      <c r="BK354" s="174" t="str">
        <f t="shared" si="546"/>
        <v>NG</v>
      </c>
      <c r="BL354" s="204"/>
      <c r="BM354" s="172" t="s">
        <v>71</v>
      </c>
      <c r="BN354" s="160"/>
      <c r="BO354" s="162"/>
      <c r="BP354" s="203" t="str">
        <f t="shared" si="567"/>
        <v xml:space="preserve"> </v>
      </c>
      <c r="BQ354" s="174" t="str">
        <f t="shared" si="547"/>
        <v>NG</v>
      </c>
      <c r="BR354" s="204"/>
      <c r="BS354" s="172" t="s">
        <v>71</v>
      </c>
      <c r="BT354" s="160"/>
      <c r="BU354" s="162"/>
      <c r="BV354" s="203" t="str">
        <f t="shared" si="568"/>
        <v xml:space="preserve"> </v>
      </c>
      <c r="BW354" s="174" t="str">
        <f t="shared" si="548"/>
        <v>NG</v>
      </c>
      <c r="BX354" s="204"/>
      <c r="BY354" s="172" t="s">
        <v>71</v>
      </c>
      <c r="BZ354" s="160"/>
      <c r="CA354" s="162"/>
      <c r="CB354" s="203" t="str">
        <f t="shared" si="569"/>
        <v xml:space="preserve"> </v>
      </c>
      <c r="CC354" s="174" t="str">
        <f t="shared" si="549"/>
        <v>NG</v>
      </c>
      <c r="CD354" s="204"/>
      <c r="CE354" s="172" t="s">
        <v>71</v>
      </c>
      <c r="CF354" s="160"/>
      <c r="CG354" s="162"/>
      <c r="CH354" s="203" t="str">
        <f t="shared" si="570"/>
        <v xml:space="preserve"> </v>
      </c>
      <c r="CI354" s="174" t="str">
        <f t="shared" si="550"/>
        <v>NG</v>
      </c>
      <c r="CJ354" s="204"/>
      <c r="CK354" s="172" t="s">
        <v>71</v>
      </c>
      <c r="CL354" s="160"/>
      <c r="CM354" s="162"/>
      <c r="CN354" s="203" t="str">
        <f t="shared" si="571"/>
        <v xml:space="preserve"> </v>
      </c>
      <c r="CO354" s="174" t="str">
        <f t="shared" si="551"/>
        <v>NG</v>
      </c>
      <c r="CP354" s="204"/>
      <c r="CQ354" s="172" t="s">
        <v>71</v>
      </c>
      <c r="CR354" s="160"/>
      <c r="CS354" s="162"/>
      <c r="CT354" s="203" t="str">
        <f t="shared" si="572"/>
        <v xml:space="preserve"> </v>
      </c>
      <c r="CU354" s="174" t="str">
        <f t="shared" si="552"/>
        <v>NG</v>
      </c>
      <c r="CV354" s="204"/>
      <c r="CW354" s="172" t="s">
        <v>71</v>
      </c>
      <c r="CX354" s="160"/>
      <c r="CY354" s="162"/>
      <c r="CZ354" s="203" t="str">
        <f t="shared" si="573"/>
        <v xml:space="preserve"> </v>
      </c>
      <c r="DA354" s="174" t="str">
        <f t="shared" si="553"/>
        <v>NG</v>
      </c>
      <c r="DB354" s="204"/>
      <c r="DC354" s="172" t="s">
        <v>71</v>
      </c>
      <c r="DD354" s="160"/>
      <c r="DE354" s="162"/>
      <c r="DF354" s="203" t="str">
        <f t="shared" si="574"/>
        <v xml:space="preserve"> </v>
      </c>
      <c r="DG354" s="174" t="str">
        <f t="shared" si="554"/>
        <v>NG</v>
      </c>
      <c r="DH354" s="204"/>
      <c r="DI354" s="172" t="s">
        <v>71</v>
      </c>
      <c r="DJ354" s="160"/>
      <c r="DK354" s="162"/>
      <c r="DL354" s="203" t="str">
        <f t="shared" si="575"/>
        <v xml:space="preserve"> </v>
      </c>
      <c r="DM354" s="174" t="str">
        <f t="shared" si="555"/>
        <v>NG</v>
      </c>
      <c r="DN354" s="204"/>
      <c r="DO354" s="172" t="s">
        <v>71</v>
      </c>
      <c r="DP354" s="160"/>
      <c r="DQ354" s="162"/>
      <c r="DR354" s="203" t="str">
        <f t="shared" si="576"/>
        <v xml:space="preserve"> </v>
      </c>
      <c r="DS354" s="174" t="str">
        <f t="shared" si="533"/>
        <v>NG</v>
      </c>
      <c r="DT354" s="204"/>
      <c r="DU354" s="172" t="s">
        <v>71</v>
      </c>
      <c r="DV354" s="160"/>
      <c r="DW354" s="162"/>
      <c r="DX354" s="203" t="str">
        <f t="shared" si="577"/>
        <v xml:space="preserve"> </v>
      </c>
      <c r="DY354" s="174" t="str">
        <f t="shared" si="534"/>
        <v>NG</v>
      </c>
      <c r="DZ354" s="204"/>
      <c r="EA354" s="172" t="s">
        <v>71</v>
      </c>
      <c r="EB354" s="160"/>
      <c r="EC354" s="162"/>
      <c r="ED354" s="203" t="str">
        <f t="shared" si="578"/>
        <v xml:space="preserve"> </v>
      </c>
      <c r="EE354" s="174" t="str">
        <f t="shared" si="535"/>
        <v>NG</v>
      </c>
      <c r="EF354" s="204"/>
      <c r="EG354" s="172" t="s">
        <v>71</v>
      </c>
      <c r="EH354" s="160"/>
      <c r="EI354" s="162"/>
      <c r="EJ354" s="203" t="str">
        <f t="shared" si="579"/>
        <v xml:space="preserve"> </v>
      </c>
      <c r="EK354" s="174" t="str">
        <f t="shared" si="536"/>
        <v>NG</v>
      </c>
      <c r="EL354" s="204"/>
      <c r="EM354" s="172" t="s">
        <v>71</v>
      </c>
      <c r="EN354" s="160"/>
      <c r="EO354" s="162"/>
      <c r="EP354" s="203" t="str">
        <f t="shared" si="580"/>
        <v xml:space="preserve"> </v>
      </c>
      <c r="EQ354" s="174" t="str">
        <f t="shared" si="537"/>
        <v>NG</v>
      </c>
      <c r="ER354" s="204"/>
      <c r="ES354" s="172" t="s">
        <v>71</v>
      </c>
      <c r="ET354" s="160"/>
      <c r="EU354" s="162"/>
      <c r="EV354" s="203" t="str">
        <f t="shared" si="581"/>
        <v xml:space="preserve"> </v>
      </c>
      <c r="EW354" s="174" t="str">
        <f t="shared" si="538"/>
        <v>NG</v>
      </c>
      <c r="EX354" s="204"/>
      <c r="EY354" s="172" t="s">
        <v>71</v>
      </c>
      <c r="EZ354" s="160"/>
      <c r="FA354" s="162"/>
      <c r="FB354" s="203" t="str">
        <f t="shared" si="582"/>
        <v xml:space="preserve"> </v>
      </c>
      <c r="FC354" s="174" t="str">
        <f t="shared" si="539"/>
        <v>NG</v>
      </c>
      <c r="FD354" s="204"/>
      <c r="FE354" s="172" t="s">
        <v>71</v>
      </c>
      <c r="FF354" s="160"/>
      <c r="FG354" s="162"/>
      <c r="FH354" s="203" t="str">
        <f t="shared" si="583"/>
        <v xml:space="preserve"> </v>
      </c>
      <c r="FI354" s="174" t="str">
        <f t="shared" si="540"/>
        <v>NG</v>
      </c>
      <c r="FJ354" s="204"/>
      <c r="FK354" s="172" t="s">
        <v>71</v>
      </c>
      <c r="FL354" s="160"/>
      <c r="FM354" s="162"/>
      <c r="FN354" s="203" t="str">
        <f t="shared" si="584"/>
        <v xml:space="preserve"> </v>
      </c>
      <c r="FO354" s="174" t="str">
        <f t="shared" si="556"/>
        <v>NG</v>
      </c>
      <c r="FP354" s="204"/>
      <c r="FQ354" s="172" t="s">
        <v>71</v>
      </c>
      <c r="FR354" s="160"/>
      <c r="FS354" s="162"/>
      <c r="FT354" s="203" t="str">
        <f t="shared" si="585"/>
        <v xml:space="preserve"> </v>
      </c>
      <c r="FU354" s="174" t="str">
        <f t="shared" si="557"/>
        <v>NG</v>
      </c>
      <c r="FV354" s="204"/>
      <c r="FW354" s="172" t="s">
        <v>71</v>
      </c>
      <c r="FX354" s="160"/>
      <c r="FY354" s="162"/>
      <c r="FZ354" s="203" t="str">
        <f t="shared" si="586"/>
        <v xml:space="preserve"> </v>
      </c>
      <c r="GA354" s="174" t="str">
        <f t="shared" si="558"/>
        <v>NG</v>
      </c>
      <c r="GB354" s="204"/>
      <c r="GC354" s="172" t="s">
        <v>71</v>
      </c>
    </row>
    <row r="355" spans="1:185" s="52" customFormat="1">
      <c r="B355" s="216">
        <f t="shared" si="587"/>
        <v>348</v>
      </c>
      <c r="C355" s="37"/>
      <c r="D355" s="37"/>
      <c r="E355" s="37"/>
      <c r="F355" s="49" t="s">
        <v>231</v>
      </c>
      <c r="G355" s="39"/>
      <c r="H355" s="40"/>
      <c r="I355" s="42"/>
      <c r="J355" s="42"/>
      <c r="K355" s="42"/>
      <c r="L355" s="42"/>
      <c r="M355" s="63"/>
      <c r="N355" s="47"/>
      <c r="O355" s="143"/>
      <c r="P355" s="45">
        <f t="shared" si="561"/>
        <v>321</v>
      </c>
      <c r="Q355" s="46">
        <v>128</v>
      </c>
      <c r="R355" s="41" t="str">
        <f t="shared" si="589"/>
        <v>X</v>
      </c>
      <c r="S355" s="185" t="s">
        <v>232</v>
      </c>
      <c r="T355" s="43"/>
      <c r="U355" s="41" t="s">
        <v>80</v>
      </c>
      <c r="V355" s="44"/>
      <c r="W355" s="22">
        <v>3</v>
      </c>
      <c r="X355" s="47" t="s">
        <v>233</v>
      </c>
      <c r="Y355" s="47">
        <v>1</v>
      </c>
      <c r="Z355" s="47">
        <v>128</v>
      </c>
      <c r="AA355" s="42" t="s">
        <v>163</v>
      </c>
      <c r="AB355" s="42" t="s">
        <v>57</v>
      </c>
      <c r="AC355" s="166"/>
      <c r="AD355" s="160"/>
      <c r="AE355" s="141"/>
      <c r="AF355" s="203" t="str">
        <f t="shared" si="562"/>
        <v xml:space="preserve">                                                                                                                                </v>
      </c>
      <c r="AG355" s="174" t="str">
        <f t="shared" si="542"/>
        <v>NG</v>
      </c>
      <c r="AH355" s="203"/>
      <c r="AI355" s="276" t="str">
        <f>IF(OR(AE$8="判定対象外",AH$8="判定対象外",AH355="-"),"-",IF(AE355=AH355,"OK","NG"))</f>
        <v>OK</v>
      </c>
      <c r="AJ355" s="160"/>
      <c r="AK355" s="141"/>
      <c r="AL355" s="203" t="str">
        <f t="shared" si="559"/>
        <v xml:space="preserve">                                                                                                                                </v>
      </c>
      <c r="AM355" s="174" t="str">
        <f t="shared" si="588"/>
        <v>NG</v>
      </c>
      <c r="AN355" s="203"/>
      <c r="AO355" s="276" t="str">
        <f>IF(OR(AK$8="判定対象外",AN$8="判定対象外",AN355="-"),"-",IF(AK355=AN355,"OK","NG"))</f>
        <v>OK</v>
      </c>
      <c r="AP355" s="160"/>
      <c r="AQ355" s="141"/>
      <c r="AR355" s="203" t="str">
        <f t="shared" si="563"/>
        <v xml:space="preserve">                                                                                                                                </v>
      </c>
      <c r="AS355" s="174" t="str">
        <f t="shared" si="543"/>
        <v>NG</v>
      </c>
      <c r="AT355" s="203"/>
      <c r="AU355" s="276" t="str">
        <f>IF(OR(AQ$8="判定対象外",AT$8="判定対象外",AT355="-"),"-",IF(AQ355=AT355,"OK","NG"))</f>
        <v>OK</v>
      </c>
      <c r="AV355" s="160"/>
      <c r="AW355" s="141"/>
      <c r="AX355" s="203" t="str">
        <f t="shared" si="564"/>
        <v xml:space="preserve">                                                                                                                                </v>
      </c>
      <c r="AY355" s="174" t="str">
        <f t="shared" si="544"/>
        <v>NG</v>
      </c>
      <c r="AZ355" s="203"/>
      <c r="BA355" s="276" t="str">
        <f>IF(OR(AW$8="判定対象外",AZ$8="判定対象外",AZ355="-"),"-",IF(AW355=AZ355,"OK","NG"))</f>
        <v>OK</v>
      </c>
      <c r="BB355" s="160"/>
      <c r="BC355" s="141"/>
      <c r="BD355" s="203" t="str">
        <f t="shared" si="565"/>
        <v xml:space="preserve">                                                                                                                                </v>
      </c>
      <c r="BE355" s="174" t="str">
        <f t="shared" si="545"/>
        <v>NG</v>
      </c>
      <c r="BF355" s="203"/>
      <c r="BG355" s="276" t="str">
        <f>IF(OR(BC$8="判定対象外",BF$8="判定対象外",BF355="-"),"-",IF(BC355=BF355,"OK","NG"))</f>
        <v>OK</v>
      </c>
      <c r="BH355" s="160"/>
      <c r="BI355" s="141"/>
      <c r="BJ355" s="203" t="str">
        <f t="shared" si="566"/>
        <v xml:space="preserve">                                                                                                                                </v>
      </c>
      <c r="BK355" s="174" t="str">
        <f t="shared" si="546"/>
        <v>NG</v>
      </c>
      <c r="BL355" s="203"/>
      <c r="BM355" s="276" t="str">
        <f>IF(OR(BI$8="判定対象外",BL$8="判定対象外",BL355="-"),"-",IF(BI355=BL355,"OK","NG"))</f>
        <v>OK</v>
      </c>
      <c r="BN355" s="160"/>
      <c r="BO355" s="141"/>
      <c r="BP355" s="203" t="str">
        <f t="shared" si="567"/>
        <v xml:space="preserve">                                                                                                                                </v>
      </c>
      <c r="BQ355" s="174" t="str">
        <f t="shared" si="547"/>
        <v>NG</v>
      </c>
      <c r="BR355" s="203"/>
      <c r="BS355" s="276" t="str">
        <f>IF(OR(BO$8="判定対象外",BR$8="判定対象外",BR355="-"),"-",IF(BO355=BR355,"OK","NG"))</f>
        <v>OK</v>
      </c>
      <c r="BT355" s="160"/>
      <c r="BU355" s="141"/>
      <c r="BV355" s="203" t="str">
        <f t="shared" si="568"/>
        <v xml:space="preserve">                                                                                                                                </v>
      </c>
      <c r="BW355" s="174" t="str">
        <f t="shared" si="548"/>
        <v>NG</v>
      </c>
      <c r="BX355" s="203"/>
      <c r="BY355" s="276" t="str">
        <f>IF(OR(BU$8="判定対象外",BX$8="判定対象外",BX355="-"),"-",IF(BU355=BX355,"OK","NG"))</f>
        <v>OK</v>
      </c>
      <c r="BZ355" s="160"/>
      <c r="CA355" s="141"/>
      <c r="CB355" s="203" t="str">
        <f t="shared" si="569"/>
        <v xml:space="preserve">                                                                                                                                </v>
      </c>
      <c r="CC355" s="174" t="str">
        <f t="shared" si="549"/>
        <v>NG</v>
      </c>
      <c r="CD355" s="203"/>
      <c r="CE355" s="276" t="str">
        <f>IF(OR(CA$8="判定対象外",CD$8="判定対象外",CD355="-"),"-",IF(CA355=CD355,"OK","NG"))</f>
        <v>OK</v>
      </c>
      <c r="CF355" s="160"/>
      <c r="CG355" s="141"/>
      <c r="CH355" s="203" t="str">
        <f t="shared" si="570"/>
        <v xml:space="preserve">                                                                                                                                </v>
      </c>
      <c r="CI355" s="174" t="str">
        <f t="shared" si="550"/>
        <v>NG</v>
      </c>
      <c r="CJ355" s="203"/>
      <c r="CK355" s="276" t="str">
        <f>IF(OR(CG$8="判定対象外",CJ$8="判定対象外",CJ355="-"),"-",IF(CG355=CJ355,"OK","NG"))</f>
        <v>OK</v>
      </c>
      <c r="CL355" s="160"/>
      <c r="CM355" s="141"/>
      <c r="CN355" s="203" t="str">
        <f t="shared" si="571"/>
        <v xml:space="preserve">                                                                                                                                </v>
      </c>
      <c r="CO355" s="174" t="str">
        <f t="shared" si="551"/>
        <v>NG</v>
      </c>
      <c r="CP355" s="203"/>
      <c r="CQ355" s="276" t="str">
        <f>IF(OR(CM$8="判定対象外",CP$8="判定対象外",CP355="-"),"-",IF(CM355=CP355,"OK","NG"))</f>
        <v>OK</v>
      </c>
      <c r="CR355" s="160"/>
      <c r="CS355" s="141"/>
      <c r="CT355" s="203" t="str">
        <f t="shared" si="572"/>
        <v xml:space="preserve">                                                                                                                                </v>
      </c>
      <c r="CU355" s="174" t="str">
        <f t="shared" si="552"/>
        <v>NG</v>
      </c>
      <c r="CV355" s="203"/>
      <c r="CW355" s="276" t="str">
        <f>IF(OR(CS$8="判定対象外",CV$8="判定対象外",CV355="-"),"-",IF(CS355=CV355,"OK","NG"))</f>
        <v>OK</v>
      </c>
      <c r="CX355" s="160"/>
      <c r="CY355" s="141"/>
      <c r="CZ355" s="203" t="str">
        <f t="shared" si="573"/>
        <v xml:space="preserve">                                                                                                                                </v>
      </c>
      <c r="DA355" s="174" t="str">
        <f t="shared" si="553"/>
        <v>NG</v>
      </c>
      <c r="DB355" s="203"/>
      <c r="DC355" s="276" t="str">
        <f>IF(OR(CY$8="判定対象外",DB$8="判定対象外",DB355="-"),"-",IF(CY355=DB355,"OK","NG"))</f>
        <v>OK</v>
      </c>
      <c r="DD355" s="160"/>
      <c r="DE355" s="141"/>
      <c r="DF355" s="203" t="str">
        <f t="shared" si="574"/>
        <v xml:space="preserve">                                                                                                                                </v>
      </c>
      <c r="DG355" s="174" t="str">
        <f t="shared" si="554"/>
        <v>NG</v>
      </c>
      <c r="DH355" s="203"/>
      <c r="DI355" s="276" t="str">
        <f>IF(OR(DE$8="判定対象外",DH$8="判定対象外",DH355="-"),"-",IF(DE355=DH355,"OK","NG"))</f>
        <v>OK</v>
      </c>
      <c r="DJ355" s="160"/>
      <c r="DK355" s="141"/>
      <c r="DL355" s="203" t="str">
        <f t="shared" si="575"/>
        <v xml:space="preserve">                                                                                                                                </v>
      </c>
      <c r="DM355" s="174" t="str">
        <f t="shared" si="555"/>
        <v>NG</v>
      </c>
      <c r="DN355" s="203"/>
      <c r="DO355" s="276" t="str">
        <f>IF(OR(DK$8="判定対象外",DN$8="判定対象外",DN355="-"),"-",IF(DK355=DN355,"OK","NG"))</f>
        <v>OK</v>
      </c>
      <c r="DP355" s="160"/>
      <c r="DQ355" s="141"/>
      <c r="DR355" s="203" t="str">
        <f t="shared" si="576"/>
        <v xml:space="preserve">                                                                                                                                </v>
      </c>
      <c r="DS355" s="174" t="str">
        <f t="shared" si="533"/>
        <v>NG</v>
      </c>
      <c r="DT355" s="203"/>
      <c r="DU355" s="276" t="str">
        <f>IF(OR(DQ$8="判定対象外",DT$8="判定対象外",DT355="-"),"-",IF(DQ355=DT355,"OK","NG"))</f>
        <v>OK</v>
      </c>
      <c r="DV355" s="160"/>
      <c r="DW355" s="141"/>
      <c r="DX355" s="203" t="str">
        <f t="shared" si="577"/>
        <v xml:space="preserve">                                                                                                                                </v>
      </c>
      <c r="DY355" s="174" t="str">
        <f t="shared" si="534"/>
        <v>NG</v>
      </c>
      <c r="DZ355" s="203"/>
      <c r="EA355" s="276" t="str">
        <f>IF(OR(DW$8="判定対象外",DZ$8="判定対象外",DZ355="-"),"-",IF(DW355=DZ355,"OK","NG"))</f>
        <v>OK</v>
      </c>
      <c r="EB355" s="160"/>
      <c r="EC355" s="141"/>
      <c r="ED355" s="203" t="str">
        <f t="shared" si="578"/>
        <v xml:space="preserve">                                                                                                                                </v>
      </c>
      <c r="EE355" s="174" t="str">
        <f t="shared" si="535"/>
        <v>NG</v>
      </c>
      <c r="EF355" s="203"/>
      <c r="EG355" s="276" t="str">
        <f>IF(OR(EC$8="判定対象外",EF$8="判定対象外",EF355="-"),"-",IF(EC355=EF355,"OK","NG"))</f>
        <v>OK</v>
      </c>
      <c r="EH355" s="160"/>
      <c r="EI355" s="141"/>
      <c r="EJ355" s="203" t="str">
        <f t="shared" si="579"/>
        <v xml:space="preserve">                                                                                                                                </v>
      </c>
      <c r="EK355" s="174" t="str">
        <f t="shared" si="536"/>
        <v>NG</v>
      </c>
      <c r="EL355" s="203"/>
      <c r="EM355" s="276" t="str">
        <f>IF(OR(EI$8="判定対象外",EL$8="判定対象外",EL355="-"),"-",IF(EI355=EL355,"OK","NG"))</f>
        <v>OK</v>
      </c>
      <c r="EN355" s="160"/>
      <c r="EO355" s="141"/>
      <c r="EP355" s="203" t="str">
        <f t="shared" si="580"/>
        <v xml:space="preserve">                                                                                                                                </v>
      </c>
      <c r="EQ355" s="174" t="str">
        <f t="shared" si="537"/>
        <v>NG</v>
      </c>
      <c r="ER355" s="203"/>
      <c r="ES355" s="276" t="str">
        <f>IF(OR(EO$8="判定対象外",ER$8="判定対象外",ER355="-"),"-",IF(EO355=ER355,"OK","NG"))</f>
        <v>OK</v>
      </c>
      <c r="ET355" s="160"/>
      <c r="EU355" s="141"/>
      <c r="EV355" s="203" t="str">
        <f t="shared" si="581"/>
        <v xml:space="preserve">                                                                                                                                </v>
      </c>
      <c r="EW355" s="174" t="str">
        <f t="shared" si="538"/>
        <v>NG</v>
      </c>
      <c r="EX355" s="203"/>
      <c r="EY355" s="276" t="str">
        <f>IF(OR(EU$8="判定対象外",EX$8="判定対象外",EX355="-"),"-",IF(EU355=EX355,"OK","NG"))</f>
        <v>OK</v>
      </c>
      <c r="EZ355" s="160"/>
      <c r="FA355" s="141"/>
      <c r="FB355" s="203" t="str">
        <f t="shared" si="582"/>
        <v xml:space="preserve">                                                                                                                                </v>
      </c>
      <c r="FC355" s="174" t="str">
        <f t="shared" si="539"/>
        <v>NG</v>
      </c>
      <c r="FD355" s="203"/>
      <c r="FE355" s="276" t="str">
        <f>IF(OR(FA$8="判定対象外",FD$8="判定対象外",FD355="-"),"-",IF(FA355=FD355,"OK","NG"))</f>
        <v>OK</v>
      </c>
      <c r="FF355" s="160"/>
      <c r="FG355" s="141"/>
      <c r="FH355" s="203" t="str">
        <f t="shared" si="583"/>
        <v xml:space="preserve">                                                                                                                                </v>
      </c>
      <c r="FI355" s="174" t="str">
        <f t="shared" si="540"/>
        <v>NG</v>
      </c>
      <c r="FJ355" s="203"/>
      <c r="FK355" s="276" t="str">
        <f>IF(OR(FG$8="判定対象外",FJ$8="判定対象外",FJ355="-"),"-",IF(FG355=FJ355,"OK","NG"))</f>
        <v>OK</v>
      </c>
      <c r="FL355" s="160"/>
      <c r="FM355" s="141"/>
      <c r="FN355" s="203" t="str">
        <f t="shared" si="584"/>
        <v xml:space="preserve">                                                                                                                                </v>
      </c>
      <c r="FO355" s="174" t="str">
        <f t="shared" si="556"/>
        <v>NG</v>
      </c>
      <c r="FP355" s="203"/>
      <c r="FQ355" s="276" t="str">
        <f>IF(OR(FM$8="判定対象外",FP$8="判定対象外",FP355="-"),"-",IF(FM355=FP355,"OK","NG"))</f>
        <v>OK</v>
      </c>
      <c r="FR355" s="160"/>
      <c r="FS355" s="141"/>
      <c r="FT355" s="203" t="str">
        <f t="shared" si="585"/>
        <v xml:space="preserve">                                                                                                                                </v>
      </c>
      <c r="FU355" s="174" t="str">
        <f t="shared" si="557"/>
        <v>NG</v>
      </c>
      <c r="FV355" s="203"/>
      <c r="FW355" s="276" t="str">
        <f>IF(OR(FS$8="判定対象外",FV$8="判定対象外",FV355="-"),"-",IF(FS355=FV355,"OK","NG"))</f>
        <v>OK</v>
      </c>
      <c r="FX355" s="160"/>
      <c r="FY355" s="141"/>
      <c r="FZ355" s="203" t="str">
        <f t="shared" si="586"/>
        <v xml:space="preserve">                                                                                                                                </v>
      </c>
      <c r="GA355" s="174" t="str">
        <f t="shared" si="558"/>
        <v>NG</v>
      </c>
      <c r="GB355" s="203"/>
      <c r="GC355" s="276" t="str">
        <f>IF(OR(FY$8="判定対象外",GB$8="判定対象外",GB355="-"),"-",IF(FY355=GB355,"OK","NG"))</f>
        <v>OK</v>
      </c>
    </row>
    <row r="356" spans="1:185" s="52" customFormat="1" ht="114.75">
      <c r="B356" s="216">
        <f t="shared" si="587"/>
        <v>349</v>
      </c>
      <c r="C356" s="37"/>
      <c r="D356" s="37"/>
      <c r="E356" s="37"/>
      <c r="F356" s="49" t="s">
        <v>339</v>
      </c>
      <c r="G356" s="39"/>
      <c r="H356" s="40"/>
      <c r="I356" s="42"/>
      <c r="J356" s="42"/>
      <c r="K356" s="42"/>
      <c r="L356" s="42"/>
      <c r="M356" s="63" t="s">
        <v>340</v>
      </c>
      <c r="N356" s="47"/>
      <c r="O356" s="143"/>
      <c r="P356" s="45">
        <f t="shared" si="561"/>
        <v>322</v>
      </c>
      <c r="Q356" s="46">
        <v>1</v>
      </c>
      <c r="R356" s="41" t="str">
        <f t="shared" si="589"/>
        <v>X</v>
      </c>
      <c r="S356" s="185" t="s">
        <v>234</v>
      </c>
      <c r="T356" s="43"/>
      <c r="U356" s="41" t="s">
        <v>80</v>
      </c>
      <c r="V356" s="44"/>
      <c r="W356" s="22">
        <v>3</v>
      </c>
      <c r="X356" s="47" t="s">
        <v>235</v>
      </c>
      <c r="Y356" s="47">
        <v>1</v>
      </c>
      <c r="Z356" s="47">
        <v>1</v>
      </c>
      <c r="AA356" s="42" t="s">
        <v>163</v>
      </c>
      <c r="AB356" s="42" t="s">
        <v>57</v>
      </c>
      <c r="AC356" s="217"/>
      <c r="AD356" s="160"/>
      <c r="AE356" s="162"/>
      <c r="AF356" s="203" t="str">
        <f t="shared" si="562"/>
        <v xml:space="preserve"> </v>
      </c>
      <c r="AG356" s="174" t="str">
        <f t="shared" si="542"/>
        <v>NG</v>
      </c>
      <c r="AH356" s="204"/>
      <c r="AI356" s="172" t="s">
        <v>71</v>
      </c>
      <c r="AJ356" s="160"/>
      <c r="AK356" s="162"/>
      <c r="AL356" s="203" t="str">
        <f t="shared" si="559"/>
        <v xml:space="preserve"> </v>
      </c>
      <c r="AM356" s="174" t="str">
        <f t="shared" si="588"/>
        <v>NG</v>
      </c>
      <c r="AN356" s="204"/>
      <c r="AO356" s="172" t="s">
        <v>71</v>
      </c>
      <c r="AP356" s="160"/>
      <c r="AQ356" s="162"/>
      <c r="AR356" s="203" t="str">
        <f t="shared" si="563"/>
        <v xml:space="preserve"> </v>
      </c>
      <c r="AS356" s="174" t="str">
        <f t="shared" si="543"/>
        <v>NG</v>
      </c>
      <c r="AT356" s="204"/>
      <c r="AU356" s="172" t="s">
        <v>71</v>
      </c>
      <c r="AV356" s="160"/>
      <c r="AW356" s="162"/>
      <c r="AX356" s="203" t="str">
        <f t="shared" si="564"/>
        <v xml:space="preserve"> </v>
      </c>
      <c r="AY356" s="174" t="str">
        <f t="shared" si="544"/>
        <v>NG</v>
      </c>
      <c r="AZ356" s="204"/>
      <c r="BA356" s="172" t="s">
        <v>71</v>
      </c>
      <c r="BB356" s="160"/>
      <c r="BC356" s="162"/>
      <c r="BD356" s="203" t="str">
        <f t="shared" si="565"/>
        <v xml:space="preserve"> </v>
      </c>
      <c r="BE356" s="174" t="str">
        <f t="shared" si="545"/>
        <v>NG</v>
      </c>
      <c r="BF356" s="204"/>
      <c r="BG356" s="172" t="s">
        <v>71</v>
      </c>
      <c r="BH356" s="160"/>
      <c r="BI356" s="162"/>
      <c r="BJ356" s="203" t="str">
        <f t="shared" si="566"/>
        <v xml:space="preserve"> </v>
      </c>
      <c r="BK356" s="174" t="str">
        <f t="shared" si="546"/>
        <v>NG</v>
      </c>
      <c r="BL356" s="204"/>
      <c r="BM356" s="172" t="s">
        <v>71</v>
      </c>
      <c r="BN356" s="160"/>
      <c r="BO356" s="162"/>
      <c r="BP356" s="203" t="str">
        <f t="shared" si="567"/>
        <v xml:space="preserve"> </v>
      </c>
      <c r="BQ356" s="174" t="str">
        <f t="shared" si="547"/>
        <v>NG</v>
      </c>
      <c r="BR356" s="204"/>
      <c r="BS356" s="172" t="s">
        <v>71</v>
      </c>
      <c r="BT356" s="160"/>
      <c r="BU356" s="162"/>
      <c r="BV356" s="203" t="str">
        <f t="shared" si="568"/>
        <v xml:space="preserve"> </v>
      </c>
      <c r="BW356" s="174" t="str">
        <f t="shared" si="548"/>
        <v>NG</v>
      </c>
      <c r="BX356" s="204"/>
      <c r="BY356" s="172" t="s">
        <v>71</v>
      </c>
      <c r="BZ356" s="160"/>
      <c r="CA356" s="162"/>
      <c r="CB356" s="203" t="str">
        <f t="shared" si="569"/>
        <v xml:space="preserve"> </v>
      </c>
      <c r="CC356" s="174" t="str">
        <f t="shared" si="549"/>
        <v>NG</v>
      </c>
      <c r="CD356" s="204"/>
      <c r="CE356" s="172" t="s">
        <v>71</v>
      </c>
      <c r="CF356" s="160"/>
      <c r="CG356" s="162"/>
      <c r="CH356" s="203" t="str">
        <f t="shared" si="570"/>
        <v xml:space="preserve"> </v>
      </c>
      <c r="CI356" s="174" t="str">
        <f t="shared" si="550"/>
        <v>NG</v>
      </c>
      <c r="CJ356" s="204"/>
      <c r="CK356" s="172" t="s">
        <v>71</v>
      </c>
      <c r="CL356" s="160"/>
      <c r="CM356" s="162"/>
      <c r="CN356" s="203" t="str">
        <f t="shared" si="571"/>
        <v xml:space="preserve"> </v>
      </c>
      <c r="CO356" s="174" t="str">
        <f t="shared" si="551"/>
        <v>NG</v>
      </c>
      <c r="CP356" s="204"/>
      <c r="CQ356" s="172" t="s">
        <v>71</v>
      </c>
      <c r="CR356" s="160"/>
      <c r="CS356" s="162"/>
      <c r="CT356" s="203" t="str">
        <f t="shared" si="572"/>
        <v xml:space="preserve"> </v>
      </c>
      <c r="CU356" s="174" t="str">
        <f t="shared" si="552"/>
        <v>NG</v>
      </c>
      <c r="CV356" s="204"/>
      <c r="CW356" s="172" t="s">
        <v>71</v>
      </c>
      <c r="CX356" s="160"/>
      <c r="CY356" s="162"/>
      <c r="CZ356" s="203" t="str">
        <f t="shared" si="573"/>
        <v xml:space="preserve"> </v>
      </c>
      <c r="DA356" s="174" t="str">
        <f t="shared" si="553"/>
        <v>NG</v>
      </c>
      <c r="DB356" s="204"/>
      <c r="DC356" s="172" t="s">
        <v>71</v>
      </c>
      <c r="DD356" s="160"/>
      <c r="DE356" s="162"/>
      <c r="DF356" s="203" t="str">
        <f t="shared" si="574"/>
        <v xml:space="preserve"> </v>
      </c>
      <c r="DG356" s="174" t="str">
        <f t="shared" si="554"/>
        <v>NG</v>
      </c>
      <c r="DH356" s="204"/>
      <c r="DI356" s="172" t="s">
        <v>71</v>
      </c>
      <c r="DJ356" s="160"/>
      <c r="DK356" s="162"/>
      <c r="DL356" s="203" t="str">
        <f t="shared" si="575"/>
        <v xml:space="preserve"> </v>
      </c>
      <c r="DM356" s="174" t="str">
        <f t="shared" si="555"/>
        <v>NG</v>
      </c>
      <c r="DN356" s="204"/>
      <c r="DO356" s="172" t="s">
        <v>71</v>
      </c>
      <c r="DP356" s="160"/>
      <c r="DQ356" s="162"/>
      <c r="DR356" s="203" t="str">
        <f t="shared" si="576"/>
        <v xml:space="preserve"> </v>
      </c>
      <c r="DS356" s="174" t="str">
        <f t="shared" si="533"/>
        <v>NG</v>
      </c>
      <c r="DT356" s="204"/>
      <c r="DU356" s="172" t="s">
        <v>71</v>
      </c>
      <c r="DV356" s="160"/>
      <c r="DW356" s="162"/>
      <c r="DX356" s="203" t="str">
        <f t="shared" si="577"/>
        <v xml:space="preserve"> </v>
      </c>
      <c r="DY356" s="174" t="str">
        <f t="shared" si="534"/>
        <v>NG</v>
      </c>
      <c r="DZ356" s="204"/>
      <c r="EA356" s="172" t="s">
        <v>71</v>
      </c>
      <c r="EB356" s="160"/>
      <c r="EC356" s="162"/>
      <c r="ED356" s="203" t="str">
        <f t="shared" si="578"/>
        <v xml:space="preserve"> </v>
      </c>
      <c r="EE356" s="174" t="str">
        <f t="shared" si="535"/>
        <v>NG</v>
      </c>
      <c r="EF356" s="204"/>
      <c r="EG356" s="172" t="s">
        <v>71</v>
      </c>
      <c r="EH356" s="160"/>
      <c r="EI356" s="162"/>
      <c r="EJ356" s="203" t="str">
        <f t="shared" si="579"/>
        <v xml:space="preserve"> </v>
      </c>
      <c r="EK356" s="174" t="str">
        <f t="shared" si="536"/>
        <v>NG</v>
      </c>
      <c r="EL356" s="204"/>
      <c r="EM356" s="172" t="s">
        <v>71</v>
      </c>
      <c r="EN356" s="160"/>
      <c r="EO356" s="162"/>
      <c r="EP356" s="203" t="str">
        <f t="shared" si="580"/>
        <v xml:space="preserve"> </v>
      </c>
      <c r="EQ356" s="174" t="str">
        <f t="shared" si="537"/>
        <v>NG</v>
      </c>
      <c r="ER356" s="204"/>
      <c r="ES356" s="172" t="s">
        <v>71</v>
      </c>
      <c r="ET356" s="160"/>
      <c r="EU356" s="162"/>
      <c r="EV356" s="203" t="str">
        <f t="shared" si="581"/>
        <v xml:space="preserve"> </v>
      </c>
      <c r="EW356" s="174" t="str">
        <f t="shared" si="538"/>
        <v>NG</v>
      </c>
      <c r="EX356" s="204"/>
      <c r="EY356" s="172" t="s">
        <v>71</v>
      </c>
      <c r="EZ356" s="160"/>
      <c r="FA356" s="162"/>
      <c r="FB356" s="203" t="str">
        <f t="shared" si="582"/>
        <v xml:space="preserve"> </v>
      </c>
      <c r="FC356" s="174" t="str">
        <f t="shared" si="539"/>
        <v>NG</v>
      </c>
      <c r="FD356" s="204"/>
      <c r="FE356" s="172" t="s">
        <v>71</v>
      </c>
      <c r="FF356" s="160"/>
      <c r="FG356" s="162"/>
      <c r="FH356" s="203" t="str">
        <f t="shared" si="583"/>
        <v xml:space="preserve"> </v>
      </c>
      <c r="FI356" s="174" t="str">
        <f t="shared" si="540"/>
        <v>NG</v>
      </c>
      <c r="FJ356" s="204"/>
      <c r="FK356" s="172" t="s">
        <v>71</v>
      </c>
      <c r="FL356" s="160"/>
      <c r="FM356" s="162"/>
      <c r="FN356" s="203" t="str">
        <f t="shared" si="584"/>
        <v xml:space="preserve"> </v>
      </c>
      <c r="FO356" s="174" t="str">
        <f t="shared" si="556"/>
        <v>NG</v>
      </c>
      <c r="FP356" s="204"/>
      <c r="FQ356" s="172" t="s">
        <v>71</v>
      </c>
      <c r="FR356" s="160"/>
      <c r="FS356" s="162"/>
      <c r="FT356" s="203" t="str">
        <f t="shared" si="585"/>
        <v xml:space="preserve"> </v>
      </c>
      <c r="FU356" s="174" t="str">
        <f t="shared" si="557"/>
        <v>NG</v>
      </c>
      <c r="FV356" s="204"/>
      <c r="FW356" s="172" t="s">
        <v>71</v>
      </c>
      <c r="FX356" s="160"/>
      <c r="FY356" s="162"/>
      <c r="FZ356" s="203" t="str">
        <f t="shared" si="586"/>
        <v xml:space="preserve"> </v>
      </c>
      <c r="GA356" s="174" t="str">
        <f t="shared" si="558"/>
        <v>NG</v>
      </c>
      <c r="GB356" s="204"/>
      <c r="GC356" s="172" t="s">
        <v>71</v>
      </c>
    </row>
    <row r="357" spans="1:185" s="52" customFormat="1" ht="127.5">
      <c r="B357" s="216">
        <f t="shared" si="587"/>
        <v>350</v>
      </c>
      <c r="C357" s="37"/>
      <c r="D357" s="37"/>
      <c r="E357" s="37"/>
      <c r="F357" s="49" t="s">
        <v>341</v>
      </c>
      <c r="G357" s="39"/>
      <c r="H357" s="40"/>
      <c r="I357" s="42"/>
      <c r="J357" s="42" t="s">
        <v>316</v>
      </c>
      <c r="K357" s="42"/>
      <c r="L357" s="42"/>
      <c r="M357" s="163" t="s">
        <v>342</v>
      </c>
      <c r="N357" s="47"/>
      <c r="O357" s="143"/>
      <c r="P357" s="45">
        <f t="shared" si="561"/>
        <v>323</v>
      </c>
      <c r="Q357" s="46">
        <v>1</v>
      </c>
      <c r="R357" s="41" t="str">
        <f t="shared" si="589"/>
        <v>X</v>
      </c>
      <c r="S357" s="185" t="s">
        <v>236</v>
      </c>
      <c r="T357" s="43"/>
      <c r="U357" s="41" t="s">
        <v>80</v>
      </c>
      <c r="V357" s="44"/>
      <c r="W357" s="22">
        <v>3</v>
      </c>
      <c r="X357" s="47" t="s">
        <v>237</v>
      </c>
      <c r="Y357" s="47">
        <v>1</v>
      </c>
      <c r="Z357" s="47">
        <v>1</v>
      </c>
      <c r="AA357" s="42" t="s">
        <v>163</v>
      </c>
      <c r="AB357" s="42" t="s">
        <v>57</v>
      </c>
      <c r="AC357" s="217"/>
      <c r="AD357" s="160"/>
      <c r="AE357" s="162"/>
      <c r="AF357" s="203" t="str">
        <f t="shared" si="562"/>
        <v xml:space="preserve"> </v>
      </c>
      <c r="AG357" s="174" t="str">
        <f t="shared" si="542"/>
        <v>NG</v>
      </c>
      <c r="AH357" s="204"/>
      <c r="AI357" s="276" t="str">
        <f>IF(OR(AE$8="判定対象外",AH$8="判定対象外",AH357="-"),"-",IF(AE357=AH357,"OK","NG"))</f>
        <v>OK</v>
      </c>
      <c r="AJ357" s="160"/>
      <c r="AK357" s="162"/>
      <c r="AL357" s="203" t="str">
        <f t="shared" si="559"/>
        <v xml:space="preserve"> </v>
      </c>
      <c r="AM357" s="174" t="str">
        <f t="shared" si="588"/>
        <v>NG</v>
      </c>
      <c r="AN357" s="204"/>
      <c r="AO357" s="276" t="str">
        <f>IF(OR(AK$8="判定対象外",AN$8="判定対象外",AN357="-"),"-",IF(AK357=AN357,"OK","NG"))</f>
        <v>OK</v>
      </c>
      <c r="AP357" s="160"/>
      <c r="AQ357" s="162"/>
      <c r="AR357" s="203" t="str">
        <f t="shared" si="563"/>
        <v xml:space="preserve"> </v>
      </c>
      <c r="AS357" s="174" t="str">
        <f t="shared" si="543"/>
        <v>NG</v>
      </c>
      <c r="AT357" s="204"/>
      <c r="AU357" s="276" t="str">
        <f>IF(OR(AQ$8="判定対象外",AT$8="判定対象外",AT357="-"),"-",IF(AQ357=AT357,"OK","NG"))</f>
        <v>OK</v>
      </c>
      <c r="AV357" s="160"/>
      <c r="AW357" s="162"/>
      <c r="AX357" s="203" t="str">
        <f t="shared" si="564"/>
        <v xml:space="preserve"> </v>
      </c>
      <c r="AY357" s="174" t="str">
        <f t="shared" si="544"/>
        <v>NG</v>
      </c>
      <c r="AZ357" s="204"/>
      <c r="BA357" s="276" t="str">
        <f>IF(OR(AW$8="判定対象外",AZ$8="判定対象外",AZ357="-"),"-",IF(AW357=AZ357,"OK","NG"))</f>
        <v>OK</v>
      </c>
      <c r="BB357" s="160"/>
      <c r="BC357" s="162"/>
      <c r="BD357" s="203" t="str">
        <f t="shared" si="565"/>
        <v xml:space="preserve"> </v>
      </c>
      <c r="BE357" s="174" t="str">
        <f t="shared" si="545"/>
        <v>NG</v>
      </c>
      <c r="BF357" s="204"/>
      <c r="BG357" s="276" t="str">
        <f>IF(OR(BC$8="判定対象外",BF$8="判定対象外",BF357="-"),"-",IF(BC357=BF357,"OK","NG"))</f>
        <v>OK</v>
      </c>
      <c r="BH357" s="160"/>
      <c r="BI357" s="162"/>
      <c r="BJ357" s="203" t="str">
        <f t="shared" si="566"/>
        <v xml:space="preserve"> </v>
      </c>
      <c r="BK357" s="174" t="str">
        <f t="shared" si="546"/>
        <v>NG</v>
      </c>
      <c r="BL357" s="204"/>
      <c r="BM357" s="276" t="str">
        <f>IF(OR(BI$8="判定対象外",BL$8="判定対象外",BL357="-"),"-",IF(BI357=BL357,"OK","NG"))</f>
        <v>OK</v>
      </c>
      <c r="BN357" s="160"/>
      <c r="BO357" s="162"/>
      <c r="BP357" s="203" t="str">
        <f t="shared" si="567"/>
        <v xml:space="preserve"> </v>
      </c>
      <c r="BQ357" s="174" t="str">
        <f t="shared" si="547"/>
        <v>NG</v>
      </c>
      <c r="BR357" s="204"/>
      <c r="BS357" s="276" t="str">
        <f>IF(OR(BO$8="判定対象外",BR$8="判定対象外",BR357="-"),"-",IF(BO357=BR357,"OK","NG"))</f>
        <v>OK</v>
      </c>
      <c r="BT357" s="160"/>
      <c r="BU357" s="162"/>
      <c r="BV357" s="203" t="str">
        <f t="shared" si="568"/>
        <v xml:space="preserve"> </v>
      </c>
      <c r="BW357" s="174" t="str">
        <f t="shared" si="548"/>
        <v>NG</v>
      </c>
      <c r="BX357" s="204"/>
      <c r="BY357" s="276" t="str">
        <f>IF(OR(BU$8="判定対象外",BX$8="判定対象外",BX357="-"),"-",IF(BU357=BX357,"OK","NG"))</f>
        <v>OK</v>
      </c>
      <c r="BZ357" s="160"/>
      <c r="CA357" s="162"/>
      <c r="CB357" s="203" t="str">
        <f t="shared" si="569"/>
        <v xml:space="preserve"> </v>
      </c>
      <c r="CC357" s="174" t="str">
        <f t="shared" si="549"/>
        <v>NG</v>
      </c>
      <c r="CD357" s="204"/>
      <c r="CE357" s="276" t="str">
        <f>IF(OR(CA$8="判定対象外",CD$8="判定対象外",CD357="-"),"-",IF(CA357=CD357,"OK","NG"))</f>
        <v>OK</v>
      </c>
      <c r="CF357" s="160"/>
      <c r="CG357" s="162"/>
      <c r="CH357" s="203" t="str">
        <f t="shared" si="570"/>
        <v xml:space="preserve"> </v>
      </c>
      <c r="CI357" s="174" t="str">
        <f t="shared" si="550"/>
        <v>NG</v>
      </c>
      <c r="CJ357" s="204"/>
      <c r="CK357" s="276" t="str">
        <f>IF(OR(CG$8="判定対象外",CJ$8="判定対象外",CJ357="-"),"-",IF(CG357=CJ357,"OK","NG"))</f>
        <v>OK</v>
      </c>
      <c r="CL357" s="160"/>
      <c r="CM357" s="162"/>
      <c r="CN357" s="203" t="str">
        <f t="shared" si="571"/>
        <v xml:space="preserve"> </v>
      </c>
      <c r="CO357" s="174" t="str">
        <f t="shared" si="551"/>
        <v>NG</v>
      </c>
      <c r="CP357" s="204"/>
      <c r="CQ357" s="276" t="str">
        <f>IF(OR(CM$8="判定対象外",CP$8="判定対象外",CP357="-"),"-",IF(CM357=CP357,"OK","NG"))</f>
        <v>OK</v>
      </c>
      <c r="CR357" s="160"/>
      <c r="CS357" s="162"/>
      <c r="CT357" s="203" t="str">
        <f t="shared" si="572"/>
        <v xml:space="preserve"> </v>
      </c>
      <c r="CU357" s="174" t="str">
        <f t="shared" si="552"/>
        <v>NG</v>
      </c>
      <c r="CV357" s="204"/>
      <c r="CW357" s="276" t="str">
        <f>IF(OR(CS$8="判定対象外",CV$8="判定対象外",CV357="-"),"-",IF(CS357=CV357,"OK","NG"))</f>
        <v>OK</v>
      </c>
      <c r="CX357" s="160"/>
      <c r="CY357" s="162"/>
      <c r="CZ357" s="203" t="str">
        <f t="shared" si="573"/>
        <v xml:space="preserve"> </v>
      </c>
      <c r="DA357" s="174" t="str">
        <f t="shared" si="553"/>
        <v>NG</v>
      </c>
      <c r="DB357" s="204"/>
      <c r="DC357" s="276" t="str">
        <f>IF(OR(CY$8="判定対象外",DB$8="判定対象外",DB357="-"),"-",IF(CY357=DB357,"OK","NG"))</f>
        <v>OK</v>
      </c>
      <c r="DD357" s="160"/>
      <c r="DE357" s="162"/>
      <c r="DF357" s="203" t="str">
        <f t="shared" si="574"/>
        <v xml:space="preserve"> </v>
      </c>
      <c r="DG357" s="174" t="str">
        <f t="shared" si="554"/>
        <v>NG</v>
      </c>
      <c r="DH357" s="204"/>
      <c r="DI357" s="276" t="str">
        <f>IF(OR(DE$8="判定対象外",DH$8="判定対象外",DH357="-"),"-",IF(DE357=DH357,"OK","NG"))</f>
        <v>OK</v>
      </c>
      <c r="DJ357" s="160"/>
      <c r="DK357" s="162"/>
      <c r="DL357" s="203" t="str">
        <f t="shared" si="575"/>
        <v xml:space="preserve"> </v>
      </c>
      <c r="DM357" s="174" t="str">
        <f t="shared" si="555"/>
        <v>NG</v>
      </c>
      <c r="DN357" s="204"/>
      <c r="DO357" s="276" t="str">
        <f>IF(OR(DK$8="判定対象外",DN$8="判定対象外",DN357="-"),"-",IF(DK357=DN357,"OK","NG"))</f>
        <v>OK</v>
      </c>
      <c r="DP357" s="160"/>
      <c r="DQ357" s="162"/>
      <c r="DR357" s="203" t="str">
        <f t="shared" si="576"/>
        <v xml:space="preserve"> </v>
      </c>
      <c r="DS357" s="174" t="str">
        <f t="shared" si="533"/>
        <v>NG</v>
      </c>
      <c r="DT357" s="204"/>
      <c r="DU357" s="276" t="str">
        <f>IF(OR(DQ$8="判定対象外",DT$8="判定対象外",DT357="-"),"-",IF(DQ357=DT357,"OK","NG"))</f>
        <v>OK</v>
      </c>
      <c r="DV357" s="160"/>
      <c r="DW357" s="162"/>
      <c r="DX357" s="203" t="str">
        <f t="shared" si="577"/>
        <v xml:space="preserve"> </v>
      </c>
      <c r="DY357" s="174" t="str">
        <f t="shared" si="534"/>
        <v>NG</v>
      </c>
      <c r="DZ357" s="204"/>
      <c r="EA357" s="276" t="str">
        <f>IF(OR(DW$8="判定対象外",DZ$8="判定対象外",DZ357="-"),"-",IF(DW357=DZ357,"OK","NG"))</f>
        <v>OK</v>
      </c>
      <c r="EB357" s="160"/>
      <c r="EC357" s="162"/>
      <c r="ED357" s="203" t="str">
        <f t="shared" si="578"/>
        <v xml:space="preserve"> </v>
      </c>
      <c r="EE357" s="174" t="str">
        <f t="shared" si="535"/>
        <v>NG</v>
      </c>
      <c r="EF357" s="204"/>
      <c r="EG357" s="276" t="str">
        <f>IF(OR(EC$8="判定対象外",EF$8="判定対象外",EF357="-"),"-",IF(EC357=EF357,"OK","NG"))</f>
        <v>OK</v>
      </c>
      <c r="EH357" s="160"/>
      <c r="EI357" s="162"/>
      <c r="EJ357" s="203" t="str">
        <f t="shared" si="579"/>
        <v xml:space="preserve"> </v>
      </c>
      <c r="EK357" s="174" t="str">
        <f t="shared" si="536"/>
        <v>NG</v>
      </c>
      <c r="EL357" s="204"/>
      <c r="EM357" s="276" t="str">
        <f>IF(OR(EI$8="判定対象外",EL$8="判定対象外",EL357="-"),"-",IF(EI357=EL357,"OK","NG"))</f>
        <v>OK</v>
      </c>
      <c r="EN357" s="160"/>
      <c r="EO357" s="162"/>
      <c r="EP357" s="203" t="str">
        <f t="shared" si="580"/>
        <v xml:space="preserve"> </v>
      </c>
      <c r="EQ357" s="174" t="str">
        <f t="shared" si="537"/>
        <v>NG</v>
      </c>
      <c r="ER357" s="204"/>
      <c r="ES357" s="276" t="str">
        <f>IF(OR(EO$8="判定対象外",ER$8="判定対象外",ER357="-"),"-",IF(EO357=ER357,"OK","NG"))</f>
        <v>OK</v>
      </c>
      <c r="ET357" s="160"/>
      <c r="EU357" s="162"/>
      <c r="EV357" s="203" t="str">
        <f t="shared" si="581"/>
        <v xml:space="preserve"> </v>
      </c>
      <c r="EW357" s="174" t="str">
        <f t="shared" si="538"/>
        <v>NG</v>
      </c>
      <c r="EX357" s="204"/>
      <c r="EY357" s="276" t="str">
        <f>IF(OR(EU$8="判定対象外",EX$8="判定対象外",EX357="-"),"-",IF(EU357=EX357,"OK","NG"))</f>
        <v>OK</v>
      </c>
      <c r="EZ357" s="160"/>
      <c r="FA357" s="162"/>
      <c r="FB357" s="203" t="str">
        <f t="shared" si="582"/>
        <v xml:space="preserve"> </v>
      </c>
      <c r="FC357" s="174" t="str">
        <f t="shared" si="539"/>
        <v>NG</v>
      </c>
      <c r="FD357" s="204"/>
      <c r="FE357" s="276" t="str">
        <f>IF(OR(FA$8="判定対象外",FD$8="判定対象外",FD357="-"),"-",IF(FA357=FD357,"OK","NG"))</f>
        <v>OK</v>
      </c>
      <c r="FF357" s="160"/>
      <c r="FG357" s="162"/>
      <c r="FH357" s="203" t="str">
        <f t="shared" si="583"/>
        <v xml:space="preserve"> </v>
      </c>
      <c r="FI357" s="174" t="str">
        <f t="shared" si="540"/>
        <v>NG</v>
      </c>
      <c r="FJ357" s="204"/>
      <c r="FK357" s="276" t="str">
        <f>IF(OR(FG$8="判定対象外",FJ$8="判定対象外",FJ357="-"),"-",IF(FG357=FJ357,"OK","NG"))</f>
        <v>OK</v>
      </c>
      <c r="FL357" s="160"/>
      <c r="FM357" s="162"/>
      <c r="FN357" s="203" t="str">
        <f t="shared" si="584"/>
        <v xml:space="preserve"> </v>
      </c>
      <c r="FO357" s="174" t="str">
        <f t="shared" si="556"/>
        <v>NG</v>
      </c>
      <c r="FP357" s="204"/>
      <c r="FQ357" s="276" t="str">
        <f>IF(OR(FM$8="判定対象外",FP$8="判定対象外",FP357="-"),"-",IF(FM357=FP357,"OK","NG"))</f>
        <v>OK</v>
      </c>
      <c r="FR357" s="160"/>
      <c r="FS357" s="162"/>
      <c r="FT357" s="203" t="str">
        <f t="shared" si="585"/>
        <v xml:space="preserve"> </v>
      </c>
      <c r="FU357" s="174" t="str">
        <f t="shared" si="557"/>
        <v>NG</v>
      </c>
      <c r="FV357" s="204"/>
      <c r="FW357" s="276" t="str">
        <f>IF(OR(FS$8="判定対象外",FV$8="判定対象外",FV357="-"),"-",IF(FS357=FV357,"OK","NG"))</f>
        <v>OK</v>
      </c>
      <c r="FX357" s="160"/>
      <c r="FY357" s="162"/>
      <c r="FZ357" s="203" t="str">
        <f t="shared" si="586"/>
        <v xml:space="preserve"> </v>
      </c>
      <c r="GA357" s="174" t="str">
        <f t="shared" si="558"/>
        <v>NG</v>
      </c>
      <c r="GB357" s="204"/>
      <c r="GC357" s="276" t="str">
        <f>IF(OR(FY$8="判定対象外",GB$8="判定対象外",GB357="-"),"-",IF(FY357=GB357,"OK","NG"))</f>
        <v>OK</v>
      </c>
    </row>
    <row r="358" spans="1:185" s="52" customFormat="1" ht="319.5" customHeight="1">
      <c r="B358" s="216">
        <f t="shared" si="587"/>
        <v>351</v>
      </c>
      <c r="C358" s="37"/>
      <c r="D358" s="37"/>
      <c r="E358" s="25"/>
      <c r="F358" s="218" t="s">
        <v>288</v>
      </c>
      <c r="G358" s="27"/>
      <c r="H358" s="28"/>
      <c r="I358" s="42"/>
      <c r="J358" s="42" t="s">
        <v>316</v>
      </c>
      <c r="K358" s="42"/>
      <c r="L358" s="42"/>
      <c r="M358" s="161" t="s">
        <v>343</v>
      </c>
      <c r="N358" s="39"/>
      <c r="O358" s="143"/>
      <c r="P358" s="45">
        <f t="shared" si="561"/>
        <v>324</v>
      </c>
      <c r="Q358" s="46">
        <v>2</v>
      </c>
      <c r="R358" s="41" t="str">
        <f t="shared" si="589"/>
        <v>X</v>
      </c>
      <c r="S358" s="185" t="s">
        <v>238</v>
      </c>
      <c r="T358" s="43"/>
      <c r="U358" s="41" t="s">
        <v>80</v>
      </c>
      <c r="V358" s="44"/>
      <c r="W358" s="22">
        <v>3</v>
      </c>
      <c r="X358" s="47" t="s">
        <v>239</v>
      </c>
      <c r="Y358" s="47">
        <v>2</v>
      </c>
      <c r="Z358" s="47">
        <v>2</v>
      </c>
      <c r="AA358" s="42" t="s">
        <v>81</v>
      </c>
      <c r="AB358" s="42" t="s">
        <v>80</v>
      </c>
      <c r="AC358" s="164"/>
      <c r="AD358" s="160"/>
      <c r="AE358" s="162"/>
      <c r="AF358" s="167" t="str">
        <f t="shared" si="562"/>
        <v xml:space="preserve">  </v>
      </c>
      <c r="AG358" s="174" t="str">
        <f t="shared" si="542"/>
        <v>NG</v>
      </c>
      <c r="AH358" s="204"/>
      <c r="AI358" s="276" t="str">
        <f>IF(OR(AE$8="判定対象外",AH$8="判定対象外",AH358="-"),"-",IF(AE358=AH358,"OK","NG"))</f>
        <v>OK</v>
      </c>
      <c r="AJ358" s="160"/>
      <c r="AK358" s="162"/>
      <c r="AL358" s="167" t="str">
        <f t="shared" si="559"/>
        <v xml:space="preserve">  </v>
      </c>
      <c r="AM358" s="174" t="str">
        <f t="shared" si="588"/>
        <v>NG</v>
      </c>
      <c r="AN358" s="204"/>
      <c r="AO358" s="276" t="str">
        <f>IF(OR(AK$8="判定対象外",AN$8="判定対象外",AN358="-"),"-",IF(AK358=AN358,"OK","NG"))</f>
        <v>OK</v>
      </c>
      <c r="AP358" s="160"/>
      <c r="AQ358" s="162"/>
      <c r="AR358" s="167" t="str">
        <f t="shared" si="563"/>
        <v xml:space="preserve">  </v>
      </c>
      <c r="AS358" s="174" t="str">
        <f t="shared" si="543"/>
        <v>NG</v>
      </c>
      <c r="AT358" s="204"/>
      <c r="AU358" s="276" t="str">
        <f>IF(OR(AQ$8="判定対象外",AT$8="判定対象外",AT358="-"),"-",IF(AQ358=AT358,"OK","NG"))</f>
        <v>OK</v>
      </c>
      <c r="AV358" s="160"/>
      <c r="AW358" s="162"/>
      <c r="AX358" s="167" t="str">
        <f t="shared" si="564"/>
        <v xml:space="preserve">  </v>
      </c>
      <c r="AY358" s="174" t="str">
        <f t="shared" si="544"/>
        <v>NG</v>
      </c>
      <c r="AZ358" s="204"/>
      <c r="BA358" s="276" t="str">
        <f>IF(OR(AW$8="判定対象外",AZ$8="判定対象外",AZ358="-"),"-",IF(AW358=AZ358,"OK","NG"))</f>
        <v>OK</v>
      </c>
      <c r="BB358" s="160"/>
      <c r="BC358" s="162"/>
      <c r="BD358" s="167" t="str">
        <f t="shared" si="565"/>
        <v xml:space="preserve">  </v>
      </c>
      <c r="BE358" s="174" t="str">
        <f t="shared" si="545"/>
        <v>NG</v>
      </c>
      <c r="BF358" s="204"/>
      <c r="BG358" s="276" t="str">
        <f>IF(OR(BC$8="判定対象外",BF$8="判定対象外",BF358="-"),"-",IF(BC358=BF358,"OK","NG"))</f>
        <v>OK</v>
      </c>
      <c r="BH358" s="160"/>
      <c r="BI358" s="162"/>
      <c r="BJ358" s="167" t="str">
        <f t="shared" si="566"/>
        <v xml:space="preserve">  </v>
      </c>
      <c r="BK358" s="174" t="str">
        <f t="shared" si="546"/>
        <v>NG</v>
      </c>
      <c r="BL358" s="204"/>
      <c r="BM358" s="276" t="str">
        <f>IF(OR(BI$8="判定対象外",BL$8="判定対象外",BL358="-"),"-",IF(BI358=BL358,"OK","NG"))</f>
        <v>OK</v>
      </c>
      <c r="BN358" s="160"/>
      <c r="BO358" s="162"/>
      <c r="BP358" s="167" t="str">
        <f t="shared" si="567"/>
        <v xml:space="preserve">  </v>
      </c>
      <c r="BQ358" s="174" t="str">
        <f t="shared" si="547"/>
        <v>NG</v>
      </c>
      <c r="BR358" s="204"/>
      <c r="BS358" s="276" t="str">
        <f>IF(OR(BO$8="判定対象外",BR$8="判定対象外",BR358="-"),"-",IF(BO358=BR358,"OK","NG"))</f>
        <v>OK</v>
      </c>
      <c r="BT358" s="160"/>
      <c r="BU358" s="162"/>
      <c r="BV358" s="167" t="str">
        <f t="shared" si="568"/>
        <v xml:space="preserve">  </v>
      </c>
      <c r="BW358" s="174" t="str">
        <f t="shared" si="548"/>
        <v>NG</v>
      </c>
      <c r="BX358" s="204"/>
      <c r="BY358" s="276" t="str">
        <f>IF(OR(BU$8="判定対象外",BX$8="判定対象外",BX358="-"),"-",IF(BU358=BX358,"OK","NG"))</f>
        <v>OK</v>
      </c>
      <c r="BZ358" s="160"/>
      <c r="CA358" s="162"/>
      <c r="CB358" s="167" t="str">
        <f t="shared" si="569"/>
        <v xml:space="preserve">  </v>
      </c>
      <c r="CC358" s="174" t="str">
        <f t="shared" si="549"/>
        <v>NG</v>
      </c>
      <c r="CD358" s="204"/>
      <c r="CE358" s="276" t="str">
        <f>IF(OR(CA$8="判定対象外",CD$8="判定対象外",CD358="-"),"-",IF(CA358=CD358,"OK","NG"))</f>
        <v>OK</v>
      </c>
      <c r="CF358" s="160"/>
      <c r="CG358" s="162"/>
      <c r="CH358" s="167" t="str">
        <f t="shared" si="570"/>
        <v xml:space="preserve">  </v>
      </c>
      <c r="CI358" s="174" t="str">
        <f t="shared" si="550"/>
        <v>NG</v>
      </c>
      <c r="CJ358" s="204"/>
      <c r="CK358" s="276" t="str">
        <f>IF(OR(CG$8="判定対象外",CJ$8="判定対象外",CJ358="-"),"-",IF(CG358=CJ358,"OK","NG"))</f>
        <v>OK</v>
      </c>
      <c r="CL358" s="160"/>
      <c r="CM358" s="162"/>
      <c r="CN358" s="167" t="str">
        <f t="shared" si="571"/>
        <v xml:space="preserve">  </v>
      </c>
      <c r="CO358" s="174" t="str">
        <f t="shared" si="551"/>
        <v>NG</v>
      </c>
      <c r="CP358" s="204"/>
      <c r="CQ358" s="276" t="str">
        <f>IF(OR(CM$8="判定対象外",CP$8="判定対象外",CP358="-"),"-",IF(CM358=CP358,"OK","NG"))</f>
        <v>OK</v>
      </c>
      <c r="CR358" s="160"/>
      <c r="CS358" s="162"/>
      <c r="CT358" s="167" t="str">
        <f t="shared" si="572"/>
        <v xml:space="preserve">  </v>
      </c>
      <c r="CU358" s="174" t="str">
        <f t="shared" si="552"/>
        <v>NG</v>
      </c>
      <c r="CV358" s="204"/>
      <c r="CW358" s="276" t="str">
        <f>IF(OR(CS$8="判定対象外",CV$8="判定対象外",CV358="-"),"-",IF(CS358=CV358,"OK","NG"))</f>
        <v>OK</v>
      </c>
      <c r="CX358" s="160"/>
      <c r="CY358" s="162"/>
      <c r="CZ358" s="167" t="str">
        <f t="shared" si="573"/>
        <v xml:space="preserve">  </v>
      </c>
      <c r="DA358" s="174" t="str">
        <f t="shared" si="553"/>
        <v>NG</v>
      </c>
      <c r="DB358" s="204"/>
      <c r="DC358" s="276" t="str">
        <f>IF(OR(CY$8="判定対象外",DB$8="判定対象外",DB358="-"),"-",IF(CY358=DB358,"OK","NG"))</f>
        <v>OK</v>
      </c>
      <c r="DD358" s="160"/>
      <c r="DE358" s="162"/>
      <c r="DF358" s="167" t="str">
        <f t="shared" si="574"/>
        <v xml:space="preserve">  </v>
      </c>
      <c r="DG358" s="174" t="str">
        <f t="shared" si="554"/>
        <v>NG</v>
      </c>
      <c r="DH358" s="204"/>
      <c r="DI358" s="276" t="str">
        <f>IF(OR(DE$8="判定対象外",DH$8="判定対象外",DH358="-"),"-",IF(DE358=DH358,"OK","NG"))</f>
        <v>OK</v>
      </c>
      <c r="DJ358" s="160"/>
      <c r="DK358" s="162"/>
      <c r="DL358" s="167" t="str">
        <f t="shared" si="575"/>
        <v xml:space="preserve">  </v>
      </c>
      <c r="DM358" s="174" t="str">
        <f t="shared" si="555"/>
        <v>NG</v>
      </c>
      <c r="DN358" s="204"/>
      <c r="DO358" s="276" t="str">
        <f>IF(OR(DK$8="判定対象外",DN$8="判定対象外",DN358="-"),"-",IF(DK358=DN358,"OK","NG"))</f>
        <v>OK</v>
      </c>
      <c r="DP358" s="160"/>
      <c r="DQ358" s="162"/>
      <c r="DR358" s="167" t="str">
        <f t="shared" si="576"/>
        <v xml:space="preserve">  </v>
      </c>
      <c r="DS358" s="174" t="str">
        <f t="shared" si="533"/>
        <v>NG</v>
      </c>
      <c r="DT358" s="204"/>
      <c r="DU358" s="276" t="str">
        <f>IF(OR(DQ$8="判定対象外",DT$8="判定対象外",DT358="-"),"-",IF(DQ358=DT358,"OK","NG"))</f>
        <v>OK</v>
      </c>
      <c r="DV358" s="160"/>
      <c r="DW358" s="162"/>
      <c r="DX358" s="167" t="str">
        <f t="shared" si="577"/>
        <v xml:space="preserve">  </v>
      </c>
      <c r="DY358" s="174" t="str">
        <f t="shared" si="534"/>
        <v>NG</v>
      </c>
      <c r="DZ358" s="204"/>
      <c r="EA358" s="276" t="str">
        <f>IF(OR(DW$8="判定対象外",DZ$8="判定対象外",DZ358="-"),"-",IF(DW358=DZ358,"OK","NG"))</f>
        <v>OK</v>
      </c>
      <c r="EB358" s="160"/>
      <c r="EC358" s="162"/>
      <c r="ED358" s="167" t="str">
        <f t="shared" si="578"/>
        <v xml:space="preserve">  </v>
      </c>
      <c r="EE358" s="174" t="str">
        <f t="shared" si="535"/>
        <v>NG</v>
      </c>
      <c r="EF358" s="204"/>
      <c r="EG358" s="276" t="str">
        <f>IF(OR(EC$8="判定対象外",EF$8="判定対象外",EF358="-"),"-",IF(EC358=EF358,"OK","NG"))</f>
        <v>OK</v>
      </c>
      <c r="EH358" s="160"/>
      <c r="EI358" s="162"/>
      <c r="EJ358" s="167" t="str">
        <f t="shared" si="579"/>
        <v xml:space="preserve">  </v>
      </c>
      <c r="EK358" s="174" t="str">
        <f t="shared" si="536"/>
        <v>NG</v>
      </c>
      <c r="EL358" s="204"/>
      <c r="EM358" s="276" t="str">
        <f>IF(OR(EI$8="判定対象外",EL$8="判定対象外",EL358="-"),"-",IF(EI358=EL358,"OK","NG"))</f>
        <v>OK</v>
      </c>
      <c r="EN358" s="160"/>
      <c r="EO358" s="162"/>
      <c r="EP358" s="167" t="str">
        <f t="shared" si="580"/>
        <v xml:space="preserve">  </v>
      </c>
      <c r="EQ358" s="174" t="str">
        <f t="shared" si="537"/>
        <v>NG</v>
      </c>
      <c r="ER358" s="204"/>
      <c r="ES358" s="276" t="str">
        <f>IF(OR(EO$8="判定対象外",ER$8="判定対象外",ER358="-"),"-",IF(EO358=ER358,"OK","NG"))</f>
        <v>OK</v>
      </c>
      <c r="ET358" s="160"/>
      <c r="EU358" s="162"/>
      <c r="EV358" s="167" t="str">
        <f t="shared" si="581"/>
        <v xml:space="preserve">  </v>
      </c>
      <c r="EW358" s="174" t="str">
        <f t="shared" si="538"/>
        <v>NG</v>
      </c>
      <c r="EX358" s="204"/>
      <c r="EY358" s="276" t="str">
        <f>IF(OR(EU$8="判定対象外",EX$8="判定対象外",EX358="-"),"-",IF(EU358=EX358,"OK","NG"))</f>
        <v>OK</v>
      </c>
      <c r="EZ358" s="160"/>
      <c r="FA358" s="162"/>
      <c r="FB358" s="167" t="str">
        <f t="shared" si="582"/>
        <v xml:space="preserve">  </v>
      </c>
      <c r="FC358" s="174" t="str">
        <f t="shared" si="539"/>
        <v>NG</v>
      </c>
      <c r="FD358" s="204"/>
      <c r="FE358" s="276" t="str">
        <f>IF(OR(FA$8="判定対象外",FD$8="判定対象外",FD358="-"),"-",IF(FA358=FD358,"OK","NG"))</f>
        <v>OK</v>
      </c>
      <c r="FF358" s="160"/>
      <c r="FG358" s="162"/>
      <c r="FH358" s="167" t="str">
        <f t="shared" si="583"/>
        <v xml:space="preserve">  </v>
      </c>
      <c r="FI358" s="174" t="str">
        <f t="shared" si="540"/>
        <v>NG</v>
      </c>
      <c r="FJ358" s="204"/>
      <c r="FK358" s="276" t="str">
        <f>IF(OR(FG$8="判定対象外",FJ$8="判定対象外",FJ358="-"),"-",IF(FG358=FJ358,"OK","NG"))</f>
        <v>OK</v>
      </c>
      <c r="FL358" s="160"/>
      <c r="FM358" s="162"/>
      <c r="FN358" s="167" t="str">
        <f t="shared" si="584"/>
        <v xml:space="preserve">  </v>
      </c>
      <c r="FO358" s="174" t="str">
        <f t="shared" si="556"/>
        <v>NG</v>
      </c>
      <c r="FP358" s="204"/>
      <c r="FQ358" s="276" t="str">
        <f>IF(OR(FM$8="判定対象外",FP$8="判定対象外",FP358="-"),"-",IF(FM358=FP358,"OK","NG"))</f>
        <v>OK</v>
      </c>
      <c r="FR358" s="160"/>
      <c r="FS358" s="162"/>
      <c r="FT358" s="167" t="str">
        <f t="shared" si="585"/>
        <v xml:space="preserve">  </v>
      </c>
      <c r="FU358" s="174" t="str">
        <f t="shared" si="557"/>
        <v>NG</v>
      </c>
      <c r="FV358" s="204"/>
      <c r="FW358" s="276" t="str">
        <f>IF(OR(FS$8="判定対象外",FV$8="判定対象外",FV358="-"),"-",IF(FS358=FV358,"OK","NG"))</f>
        <v>OK</v>
      </c>
      <c r="FX358" s="160"/>
      <c r="FY358" s="162"/>
      <c r="FZ358" s="167" t="str">
        <f t="shared" si="586"/>
        <v xml:space="preserve">  </v>
      </c>
      <c r="GA358" s="174" t="str">
        <f t="shared" si="558"/>
        <v>NG</v>
      </c>
      <c r="GB358" s="204"/>
      <c r="GC358" s="276" t="str">
        <f>IF(OR(FY$8="判定対象外",GB$8="判定対象外",GB358="-"),"-",IF(FY358=GB358,"OK","NG"))</f>
        <v>OK</v>
      </c>
    </row>
    <row r="359" spans="1:185" s="52" customFormat="1" ht="25.5">
      <c r="B359" s="216">
        <f t="shared" si="587"/>
        <v>352</v>
      </c>
      <c r="C359" s="37"/>
      <c r="D359" s="37"/>
      <c r="E359" s="25"/>
      <c r="F359" s="184" t="s">
        <v>344</v>
      </c>
      <c r="G359" s="27"/>
      <c r="H359" s="28"/>
      <c r="I359" s="42"/>
      <c r="J359" s="42"/>
      <c r="K359" s="42"/>
      <c r="L359" s="42"/>
      <c r="M359" s="63" t="s">
        <v>345</v>
      </c>
      <c r="N359" s="39"/>
      <c r="O359" s="143"/>
      <c r="P359" s="45">
        <f t="shared" si="561"/>
        <v>325</v>
      </c>
      <c r="Q359" s="46">
        <v>7</v>
      </c>
      <c r="R359" s="41" t="str">
        <f t="shared" si="589"/>
        <v>X</v>
      </c>
      <c r="S359" s="185" t="s">
        <v>240</v>
      </c>
      <c r="T359" s="43"/>
      <c r="U359" s="41" t="s">
        <v>80</v>
      </c>
      <c r="V359" s="44"/>
      <c r="W359" s="22">
        <v>3</v>
      </c>
      <c r="X359" s="47" t="s">
        <v>241</v>
      </c>
      <c r="Y359" s="47">
        <v>7</v>
      </c>
      <c r="Z359" s="47">
        <v>7</v>
      </c>
      <c r="AA359" s="42" t="s">
        <v>81</v>
      </c>
      <c r="AB359" s="42" t="s">
        <v>80</v>
      </c>
      <c r="AC359" s="219"/>
      <c r="AD359" s="160"/>
      <c r="AE359" s="141"/>
      <c r="AF359" s="203" t="str">
        <f t="shared" si="562"/>
        <v xml:space="preserve">       </v>
      </c>
      <c r="AG359" s="174" t="str">
        <f t="shared" si="542"/>
        <v>NG</v>
      </c>
      <c r="AH359" s="203"/>
      <c r="AI359" s="172" t="s">
        <v>71</v>
      </c>
      <c r="AJ359" s="160"/>
      <c r="AK359" s="141"/>
      <c r="AL359" s="203" t="str">
        <f t="shared" si="559"/>
        <v xml:space="preserve">       </v>
      </c>
      <c r="AM359" s="174" t="str">
        <f t="shared" si="588"/>
        <v>NG</v>
      </c>
      <c r="AN359" s="203"/>
      <c r="AO359" s="172" t="s">
        <v>71</v>
      </c>
      <c r="AP359" s="160"/>
      <c r="AQ359" s="141"/>
      <c r="AR359" s="203" t="str">
        <f t="shared" si="563"/>
        <v xml:space="preserve">       </v>
      </c>
      <c r="AS359" s="174" t="str">
        <f t="shared" si="543"/>
        <v>NG</v>
      </c>
      <c r="AT359" s="203"/>
      <c r="AU359" s="172" t="s">
        <v>71</v>
      </c>
      <c r="AV359" s="160"/>
      <c r="AW359" s="141"/>
      <c r="AX359" s="203" t="str">
        <f t="shared" si="564"/>
        <v xml:space="preserve">       </v>
      </c>
      <c r="AY359" s="174" t="str">
        <f t="shared" si="544"/>
        <v>NG</v>
      </c>
      <c r="AZ359" s="203"/>
      <c r="BA359" s="172" t="s">
        <v>71</v>
      </c>
      <c r="BB359" s="160"/>
      <c r="BC359" s="141"/>
      <c r="BD359" s="203" t="str">
        <f t="shared" si="565"/>
        <v xml:space="preserve">       </v>
      </c>
      <c r="BE359" s="174" t="str">
        <f t="shared" si="545"/>
        <v>NG</v>
      </c>
      <c r="BF359" s="203"/>
      <c r="BG359" s="172" t="s">
        <v>71</v>
      </c>
      <c r="BH359" s="160"/>
      <c r="BI359" s="141"/>
      <c r="BJ359" s="203" t="str">
        <f t="shared" si="566"/>
        <v xml:space="preserve">       </v>
      </c>
      <c r="BK359" s="174" t="str">
        <f t="shared" si="546"/>
        <v>NG</v>
      </c>
      <c r="BL359" s="203"/>
      <c r="BM359" s="172" t="s">
        <v>71</v>
      </c>
      <c r="BN359" s="160"/>
      <c r="BO359" s="141"/>
      <c r="BP359" s="203" t="str">
        <f t="shared" si="567"/>
        <v xml:space="preserve">       </v>
      </c>
      <c r="BQ359" s="174" t="str">
        <f t="shared" si="547"/>
        <v>NG</v>
      </c>
      <c r="BR359" s="203"/>
      <c r="BS359" s="172" t="s">
        <v>71</v>
      </c>
      <c r="BT359" s="160"/>
      <c r="BU359" s="141"/>
      <c r="BV359" s="203" t="str">
        <f t="shared" si="568"/>
        <v xml:space="preserve">       </v>
      </c>
      <c r="BW359" s="174" t="str">
        <f t="shared" si="548"/>
        <v>NG</v>
      </c>
      <c r="BX359" s="203"/>
      <c r="BY359" s="172" t="s">
        <v>71</v>
      </c>
      <c r="BZ359" s="160"/>
      <c r="CA359" s="141"/>
      <c r="CB359" s="203" t="str">
        <f t="shared" si="569"/>
        <v xml:space="preserve">       </v>
      </c>
      <c r="CC359" s="174" t="str">
        <f t="shared" si="549"/>
        <v>NG</v>
      </c>
      <c r="CD359" s="203"/>
      <c r="CE359" s="172" t="s">
        <v>71</v>
      </c>
      <c r="CF359" s="160"/>
      <c r="CG359" s="141"/>
      <c r="CH359" s="203" t="str">
        <f t="shared" si="570"/>
        <v xml:space="preserve">       </v>
      </c>
      <c r="CI359" s="174" t="str">
        <f t="shared" si="550"/>
        <v>NG</v>
      </c>
      <c r="CJ359" s="203"/>
      <c r="CK359" s="172" t="s">
        <v>71</v>
      </c>
      <c r="CL359" s="160"/>
      <c r="CM359" s="141"/>
      <c r="CN359" s="203" t="str">
        <f t="shared" si="571"/>
        <v xml:space="preserve">       </v>
      </c>
      <c r="CO359" s="174" t="str">
        <f t="shared" si="551"/>
        <v>NG</v>
      </c>
      <c r="CP359" s="203"/>
      <c r="CQ359" s="172" t="s">
        <v>71</v>
      </c>
      <c r="CR359" s="160"/>
      <c r="CS359" s="141"/>
      <c r="CT359" s="203" t="str">
        <f t="shared" si="572"/>
        <v xml:space="preserve">       </v>
      </c>
      <c r="CU359" s="174" t="str">
        <f t="shared" si="552"/>
        <v>NG</v>
      </c>
      <c r="CV359" s="203"/>
      <c r="CW359" s="172" t="s">
        <v>71</v>
      </c>
      <c r="CX359" s="160"/>
      <c r="CY359" s="141"/>
      <c r="CZ359" s="203" t="str">
        <f t="shared" si="573"/>
        <v xml:space="preserve">       </v>
      </c>
      <c r="DA359" s="174" t="str">
        <f t="shared" si="553"/>
        <v>NG</v>
      </c>
      <c r="DB359" s="203"/>
      <c r="DC359" s="172" t="s">
        <v>71</v>
      </c>
      <c r="DD359" s="160"/>
      <c r="DE359" s="141"/>
      <c r="DF359" s="203" t="str">
        <f t="shared" si="574"/>
        <v xml:space="preserve">       </v>
      </c>
      <c r="DG359" s="174" t="str">
        <f t="shared" si="554"/>
        <v>NG</v>
      </c>
      <c r="DH359" s="203"/>
      <c r="DI359" s="172" t="s">
        <v>71</v>
      </c>
      <c r="DJ359" s="160"/>
      <c r="DK359" s="141"/>
      <c r="DL359" s="203" t="str">
        <f t="shared" si="575"/>
        <v xml:space="preserve">       </v>
      </c>
      <c r="DM359" s="174" t="str">
        <f t="shared" si="555"/>
        <v>NG</v>
      </c>
      <c r="DN359" s="203"/>
      <c r="DO359" s="172" t="s">
        <v>71</v>
      </c>
      <c r="DP359" s="160"/>
      <c r="DQ359" s="141"/>
      <c r="DR359" s="203" t="str">
        <f t="shared" si="576"/>
        <v xml:space="preserve">       </v>
      </c>
      <c r="DS359" s="174" t="str">
        <f t="shared" si="533"/>
        <v>NG</v>
      </c>
      <c r="DT359" s="203"/>
      <c r="DU359" s="172" t="s">
        <v>71</v>
      </c>
      <c r="DV359" s="160"/>
      <c r="DW359" s="141"/>
      <c r="DX359" s="203" t="str">
        <f t="shared" si="577"/>
        <v xml:space="preserve">       </v>
      </c>
      <c r="DY359" s="174" t="str">
        <f t="shared" si="534"/>
        <v>NG</v>
      </c>
      <c r="DZ359" s="203"/>
      <c r="EA359" s="172" t="s">
        <v>71</v>
      </c>
      <c r="EB359" s="160"/>
      <c r="EC359" s="141"/>
      <c r="ED359" s="203" t="str">
        <f t="shared" si="578"/>
        <v xml:space="preserve">       </v>
      </c>
      <c r="EE359" s="174" t="str">
        <f t="shared" si="535"/>
        <v>NG</v>
      </c>
      <c r="EF359" s="203"/>
      <c r="EG359" s="172" t="s">
        <v>71</v>
      </c>
      <c r="EH359" s="160"/>
      <c r="EI359" s="141"/>
      <c r="EJ359" s="203" t="str">
        <f t="shared" si="579"/>
        <v xml:space="preserve">       </v>
      </c>
      <c r="EK359" s="174" t="str">
        <f t="shared" si="536"/>
        <v>NG</v>
      </c>
      <c r="EL359" s="203"/>
      <c r="EM359" s="172" t="s">
        <v>71</v>
      </c>
      <c r="EN359" s="160"/>
      <c r="EO359" s="141"/>
      <c r="EP359" s="203" t="str">
        <f t="shared" si="580"/>
        <v xml:space="preserve">       </v>
      </c>
      <c r="EQ359" s="174" t="str">
        <f t="shared" si="537"/>
        <v>NG</v>
      </c>
      <c r="ER359" s="203"/>
      <c r="ES359" s="172" t="s">
        <v>71</v>
      </c>
      <c r="ET359" s="160"/>
      <c r="EU359" s="141"/>
      <c r="EV359" s="203" t="str">
        <f t="shared" si="581"/>
        <v xml:space="preserve">       </v>
      </c>
      <c r="EW359" s="174" t="str">
        <f t="shared" si="538"/>
        <v>NG</v>
      </c>
      <c r="EX359" s="203"/>
      <c r="EY359" s="172" t="s">
        <v>71</v>
      </c>
      <c r="EZ359" s="160"/>
      <c r="FA359" s="141"/>
      <c r="FB359" s="203" t="str">
        <f t="shared" si="582"/>
        <v xml:space="preserve">       </v>
      </c>
      <c r="FC359" s="174" t="str">
        <f t="shared" si="539"/>
        <v>NG</v>
      </c>
      <c r="FD359" s="203"/>
      <c r="FE359" s="172" t="s">
        <v>71</v>
      </c>
      <c r="FF359" s="160"/>
      <c r="FG359" s="141"/>
      <c r="FH359" s="203" t="str">
        <f t="shared" si="583"/>
        <v xml:space="preserve">       </v>
      </c>
      <c r="FI359" s="174" t="str">
        <f t="shared" si="540"/>
        <v>NG</v>
      </c>
      <c r="FJ359" s="203"/>
      <c r="FK359" s="172" t="s">
        <v>71</v>
      </c>
      <c r="FL359" s="160"/>
      <c r="FM359" s="141"/>
      <c r="FN359" s="203" t="str">
        <f t="shared" si="584"/>
        <v xml:space="preserve">       </v>
      </c>
      <c r="FO359" s="174" t="str">
        <f t="shared" si="556"/>
        <v>NG</v>
      </c>
      <c r="FP359" s="203"/>
      <c r="FQ359" s="172" t="s">
        <v>71</v>
      </c>
      <c r="FR359" s="160"/>
      <c r="FS359" s="141"/>
      <c r="FT359" s="203" t="str">
        <f t="shared" si="585"/>
        <v xml:space="preserve">       </v>
      </c>
      <c r="FU359" s="174" t="str">
        <f t="shared" si="557"/>
        <v>NG</v>
      </c>
      <c r="FV359" s="203"/>
      <c r="FW359" s="172" t="s">
        <v>71</v>
      </c>
      <c r="FX359" s="160"/>
      <c r="FY359" s="141"/>
      <c r="FZ359" s="203" t="str">
        <f t="shared" si="586"/>
        <v xml:space="preserve">       </v>
      </c>
      <c r="GA359" s="174" t="str">
        <f t="shared" si="558"/>
        <v>NG</v>
      </c>
      <c r="GB359" s="203"/>
      <c r="GC359" s="172" t="s">
        <v>71</v>
      </c>
    </row>
    <row r="360" spans="1:185" s="237" customFormat="1" ht="25.5">
      <c r="B360" s="216">
        <f t="shared" si="587"/>
        <v>353</v>
      </c>
      <c r="C360" s="220"/>
      <c r="D360" s="220"/>
      <c r="E360" s="221"/>
      <c r="F360" s="222" t="s">
        <v>346</v>
      </c>
      <c r="G360" s="223"/>
      <c r="H360" s="224"/>
      <c r="I360" s="225"/>
      <c r="J360" s="225"/>
      <c r="K360" s="226"/>
      <c r="L360" s="226"/>
      <c r="M360" s="227" t="s">
        <v>345</v>
      </c>
      <c r="N360" s="228"/>
      <c r="O360" s="229"/>
      <c r="P360" s="45">
        <f t="shared" si="561"/>
        <v>326</v>
      </c>
      <c r="Q360" s="230">
        <v>10</v>
      </c>
      <c r="R360" s="41" t="str">
        <f t="shared" si="589"/>
        <v>X</v>
      </c>
      <c r="S360" s="185" t="s">
        <v>242</v>
      </c>
      <c r="T360" s="231"/>
      <c r="U360" s="41" t="s">
        <v>80</v>
      </c>
      <c r="V360" s="229"/>
      <c r="W360" s="232">
        <v>3</v>
      </c>
      <c r="X360" s="194" t="s">
        <v>243</v>
      </c>
      <c r="Y360" s="194">
        <v>10</v>
      </c>
      <c r="Z360" s="194">
        <v>10</v>
      </c>
      <c r="AA360" s="225" t="s">
        <v>163</v>
      </c>
      <c r="AB360" s="225" t="s">
        <v>57</v>
      </c>
      <c r="AC360" s="219"/>
      <c r="AD360" s="233"/>
      <c r="AE360" s="268"/>
      <c r="AF360" s="235" t="str">
        <f t="shared" si="562"/>
        <v xml:space="preserve">          </v>
      </c>
      <c r="AG360" s="174" t="str">
        <f t="shared" si="542"/>
        <v>NG</v>
      </c>
      <c r="AH360" s="271"/>
      <c r="AI360" s="172" t="s">
        <v>71</v>
      </c>
      <c r="AJ360" s="233"/>
      <c r="AK360" s="234"/>
      <c r="AL360" s="235" t="str">
        <f t="shared" si="559"/>
        <v xml:space="preserve">          </v>
      </c>
      <c r="AM360" s="174" t="str">
        <f t="shared" si="588"/>
        <v>NG</v>
      </c>
      <c r="AN360" s="271"/>
      <c r="AO360" s="172" t="s">
        <v>71</v>
      </c>
      <c r="AP360" s="233"/>
      <c r="AQ360" s="268"/>
      <c r="AR360" s="235" t="str">
        <f t="shared" si="563"/>
        <v xml:space="preserve">          </v>
      </c>
      <c r="AS360" s="174" t="str">
        <f t="shared" si="543"/>
        <v>NG</v>
      </c>
      <c r="AT360" s="271"/>
      <c r="AU360" s="172" t="s">
        <v>71</v>
      </c>
      <c r="AV360" s="233"/>
      <c r="AW360" s="268"/>
      <c r="AX360" s="235" t="str">
        <f t="shared" si="564"/>
        <v xml:space="preserve">          </v>
      </c>
      <c r="AY360" s="174" t="str">
        <f t="shared" si="544"/>
        <v>NG</v>
      </c>
      <c r="AZ360" s="271"/>
      <c r="BA360" s="172" t="s">
        <v>71</v>
      </c>
      <c r="BB360" s="233"/>
      <c r="BC360" s="268"/>
      <c r="BD360" s="235" t="str">
        <f t="shared" si="565"/>
        <v xml:space="preserve">          </v>
      </c>
      <c r="BE360" s="174" t="str">
        <f t="shared" si="545"/>
        <v>NG</v>
      </c>
      <c r="BF360" s="271"/>
      <c r="BG360" s="172" t="s">
        <v>71</v>
      </c>
      <c r="BH360" s="233"/>
      <c r="BI360" s="268"/>
      <c r="BJ360" s="235" t="str">
        <f t="shared" si="566"/>
        <v xml:space="preserve">          </v>
      </c>
      <c r="BK360" s="174" t="str">
        <f t="shared" si="546"/>
        <v>NG</v>
      </c>
      <c r="BL360" s="271"/>
      <c r="BM360" s="172" t="s">
        <v>71</v>
      </c>
      <c r="BN360" s="233"/>
      <c r="BO360" s="268"/>
      <c r="BP360" s="235" t="str">
        <f t="shared" si="567"/>
        <v xml:space="preserve">          </v>
      </c>
      <c r="BQ360" s="174" t="str">
        <f t="shared" si="547"/>
        <v>NG</v>
      </c>
      <c r="BR360" s="271"/>
      <c r="BS360" s="172" t="s">
        <v>71</v>
      </c>
      <c r="BT360" s="233"/>
      <c r="BU360" s="268"/>
      <c r="BV360" s="235" t="str">
        <f t="shared" si="568"/>
        <v xml:space="preserve">          </v>
      </c>
      <c r="BW360" s="174" t="str">
        <f t="shared" si="548"/>
        <v>NG</v>
      </c>
      <c r="BX360" s="271"/>
      <c r="BY360" s="172" t="s">
        <v>71</v>
      </c>
      <c r="BZ360" s="233"/>
      <c r="CA360" s="268"/>
      <c r="CB360" s="235" t="str">
        <f t="shared" si="569"/>
        <v xml:space="preserve">          </v>
      </c>
      <c r="CC360" s="174" t="str">
        <f t="shared" si="549"/>
        <v>NG</v>
      </c>
      <c r="CD360" s="271"/>
      <c r="CE360" s="172" t="s">
        <v>71</v>
      </c>
      <c r="CF360" s="233"/>
      <c r="CG360" s="268"/>
      <c r="CH360" s="235" t="str">
        <f t="shared" si="570"/>
        <v xml:space="preserve">          </v>
      </c>
      <c r="CI360" s="174" t="str">
        <f t="shared" si="550"/>
        <v>NG</v>
      </c>
      <c r="CJ360" s="271"/>
      <c r="CK360" s="172" t="s">
        <v>71</v>
      </c>
      <c r="CL360" s="233"/>
      <c r="CM360" s="268"/>
      <c r="CN360" s="235" t="str">
        <f t="shared" si="571"/>
        <v xml:space="preserve">          </v>
      </c>
      <c r="CO360" s="174" t="str">
        <f t="shared" si="551"/>
        <v>NG</v>
      </c>
      <c r="CP360" s="271"/>
      <c r="CQ360" s="172" t="s">
        <v>71</v>
      </c>
      <c r="CR360" s="233"/>
      <c r="CS360" s="268"/>
      <c r="CT360" s="235" t="str">
        <f t="shared" si="572"/>
        <v xml:space="preserve">          </v>
      </c>
      <c r="CU360" s="174" t="str">
        <f t="shared" si="552"/>
        <v>NG</v>
      </c>
      <c r="CV360" s="271"/>
      <c r="CW360" s="172" t="s">
        <v>71</v>
      </c>
      <c r="CX360" s="233"/>
      <c r="CY360" s="268"/>
      <c r="CZ360" s="235" t="str">
        <f t="shared" si="573"/>
        <v xml:space="preserve">          </v>
      </c>
      <c r="DA360" s="174" t="str">
        <f t="shared" si="553"/>
        <v>NG</v>
      </c>
      <c r="DB360" s="271"/>
      <c r="DC360" s="172" t="s">
        <v>71</v>
      </c>
      <c r="DD360" s="233"/>
      <c r="DE360" s="268"/>
      <c r="DF360" s="235" t="str">
        <f t="shared" si="574"/>
        <v xml:space="preserve">          </v>
      </c>
      <c r="DG360" s="174" t="str">
        <f t="shared" si="554"/>
        <v>NG</v>
      </c>
      <c r="DH360" s="271"/>
      <c r="DI360" s="172" t="s">
        <v>71</v>
      </c>
      <c r="DJ360" s="233"/>
      <c r="DK360" s="268"/>
      <c r="DL360" s="235" t="str">
        <f t="shared" si="575"/>
        <v xml:space="preserve">          </v>
      </c>
      <c r="DM360" s="174" t="str">
        <f t="shared" si="555"/>
        <v>NG</v>
      </c>
      <c r="DN360" s="271"/>
      <c r="DO360" s="172" t="s">
        <v>71</v>
      </c>
      <c r="DP360" s="233"/>
      <c r="DQ360" s="268"/>
      <c r="DR360" s="235" t="str">
        <f t="shared" si="576"/>
        <v xml:space="preserve">          </v>
      </c>
      <c r="DS360" s="174" t="str">
        <f t="shared" si="533"/>
        <v>NG</v>
      </c>
      <c r="DT360" s="271"/>
      <c r="DU360" s="172" t="s">
        <v>71</v>
      </c>
      <c r="DV360" s="233"/>
      <c r="DW360" s="268"/>
      <c r="DX360" s="235" t="str">
        <f t="shared" si="577"/>
        <v xml:space="preserve">          </v>
      </c>
      <c r="DY360" s="174" t="str">
        <f t="shared" si="534"/>
        <v>NG</v>
      </c>
      <c r="DZ360" s="271"/>
      <c r="EA360" s="172" t="s">
        <v>71</v>
      </c>
      <c r="EB360" s="233"/>
      <c r="EC360" s="268"/>
      <c r="ED360" s="235" t="str">
        <f t="shared" si="578"/>
        <v xml:space="preserve">          </v>
      </c>
      <c r="EE360" s="174" t="str">
        <f t="shared" si="535"/>
        <v>NG</v>
      </c>
      <c r="EF360" s="271"/>
      <c r="EG360" s="172" t="s">
        <v>71</v>
      </c>
      <c r="EH360" s="233"/>
      <c r="EI360" s="268"/>
      <c r="EJ360" s="235" t="str">
        <f t="shared" si="579"/>
        <v xml:space="preserve">          </v>
      </c>
      <c r="EK360" s="174" t="str">
        <f t="shared" si="536"/>
        <v>NG</v>
      </c>
      <c r="EL360" s="271"/>
      <c r="EM360" s="172" t="s">
        <v>71</v>
      </c>
      <c r="EN360" s="233"/>
      <c r="EO360" s="268"/>
      <c r="EP360" s="235" t="str">
        <f t="shared" si="580"/>
        <v xml:space="preserve">          </v>
      </c>
      <c r="EQ360" s="174" t="str">
        <f t="shared" si="537"/>
        <v>NG</v>
      </c>
      <c r="ER360" s="271"/>
      <c r="ES360" s="172" t="s">
        <v>71</v>
      </c>
      <c r="ET360" s="233"/>
      <c r="EU360" s="268"/>
      <c r="EV360" s="235" t="str">
        <f t="shared" si="581"/>
        <v xml:space="preserve">          </v>
      </c>
      <c r="EW360" s="174" t="str">
        <f t="shared" si="538"/>
        <v>NG</v>
      </c>
      <c r="EX360" s="271"/>
      <c r="EY360" s="172" t="s">
        <v>71</v>
      </c>
      <c r="EZ360" s="233"/>
      <c r="FA360" s="268"/>
      <c r="FB360" s="235" t="str">
        <f t="shared" si="582"/>
        <v xml:space="preserve">          </v>
      </c>
      <c r="FC360" s="174" t="str">
        <f t="shared" si="539"/>
        <v>NG</v>
      </c>
      <c r="FD360" s="271"/>
      <c r="FE360" s="172" t="s">
        <v>71</v>
      </c>
      <c r="FF360" s="233"/>
      <c r="FG360" s="268"/>
      <c r="FH360" s="235" t="str">
        <f t="shared" si="583"/>
        <v xml:space="preserve">          </v>
      </c>
      <c r="FI360" s="174" t="str">
        <f t="shared" si="540"/>
        <v>NG</v>
      </c>
      <c r="FJ360" s="271"/>
      <c r="FK360" s="172" t="s">
        <v>71</v>
      </c>
      <c r="FL360" s="233"/>
      <c r="FM360" s="268"/>
      <c r="FN360" s="235" t="str">
        <f t="shared" si="584"/>
        <v xml:space="preserve">          </v>
      </c>
      <c r="FO360" s="174" t="str">
        <f t="shared" si="556"/>
        <v>NG</v>
      </c>
      <c r="FP360" s="271"/>
      <c r="FQ360" s="172" t="s">
        <v>71</v>
      </c>
      <c r="FR360" s="233"/>
      <c r="FS360" s="268"/>
      <c r="FT360" s="235" t="str">
        <f t="shared" si="585"/>
        <v xml:space="preserve">          </v>
      </c>
      <c r="FU360" s="174" t="str">
        <f t="shared" si="557"/>
        <v>NG</v>
      </c>
      <c r="FV360" s="271"/>
      <c r="FW360" s="172" t="s">
        <v>71</v>
      </c>
      <c r="FX360" s="233"/>
      <c r="FY360" s="268"/>
      <c r="FZ360" s="235" t="str">
        <f t="shared" si="586"/>
        <v xml:space="preserve">          </v>
      </c>
      <c r="GA360" s="174" t="str">
        <f t="shared" si="558"/>
        <v>NG</v>
      </c>
      <c r="GB360" s="271"/>
      <c r="GC360" s="172" t="s">
        <v>71</v>
      </c>
    </row>
    <row r="361" spans="1:185" s="237" customFormat="1" ht="25.5">
      <c r="B361" s="216">
        <f t="shared" si="587"/>
        <v>354</v>
      </c>
      <c r="C361" s="220"/>
      <c r="D361" s="220"/>
      <c r="E361" s="220"/>
      <c r="F361" s="238" t="s">
        <v>244</v>
      </c>
      <c r="G361" s="168"/>
      <c r="H361" s="239"/>
      <c r="I361" s="225"/>
      <c r="J361" s="225"/>
      <c r="K361" s="226"/>
      <c r="L361" s="226"/>
      <c r="M361" s="227" t="s">
        <v>345</v>
      </c>
      <c r="N361" s="228"/>
      <c r="O361" s="229"/>
      <c r="P361" s="45">
        <f t="shared" si="561"/>
        <v>327</v>
      </c>
      <c r="Q361" s="230">
        <v>3</v>
      </c>
      <c r="R361" s="41" t="str">
        <f t="shared" si="589"/>
        <v>X</v>
      </c>
      <c r="S361" s="185" t="s">
        <v>245</v>
      </c>
      <c r="T361" s="231"/>
      <c r="U361" s="41" t="s">
        <v>80</v>
      </c>
      <c r="V361" s="229"/>
      <c r="W361" s="232">
        <v>3</v>
      </c>
      <c r="X361" s="194" t="s">
        <v>246</v>
      </c>
      <c r="Y361" s="194">
        <v>3</v>
      </c>
      <c r="Z361" s="194">
        <v>3</v>
      </c>
      <c r="AA361" s="225" t="s">
        <v>163</v>
      </c>
      <c r="AB361" s="225" t="s">
        <v>57</v>
      </c>
      <c r="AC361" s="219"/>
      <c r="AD361" s="233"/>
      <c r="AE361" s="268"/>
      <c r="AF361" s="235" t="str">
        <f t="shared" si="562"/>
        <v xml:space="preserve">   </v>
      </c>
      <c r="AG361" s="174" t="str">
        <f t="shared" si="542"/>
        <v>NG</v>
      </c>
      <c r="AH361" s="271"/>
      <c r="AI361" s="172" t="s">
        <v>71</v>
      </c>
      <c r="AJ361" s="233"/>
      <c r="AK361" s="234"/>
      <c r="AL361" s="235" t="str">
        <f t="shared" si="559"/>
        <v xml:space="preserve">   </v>
      </c>
      <c r="AM361" s="174" t="str">
        <f t="shared" si="588"/>
        <v>NG</v>
      </c>
      <c r="AN361" s="271"/>
      <c r="AO361" s="172" t="s">
        <v>71</v>
      </c>
      <c r="AP361" s="233"/>
      <c r="AQ361" s="268"/>
      <c r="AR361" s="235" t="str">
        <f t="shared" si="563"/>
        <v xml:space="preserve">   </v>
      </c>
      <c r="AS361" s="174" t="str">
        <f t="shared" si="543"/>
        <v>NG</v>
      </c>
      <c r="AT361" s="271"/>
      <c r="AU361" s="172" t="s">
        <v>71</v>
      </c>
      <c r="AV361" s="233"/>
      <c r="AW361" s="268"/>
      <c r="AX361" s="235" t="str">
        <f t="shared" si="564"/>
        <v xml:space="preserve">   </v>
      </c>
      <c r="AY361" s="174" t="str">
        <f t="shared" si="544"/>
        <v>NG</v>
      </c>
      <c r="AZ361" s="271"/>
      <c r="BA361" s="172" t="s">
        <v>71</v>
      </c>
      <c r="BB361" s="233"/>
      <c r="BC361" s="268"/>
      <c r="BD361" s="235" t="str">
        <f t="shared" si="565"/>
        <v xml:space="preserve">   </v>
      </c>
      <c r="BE361" s="174" t="str">
        <f t="shared" si="545"/>
        <v>NG</v>
      </c>
      <c r="BF361" s="271"/>
      <c r="BG361" s="172" t="s">
        <v>71</v>
      </c>
      <c r="BH361" s="233"/>
      <c r="BI361" s="268"/>
      <c r="BJ361" s="235" t="str">
        <f t="shared" si="566"/>
        <v xml:space="preserve">   </v>
      </c>
      <c r="BK361" s="174" t="str">
        <f t="shared" si="546"/>
        <v>NG</v>
      </c>
      <c r="BL361" s="271"/>
      <c r="BM361" s="172" t="s">
        <v>71</v>
      </c>
      <c r="BN361" s="233"/>
      <c r="BO361" s="268"/>
      <c r="BP361" s="235" t="str">
        <f t="shared" si="567"/>
        <v xml:space="preserve">   </v>
      </c>
      <c r="BQ361" s="174" t="str">
        <f t="shared" si="547"/>
        <v>NG</v>
      </c>
      <c r="BR361" s="271"/>
      <c r="BS361" s="172" t="s">
        <v>71</v>
      </c>
      <c r="BT361" s="233"/>
      <c r="BU361" s="268"/>
      <c r="BV361" s="235" t="str">
        <f t="shared" si="568"/>
        <v xml:space="preserve">   </v>
      </c>
      <c r="BW361" s="174" t="str">
        <f t="shared" si="548"/>
        <v>NG</v>
      </c>
      <c r="BX361" s="271"/>
      <c r="BY361" s="172" t="s">
        <v>71</v>
      </c>
      <c r="BZ361" s="233"/>
      <c r="CA361" s="268"/>
      <c r="CB361" s="235" t="str">
        <f t="shared" si="569"/>
        <v xml:space="preserve">   </v>
      </c>
      <c r="CC361" s="174" t="str">
        <f t="shared" si="549"/>
        <v>NG</v>
      </c>
      <c r="CD361" s="271"/>
      <c r="CE361" s="172" t="s">
        <v>71</v>
      </c>
      <c r="CF361" s="233"/>
      <c r="CG361" s="268"/>
      <c r="CH361" s="235" t="str">
        <f t="shared" si="570"/>
        <v xml:space="preserve">   </v>
      </c>
      <c r="CI361" s="174" t="str">
        <f t="shared" si="550"/>
        <v>NG</v>
      </c>
      <c r="CJ361" s="271"/>
      <c r="CK361" s="172" t="s">
        <v>71</v>
      </c>
      <c r="CL361" s="233"/>
      <c r="CM361" s="268"/>
      <c r="CN361" s="235" t="str">
        <f t="shared" si="571"/>
        <v xml:space="preserve">   </v>
      </c>
      <c r="CO361" s="174" t="str">
        <f t="shared" si="551"/>
        <v>NG</v>
      </c>
      <c r="CP361" s="271"/>
      <c r="CQ361" s="172" t="s">
        <v>71</v>
      </c>
      <c r="CR361" s="233"/>
      <c r="CS361" s="268"/>
      <c r="CT361" s="235" t="str">
        <f t="shared" si="572"/>
        <v xml:space="preserve">   </v>
      </c>
      <c r="CU361" s="174" t="str">
        <f t="shared" si="552"/>
        <v>NG</v>
      </c>
      <c r="CV361" s="271"/>
      <c r="CW361" s="172" t="s">
        <v>71</v>
      </c>
      <c r="CX361" s="233"/>
      <c r="CY361" s="268"/>
      <c r="CZ361" s="235" t="str">
        <f t="shared" si="573"/>
        <v xml:space="preserve">   </v>
      </c>
      <c r="DA361" s="174" t="str">
        <f t="shared" si="553"/>
        <v>NG</v>
      </c>
      <c r="DB361" s="271"/>
      <c r="DC361" s="172" t="s">
        <v>71</v>
      </c>
      <c r="DD361" s="233"/>
      <c r="DE361" s="268"/>
      <c r="DF361" s="235" t="str">
        <f t="shared" si="574"/>
        <v xml:space="preserve">   </v>
      </c>
      <c r="DG361" s="174" t="str">
        <f t="shared" si="554"/>
        <v>NG</v>
      </c>
      <c r="DH361" s="271"/>
      <c r="DI361" s="172" t="s">
        <v>71</v>
      </c>
      <c r="DJ361" s="233"/>
      <c r="DK361" s="268"/>
      <c r="DL361" s="235" t="str">
        <f t="shared" si="575"/>
        <v xml:space="preserve">   </v>
      </c>
      <c r="DM361" s="174" t="str">
        <f t="shared" si="555"/>
        <v>NG</v>
      </c>
      <c r="DN361" s="271"/>
      <c r="DO361" s="172" t="s">
        <v>71</v>
      </c>
      <c r="DP361" s="233"/>
      <c r="DQ361" s="268"/>
      <c r="DR361" s="235" t="str">
        <f t="shared" si="576"/>
        <v xml:space="preserve">   </v>
      </c>
      <c r="DS361" s="174" t="str">
        <f t="shared" si="533"/>
        <v>NG</v>
      </c>
      <c r="DT361" s="271"/>
      <c r="DU361" s="172" t="s">
        <v>71</v>
      </c>
      <c r="DV361" s="233"/>
      <c r="DW361" s="268"/>
      <c r="DX361" s="235" t="str">
        <f t="shared" si="577"/>
        <v xml:space="preserve">   </v>
      </c>
      <c r="DY361" s="174" t="str">
        <f t="shared" si="534"/>
        <v>NG</v>
      </c>
      <c r="DZ361" s="271"/>
      <c r="EA361" s="172" t="s">
        <v>71</v>
      </c>
      <c r="EB361" s="233"/>
      <c r="EC361" s="268"/>
      <c r="ED361" s="235" t="str">
        <f t="shared" si="578"/>
        <v xml:space="preserve">   </v>
      </c>
      <c r="EE361" s="174" t="str">
        <f t="shared" si="535"/>
        <v>NG</v>
      </c>
      <c r="EF361" s="271"/>
      <c r="EG361" s="172" t="s">
        <v>71</v>
      </c>
      <c r="EH361" s="233"/>
      <c r="EI361" s="268"/>
      <c r="EJ361" s="235" t="str">
        <f t="shared" si="579"/>
        <v xml:space="preserve">   </v>
      </c>
      <c r="EK361" s="174" t="str">
        <f t="shared" si="536"/>
        <v>NG</v>
      </c>
      <c r="EL361" s="271"/>
      <c r="EM361" s="172" t="s">
        <v>71</v>
      </c>
      <c r="EN361" s="233"/>
      <c r="EO361" s="268"/>
      <c r="EP361" s="235" t="str">
        <f t="shared" si="580"/>
        <v xml:space="preserve">   </v>
      </c>
      <c r="EQ361" s="174" t="str">
        <f t="shared" si="537"/>
        <v>NG</v>
      </c>
      <c r="ER361" s="271"/>
      <c r="ES361" s="172" t="s">
        <v>71</v>
      </c>
      <c r="ET361" s="233"/>
      <c r="EU361" s="268"/>
      <c r="EV361" s="235" t="str">
        <f t="shared" si="581"/>
        <v xml:space="preserve">   </v>
      </c>
      <c r="EW361" s="174" t="str">
        <f t="shared" si="538"/>
        <v>NG</v>
      </c>
      <c r="EX361" s="271"/>
      <c r="EY361" s="172" t="s">
        <v>71</v>
      </c>
      <c r="EZ361" s="233"/>
      <c r="FA361" s="268"/>
      <c r="FB361" s="235" t="str">
        <f t="shared" si="582"/>
        <v xml:space="preserve">   </v>
      </c>
      <c r="FC361" s="174" t="str">
        <f t="shared" si="539"/>
        <v>NG</v>
      </c>
      <c r="FD361" s="271"/>
      <c r="FE361" s="172" t="s">
        <v>71</v>
      </c>
      <c r="FF361" s="233"/>
      <c r="FG361" s="268"/>
      <c r="FH361" s="235" t="str">
        <f t="shared" si="583"/>
        <v xml:space="preserve">   </v>
      </c>
      <c r="FI361" s="174" t="str">
        <f t="shared" si="540"/>
        <v>NG</v>
      </c>
      <c r="FJ361" s="271"/>
      <c r="FK361" s="172" t="s">
        <v>71</v>
      </c>
      <c r="FL361" s="233"/>
      <c r="FM361" s="268"/>
      <c r="FN361" s="235" t="str">
        <f t="shared" si="584"/>
        <v xml:space="preserve">   </v>
      </c>
      <c r="FO361" s="174" t="str">
        <f t="shared" si="556"/>
        <v>NG</v>
      </c>
      <c r="FP361" s="271"/>
      <c r="FQ361" s="172" t="s">
        <v>71</v>
      </c>
      <c r="FR361" s="233"/>
      <c r="FS361" s="268"/>
      <c r="FT361" s="235" t="str">
        <f t="shared" si="585"/>
        <v xml:space="preserve">   </v>
      </c>
      <c r="FU361" s="174" t="str">
        <f t="shared" si="557"/>
        <v>NG</v>
      </c>
      <c r="FV361" s="271"/>
      <c r="FW361" s="172" t="s">
        <v>71</v>
      </c>
      <c r="FX361" s="233"/>
      <c r="FY361" s="268"/>
      <c r="FZ361" s="235" t="str">
        <f t="shared" si="586"/>
        <v xml:space="preserve">   </v>
      </c>
      <c r="GA361" s="174" t="str">
        <f t="shared" si="558"/>
        <v>NG</v>
      </c>
      <c r="GB361" s="271"/>
      <c r="GC361" s="172" t="s">
        <v>71</v>
      </c>
    </row>
    <row r="362" spans="1:185" s="237" customFormat="1" ht="25.5">
      <c r="B362" s="216">
        <f t="shared" si="587"/>
        <v>355</v>
      </c>
      <c r="C362" s="220"/>
      <c r="D362" s="220"/>
      <c r="E362" s="220"/>
      <c r="F362" s="238" t="s">
        <v>347</v>
      </c>
      <c r="G362" s="168"/>
      <c r="H362" s="239"/>
      <c r="I362" s="225"/>
      <c r="J362" s="225"/>
      <c r="K362" s="226"/>
      <c r="L362" s="226"/>
      <c r="M362" s="227" t="s">
        <v>345</v>
      </c>
      <c r="N362" s="228"/>
      <c r="O362" s="229"/>
      <c r="P362" s="45">
        <f t="shared" si="561"/>
        <v>328</v>
      </c>
      <c r="Q362" s="230">
        <v>2</v>
      </c>
      <c r="R362" s="41" t="str">
        <f t="shared" si="589"/>
        <v>X</v>
      </c>
      <c r="S362" s="185" t="s">
        <v>247</v>
      </c>
      <c r="T362" s="231"/>
      <c r="U362" s="41" t="s">
        <v>80</v>
      </c>
      <c r="V362" s="229"/>
      <c r="W362" s="232">
        <v>3</v>
      </c>
      <c r="X362" s="194" t="s">
        <v>248</v>
      </c>
      <c r="Y362" s="194">
        <v>2</v>
      </c>
      <c r="Z362" s="194">
        <v>2</v>
      </c>
      <c r="AA362" s="225" t="s">
        <v>163</v>
      </c>
      <c r="AB362" s="225" t="s">
        <v>57</v>
      </c>
      <c r="AC362" s="219"/>
      <c r="AD362" s="233"/>
      <c r="AE362" s="268"/>
      <c r="AF362" s="235" t="str">
        <f t="shared" si="562"/>
        <v xml:space="preserve">  </v>
      </c>
      <c r="AG362" s="174" t="str">
        <f t="shared" si="542"/>
        <v>NG</v>
      </c>
      <c r="AH362" s="271"/>
      <c r="AI362" s="172" t="s">
        <v>71</v>
      </c>
      <c r="AJ362" s="233"/>
      <c r="AK362" s="234"/>
      <c r="AL362" s="235" t="str">
        <f t="shared" si="559"/>
        <v xml:space="preserve">  </v>
      </c>
      <c r="AM362" s="174" t="str">
        <f t="shared" si="588"/>
        <v>NG</v>
      </c>
      <c r="AN362" s="271"/>
      <c r="AO362" s="172" t="s">
        <v>71</v>
      </c>
      <c r="AP362" s="233"/>
      <c r="AQ362" s="268"/>
      <c r="AR362" s="235" t="str">
        <f t="shared" si="563"/>
        <v xml:space="preserve">  </v>
      </c>
      <c r="AS362" s="174" t="str">
        <f t="shared" si="543"/>
        <v>NG</v>
      </c>
      <c r="AT362" s="271"/>
      <c r="AU362" s="172" t="s">
        <v>71</v>
      </c>
      <c r="AV362" s="233"/>
      <c r="AW362" s="268"/>
      <c r="AX362" s="235" t="str">
        <f t="shared" si="564"/>
        <v xml:space="preserve">  </v>
      </c>
      <c r="AY362" s="174" t="str">
        <f t="shared" si="544"/>
        <v>NG</v>
      </c>
      <c r="AZ362" s="271"/>
      <c r="BA362" s="172" t="s">
        <v>71</v>
      </c>
      <c r="BB362" s="233"/>
      <c r="BC362" s="268"/>
      <c r="BD362" s="235" t="str">
        <f t="shared" si="565"/>
        <v xml:space="preserve">  </v>
      </c>
      <c r="BE362" s="174" t="str">
        <f t="shared" si="545"/>
        <v>NG</v>
      </c>
      <c r="BF362" s="271"/>
      <c r="BG362" s="172" t="s">
        <v>71</v>
      </c>
      <c r="BH362" s="233"/>
      <c r="BI362" s="268"/>
      <c r="BJ362" s="235" t="str">
        <f t="shared" si="566"/>
        <v xml:space="preserve">  </v>
      </c>
      <c r="BK362" s="174" t="str">
        <f t="shared" si="546"/>
        <v>NG</v>
      </c>
      <c r="BL362" s="271"/>
      <c r="BM362" s="172" t="s">
        <v>71</v>
      </c>
      <c r="BN362" s="233"/>
      <c r="BO362" s="268"/>
      <c r="BP362" s="235" t="str">
        <f t="shared" si="567"/>
        <v xml:space="preserve">  </v>
      </c>
      <c r="BQ362" s="174" t="str">
        <f t="shared" si="547"/>
        <v>NG</v>
      </c>
      <c r="BR362" s="271"/>
      <c r="BS362" s="172" t="s">
        <v>71</v>
      </c>
      <c r="BT362" s="233"/>
      <c r="BU362" s="268"/>
      <c r="BV362" s="235" t="str">
        <f t="shared" si="568"/>
        <v xml:space="preserve">  </v>
      </c>
      <c r="BW362" s="174" t="str">
        <f t="shared" si="548"/>
        <v>NG</v>
      </c>
      <c r="BX362" s="271"/>
      <c r="BY362" s="172" t="s">
        <v>71</v>
      </c>
      <c r="BZ362" s="233"/>
      <c r="CA362" s="268"/>
      <c r="CB362" s="235" t="str">
        <f t="shared" si="569"/>
        <v xml:space="preserve">  </v>
      </c>
      <c r="CC362" s="174" t="str">
        <f t="shared" si="549"/>
        <v>NG</v>
      </c>
      <c r="CD362" s="271"/>
      <c r="CE362" s="172" t="s">
        <v>71</v>
      </c>
      <c r="CF362" s="233"/>
      <c r="CG362" s="268"/>
      <c r="CH362" s="235" t="str">
        <f t="shared" si="570"/>
        <v xml:space="preserve">  </v>
      </c>
      <c r="CI362" s="174" t="str">
        <f t="shared" si="550"/>
        <v>NG</v>
      </c>
      <c r="CJ362" s="271"/>
      <c r="CK362" s="172" t="s">
        <v>71</v>
      </c>
      <c r="CL362" s="233"/>
      <c r="CM362" s="268"/>
      <c r="CN362" s="235" t="str">
        <f t="shared" si="571"/>
        <v xml:space="preserve">  </v>
      </c>
      <c r="CO362" s="174" t="str">
        <f t="shared" si="551"/>
        <v>NG</v>
      </c>
      <c r="CP362" s="271"/>
      <c r="CQ362" s="172" t="s">
        <v>71</v>
      </c>
      <c r="CR362" s="233"/>
      <c r="CS362" s="268"/>
      <c r="CT362" s="235" t="str">
        <f t="shared" si="572"/>
        <v xml:space="preserve">  </v>
      </c>
      <c r="CU362" s="174" t="str">
        <f t="shared" si="552"/>
        <v>NG</v>
      </c>
      <c r="CV362" s="271"/>
      <c r="CW362" s="172" t="s">
        <v>71</v>
      </c>
      <c r="CX362" s="233"/>
      <c r="CY362" s="268"/>
      <c r="CZ362" s="235" t="str">
        <f t="shared" si="573"/>
        <v xml:space="preserve">  </v>
      </c>
      <c r="DA362" s="174" t="str">
        <f t="shared" si="553"/>
        <v>NG</v>
      </c>
      <c r="DB362" s="271"/>
      <c r="DC362" s="172" t="s">
        <v>71</v>
      </c>
      <c r="DD362" s="233"/>
      <c r="DE362" s="268"/>
      <c r="DF362" s="235" t="str">
        <f t="shared" si="574"/>
        <v xml:space="preserve">  </v>
      </c>
      <c r="DG362" s="174" t="str">
        <f t="shared" si="554"/>
        <v>NG</v>
      </c>
      <c r="DH362" s="271"/>
      <c r="DI362" s="172" t="s">
        <v>71</v>
      </c>
      <c r="DJ362" s="233"/>
      <c r="DK362" s="268"/>
      <c r="DL362" s="235" t="str">
        <f t="shared" si="575"/>
        <v xml:space="preserve">  </v>
      </c>
      <c r="DM362" s="174" t="str">
        <f t="shared" si="555"/>
        <v>NG</v>
      </c>
      <c r="DN362" s="271"/>
      <c r="DO362" s="172" t="s">
        <v>71</v>
      </c>
      <c r="DP362" s="233"/>
      <c r="DQ362" s="268"/>
      <c r="DR362" s="235" t="str">
        <f t="shared" si="576"/>
        <v xml:space="preserve">  </v>
      </c>
      <c r="DS362" s="174" t="str">
        <f t="shared" si="533"/>
        <v>NG</v>
      </c>
      <c r="DT362" s="271"/>
      <c r="DU362" s="172" t="s">
        <v>71</v>
      </c>
      <c r="DV362" s="233"/>
      <c r="DW362" s="268"/>
      <c r="DX362" s="235" t="str">
        <f t="shared" si="577"/>
        <v xml:space="preserve">  </v>
      </c>
      <c r="DY362" s="174" t="str">
        <f t="shared" si="534"/>
        <v>NG</v>
      </c>
      <c r="DZ362" s="271"/>
      <c r="EA362" s="172" t="s">
        <v>71</v>
      </c>
      <c r="EB362" s="233"/>
      <c r="EC362" s="268"/>
      <c r="ED362" s="235" t="str">
        <f t="shared" si="578"/>
        <v xml:space="preserve">  </v>
      </c>
      <c r="EE362" s="174" t="str">
        <f t="shared" si="535"/>
        <v>NG</v>
      </c>
      <c r="EF362" s="271"/>
      <c r="EG362" s="172" t="s">
        <v>71</v>
      </c>
      <c r="EH362" s="233"/>
      <c r="EI362" s="268"/>
      <c r="EJ362" s="235" t="str">
        <f t="shared" si="579"/>
        <v xml:space="preserve">  </v>
      </c>
      <c r="EK362" s="174" t="str">
        <f t="shared" si="536"/>
        <v>NG</v>
      </c>
      <c r="EL362" s="271"/>
      <c r="EM362" s="172" t="s">
        <v>71</v>
      </c>
      <c r="EN362" s="233"/>
      <c r="EO362" s="268"/>
      <c r="EP362" s="235" t="str">
        <f t="shared" si="580"/>
        <v xml:space="preserve">  </v>
      </c>
      <c r="EQ362" s="174" t="str">
        <f t="shared" si="537"/>
        <v>NG</v>
      </c>
      <c r="ER362" s="271"/>
      <c r="ES362" s="172" t="s">
        <v>71</v>
      </c>
      <c r="ET362" s="233"/>
      <c r="EU362" s="268"/>
      <c r="EV362" s="235" t="str">
        <f t="shared" si="581"/>
        <v xml:space="preserve">  </v>
      </c>
      <c r="EW362" s="174" t="str">
        <f t="shared" si="538"/>
        <v>NG</v>
      </c>
      <c r="EX362" s="271"/>
      <c r="EY362" s="172" t="s">
        <v>71</v>
      </c>
      <c r="EZ362" s="233"/>
      <c r="FA362" s="268"/>
      <c r="FB362" s="235" t="str">
        <f t="shared" si="582"/>
        <v xml:space="preserve">  </v>
      </c>
      <c r="FC362" s="174" t="str">
        <f t="shared" si="539"/>
        <v>NG</v>
      </c>
      <c r="FD362" s="271"/>
      <c r="FE362" s="172" t="s">
        <v>71</v>
      </c>
      <c r="FF362" s="233"/>
      <c r="FG362" s="268"/>
      <c r="FH362" s="235" t="str">
        <f t="shared" si="583"/>
        <v xml:space="preserve">  </v>
      </c>
      <c r="FI362" s="174" t="str">
        <f t="shared" si="540"/>
        <v>NG</v>
      </c>
      <c r="FJ362" s="271"/>
      <c r="FK362" s="172" t="s">
        <v>71</v>
      </c>
      <c r="FL362" s="233"/>
      <c r="FM362" s="268"/>
      <c r="FN362" s="235" t="str">
        <f t="shared" si="584"/>
        <v xml:space="preserve">  </v>
      </c>
      <c r="FO362" s="174" t="str">
        <f t="shared" si="556"/>
        <v>NG</v>
      </c>
      <c r="FP362" s="271"/>
      <c r="FQ362" s="172" t="s">
        <v>71</v>
      </c>
      <c r="FR362" s="233"/>
      <c r="FS362" s="268"/>
      <c r="FT362" s="235" t="str">
        <f t="shared" si="585"/>
        <v xml:space="preserve">  </v>
      </c>
      <c r="FU362" s="174" t="str">
        <f t="shared" si="557"/>
        <v>NG</v>
      </c>
      <c r="FV362" s="271"/>
      <c r="FW362" s="172" t="s">
        <v>71</v>
      </c>
      <c r="FX362" s="233"/>
      <c r="FY362" s="268"/>
      <c r="FZ362" s="235" t="str">
        <f t="shared" si="586"/>
        <v xml:space="preserve">  </v>
      </c>
      <c r="GA362" s="174" t="str">
        <f t="shared" si="558"/>
        <v>NG</v>
      </c>
      <c r="GB362" s="271"/>
      <c r="GC362" s="172" t="s">
        <v>71</v>
      </c>
    </row>
    <row r="363" spans="1:185" s="237" customFormat="1" ht="51.75" customHeight="1">
      <c r="B363" s="216">
        <f t="shared" si="587"/>
        <v>356</v>
      </c>
      <c r="C363" s="220"/>
      <c r="D363" s="220"/>
      <c r="E363" s="220"/>
      <c r="F363" s="240" t="s">
        <v>348</v>
      </c>
      <c r="G363" s="241"/>
      <c r="H363" s="242"/>
      <c r="I363" s="225"/>
      <c r="J363" s="225"/>
      <c r="K363" s="226"/>
      <c r="L363" s="226"/>
      <c r="M363" s="227" t="s">
        <v>349</v>
      </c>
      <c r="N363" s="228"/>
      <c r="O363" s="229"/>
      <c r="P363" s="45">
        <f t="shared" si="561"/>
        <v>329</v>
      </c>
      <c r="Q363" s="230">
        <v>5</v>
      </c>
      <c r="R363" s="41" t="str">
        <f t="shared" si="589"/>
        <v>X</v>
      </c>
      <c r="S363" s="185" t="s">
        <v>249</v>
      </c>
      <c r="T363" s="231"/>
      <c r="U363" s="41" t="s">
        <v>80</v>
      </c>
      <c r="V363" s="229"/>
      <c r="W363" s="232">
        <v>3</v>
      </c>
      <c r="X363" s="194" t="s">
        <v>250</v>
      </c>
      <c r="Y363" s="194">
        <v>5</v>
      </c>
      <c r="Z363" s="194">
        <v>5</v>
      </c>
      <c r="AA363" s="225" t="s">
        <v>163</v>
      </c>
      <c r="AB363" s="225" t="s">
        <v>57</v>
      </c>
      <c r="AC363" s="243"/>
      <c r="AD363" s="233"/>
      <c r="AE363" s="297"/>
      <c r="AF363" s="235" t="str">
        <f t="shared" si="562"/>
        <v xml:space="preserve">     </v>
      </c>
      <c r="AG363" s="174" t="str">
        <f t="shared" si="542"/>
        <v>NG</v>
      </c>
      <c r="AH363" s="273"/>
      <c r="AI363" s="276" t="str">
        <f>IF(OR(AE$8="判定対象外",AH$8="判定対象外",AH363="-"),"-",IF(AE363=AH363,"OK","NG"))</f>
        <v>OK</v>
      </c>
      <c r="AJ363" s="233"/>
      <c r="AK363" s="236"/>
      <c r="AL363" s="235" t="str">
        <f t="shared" si="559"/>
        <v xml:space="preserve">     </v>
      </c>
      <c r="AM363" s="174" t="str">
        <f t="shared" si="588"/>
        <v>NG</v>
      </c>
      <c r="AN363" s="273"/>
      <c r="AO363" s="276" t="str">
        <f>IF(OR(AK$8="判定対象外",AN$8="判定対象外",AN363="-"),"-",IF(AK363=AN363,"OK","NG"))</f>
        <v>OK</v>
      </c>
      <c r="AP363" s="233"/>
      <c r="AQ363" s="297"/>
      <c r="AR363" s="235" t="str">
        <f t="shared" si="563"/>
        <v xml:space="preserve">     </v>
      </c>
      <c r="AS363" s="174" t="str">
        <f t="shared" si="543"/>
        <v>NG</v>
      </c>
      <c r="AT363" s="273"/>
      <c r="AU363" s="276" t="str">
        <f>IF(OR(AQ$8="判定対象外",AT$8="判定対象外",AT363="-"),"-",IF(AQ363=AT363,"OK","NG"))</f>
        <v>OK</v>
      </c>
      <c r="AV363" s="233"/>
      <c r="AW363" s="297"/>
      <c r="AX363" s="235" t="str">
        <f t="shared" si="564"/>
        <v xml:space="preserve">     </v>
      </c>
      <c r="AY363" s="174" t="str">
        <f t="shared" si="544"/>
        <v>NG</v>
      </c>
      <c r="AZ363" s="273"/>
      <c r="BA363" s="276" t="str">
        <f>IF(OR(AW$8="判定対象外",AZ$8="判定対象外",AZ363="-"),"-",IF(AW363=AZ363,"OK","NG"))</f>
        <v>OK</v>
      </c>
      <c r="BB363" s="233"/>
      <c r="BC363" s="297"/>
      <c r="BD363" s="235" t="str">
        <f t="shared" si="565"/>
        <v xml:space="preserve">     </v>
      </c>
      <c r="BE363" s="174" t="str">
        <f t="shared" si="545"/>
        <v>NG</v>
      </c>
      <c r="BF363" s="273"/>
      <c r="BG363" s="276" t="str">
        <f>IF(OR(BC$8="判定対象外",BF$8="判定対象外",BF363="-"),"-",IF(BC363=BF363,"OK","NG"))</f>
        <v>OK</v>
      </c>
      <c r="BH363" s="233"/>
      <c r="BI363" s="297"/>
      <c r="BJ363" s="235" t="str">
        <f t="shared" si="566"/>
        <v xml:space="preserve">     </v>
      </c>
      <c r="BK363" s="174" t="str">
        <f t="shared" si="546"/>
        <v>NG</v>
      </c>
      <c r="BL363" s="273"/>
      <c r="BM363" s="276" t="str">
        <f>IF(OR(BI$8="判定対象外",BL$8="判定対象外",BL363="-"),"-",IF(BI363=BL363,"OK","NG"))</f>
        <v>OK</v>
      </c>
      <c r="BN363" s="233"/>
      <c r="BO363" s="297"/>
      <c r="BP363" s="235" t="str">
        <f t="shared" si="567"/>
        <v xml:space="preserve">     </v>
      </c>
      <c r="BQ363" s="174" t="str">
        <f t="shared" si="547"/>
        <v>NG</v>
      </c>
      <c r="BR363" s="273"/>
      <c r="BS363" s="276" t="str">
        <f>IF(OR(BO$8="判定対象外",BR$8="判定対象外",BR363="-"),"-",IF(BO363=BR363,"OK","NG"))</f>
        <v>OK</v>
      </c>
      <c r="BT363" s="233"/>
      <c r="BU363" s="297"/>
      <c r="BV363" s="235" t="str">
        <f t="shared" si="568"/>
        <v xml:space="preserve">     </v>
      </c>
      <c r="BW363" s="174" t="str">
        <f t="shared" si="548"/>
        <v>NG</v>
      </c>
      <c r="BX363" s="273"/>
      <c r="BY363" s="276" t="str">
        <f>IF(OR(BU$8="判定対象外",BX$8="判定対象外",BX363="-"),"-",IF(BU363=BX363,"OK","NG"))</f>
        <v>OK</v>
      </c>
      <c r="BZ363" s="233"/>
      <c r="CA363" s="297"/>
      <c r="CB363" s="235" t="str">
        <f t="shared" si="569"/>
        <v xml:space="preserve">     </v>
      </c>
      <c r="CC363" s="174" t="str">
        <f t="shared" si="549"/>
        <v>NG</v>
      </c>
      <c r="CD363" s="273"/>
      <c r="CE363" s="276" t="str">
        <f>IF(OR(CA$8="判定対象外",CD$8="判定対象外",CD363="-"),"-",IF(CA363=CD363,"OK","NG"))</f>
        <v>OK</v>
      </c>
      <c r="CF363" s="233"/>
      <c r="CG363" s="297"/>
      <c r="CH363" s="235" t="str">
        <f t="shared" si="570"/>
        <v xml:space="preserve">     </v>
      </c>
      <c r="CI363" s="174" t="str">
        <f t="shared" si="550"/>
        <v>NG</v>
      </c>
      <c r="CJ363" s="273"/>
      <c r="CK363" s="276" t="str">
        <f>IF(OR(CG$8="判定対象外",CJ$8="判定対象外",CJ363="-"),"-",IF(CG363=CJ363,"OK","NG"))</f>
        <v>OK</v>
      </c>
      <c r="CL363" s="233"/>
      <c r="CM363" s="297"/>
      <c r="CN363" s="235" t="str">
        <f t="shared" si="571"/>
        <v xml:space="preserve">     </v>
      </c>
      <c r="CO363" s="174" t="str">
        <f t="shared" si="551"/>
        <v>NG</v>
      </c>
      <c r="CP363" s="273"/>
      <c r="CQ363" s="276" t="str">
        <f>IF(OR(CM$8="判定対象外",CP$8="判定対象外",CP363="-"),"-",IF(CM363=CP363,"OK","NG"))</f>
        <v>OK</v>
      </c>
      <c r="CR363" s="233"/>
      <c r="CS363" s="297"/>
      <c r="CT363" s="235" t="str">
        <f t="shared" si="572"/>
        <v xml:space="preserve">     </v>
      </c>
      <c r="CU363" s="174" t="str">
        <f t="shared" si="552"/>
        <v>NG</v>
      </c>
      <c r="CV363" s="273"/>
      <c r="CW363" s="276" t="str">
        <f>IF(OR(CS$8="判定対象外",CV$8="判定対象外",CV363="-"),"-",IF(CS363=CV363,"OK","NG"))</f>
        <v>OK</v>
      </c>
      <c r="CX363" s="233"/>
      <c r="CY363" s="297"/>
      <c r="CZ363" s="235" t="str">
        <f t="shared" si="573"/>
        <v xml:space="preserve">     </v>
      </c>
      <c r="DA363" s="174" t="str">
        <f t="shared" si="553"/>
        <v>NG</v>
      </c>
      <c r="DB363" s="273"/>
      <c r="DC363" s="276" t="str">
        <f>IF(OR(CY$8="判定対象外",DB$8="判定対象外",DB363="-"),"-",IF(CY363=DB363,"OK","NG"))</f>
        <v>OK</v>
      </c>
      <c r="DD363" s="233"/>
      <c r="DE363" s="297"/>
      <c r="DF363" s="235" t="str">
        <f t="shared" si="574"/>
        <v xml:space="preserve">     </v>
      </c>
      <c r="DG363" s="174" t="str">
        <f t="shared" si="554"/>
        <v>NG</v>
      </c>
      <c r="DH363" s="273"/>
      <c r="DI363" s="276" t="str">
        <f>IF(OR(DE$8="判定対象外",DH$8="判定対象外",DH363="-"),"-",IF(DE363=DH363,"OK","NG"))</f>
        <v>OK</v>
      </c>
      <c r="DJ363" s="233"/>
      <c r="DK363" s="297"/>
      <c r="DL363" s="235" t="str">
        <f t="shared" si="575"/>
        <v xml:space="preserve">     </v>
      </c>
      <c r="DM363" s="174" t="str">
        <f t="shared" si="555"/>
        <v>NG</v>
      </c>
      <c r="DN363" s="273"/>
      <c r="DO363" s="276" t="str">
        <f>IF(OR(DK$8="判定対象外",DN$8="判定対象外",DN363="-"),"-",IF(DK363=DN363,"OK","NG"))</f>
        <v>OK</v>
      </c>
      <c r="DP363" s="233"/>
      <c r="DQ363" s="297"/>
      <c r="DR363" s="235" t="str">
        <f t="shared" si="576"/>
        <v xml:space="preserve">     </v>
      </c>
      <c r="DS363" s="174" t="str">
        <f t="shared" si="533"/>
        <v>NG</v>
      </c>
      <c r="DT363" s="273"/>
      <c r="DU363" s="276" t="str">
        <f>IF(OR(DQ$8="判定対象外",DT$8="判定対象外",DT363="-"),"-",IF(DQ363=DT363,"OK","NG"))</f>
        <v>OK</v>
      </c>
      <c r="DV363" s="233"/>
      <c r="DW363" s="297"/>
      <c r="DX363" s="235" t="str">
        <f t="shared" si="577"/>
        <v xml:space="preserve">     </v>
      </c>
      <c r="DY363" s="174" t="str">
        <f t="shared" si="534"/>
        <v>NG</v>
      </c>
      <c r="DZ363" s="273"/>
      <c r="EA363" s="276" t="str">
        <f>IF(OR(DW$8="判定対象外",DZ$8="判定対象外",DZ363="-"),"-",IF(DW363=DZ363,"OK","NG"))</f>
        <v>OK</v>
      </c>
      <c r="EB363" s="233"/>
      <c r="EC363" s="297"/>
      <c r="ED363" s="235" t="str">
        <f t="shared" si="578"/>
        <v xml:space="preserve">     </v>
      </c>
      <c r="EE363" s="174" t="str">
        <f t="shared" si="535"/>
        <v>NG</v>
      </c>
      <c r="EF363" s="273"/>
      <c r="EG363" s="276" t="str">
        <f>IF(OR(EC$8="判定対象外",EF$8="判定対象外",EF363="-"),"-",IF(EC363=EF363,"OK","NG"))</f>
        <v>OK</v>
      </c>
      <c r="EH363" s="233"/>
      <c r="EI363" s="297"/>
      <c r="EJ363" s="235" t="str">
        <f t="shared" si="579"/>
        <v xml:space="preserve">     </v>
      </c>
      <c r="EK363" s="174" t="str">
        <f t="shared" si="536"/>
        <v>NG</v>
      </c>
      <c r="EL363" s="273"/>
      <c r="EM363" s="276" t="str">
        <f>IF(OR(EI$8="判定対象外",EL$8="判定対象外",EL363="-"),"-",IF(EI363=EL363,"OK","NG"))</f>
        <v>OK</v>
      </c>
      <c r="EN363" s="233"/>
      <c r="EO363" s="297"/>
      <c r="EP363" s="235" t="str">
        <f t="shared" si="580"/>
        <v xml:space="preserve">     </v>
      </c>
      <c r="EQ363" s="174" t="str">
        <f t="shared" si="537"/>
        <v>NG</v>
      </c>
      <c r="ER363" s="273"/>
      <c r="ES363" s="276" t="str">
        <f>IF(OR(EO$8="判定対象外",ER$8="判定対象外",ER363="-"),"-",IF(EO363=ER363,"OK","NG"))</f>
        <v>OK</v>
      </c>
      <c r="ET363" s="233"/>
      <c r="EU363" s="297"/>
      <c r="EV363" s="235" t="str">
        <f t="shared" si="581"/>
        <v xml:space="preserve">     </v>
      </c>
      <c r="EW363" s="174" t="str">
        <f t="shared" si="538"/>
        <v>NG</v>
      </c>
      <c r="EX363" s="273"/>
      <c r="EY363" s="276" t="str">
        <f>IF(OR(EU$8="判定対象外",EX$8="判定対象外",EX363="-"),"-",IF(EU363=EX363,"OK","NG"))</f>
        <v>OK</v>
      </c>
      <c r="EZ363" s="233"/>
      <c r="FA363" s="297"/>
      <c r="FB363" s="235" t="str">
        <f t="shared" si="582"/>
        <v xml:space="preserve">     </v>
      </c>
      <c r="FC363" s="174" t="str">
        <f t="shared" si="539"/>
        <v>NG</v>
      </c>
      <c r="FD363" s="273"/>
      <c r="FE363" s="276" t="str">
        <f>IF(OR(FA$8="判定対象外",FD$8="判定対象外",FD363="-"),"-",IF(FA363=FD363,"OK","NG"))</f>
        <v>OK</v>
      </c>
      <c r="FF363" s="233"/>
      <c r="FG363" s="297"/>
      <c r="FH363" s="235" t="str">
        <f t="shared" si="583"/>
        <v xml:space="preserve">     </v>
      </c>
      <c r="FI363" s="174" t="str">
        <f t="shared" si="540"/>
        <v>NG</v>
      </c>
      <c r="FJ363" s="273"/>
      <c r="FK363" s="276" t="str">
        <f>IF(OR(FG$8="判定対象外",FJ$8="判定対象外",FJ363="-"),"-",IF(FG363=FJ363,"OK","NG"))</f>
        <v>OK</v>
      </c>
      <c r="FL363" s="233"/>
      <c r="FM363" s="297"/>
      <c r="FN363" s="235" t="str">
        <f t="shared" si="584"/>
        <v xml:space="preserve">     </v>
      </c>
      <c r="FO363" s="174" t="str">
        <f t="shared" si="556"/>
        <v>NG</v>
      </c>
      <c r="FP363" s="273"/>
      <c r="FQ363" s="276" t="str">
        <f>IF(OR(FM$8="判定対象外",FP$8="判定対象外",FP363="-"),"-",IF(FM363=FP363,"OK","NG"))</f>
        <v>OK</v>
      </c>
      <c r="FR363" s="233"/>
      <c r="FS363" s="297"/>
      <c r="FT363" s="235" t="str">
        <f t="shared" si="585"/>
        <v xml:space="preserve">     </v>
      </c>
      <c r="FU363" s="174" t="str">
        <f t="shared" si="557"/>
        <v>NG</v>
      </c>
      <c r="FV363" s="273"/>
      <c r="FW363" s="276" t="str">
        <f>IF(OR(FS$8="判定対象外",FV$8="判定対象外",FV363="-"),"-",IF(FS363=FV363,"OK","NG"))</f>
        <v>OK</v>
      </c>
      <c r="FX363" s="233"/>
      <c r="FY363" s="297"/>
      <c r="FZ363" s="235" t="str">
        <f t="shared" si="586"/>
        <v xml:space="preserve">     </v>
      </c>
      <c r="GA363" s="174" t="str">
        <f t="shared" si="558"/>
        <v>NG</v>
      </c>
      <c r="GB363" s="273"/>
      <c r="GC363" s="276" t="str">
        <f>IF(OR(FY$8="判定対象外",GB$8="判定対象外",GB363="-"),"-",IF(FY363=GB363,"OK","NG"))</f>
        <v>OK</v>
      </c>
    </row>
    <row r="364" spans="1:185" s="237" customFormat="1" ht="51.75" customHeight="1">
      <c r="B364" s="216">
        <f t="shared" si="587"/>
        <v>357</v>
      </c>
      <c r="C364" s="220"/>
      <c r="D364" s="220"/>
      <c r="E364" s="220"/>
      <c r="F364" s="240" t="s">
        <v>350</v>
      </c>
      <c r="G364" s="241"/>
      <c r="H364" s="242"/>
      <c r="I364" s="225"/>
      <c r="J364" s="225"/>
      <c r="K364" s="226"/>
      <c r="L364" s="226"/>
      <c r="M364" s="227" t="s">
        <v>351</v>
      </c>
      <c r="N364" s="228"/>
      <c r="O364" s="229"/>
      <c r="P364" s="45">
        <f t="shared" si="561"/>
        <v>330</v>
      </c>
      <c r="Q364" s="230">
        <v>64</v>
      </c>
      <c r="R364" s="41" t="str">
        <f t="shared" si="589"/>
        <v>NX</v>
      </c>
      <c r="S364" s="185" t="s">
        <v>251</v>
      </c>
      <c r="T364" s="231"/>
      <c r="U364" s="41" t="s">
        <v>80</v>
      </c>
      <c r="V364" s="229" t="s">
        <v>252</v>
      </c>
      <c r="W364" s="232">
        <v>3</v>
      </c>
      <c r="X364" s="194" t="s">
        <v>253</v>
      </c>
      <c r="Y364" s="194">
        <v>1</v>
      </c>
      <c r="Z364" s="194">
        <v>64</v>
      </c>
      <c r="AA364" s="225" t="s">
        <v>101</v>
      </c>
      <c r="AB364" s="225" t="s">
        <v>57</v>
      </c>
      <c r="AC364" s="243" t="s">
        <v>252</v>
      </c>
      <c r="AD364" s="233"/>
      <c r="AE364" s="297"/>
      <c r="AF364" s="235" t="str">
        <f t="shared" si="562"/>
        <v xml:space="preserve">                                                                </v>
      </c>
      <c r="AG364" s="174" t="str">
        <f t="shared" si="542"/>
        <v>NG</v>
      </c>
      <c r="AH364" s="273"/>
      <c r="AI364" s="276" t="str">
        <f>IF(OR(AE$8="判定対象外",AH$8="判定対象外",AH364="-"),"-",IF(AE364=AH364,"OK","NG"))</f>
        <v>OK</v>
      </c>
      <c r="AJ364" s="233"/>
      <c r="AK364" s="236"/>
      <c r="AL364" s="235" t="str">
        <f t="shared" si="559"/>
        <v xml:space="preserve">                                                                </v>
      </c>
      <c r="AM364" s="174" t="str">
        <f t="shared" si="588"/>
        <v>NG</v>
      </c>
      <c r="AN364" s="273"/>
      <c r="AO364" s="276" t="str">
        <f>IF(OR(AK$8="判定対象外",AN$8="判定対象外",AN364="-"),"-",IF(AK364=AN364,"OK","NG"))</f>
        <v>OK</v>
      </c>
      <c r="AP364" s="233"/>
      <c r="AQ364" s="297"/>
      <c r="AR364" s="235" t="str">
        <f t="shared" si="563"/>
        <v xml:space="preserve">                                                                </v>
      </c>
      <c r="AS364" s="174" t="str">
        <f t="shared" si="543"/>
        <v>NG</v>
      </c>
      <c r="AT364" s="273"/>
      <c r="AU364" s="276" t="str">
        <f>IF(OR(AQ$8="判定対象外",AT$8="判定対象外",AT364="-"),"-",IF(AQ364=AT364,"OK","NG"))</f>
        <v>OK</v>
      </c>
      <c r="AV364" s="233"/>
      <c r="AW364" s="297"/>
      <c r="AX364" s="235" t="str">
        <f t="shared" si="564"/>
        <v xml:space="preserve">                                                                </v>
      </c>
      <c r="AY364" s="174" t="str">
        <f t="shared" si="544"/>
        <v>NG</v>
      </c>
      <c r="AZ364" s="273"/>
      <c r="BA364" s="276" t="str">
        <f>IF(OR(AW$8="判定対象外",AZ$8="判定対象外",AZ364="-"),"-",IF(AW364=AZ364,"OK","NG"))</f>
        <v>OK</v>
      </c>
      <c r="BB364" s="233"/>
      <c r="BC364" s="297"/>
      <c r="BD364" s="235" t="str">
        <f t="shared" si="565"/>
        <v xml:space="preserve">                                                                </v>
      </c>
      <c r="BE364" s="174" t="str">
        <f t="shared" si="545"/>
        <v>NG</v>
      </c>
      <c r="BF364" s="273"/>
      <c r="BG364" s="276" t="str">
        <f>IF(OR(BC$8="判定対象外",BF$8="判定対象外",BF364="-"),"-",IF(BC364=BF364,"OK","NG"))</f>
        <v>OK</v>
      </c>
      <c r="BH364" s="233"/>
      <c r="BI364" s="297"/>
      <c r="BJ364" s="235" t="str">
        <f t="shared" si="566"/>
        <v xml:space="preserve">                                                                </v>
      </c>
      <c r="BK364" s="174" t="str">
        <f t="shared" si="546"/>
        <v>NG</v>
      </c>
      <c r="BL364" s="273"/>
      <c r="BM364" s="276" t="str">
        <f>IF(OR(BI$8="判定対象外",BL$8="判定対象外",BL364="-"),"-",IF(BI364=BL364,"OK","NG"))</f>
        <v>OK</v>
      </c>
      <c r="BN364" s="233"/>
      <c r="BO364" s="297"/>
      <c r="BP364" s="235" t="str">
        <f t="shared" si="567"/>
        <v xml:space="preserve">                                                                </v>
      </c>
      <c r="BQ364" s="174" t="str">
        <f t="shared" si="547"/>
        <v>NG</v>
      </c>
      <c r="BR364" s="273"/>
      <c r="BS364" s="276" t="str">
        <f>IF(OR(BO$8="判定対象外",BR$8="判定対象外",BR364="-"),"-",IF(BO364=BR364,"OK","NG"))</f>
        <v>OK</v>
      </c>
      <c r="BT364" s="233"/>
      <c r="BU364" s="297"/>
      <c r="BV364" s="235" t="str">
        <f t="shared" si="568"/>
        <v xml:space="preserve">                                                                </v>
      </c>
      <c r="BW364" s="174" t="str">
        <f t="shared" si="548"/>
        <v>NG</v>
      </c>
      <c r="BX364" s="273"/>
      <c r="BY364" s="276" t="str">
        <f>IF(OR(BU$8="判定対象外",BX$8="判定対象外",BX364="-"),"-",IF(BU364=BX364,"OK","NG"))</f>
        <v>OK</v>
      </c>
      <c r="BZ364" s="233"/>
      <c r="CA364" s="297"/>
      <c r="CB364" s="235" t="str">
        <f t="shared" si="569"/>
        <v xml:space="preserve">                                                                </v>
      </c>
      <c r="CC364" s="174" t="str">
        <f t="shared" si="549"/>
        <v>NG</v>
      </c>
      <c r="CD364" s="273"/>
      <c r="CE364" s="276" t="str">
        <f>IF(OR(CA$8="判定対象外",CD$8="判定対象外",CD364="-"),"-",IF(CA364=CD364,"OK","NG"))</f>
        <v>OK</v>
      </c>
      <c r="CF364" s="233"/>
      <c r="CG364" s="297"/>
      <c r="CH364" s="235" t="str">
        <f t="shared" si="570"/>
        <v xml:space="preserve">                                                                </v>
      </c>
      <c r="CI364" s="174" t="str">
        <f t="shared" si="550"/>
        <v>NG</v>
      </c>
      <c r="CJ364" s="273"/>
      <c r="CK364" s="276" t="str">
        <f>IF(OR(CG$8="判定対象外",CJ$8="判定対象外",CJ364="-"),"-",IF(CG364=CJ364,"OK","NG"))</f>
        <v>OK</v>
      </c>
      <c r="CL364" s="233"/>
      <c r="CM364" s="297"/>
      <c r="CN364" s="235" t="str">
        <f t="shared" si="571"/>
        <v xml:space="preserve">                                                                </v>
      </c>
      <c r="CO364" s="174" t="str">
        <f t="shared" si="551"/>
        <v>NG</v>
      </c>
      <c r="CP364" s="273"/>
      <c r="CQ364" s="276" t="str">
        <f>IF(OR(CM$8="判定対象外",CP$8="判定対象外",CP364="-"),"-",IF(CM364=CP364,"OK","NG"))</f>
        <v>OK</v>
      </c>
      <c r="CR364" s="233"/>
      <c r="CS364" s="297"/>
      <c r="CT364" s="235" t="str">
        <f t="shared" si="572"/>
        <v xml:space="preserve">                                                                </v>
      </c>
      <c r="CU364" s="174" t="str">
        <f t="shared" si="552"/>
        <v>NG</v>
      </c>
      <c r="CV364" s="273"/>
      <c r="CW364" s="276" t="str">
        <f>IF(OR(CS$8="判定対象外",CV$8="判定対象外",CV364="-"),"-",IF(CS364=CV364,"OK","NG"))</f>
        <v>OK</v>
      </c>
      <c r="CX364" s="233"/>
      <c r="CY364" s="297"/>
      <c r="CZ364" s="235" t="str">
        <f t="shared" si="573"/>
        <v xml:space="preserve">                                                                </v>
      </c>
      <c r="DA364" s="174" t="str">
        <f t="shared" si="553"/>
        <v>NG</v>
      </c>
      <c r="DB364" s="273"/>
      <c r="DC364" s="276" t="str">
        <f>IF(OR(CY$8="判定対象外",DB$8="判定対象外",DB364="-"),"-",IF(CY364=DB364,"OK","NG"))</f>
        <v>OK</v>
      </c>
      <c r="DD364" s="233"/>
      <c r="DE364" s="297"/>
      <c r="DF364" s="235" t="str">
        <f t="shared" si="574"/>
        <v xml:space="preserve">                                                                </v>
      </c>
      <c r="DG364" s="174" t="str">
        <f t="shared" si="554"/>
        <v>NG</v>
      </c>
      <c r="DH364" s="273"/>
      <c r="DI364" s="276" t="str">
        <f>IF(OR(DE$8="判定対象外",DH$8="判定対象外",DH364="-"),"-",IF(DE364=DH364,"OK","NG"))</f>
        <v>OK</v>
      </c>
      <c r="DJ364" s="233"/>
      <c r="DK364" s="297"/>
      <c r="DL364" s="235" t="str">
        <f t="shared" si="575"/>
        <v xml:space="preserve">                                                                </v>
      </c>
      <c r="DM364" s="174" t="str">
        <f t="shared" si="555"/>
        <v>NG</v>
      </c>
      <c r="DN364" s="273"/>
      <c r="DO364" s="276" t="str">
        <f>IF(OR(DK$8="判定対象外",DN$8="判定対象外",DN364="-"),"-",IF(DK364=DN364,"OK","NG"))</f>
        <v>OK</v>
      </c>
      <c r="DP364" s="233"/>
      <c r="DQ364" s="297"/>
      <c r="DR364" s="235" t="str">
        <f t="shared" si="576"/>
        <v xml:space="preserve">                                                                </v>
      </c>
      <c r="DS364" s="174" t="str">
        <f t="shared" si="533"/>
        <v>NG</v>
      </c>
      <c r="DT364" s="273"/>
      <c r="DU364" s="276" t="str">
        <f>IF(OR(DQ$8="判定対象外",DT$8="判定対象外",DT364="-"),"-",IF(DQ364=DT364,"OK","NG"))</f>
        <v>OK</v>
      </c>
      <c r="DV364" s="233"/>
      <c r="DW364" s="297"/>
      <c r="DX364" s="235" t="str">
        <f t="shared" si="577"/>
        <v xml:space="preserve">                                                                </v>
      </c>
      <c r="DY364" s="174" t="str">
        <f t="shared" si="534"/>
        <v>NG</v>
      </c>
      <c r="DZ364" s="273"/>
      <c r="EA364" s="276" t="str">
        <f>IF(OR(DW$8="判定対象外",DZ$8="判定対象外",DZ364="-"),"-",IF(DW364=DZ364,"OK","NG"))</f>
        <v>OK</v>
      </c>
      <c r="EB364" s="233"/>
      <c r="EC364" s="297"/>
      <c r="ED364" s="235" t="str">
        <f t="shared" si="578"/>
        <v xml:space="preserve">                                                                </v>
      </c>
      <c r="EE364" s="174" t="str">
        <f t="shared" si="535"/>
        <v>NG</v>
      </c>
      <c r="EF364" s="273"/>
      <c r="EG364" s="276" t="str">
        <f>IF(OR(EC$8="判定対象外",EF$8="判定対象外",EF364="-"),"-",IF(EC364=EF364,"OK","NG"))</f>
        <v>OK</v>
      </c>
      <c r="EH364" s="233"/>
      <c r="EI364" s="297"/>
      <c r="EJ364" s="235" t="str">
        <f t="shared" si="579"/>
        <v xml:space="preserve">                                                                </v>
      </c>
      <c r="EK364" s="174" t="str">
        <f t="shared" si="536"/>
        <v>NG</v>
      </c>
      <c r="EL364" s="273"/>
      <c r="EM364" s="276" t="str">
        <f>IF(OR(EI$8="判定対象外",EL$8="判定対象外",EL364="-"),"-",IF(EI364=EL364,"OK","NG"))</f>
        <v>OK</v>
      </c>
      <c r="EN364" s="233"/>
      <c r="EO364" s="297"/>
      <c r="EP364" s="235" t="str">
        <f t="shared" si="580"/>
        <v xml:space="preserve">                                                                </v>
      </c>
      <c r="EQ364" s="174" t="str">
        <f t="shared" si="537"/>
        <v>NG</v>
      </c>
      <c r="ER364" s="273"/>
      <c r="ES364" s="276" t="str">
        <f>IF(OR(EO$8="判定対象外",ER$8="判定対象外",ER364="-"),"-",IF(EO364=ER364,"OK","NG"))</f>
        <v>OK</v>
      </c>
      <c r="ET364" s="233"/>
      <c r="EU364" s="297"/>
      <c r="EV364" s="235" t="str">
        <f t="shared" si="581"/>
        <v xml:space="preserve">                                                                </v>
      </c>
      <c r="EW364" s="174" t="str">
        <f t="shared" si="538"/>
        <v>NG</v>
      </c>
      <c r="EX364" s="273"/>
      <c r="EY364" s="276" t="str">
        <f>IF(OR(EU$8="判定対象外",EX$8="判定対象外",EX364="-"),"-",IF(EU364=EX364,"OK","NG"))</f>
        <v>OK</v>
      </c>
      <c r="EZ364" s="233"/>
      <c r="FA364" s="297"/>
      <c r="FB364" s="235" t="str">
        <f t="shared" si="582"/>
        <v xml:space="preserve">                                                                </v>
      </c>
      <c r="FC364" s="174" t="str">
        <f t="shared" si="539"/>
        <v>NG</v>
      </c>
      <c r="FD364" s="273"/>
      <c r="FE364" s="276" t="str">
        <f>IF(OR(FA$8="判定対象外",FD$8="判定対象外",FD364="-"),"-",IF(FA364=FD364,"OK","NG"))</f>
        <v>OK</v>
      </c>
      <c r="FF364" s="233"/>
      <c r="FG364" s="297"/>
      <c r="FH364" s="235" t="str">
        <f t="shared" si="583"/>
        <v xml:space="preserve">                                                                </v>
      </c>
      <c r="FI364" s="174" t="str">
        <f t="shared" si="540"/>
        <v>NG</v>
      </c>
      <c r="FJ364" s="273"/>
      <c r="FK364" s="276" t="str">
        <f>IF(OR(FG$8="判定対象外",FJ$8="判定対象外",FJ364="-"),"-",IF(FG364=FJ364,"OK","NG"))</f>
        <v>OK</v>
      </c>
      <c r="FL364" s="233"/>
      <c r="FM364" s="297"/>
      <c r="FN364" s="235" t="str">
        <f t="shared" si="584"/>
        <v xml:space="preserve">                                                                </v>
      </c>
      <c r="FO364" s="174" t="str">
        <f t="shared" si="556"/>
        <v>NG</v>
      </c>
      <c r="FP364" s="273"/>
      <c r="FQ364" s="276" t="str">
        <f>IF(OR(FM$8="判定対象外",FP$8="判定対象外",FP364="-"),"-",IF(FM364=FP364,"OK","NG"))</f>
        <v>OK</v>
      </c>
      <c r="FR364" s="233"/>
      <c r="FS364" s="297"/>
      <c r="FT364" s="235" t="str">
        <f t="shared" si="585"/>
        <v xml:space="preserve">                                                                </v>
      </c>
      <c r="FU364" s="174" t="str">
        <f t="shared" si="557"/>
        <v>NG</v>
      </c>
      <c r="FV364" s="273"/>
      <c r="FW364" s="276" t="str">
        <f>IF(OR(FS$8="判定対象外",FV$8="判定対象外",FV364="-"),"-",IF(FS364=FV364,"OK","NG"))</f>
        <v>OK</v>
      </c>
      <c r="FX364" s="233"/>
      <c r="FY364" s="297"/>
      <c r="FZ364" s="235" t="str">
        <f t="shared" si="586"/>
        <v xml:space="preserve">                                                                </v>
      </c>
      <c r="GA364" s="174" t="str">
        <f t="shared" si="558"/>
        <v>NG</v>
      </c>
      <c r="GB364" s="273"/>
      <c r="GC364" s="276" t="str">
        <f>IF(OR(FY$8="判定対象外",GB$8="判定対象外",GB364="-"),"-",IF(FY364=GB364,"OK","NG"))</f>
        <v>OK</v>
      </c>
    </row>
    <row r="365" spans="1:185" s="237" customFormat="1" ht="92.25" customHeight="1">
      <c r="B365" s="216">
        <f t="shared" si="587"/>
        <v>358</v>
      </c>
      <c r="C365" s="220"/>
      <c r="D365" s="220"/>
      <c r="E365" s="220"/>
      <c r="F365" s="238" t="s">
        <v>352</v>
      </c>
      <c r="G365" s="168"/>
      <c r="H365" s="239"/>
      <c r="I365" s="225"/>
      <c r="J365" s="225"/>
      <c r="K365" s="226"/>
      <c r="L365" s="226"/>
      <c r="M365" s="279" t="s">
        <v>353</v>
      </c>
      <c r="N365" s="228"/>
      <c r="O365" s="229"/>
      <c r="P365" s="45">
        <f t="shared" si="561"/>
        <v>331</v>
      </c>
      <c r="Q365" s="230">
        <v>7</v>
      </c>
      <c r="R365" s="41" t="s">
        <v>81</v>
      </c>
      <c r="S365" s="185" t="s">
        <v>254</v>
      </c>
      <c r="T365" s="231"/>
      <c r="U365" s="41" t="s">
        <v>80</v>
      </c>
      <c r="V365" s="229"/>
      <c r="W365" s="232">
        <v>3</v>
      </c>
      <c r="X365" s="194" t="s">
        <v>255</v>
      </c>
      <c r="Y365" s="194">
        <v>7</v>
      </c>
      <c r="Z365" s="194">
        <v>7</v>
      </c>
      <c r="AA365" s="225" t="s">
        <v>81</v>
      </c>
      <c r="AB365" s="225" t="s">
        <v>57</v>
      </c>
      <c r="AC365" s="243"/>
      <c r="AD365" s="233"/>
      <c r="AE365" s="268"/>
      <c r="AF365" s="235" t="str">
        <f t="shared" si="562"/>
        <v xml:space="preserve">       </v>
      </c>
      <c r="AG365" s="174" t="str">
        <f t="shared" si="542"/>
        <v>NG</v>
      </c>
      <c r="AH365" s="271"/>
      <c r="AI365" s="276" t="str">
        <f>IF(OR(AE$8="判定対象外",AH$8="判定対象外",AH365="-"),"-",IF(AE365=AH365,"OK","NG"))</f>
        <v>OK</v>
      </c>
      <c r="AJ365" s="233"/>
      <c r="AK365" s="234"/>
      <c r="AL365" s="235" t="str">
        <f t="shared" si="559"/>
        <v xml:space="preserve">       </v>
      </c>
      <c r="AM365" s="174" t="str">
        <f t="shared" si="588"/>
        <v>NG</v>
      </c>
      <c r="AN365" s="271"/>
      <c r="AO365" s="276" t="str">
        <f>IF(OR(AK$8="判定対象外",AN$8="判定対象外",AN365="-"),"-",IF(AK365=AN365,"OK","NG"))</f>
        <v>OK</v>
      </c>
      <c r="AP365" s="233"/>
      <c r="AQ365" s="268"/>
      <c r="AR365" s="235" t="str">
        <f t="shared" si="563"/>
        <v xml:space="preserve">       </v>
      </c>
      <c r="AS365" s="174" t="str">
        <f t="shared" si="543"/>
        <v>NG</v>
      </c>
      <c r="AT365" s="271"/>
      <c r="AU365" s="276" t="str">
        <f>IF(OR(AQ$8="判定対象外",AT$8="判定対象外",AT365="-"),"-",IF(AQ365=AT365,"OK","NG"))</f>
        <v>OK</v>
      </c>
      <c r="AV365" s="233"/>
      <c r="AW365" s="268"/>
      <c r="AX365" s="235" t="str">
        <f t="shared" si="564"/>
        <v xml:space="preserve">       </v>
      </c>
      <c r="AY365" s="174" t="str">
        <f t="shared" si="544"/>
        <v>NG</v>
      </c>
      <c r="AZ365" s="271"/>
      <c r="BA365" s="276" t="str">
        <f>IF(OR(AW$8="判定対象外",AZ$8="判定対象外",AZ365="-"),"-",IF(AW365=AZ365,"OK","NG"))</f>
        <v>OK</v>
      </c>
      <c r="BB365" s="233"/>
      <c r="BC365" s="268"/>
      <c r="BD365" s="235" t="str">
        <f t="shared" si="565"/>
        <v xml:space="preserve">       </v>
      </c>
      <c r="BE365" s="174" t="str">
        <f t="shared" si="545"/>
        <v>NG</v>
      </c>
      <c r="BF365" s="271"/>
      <c r="BG365" s="276" t="str">
        <f>IF(OR(BC$8="判定対象外",BF$8="判定対象外",BF365="-"),"-",IF(BC365=BF365,"OK","NG"))</f>
        <v>OK</v>
      </c>
      <c r="BH365" s="233"/>
      <c r="BI365" s="268"/>
      <c r="BJ365" s="235" t="str">
        <f t="shared" si="566"/>
        <v xml:space="preserve">       </v>
      </c>
      <c r="BK365" s="174" t="str">
        <f t="shared" si="546"/>
        <v>NG</v>
      </c>
      <c r="BL365" s="271"/>
      <c r="BM365" s="276" t="str">
        <f>IF(OR(BI$8="判定対象外",BL$8="判定対象外",BL365="-"),"-",IF(BI365=BL365,"OK","NG"))</f>
        <v>OK</v>
      </c>
      <c r="BN365" s="233"/>
      <c r="BO365" s="268"/>
      <c r="BP365" s="235" t="str">
        <f t="shared" si="567"/>
        <v xml:space="preserve">       </v>
      </c>
      <c r="BQ365" s="174" t="str">
        <f t="shared" si="547"/>
        <v>NG</v>
      </c>
      <c r="BR365" s="271"/>
      <c r="BS365" s="276" t="str">
        <f>IF(OR(BO$8="判定対象外",BR$8="判定対象外",BR365="-"),"-",IF(BO365=BR365,"OK","NG"))</f>
        <v>OK</v>
      </c>
      <c r="BT365" s="233"/>
      <c r="BU365" s="268"/>
      <c r="BV365" s="235" t="str">
        <f t="shared" si="568"/>
        <v xml:space="preserve">       </v>
      </c>
      <c r="BW365" s="174" t="str">
        <f t="shared" si="548"/>
        <v>NG</v>
      </c>
      <c r="BX365" s="271"/>
      <c r="BY365" s="276" t="str">
        <f>IF(OR(BU$8="判定対象外",BX$8="判定対象外",BX365="-"),"-",IF(BU365=BX365,"OK","NG"))</f>
        <v>OK</v>
      </c>
      <c r="BZ365" s="233"/>
      <c r="CA365" s="268"/>
      <c r="CB365" s="235" t="str">
        <f t="shared" si="569"/>
        <v xml:space="preserve">       </v>
      </c>
      <c r="CC365" s="174" t="str">
        <f t="shared" si="549"/>
        <v>NG</v>
      </c>
      <c r="CD365" s="271"/>
      <c r="CE365" s="276" t="str">
        <f>IF(OR(CA$8="判定対象外",CD$8="判定対象外",CD365="-"),"-",IF(CA365=CD365,"OK","NG"))</f>
        <v>OK</v>
      </c>
      <c r="CF365" s="233"/>
      <c r="CG365" s="268"/>
      <c r="CH365" s="235" t="str">
        <f t="shared" si="570"/>
        <v xml:space="preserve">       </v>
      </c>
      <c r="CI365" s="174" t="str">
        <f t="shared" si="550"/>
        <v>NG</v>
      </c>
      <c r="CJ365" s="271"/>
      <c r="CK365" s="276" t="str">
        <f>IF(OR(CG$8="判定対象外",CJ$8="判定対象外",CJ365="-"),"-",IF(CG365=CJ365,"OK","NG"))</f>
        <v>OK</v>
      </c>
      <c r="CL365" s="233"/>
      <c r="CM365" s="268"/>
      <c r="CN365" s="235" t="str">
        <f t="shared" si="571"/>
        <v xml:space="preserve">       </v>
      </c>
      <c r="CO365" s="174" t="str">
        <f t="shared" si="551"/>
        <v>NG</v>
      </c>
      <c r="CP365" s="271"/>
      <c r="CQ365" s="276" t="str">
        <f>IF(OR(CM$8="判定対象外",CP$8="判定対象外",CP365="-"),"-",IF(CM365=CP365,"OK","NG"))</f>
        <v>OK</v>
      </c>
      <c r="CR365" s="233"/>
      <c r="CS365" s="268"/>
      <c r="CT365" s="235" t="str">
        <f t="shared" si="572"/>
        <v xml:space="preserve">       </v>
      </c>
      <c r="CU365" s="174" t="str">
        <f t="shared" si="552"/>
        <v>NG</v>
      </c>
      <c r="CV365" s="271"/>
      <c r="CW365" s="276" t="str">
        <f>IF(OR(CS$8="判定対象外",CV$8="判定対象外",CV365="-"),"-",IF(CS365=CV365,"OK","NG"))</f>
        <v>OK</v>
      </c>
      <c r="CX365" s="233"/>
      <c r="CY365" s="268"/>
      <c r="CZ365" s="235" t="str">
        <f t="shared" si="573"/>
        <v xml:space="preserve">       </v>
      </c>
      <c r="DA365" s="174" t="str">
        <f t="shared" si="553"/>
        <v>NG</v>
      </c>
      <c r="DB365" s="271"/>
      <c r="DC365" s="276" t="str">
        <f>IF(OR(CY$8="判定対象外",DB$8="判定対象外",DB365="-"),"-",IF(CY365=DB365,"OK","NG"))</f>
        <v>OK</v>
      </c>
      <c r="DD365" s="233"/>
      <c r="DE365" s="268"/>
      <c r="DF365" s="235" t="str">
        <f t="shared" si="574"/>
        <v xml:space="preserve">       </v>
      </c>
      <c r="DG365" s="174" t="str">
        <f t="shared" si="554"/>
        <v>NG</v>
      </c>
      <c r="DH365" s="271"/>
      <c r="DI365" s="276" t="str">
        <f>IF(OR(DE$8="判定対象外",DH$8="判定対象外",DH365="-"),"-",IF(DE365=DH365,"OK","NG"))</f>
        <v>OK</v>
      </c>
      <c r="DJ365" s="233"/>
      <c r="DK365" s="268"/>
      <c r="DL365" s="235" t="str">
        <f t="shared" si="575"/>
        <v xml:space="preserve">       </v>
      </c>
      <c r="DM365" s="174" t="str">
        <f t="shared" si="555"/>
        <v>NG</v>
      </c>
      <c r="DN365" s="271"/>
      <c r="DO365" s="276" t="str">
        <f>IF(OR(DK$8="判定対象外",DN$8="判定対象外",DN365="-"),"-",IF(DK365=DN365,"OK","NG"))</f>
        <v>OK</v>
      </c>
      <c r="DP365" s="233"/>
      <c r="DQ365" s="268"/>
      <c r="DR365" s="235" t="str">
        <f t="shared" si="576"/>
        <v xml:space="preserve">       </v>
      </c>
      <c r="DS365" s="174" t="str">
        <f t="shared" si="533"/>
        <v>NG</v>
      </c>
      <c r="DT365" s="271"/>
      <c r="DU365" s="276" t="str">
        <f>IF(OR(DQ$8="判定対象外",DT$8="判定対象外",DT365="-"),"-",IF(DQ365=DT365,"OK","NG"))</f>
        <v>OK</v>
      </c>
      <c r="DV365" s="233"/>
      <c r="DW365" s="268"/>
      <c r="DX365" s="235" t="str">
        <f t="shared" si="577"/>
        <v xml:space="preserve">       </v>
      </c>
      <c r="DY365" s="174" t="str">
        <f t="shared" si="534"/>
        <v>NG</v>
      </c>
      <c r="DZ365" s="271"/>
      <c r="EA365" s="276" t="str">
        <f>IF(OR(DW$8="判定対象外",DZ$8="判定対象外",DZ365="-"),"-",IF(DW365=DZ365,"OK","NG"))</f>
        <v>OK</v>
      </c>
      <c r="EB365" s="233"/>
      <c r="EC365" s="268"/>
      <c r="ED365" s="235" t="str">
        <f t="shared" si="578"/>
        <v xml:space="preserve">       </v>
      </c>
      <c r="EE365" s="174" t="str">
        <f t="shared" si="535"/>
        <v>NG</v>
      </c>
      <c r="EF365" s="271"/>
      <c r="EG365" s="276" t="str">
        <f>IF(OR(EC$8="判定対象外",EF$8="判定対象外",EF365="-"),"-",IF(EC365=EF365,"OK","NG"))</f>
        <v>OK</v>
      </c>
      <c r="EH365" s="233"/>
      <c r="EI365" s="268"/>
      <c r="EJ365" s="235" t="str">
        <f t="shared" si="579"/>
        <v xml:space="preserve">       </v>
      </c>
      <c r="EK365" s="174" t="str">
        <f t="shared" si="536"/>
        <v>NG</v>
      </c>
      <c r="EL365" s="271"/>
      <c r="EM365" s="276" t="str">
        <f>IF(OR(EI$8="判定対象外",EL$8="判定対象外",EL365="-"),"-",IF(EI365=EL365,"OK","NG"))</f>
        <v>OK</v>
      </c>
      <c r="EN365" s="233"/>
      <c r="EO365" s="268"/>
      <c r="EP365" s="235" t="str">
        <f t="shared" si="580"/>
        <v xml:space="preserve">       </v>
      </c>
      <c r="EQ365" s="174" t="str">
        <f t="shared" si="537"/>
        <v>NG</v>
      </c>
      <c r="ER365" s="271"/>
      <c r="ES365" s="276" t="str">
        <f>IF(OR(EO$8="判定対象外",ER$8="判定対象外",ER365="-"),"-",IF(EO365=ER365,"OK","NG"))</f>
        <v>OK</v>
      </c>
      <c r="ET365" s="233"/>
      <c r="EU365" s="268"/>
      <c r="EV365" s="235" t="str">
        <f t="shared" si="581"/>
        <v xml:space="preserve">       </v>
      </c>
      <c r="EW365" s="174" t="str">
        <f t="shared" si="538"/>
        <v>NG</v>
      </c>
      <c r="EX365" s="271"/>
      <c r="EY365" s="276" t="str">
        <f>IF(OR(EU$8="判定対象外",EX$8="判定対象外",EX365="-"),"-",IF(EU365=EX365,"OK","NG"))</f>
        <v>OK</v>
      </c>
      <c r="EZ365" s="233"/>
      <c r="FA365" s="268"/>
      <c r="FB365" s="235" t="str">
        <f t="shared" si="582"/>
        <v xml:space="preserve">       </v>
      </c>
      <c r="FC365" s="174" t="str">
        <f t="shared" si="539"/>
        <v>NG</v>
      </c>
      <c r="FD365" s="271"/>
      <c r="FE365" s="276" t="str">
        <f>IF(OR(FA$8="判定対象外",FD$8="判定対象外",FD365="-"),"-",IF(FA365=FD365,"OK","NG"))</f>
        <v>OK</v>
      </c>
      <c r="FF365" s="233"/>
      <c r="FG365" s="268"/>
      <c r="FH365" s="235" t="str">
        <f t="shared" si="583"/>
        <v xml:space="preserve">       </v>
      </c>
      <c r="FI365" s="174" t="str">
        <f t="shared" si="540"/>
        <v>NG</v>
      </c>
      <c r="FJ365" s="271"/>
      <c r="FK365" s="276" t="str">
        <f>IF(OR(FG$8="判定対象外",FJ$8="判定対象外",FJ365="-"),"-",IF(FG365=FJ365,"OK","NG"))</f>
        <v>OK</v>
      </c>
      <c r="FL365" s="233"/>
      <c r="FM365" s="268"/>
      <c r="FN365" s="235" t="str">
        <f t="shared" si="584"/>
        <v xml:space="preserve">       </v>
      </c>
      <c r="FO365" s="174" t="str">
        <f t="shared" si="556"/>
        <v>NG</v>
      </c>
      <c r="FP365" s="271"/>
      <c r="FQ365" s="276" t="str">
        <f>IF(OR(FM$8="判定対象外",FP$8="判定対象外",FP365="-"),"-",IF(FM365=FP365,"OK","NG"))</f>
        <v>OK</v>
      </c>
      <c r="FR365" s="233"/>
      <c r="FS365" s="268"/>
      <c r="FT365" s="235" t="str">
        <f t="shared" si="585"/>
        <v xml:space="preserve">       </v>
      </c>
      <c r="FU365" s="174" t="str">
        <f t="shared" si="557"/>
        <v>NG</v>
      </c>
      <c r="FV365" s="271"/>
      <c r="FW365" s="276" t="str">
        <f>IF(OR(FS$8="判定対象外",FV$8="判定対象外",FV365="-"),"-",IF(FS365=FV365,"OK","NG"))</f>
        <v>OK</v>
      </c>
      <c r="FX365" s="233"/>
      <c r="FY365" s="268"/>
      <c r="FZ365" s="235" t="str">
        <f t="shared" si="586"/>
        <v xml:space="preserve">       </v>
      </c>
      <c r="GA365" s="174" t="str">
        <f t="shared" si="558"/>
        <v>NG</v>
      </c>
      <c r="GB365" s="271"/>
      <c r="GC365" s="276" t="str">
        <f>IF(OR(FY$8="判定対象外",GB$8="判定対象外",GB365="-"),"-",IF(FY365=GB365,"OK","NG"))</f>
        <v>OK</v>
      </c>
    </row>
    <row r="366" spans="1:185" s="237" customFormat="1" ht="127.9" thickBot="1">
      <c r="A366" s="244"/>
      <c r="B366" s="286">
        <f t="shared" si="587"/>
        <v>359</v>
      </c>
      <c r="C366" s="245"/>
      <c r="D366" s="245"/>
      <c r="E366" s="245"/>
      <c r="F366" s="287" t="s">
        <v>354</v>
      </c>
      <c r="G366" s="288"/>
      <c r="H366" s="289"/>
      <c r="I366" s="290"/>
      <c r="J366" s="290"/>
      <c r="K366" s="290"/>
      <c r="L366" s="290"/>
      <c r="M366" s="291" t="s">
        <v>355</v>
      </c>
      <c r="N366" s="280"/>
      <c r="O366" s="284"/>
      <c r="P366" s="71">
        <f t="shared" si="561"/>
        <v>332</v>
      </c>
      <c r="Q366" s="74">
        <v>1</v>
      </c>
      <c r="R366" s="73">
        <v>9</v>
      </c>
      <c r="S366" s="74" t="s">
        <v>256</v>
      </c>
      <c r="T366" s="74"/>
      <c r="U366" s="73" t="s">
        <v>80</v>
      </c>
      <c r="V366" s="246"/>
      <c r="W366" s="76" t="str">
        <f>IF(C366&lt;&gt;"","0",IF(D366&lt;&gt;"","1",IF(E366&lt;&gt;"","2",IF(F366&lt;&gt;"","3",IF(G366&lt;&gt;"","4",IF(H366&lt;&gt;"","5"))))))</f>
        <v>3</v>
      </c>
      <c r="X366" s="77" t="s">
        <v>258</v>
      </c>
      <c r="Y366" s="77">
        <v>1</v>
      </c>
      <c r="Z366" s="77">
        <v>1</v>
      </c>
      <c r="AA366" s="247">
        <v>9</v>
      </c>
      <c r="AB366" s="68" t="s">
        <v>80</v>
      </c>
      <c r="AC366" s="248"/>
      <c r="AD366" s="249"/>
      <c r="AE366" s="300"/>
      <c r="AF366" s="253" t="str">
        <f t="shared" si="562"/>
        <v xml:space="preserve"> </v>
      </c>
      <c r="AG366" s="177" t="str">
        <f t="shared" si="542"/>
        <v>NG</v>
      </c>
      <c r="AH366" s="301"/>
      <c r="AI366" s="270" t="str">
        <f>IF(OR(AE$8="判定対象外",AH$8="判定対象外",AH366="-"),"-",IF(AE366=AH366,"OK","NG"))</f>
        <v>OK</v>
      </c>
      <c r="AJ366" s="249"/>
      <c r="AK366" s="250"/>
      <c r="AL366" s="253" t="str">
        <f t="shared" si="559"/>
        <v xml:space="preserve"> </v>
      </c>
      <c r="AM366" s="177" t="str">
        <f t="shared" si="588"/>
        <v>NG</v>
      </c>
      <c r="AN366" s="301"/>
      <c r="AO366" s="270" t="str">
        <f>IF(OR(AK$8="判定対象外",AN$8="判定対象外",AN366="-"),"-",IF(AK366=AN366,"OK","NG"))</f>
        <v>OK</v>
      </c>
      <c r="AP366" s="249"/>
      <c r="AQ366" s="300"/>
      <c r="AR366" s="253" t="str">
        <f t="shared" si="563"/>
        <v xml:space="preserve"> </v>
      </c>
      <c r="AS366" s="177" t="str">
        <f t="shared" si="543"/>
        <v>NG</v>
      </c>
      <c r="AT366" s="301"/>
      <c r="AU366" s="270" t="str">
        <f>IF(OR(AQ$8="判定対象外",AT$8="判定対象外",AT366="-"),"-",IF(AQ366=AT366,"OK","NG"))</f>
        <v>OK</v>
      </c>
      <c r="AV366" s="249"/>
      <c r="AW366" s="300"/>
      <c r="AX366" s="253" t="str">
        <f t="shared" si="564"/>
        <v xml:space="preserve"> </v>
      </c>
      <c r="AY366" s="177" t="str">
        <f t="shared" si="544"/>
        <v>NG</v>
      </c>
      <c r="AZ366" s="301"/>
      <c r="BA366" s="270" t="str">
        <f>IF(OR(AW$8="判定対象外",AZ$8="判定対象外",AZ366="-"),"-",IF(AW366=AZ366,"OK","NG"))</f>
        <v>OK</v>
      </c>
      <c r="BB366" s="249"/>
      <c r="BC366" s="300"/>
      <c r="BD366" s="253" t="str">
        <f t="shared" si="565"/>
        <v xml:space="preserve"> </v>
      </c>
      <c r="BE366" s="177" t="str">
        <f t="shared" si="545"/>
        <v>NG</v>
      </c>
      <c r="BF366" s="301"/>
      <c r="BG366" s="270" t="str">
        <f>IF(OR(BC$8="判定対象外",BF$8="判定対象外",BF366="-"),"-",IF(BC366=BF366,"OK","NG"))</f>
        <v>OK</v>
      </c>
      <c r="BH366" s="249"/>
      <c r="BI366" s="300"/>
      <c r="BJ366" s="253" t="str">
        <f t="shared" si="566"/>
        <v xml:space="preserve"> </v>
      </c>
      <c r="BK366" s="177" t="str">
        <f t="shared" si="546"/>
        <v>NG</v>
      </c>
      <c r="BL366" s="301"/>
      <c r="BM366" s="270" t="str">
        <f>IF(OR(BI$8="判定対象外",BL$8="判定対象外",BL366="-"),"-",IF(BI366=BL366,"OK","NG"))</f>
        <v>OK</v>
      </c>
      <c r="BN366" s="249"/>
      <c r="BO366" s="300"/>
      <c r="BP366" s="253" t="str">
        <f t="shared" si="567"/>
        <v xml:space="preserve"> </v>
      </c>
      <c r="BQ366" s="177" t="str">
        <f t="shared" si="547"/>
        <v>NG</v>
      </c>
      <c r="BR366" s="301"/>
      <c r="BS366" s="270" t="str">
        <f>IF(OR(BO$8="判定対象外",BR$8="判定対象外",BR366="-"),"-",IF(BO366=BR366,"OK","NG"))</f>
        <v>OK</v>
      </c>
      <c r="BT366" s="249"/>
      <c r="BU366" s="300"/>
      <c r="BV366" s="253" t="str">
        <f t="shared" si="568"/>
        <v xml:space="preserve"> </v>
      </c>
      <c r="BW366" s="177" t="str">
        <f t="shared" si="548"/>
        <v>NG</v>
      </c>
      <c r="BX366" s="301"/>
      <c r="BY366" s="270" t="str">
        <f>IF(OR(BU$8="判定対象外",BX$8="判定対象外",BX366="-"),"-",IF(BU366=BX366,"OK","NG"))</f>
        <v>OK</v>
      </c>
      <c r="BZ366" s="249"/>
      <c r="CA366" s="300"/>
      <c r="CB366" s="253" t="str">
        <f t="shared" si="569"/>
        <v xml:space="preserve"> </v>
      </c>
      <c r="CC366" s="177" t="str">
        <f t="shared" si="549"/>
        <v>NG</v>
      </c>
      <c r="CD366" s="301"/>
      <c r="CE366" s="270" t="str">
        <f>IF(OR(CA$8="判定対象外",CD$8="判定対象外",CD366="-"),"-",IF(CA366=CD366,"OK","NG"))</f>
        <v>OK</v>
      </c>
      <c r="CF366" s="249"/>
      <c r="CG366" s="300"/>
      <c r="CH366" s="253" t="str">
        <f t="shared" si="570"/>
        <v xml:space="preserve"> </v>
      </c>
      <c r="CI366" s="177" t="str">
        <f t="shared" si="550"/>
        <v>NG</v>
      </c>
      <c r="CJ366" s="301"/>
      <c r="CK366" s="270" t="str">
        <f>IF(OR(CG$8="判定対象外",CJ$8="判定対象外",CJ366="-"),"-",IF(CG366=CJ366,"OK","NG"))</f>
        <v>OK</v>
      </c>
      <c r="CL366" s="249"/>
      <c r="CM366" s="300"/>
      <c r="CN366" s="253" t="str">
        <f t="shared" si="571"/>
        <v xml:space="preserve"> </v>
      </c>
      <c r="CO366" s="177" t="str">
        <f t="shared" si="551"/>
        <v>NG</v>
      </c>
      <c r="CP366" s="301"/>
      <c r="CQ366" s="270" t="str">
        <f>IF(OR(CM$8="判定対象外",CP$8="判定対象外",CP366="-"),"-",IF(CM366=CP366,"OK","NG"))</f>
        <v>OK</v>
      </c>
      <c r="CR366" s="249"/>
      <c r="CS366" s="300"/>
      <c r="CT366" s="253" t="str">
        <f t="shared" si="572"/>
        <v xml:space="preserve"> </v>
      </c>
      <c r="CU366" s="177" t="str">
        <f t="shared" si="552"/>
        <v>NG</v>
      </c>
      <c r="CV366" s="301"/>
      <c r="CW366" s="270" t="str">
        <f>IF(OR(CS$8="判定対象外",CV$8="判定対象外",CV366="-"),"-",IF(CS366=CV366,"OK","NG"))</f>
        <v>OK</v>
      </c>
      <c r="CX366" s="249"/>
      <c r="CY366" s="300"/>
      <c r="CZ366" s="253" t="str">
        <f t="shared" si="573"/>
        <v xml:space="preserve"> </v>
      </c>
      <c r="DA366" s="177" t="str">
        <f t="shared" si="553"/>
        <v>NG</v>
      </c>
      <c r="DB366" s="301"/>
      <c r="DC366" s="270" t="str">
        <f>IF(OR(CY$8="判定対象外",DB$8="判定対象外",DB366="-"),"-",IF(CY366=DB366,"OK","NG"))</f>
        <v>OK</v>
      </c>
      <c r="DD366" s="249"/>
      <c r="DE366" s="300"/>
      <c r="DF366" s="253" t="str">
        <f t="shared" si="574"/>
        <v xml:space="preserve"> </v>
      </c>
      <c r="DG366" s="177" t="str">
        <f t="shared" si="554"/>
        <v>NG</v>
      </c>
      <c r="DH366" s="301"/>
      <c r="DI366" s="270" t="str">
        <f>IF(OR(DE$8="判定対象外",DH$8="判定対象外",DH366="-"),"-",IF(DE366=DH366,"OK","NG"))</f>
        <v>OK</v>
      </c>
      <c r="DJ366" s="249"/>
      <c r="DK366" s="300"/>
      <c r="DL366" s="253" t="str">
        <f t="shared" si="575"/>
        <v xml:space="preserve"> </v>
      </c>
      <c r="DM366" s="177" t="str">
        <f t="shared" si="555"/>
        <v>NG</v>
      </c>
      <c r="DN366" s="301"/>
      <c r="DO366" s="270" t="str">
        <f>IF(OR(DK$8="判定対象外",DN$8="判定対象外",DN366="-"),"-",IF(DK366=DN366,"OK","NG"))</f>
        <v>OK</v>
      </c>
      <c r="DP366" s="249"/>
      <c r="DQ366" s="300"/>
      <c r="DR366" s="253" t="str">
        <f t="shared" si="576"/>
        <v xml:space="preserve"> </v>
      </c>
      <c r="DS366" s="177" t="str">
        <f t="shared" si="533"/>
        <v>NG</v>
      </c>
      <c r="DT366" s="301"/>
      <c r="DU366" s="270" t="str">
        <f>IF(OR(DQ$8="判定対象外",DT$8="判定対象外",DT366="-"),"-",IF(DQ366=DT366,"OK","NG"))</f>
        <v>OK</v>
      </c>
      <c r="DV366" s="249"/>
      <c r="DW366" s="300"/>
      <c r="DX366" s="253" t="str">
        <f t="shared" si="577"/>
        <v xml:space="preserve"> </v>
      </c>
      <c r="DY366" s="177" t="str">
        <f t="shared" si="534"/>
        <v>NG</v>
      </c>
      <c r="DZ366" s="301"/>
      <c r="EA366" s="270" t="str">
        <f>IF(OR(DW$8="判定対象外",DZ$8="判定対象外",DZ366="-"),"-",IF(DW366=DZ366,"OK","NG"))</f>
        <v>OK</v>
      </c>
      <c r="EB366" s="249"/>
      <c r="EC366" s="300"/>
      <c r="ED366" s="253" t="str">
        <f t="shared" si="578"/>
        <v xml:space="preserve"> </v>
      </c>
      <c r="EE366" s="177" t="str">
        <f t="shared" si="535"/>
        <v>NG</v>
      </c>
      <c r="EF366" s="301"/>
      <c r="EG366" s="270" t="str">
        <f>IF(OR(EC$8="判定対象外",EF$8="判定対象外",EF366="-"),"-",IF(EC366=EF366,"OK","NG"))</f>
        <v>OK</v>
      </c>
      <c r="EH366" s="249"/>
      <c r="EI366" s="300"/>
      <c r="EJ366" s="253" t="str">
        <f t="shared" si="579"/>
        <v xml:space="preserve"> </v>
      </c>
      <c r="EK366" s="177" t="str">
        <f t="shared" si="536"/>
        <v>NG</v>
      </c>
      <c r="EL366" s="301"/>
      <c r="EM366" s="270" t="str">
        <f>IF(OR(EI$8="判定対象外",EL$8="判定対象外",EL366="-"),"-",IF(EI366=EL366,"OK","NG"))</f>
        <v>OK</v>
      </c>
      <c r="EN366" s="249"/>
      <c r="EO366" s="300"/>
      <c r="EP366" s="253" t="str">
        <f t="shared" si="580"/>
        <v xml:space="preserve"> </v>
      </c>
      <c r="EQ366" s="177" t="str">
        <f t="shared" si="537"/>
        <v>NG</v>
      </c>
      <c r="ER366" s="301"/>
      <c r="ES366" s="270" t="str">
        <f>IF(OR(EO$8="判定対象外",ER$8="判定対象外",ER366="-"),"-",IF(EO366=ER366,"OK","NG"))</f>
        <v>OK</v>
      </c>
      <c r="ET366" s="249"/>
      <c r="EU366" s="300"/>
      <c r="EV366" s="253" t="str">
        <f t="shared" si="581"/>
        <v xml:space="preserve"> </v>
      </c>
      <c r="EW366" s="177" t="str">
        <f t="shared" si="538"/>
        <v>NG</v>
      </c>
      <c r="EX366" s="301"/>
      <c r="EY366" s="270" t="str">
        <f>IF(OR(EU$8="判定対象外",EX$8="判定対象外",EX366="-"),"-",IF(EU366=EX366,"OK","NG"))</f>
        <v>OK</v>
      </c>
      <c r="EZ366" s="249"/>
      <c r="FA366" s="300"/>
      <c r="FB366" s="253" t="str">
        <f t="shared" si="582"/>
        <v xml:space="preserve"> </v>
      </c>
      <c r="FC366" s="177" t="str">
        <f t="shared" si="539"/>
        <v>NG</v>
      </c>
      <c r="FD366" s="301"/>
      <c r="FE366" s="270" t="str">
        <f>IF(OR(FA$8="判定対象外",FD$8="判定対象外",FD366="-"),"-",IF(FA366=FD366,"OK","NG"))</f>
        <v>OK</v>
      </c>
      <c r="FF366" s="249"/>
      <c r="FG366" s="300"/>
      <c r="FH366" s="253" t="str">
        <f t="shared" si="583"/>
        <v xml:space="preserve"> </v>
      </c>
      <c r="FI366" s="177" t="str">
        <f t="shared" si="540"/>
        <v>NG</v>
      </c>
      <c r="FJ366" s="301"/>
      <c r="FK366" s="270" t="str">
        <f>IF(OR(FG$8="判定対象外",FJ$8="判定対象外",FJ366="-"),"-",IF(FG366=FJ366,"OK","NG"))</f>
        <v>OK</v>
      </c>
      <c r="FL366" s="249"/>
      <c r="FM366" s="300"/>
      <c r="FN366" s="253" t="str">
        <f t="shared" si="584"/>
        <v xml:space="preserve"> </v>
      </c>
      <c r="FO366" s="177" t="str">
        <f t="shared" si="556"/>
        <v>NG</v>
      </c>
      <c r="FP366" s="301"/>
      <c r="FQ366" s="270" t="str">
        <f>IF(OR(FM$8="判定対象外",FP$8="判定対象外",FP366="-"),"-",IF(FM366=FP366,"OK","NG"))</f>
        <v>OK</v>
      </c>
      <c r="FR366" s="249"/>
      <c r="FS366" s="300"/>
      <c r="FT366" s="253" t="str">
        <f t="shared" si="585"/>
        <v xml:space="preserve"> </v>
      </c>
      <c r="FU366" s="177" t="str">
        <f t="shared" si="557"/>
        <v>NG</v>
      </c>
      <c r="FV366" s="301"/>
      <c r="FW366" s="270" t="str">
        <f>IF(OR(FS$8="判定対象外",FV$8="判定対象外",FV366="-"),"-",IF(FS366=FV366,"OK","NG"))</f>
        <v>OK</v>
      </c>
      <c r="FX366" s="249"/>
      <c r="FY366" s="300"/>
      <c r="FZ366" s="253" t="str">
        <f t="shared" si="586"/>
        <v xml:space="preserve"> </v>
      </c>
      <c r="GA366" s="177" t="str">
        <f t="shared" si="558"/>
        <v>NG</v>
      </c>
      <c r="GB366" s="301"/>
      <c r="GC366" s="270" t="str">
        <f>IF(OR(FY$8="判定対象外",GB$8="判定対象外",GB366="-"),"-",IF(FY366=GB366,"OK","NG"))</f>
        <v>OK</v>
      </c>
    </row>
    <row r="367" spans="1:185" s="52" customFormat="1" ht="18.75" customHeight="1" thickTop="1">
      <c r="B367" s="48">
        <f t="shared" si="587"/>
        <v>360</v>
      </c>
      <c r="C367" s="37"/>
      <c r="D367" s="37"/>
      <c r="E367" s="26" t="s">
        <v>315</v>
      </c>
      <c r="F367" s="254"/>
      <c r="G367" s="254"/>
      <c r="H367" s="28"/>
      <c r="I367" s="42" t="s">
        <v>1</v>
      </c>
      <c r="J367" s="42" t="s">
        <v>316</v>
      </c>
      <c r="K367" s="42"/>
      <c r="L367" s="42"/>
      <c r="M367" s="47" t="s">
        <v>317</v>
      </c>
      <c r="N367" s="281"/>
      <c r="O367" s="282"/>
      <c r="P367" s="20"/>
      <c r="Q367" s="21"/>
      <c r="R367" s="16"/>
      <c r="S367" s="283"/>
      <c r="T367" s="281"/>
      <c r="U367" s="16"/>
      <c r="V367" s="207"/>
      <c r="W367" s="22" t="str">
        <f>IF(C367&lt;&gt;"","0",IF(D367&lt;&gt;"","1",IF(E367&lt;&gt;"","2",IF(F367&lt;&gt;"","3",IF(G367&lt;&gt;"","4",IF(H367&lt;&gt;"","5"))))))</f>
        <v>2</v>
      </c>
      <c r="X367" s="47" t="s">
        <v>187</v>
      </c>
      <c r="Y367" s="47"/>
      <c r="Z367" s="47"/>
      <c r="AA367" s="42"/>
      <c r="AB367" s="42" t="s">
        <v>80</v>
      </c>
      <c r="AC367" s="251"/>
      <c r="AD367" s="160"/>
      <c r="AE367" s="141"/>
      <c r="AF367" s="203" t="str">
        <f t="shared" si="562"/>
        <v/>
      </c>
      <c r="AG367" s="174" t="str">
        <f t="shared" si="542"/>
        <v>OK</v>
      </c>
      <c r="AH367" s="141"/>
      <c r="AI367" s="276" t="s">
        <v>71</v>
      </c>
      <c r="AJ367" s="160"/>
      <c r="AK367" s="141"/>
      <c r="AL367" s="203" t="str">
        <f t="shared" si="559"/>
        <v/>
      </c>
      <c r="AM367" s="174" t="str">
        <f t="shared" si="588"/>
        <v>OK</v>
      </c>
      <c r="AN367" s="141"/>
      <c r="AO367" s="276" t="s">
        <v>71</v>
      </c>
      <c r="AP367" s="160"/>
      <c r="AQ367" s="141"/>
      <c r="AR367" s="203" t="str">
        <f t="shared" si="563"/>
        <v/>
      </c>
      <c r="AS367" s="174" t="str">
        <f t="shared" si="543"/>
        <v>OK</v>
      </c>
      <c r="AT367" s="141"/>
      <c r="AU367" s="276" t="s">
        <v>71</v>
      </c>
      <c r="AV367" s="160"/>
      <c r="AW367" s="141"/>
      <c r="AX367" s="203" t="str">
        <f t="shared" si="564"/>
        <v/>
      </c>
      <c r="AY367" s="174" t="str">
        <f t="shared" si="544"/>
        <v>OK</v>
      </c>
      <c r="AZ367" s="141"/>
      <c r="BA367" s="276" t="s">
        <v>71</v>
      </c>
      <c r="BB367" s="160"/>
      <c r="BC367" s="141"/>
      <c r="BD367" s="203" t="str">
        <f t="shared" si="565"/>
        <v/>
      </c>
      <c r="BE367" s="174" t="str">
        <f t="shared" si="545"/>
        <v>OK</v>
      </c>
      <c r="BF367" s="141"/>
      <c r="BG367" s="276" t="s">
        <v>71</v>
      </c>
      <c r="BH367" s="160"/>
      <c r="BI367" s="141"/>
      <c r="BJ367" s="203" t="str">
        <f t="shared" si="566"/>
        <v/>
      </c>
      <c r="BK367" s="174" t="str">
        <f t="shared" si="546"/>
        <v>OK</v>
      </c>
      <c r="BL367" s="141"/>
      <c r="BM367" s="276" t="s">
        <v>71</v>
      </c>
      <c r="BN367" s="160"/>
      <c r="BO367" s="141"/>
      <c r="BP367" s="203" t="str">
        <f t="shared" si="567"/>
        <v/>
      </c>
      <c r="BQ367" s="174" t="str">
        <f t="shared" si="547"/>
        <v>OK</v>
      </c>
      <c r="BR367" s="141"/>
      <c r="BS367" s="276" t="s">
        <v>71</v>
      </c>
      <c r="BT367" s="160"/>
      <c r="BU367" s="141"/>
      <c r="BV367" s="203" t="str">
        <f t="shared" si="568"/>
        <v/>
      </c>
      <c r="BW367" s="174" t="str">
        <f t="shared" si="548"/>
        <v>OK</v>
      </c>
      <c r="BX367" s="141"/>
      <c r="BY367" s="276" t="s">
        <v>71</v>
      </c>
      <c r="BZ367" s="160"/>
      <c r="CA367" s="141"/>
      <c r="CB367" s="203" t="str">
        <f t="shared" si="569"/>
        <v/>
      </c>
      <c r="CC367" s="174" t="str">
        <f t="shared" si="549"/>
        <v>OK</v>
      </c>
      <c r="CD367" s="141"/>
      <c r="CE367" s="276" t="s">
        <v>71</v>
      </c>
      <c r="CF367" s="160"/>
      <c r="CG367" s="141"/>
      <c r="CH367" s="203" t="str">
        <f t="shared" si="570"/>
        <v/>
      </c>
      <c r="CI367" s="174" t="str">
        <f t="shared" si="550"/>
        <v>OK</v>
      </c>
      <c r="CJ367" s="141"/>
      <c r="CK367" s="276" t="s">
        <v>71</v>
      </c>
      <c r="CL367" s="160"/>
      <c r="CM367" s="141"/>
      <c r="CN367" s="203" t="str">
        <f t="shared" si="571"/>
        <v/>
      </c>
      <c r="CO367" s="174" t="str">
        <f t="shared" si="551"/>
        <v>OK</v>
      </c>
      <c r="CP367" s="141"/>
      <c r="CQ367" s="276" t="s">
        <v>71</v>
      </c>
      <c r="CR367" s="160"/>
      <c r="CS367" s="141"/>
      <c r="CT367" s="203" t="str">
        <f t="shared" si="572"/>
        <v/>
      </c>
      <c r="CU367" s="174" t="str">
        <f t="shared" si="552"/>
        <v>OK</v>
      </c>
      <c r="CV367" s="141"/>
      <c r="CW367" s="276" t="s">
        <v>71</v>
      </c>
      <c r="CX367" s="160"/>
      <c r="CY367" s="141"/>
      <c r="CZ367" s="203" t="str">
        <f t="shared" si="573"/>
        <v/>
      </c>
      <c r="DA367" s="174" t="str">
        <f t="shared" si="553"/>
        <v>OK</v>
      </c>
      <c r="DB367" s="141"/>
      <c r="DC367" s="276" t="s">
        <v>71</v>
      </c>
      <c r="DD367" s="160"/>
      <c r="DE367" s="141"/>
      <c r="DF367" s="203" t="str">
        <f t="shared" si="574"/>
        <v/>
      </c>
      <c r="DG367" s="174" t="str">
        <f t="shared" si="554"/>
        <v>OK</v>
      </c>
      <c r="DH367" s="141"/>
      <c r="DI367" s="276" t="s">
        <v>71</v>
      </c>
      <c r="DJ367" s="160"/>
      <c r="DK367" s="141"/>
      <c r="DL367" s="203" t="str">
        <f t="shared" si="575"/>
        <v/>
      </c>
      <c r="DM367" s="174" t="str">
        <f t="shared" si="555"/>
        <v>OK</v>
      </c>
      <c r="DN367" s="141"/>
      <c r="DO367" s="276" t="s">
        <v>71</v>
      </c>
      <c r="DP367" s="160"/>
      <c r="DQ367" s="141"/>
      <c r="DR367" s="203" t="str">
        <f t="shared" si="576"/>
        <v/>
      </c>
      <c r="DS367" s="174" t="str">
        <f t="shared" si="533"/>
        <v>OK</v>
      </c>
      <c r="DT367" s="141"/>
      <c r="DU367" s="276" t="s">
        <v>71</v>
      </c>
      <c r="DV367" s="160"/>
      <c r="DW367" s="141"/>
      <c r="DX367" s="203" t="str">
        <f t="shared" si="577"/>
        <v/>
      </c>
      <c r="DY367" s="174" t="str">
        <f t="shared" si="534"/>
        <v>OK</v>
      </c>
      <c r="DZ367" s="141"/>
      <c r="EA367" s="276" t="s">
        <v>71</v>
      </c>
      <c r="EB367" s="160"/>
      <c r="EC367" s="141"/>
      <c r="ED367" s="203" t="str">
        <f t="shared" si="578"/>
        <v/>
      </c>
      <c r="EE367" s="174" t="str">
        <f t="shared" si="535"/>
        <v>OK</v>
      </c>
      <c r="EF367" s="141"/>
      <c r="EG367" s="276" t="s">
        <v>71</v>
      </c>
      <c r="EH367" s="160"/>
      <c r="EI367" s="141"/>
      <c r="EJ367" s="203" t="str">
        <f t="shared" si="579"/>
        <v/>
      </c>
      <c r="EK367" s="174" t="str">
        <f t="shared" si="536"/>
        <v>OK</v>
      </c>
      <c r="EL367" s="141"/>
      <c r="EM367" s="276" t="s">
        <v>71</v>
      </c>
      <c r="EN367" s="160"/>
      <c r="EO367" s="141"/>
      <c r="EP367" s="203" t="str">
        <f t="shared" si="580"/>
        <v/>
      </c>
      <c r="EQ367" s="174" t="str">
        <f t="shared" si="537"/>
        <v>OK</v>
      </c>
      <c r="ER367" s="141"/>
      <c r="ES367" s="276" t="s">
        <v>71</v>
      </c>
      <c r="ET367" s="160"/>
      <c r="EU367" s="141"/>
      <c r="EV367" s="203" t="str">
        <f t="shared" si="581"/>
        <v/>
      </c>
      <c r="EW367" s="174" t="str">
        <f t="shared" si="538"/>
        <v>OK</v>
      </c>
      <c r="EX367" s="141"/>
      <c r="EY367" s="276" t="s">
        <v>71</v>
      </c>
      <c r="EZ367" s="160"/>
      <c r="FA367" s="141"/>
      <c r="FB367" s="203" t="str">
        <f t="shared" si="582"/>
        <v/>
      </c>
      <c r="FC367" s="174" t="str">
        <f t="shared" si="539"/>
        <v>OK</v>
      </c>
      <c r="FD367" s="141"/>
      <c r="FE367" s="276" t="s">
        <v>71</v>
      </c>
      <c r="FF367" s="160"/>
      <c r="FG367" s="141"/>
      <c r="FH367" s="203" t="str">
        <f t="shared" si="583"/>
        <v/>
      </c>
      <c r="FI367" s="174" t="str">
        <f t="shared" si="540"/>
        <v>OK</v>
      </c>
      <c r="FJ367" s="141"/>
      <c r="FK367" s="276" t="s">
        <v>71</v>
      </c>
      <c r="FL367" s="160"/>
      <c r="FM367" s="141"/>
      <c r="FN367" s="203" t="str">
        <f t="shared" si="584"/>
        <v/>
      </c>
      <c r="FO367" s="174" t="str">
        <f t="shared" si="556"/>
        <v>OK</v>
      </c>
      <c r="FP367" s="141"/>
      <c r="FQ367" s="276" t="s">
        <v>71</v>
      </c>
      <c r="FR367" s="160"/>
      <c r="FS367" s="141"/>
      <c r="FT367" s="203" t="str">
        <f t="shared" si="585"/>
        <v/>
      </c>
      <c r="FU367" s="174" t="str">
        <f t="shared" si="557"/>
        <v>OK</v>
      </c>
      <c r="FV367" s="141"/>
      <c r="FW367" s="276" t="s">
        <v>71</v>
      </c>
      <c r="FX367" s="160"/>
      <c r="FY367" s="141"/>
      <c r="FZ367" s="203" t="str">
        <f t="shared" si="586"/>
        <v/>
      </c>
      <c r="GA367" s="174" t="str">
        <f t="shared" si="558"/>
        <v>OK</v>
      </c>
      <c r="GB367" s="141"/>
      <c r="GC367" s="276" t="s">
        <v>71</v>
      </c>
    </row>
    <row r="368" spans="1:185" s="52" customFormat="1" ht="63.75">
      <c r="B368" s="48">
        <f t="shared" si="587"/>
        <v>361</v>
      </c>
      <c r="C368" s="187"/>
      <c r="D368" s="37"/>
      <c r="E368" s="37"/>
      <c r="F368" s="188" t="s">
        <v>318</v>
      </c>
      <c r="G368" s="39"/>
      <c r="H368" s="40"/>
      <c r="I368" s="57"/>
      <c r="J368" s="57"/>
      <c r="K368" s="57"/>
      <c r="L368" s="42"/>
      <c r="M368" s="58" t="s">
        <v>319</v>
      </c>
      <c r="N368" s="47"/>
      <c r="O368" s="143"/>
      <c r="P368" s="45">
        <f>P366+1</f>
        <v>333</v>
      </c>
      <c r="Q368" s="200">
        <v>2</v>
      </c>
      <c r="R368" s="41" t="str">
        <f t="shared" ref="R368:R374" si="590">IF(AA368="M","NX",AA368)</f>
        <v>X</v>
      </c>
      <c r="S368" s="185" t="s">
        <v>99</v>
      </c>
      <c r="T368" s="43"/>
      <c r="U368" s="41" t="s">
        <v>80</v>
      </c>
      <c r="V368" s="212" t="s">
        <v>188</v>
      </c>
      <c r="W368" s="22" t="str">
        <f>IF(C368&lt;&gt;"","0",IF(D368&lt;&gt;"","1",IF(E368&lt;&gt;"","2",IF(F368&lt;&gt;"","3",IF(G368&lt;&gt;"","4",IF(H368&lt;&gt;"","5"))))))</f>
        <v>3</v>
      </c>
      <c r="X368" s="62" t="s">
        <v>189</v>
      </c>
      <c r="Y368" s="201">
        <v>2</v>
      </c>
      <c r="Z368" s="201">
        <v>2</v>
      </c>
      <c r="AA368" s="202" t="s">
        <v>163</v>
      </c>
      <c r="AB368" s="202" t="s">
        <v>57</v>
      </c>
      <c r="AC368" s="166"/>
      <c r="AD368" s="160"/>
      <c r="AE368" s="162"/>
      <c r="AF368" s="167" t="str">
        <f t="shared" si="562"/>
        <v xml:space="preserve">  </v>
      </c>
      <c r="AG368" s="174" t="str">
        <f t="shared" si="542"/>
        <v>NG</v>
      </c>
      <c r="AH368" s="162"/>
      <c r="AI368" s="276" t="str">
        <f>IF(OR(AE$8="判定対象外",AH$8="判定対象外",AH368="-"),"-",IF(AE368=AH368,"OK","NG"))</f>
        <v>OK</v>
      </c>
      <c r="AJ368" s="160"/>
      <c r="AK368" s="162"/>
      <c r="AL368" s="167" t="str">
        <f t="shared" si="559"/>
        <v xml:space="preserve">  </v>
      </c>
      <c r="AM368" s="174" t="str">
        <f t="shared" si="588"/>
        <v>NG</v>
      </c>
      <c r="AN368" s="162"/>
      <c r="AO368" s="276" t="str">
        <f>IF(OR(AK$8="判定対象外",AN$8="判定対象外",AN368="-"),"-",IF(AK368=AN368,"OK","NG"))</f>
        <v>OK</v>
      </c>
      <c r="AP368" s="160"/>
      <c r="AQ368" s="162"/>
      <c r="AR368" s="167" t="str">
        <f t="shared" si="563"/>
        <v xml:space="preserve">  </v>
      </c>
      <c r="AS368" s="174" t="str">
        <f t="shared" si="543"/>
        <v>NG</v>
      </c>
      <c r="AT368" s="162"/>
      <c r="AU368" s="276" t="str">
        <f>IF(OR(AQ$8="判定対象外",AT$8="判定対象外",AT368="-"),"-",IF(AQ368=AT368,"OK","NG"))</f>
        <v>OK</v>
      </c>
      <c r="AV368" s="160"/>
      <c r="AW368" s="162"/>
      <c r="AX368" s="167" t="str">
        <f t="shared" si="564"/>
        <v xml:space="preserve">  </v>
      </c>
      <c r="AY368" s="174" t="str">
        <f t="shared" si="544"/>
        <v>NG</v>
      </c>
      <c r="AZ368" s="162"/>
      <c r="BA368" s="276" t="str">
        <f>IF(OR(AW$8="判定対象外",AZ$8="判定対象外",AZ368="-"),"-",IF(AW368=AZ368,"OK","NG"))</f>
        <v>OK</v>
      </c>
      <c r="BB368" s="160"/>
      <c r="BC368" s="162"/>
      <c r="BD368" s="167" t="str">
        <f t="shared" si="565"/>
        <v xml:space="preserve">  </v>
      </c>
      <c r="BE368" s="174" t="str">
        <f t="shared" si="545"/>
        <v>NG</v>
      </c>
      <c r="BF368" s="162"/>
      <c r="BG368" s="276" t="str">
        <f>IF(OR(BC$8="判定対象外",BF$8="判定対象外",BF368="-"),"-",IF(BC368=BF368,"OK","NG"))</f>
        <v>OK</v>
      </c>
      <c r="BH368" s="160"/>
      <c r="BI368" s="162"/>
      <c r="BJ368" s="167" t="str">
        <f t="shared" si="566"/>
        <v xml:space="preserve">  </v>
      </c>
      <c r="BK368" s="174" t="str">
        <f t="shared" si="546"/>
        <v>NG</v>
      </c>
      <c r="BL368" s="162"/>
      <c r="BM368" s="276" t="str">
        <f>IF(OR(BI$8="判定対象外",BL$8="判定対象外",BL368="-"),"-",IF(BI368=BL368,"OK","NG"))</f>
        <v>OK</v>
      </c>
      <c r="BN368" s="160"/>
      <c r="BO368" s="162"/>
      <c r="BP368" s="167" t="str">
        <f t="shared" si="567"/>
        <v xml:space="preserve">  </v>
      </c>
      <c r="BQ368" s="174" t="str">
        <f t="shared" si="547"/>
        <v>NG</v>
      </c>
      <c r="BR368" s="162"/>
      <c r="BS368" s="276" t="str">
        <f>IF(OR(BO$8="判定対象外",BR$8="判定対象外",BR368="-"),"-",IF(BO368=BR368,"OK","NG"))</f>
        <v>OK</v>
      </c>
      <c r="BT368" s="160"/>
      <c r="BU368" s="162"/>
      <c r="BV368" s="167" t="str">
        <f t="shared" si="568"/>
        <v xml:space="preserve">  </v>
      </c>
      <c r="BW368" s="174" t="str">
        <f t="shared" si="548"/>
        <v>NG</v>
      </c>
      <c r="BX368" s="162"/>
      <c r="BY368" s="276" t="str">
        <f>IF(OR(BU$8="判定対象外",BX$8="判定対象外",BX368="-"),"-",IF(BU368=BX368,"OK","NG"))</f>
        <v>OK</v>
      </c>
      <c r="BZ368" s="160"/>
      <c r="CA368" s="162"/>
      <c r="CB368" s="167" t="str">
        <f t="shared" si="569"/>
        <v xml:space="preserve">  </v>
      </c>
      <c r="CC368" s="174" t="str">
        <f t="shared" si="549"/>
        <v>NG</v>
      </c>
      <c r="CD368" s="162"/>
      <c r="CE368" s="276" t="str">
        <f>IF(OR(CA$8="判定対象外",CD$8="判定対象外",CD368="-"),"-",IF(CA368=CD368,"OK","NG"))</f>
        <v>OK</v>
      </c>
      <c r="CF368" s="160"/>
      <c r="CG368" s="162"/>
      <c r="CH368" s="167" t="str">
        <f t="shared" si="570"/>
        <v xml:space="preserve">  </v>
      </c>
      <c r="CI368" s="174" t="str">
        <f t="shared" si="550"/>
        <v>NG</v>
      </c>
      <c r="CJ368" s="162"/>
      <c r="CK368" s="276" t="str">
        <f>IF(OR(CG$8="判定対象外",CJ$8="判定対象外",CJ368="-"),"-",IF(CG368=CJ368,"OK","NG"))</f>
        <v>OK</v>
      </c>
      <c r="CL368" s="160"/>
      <c r="CM368" s="162"/>
      <c r="CN368" s="167" t="str">
        <f t="shared" si="571"/>
        <v xml:space="preserve">  </v>
      </c>
      <c r="CO368" s="174" t="str">
        <f t="shared" si="551"/>
        <v>NG</v>
      </c>
      <c r="CP368" s="162"/>
      <c r="CQ368" s="276" t="str">
        <f>IF(OR(CM$8="判定対象外",CP$8="判定対象外",CP368="-"),"-",IF(CM368=CP368,"OK","NG"))</f>
        <v>OK</v>
      </c>
      <c r="CR368" s="160"/>
      <c r="CS368" s="162"/>
      <c r="CT368" s="167" t="str">
        <f t="shared" si="572"/>
        <v xml:space="preserve">  </v>
      </c>
      <c r="CU368" s="174" t="str">
        <f t="shared" si="552"/>
        <v>NG</v>
      </c>
      <c r="CV368" s="162"/>
      <c r="CW368" s="276" t="str">
        <f>IF(OR(CS$8="判定対象外",CV$8="判定対象外",CV368="-"),"-",IF(CS368=CV368,"OK","NG"))</f>
        <v>OK</v>
      </c>
      <c r="CX368" s="160"/>
      <c r="CY368" s="162"/>
      <c r="CZ368" s="167" t="str">
        <f t="shared" si="573"/>
        <v xml:space="preserve">  </v>
      </c>
      <c r="DA368" s="174" t="str">
        <f t="shared" si="553"/>
        <v>NG</v>
      </c>
      <c r="DB368" s="162"/>
      <c r="DC368" s="276" t="str">
        <f>IF(OR(CY$8="判定対象外",DB$8="判定対象外",DB368="-"),"-",IF(CY368=DB368,"OK","NG"))</f>
        <v>OK</v>
      </c>
      <c r="DD368" s="160"/>
      <c r="DE368" s="162"/>
      <c r="DF368" s="167" t="str">
        <f t="shared" si="574"/>
        <v xml:space="preserve">  </v>
      </c>
      <c r="DG368" s="174" t="str">
        <f t="shared" si="554"/>
        <v>NG</v>
      </c>
      <c r="DH368" s="162"/>
      <c r="DI368" s="276" t="str">
        <f>IF(OR(DE$8="判定対象外",DH$8="判定対象外",DH368="-"),"-",IF(DE368=DH368,"OK","NG"))</f>
        <v>OK</v>
      </c>
      <c r="DJ368" s="160"/>
      <c r="DK368" s="162"/>
      <c r="DL368" s="167" t="str">
        <f t="shared" si="575"/>
        <v xml:space="preserve">  </v>
      </c>
      <c r="DM368" s="174" t="str">
        <f t="shared" si="555"/>
        <v>NG</v>
      </c>
      <c r="DN368" s="162"/>
      <c r="DO368" s="276" t="str">
        <f>IF(OR(DK$8="判定対象外",DN$8="判定対象外",DN368="-"),"-",IF(DK368=DN368,"OK","NG"))</f>
        <v>OK</v>
      </c>
      <c r="DP368" s="160"/>
      <c r="DQ368" s="162"/>
      <c r="DR368" s="167" t="str">
        <f t="shared" si="576"/>
        <v xml:space="preserve">  </v>
      </c>
      <c r="DS368" s="174" t="str">
        <f t="shared" si="533"/>
        <v>NG</v>
      </c>
      <c r="DT368" s="162"/>
      <c r="DU368" s="276" t="str">
        <f>IF(OR(DQ$8="判定対象外",DT$8="判定対象外",DT368="-"),"-",IF(DQ368=DT368,"OK","NG"))</f>
        <v>OK</v>
      </c>
      <c r="DV368" s="160"/>
      <c r="DW368" s="162"/>
      <c r="DX368" s="167" t="str">
        <f t="shared" si="577"/>
        <v xml:space="preserve">  </v>
      </c>
      <c r="DY368" s="174" t="str">
        <f t="shared" si="534"/>
        <v>NG</v>
      </c>
      <c r="DZ368" s="162"/>
      <c r="EA368" s="276" t="str">
        <f>IF(OR(DW$8="判定対象外",DZ$8="判定対象外",DZ368="-"),"-",IF(DW368=DZ368,"OK","NG"))</f>
        <v>OK</v>
      </c>
      <c r="EB368" s="160"/>
      <c r="EC368" s="162"/>
      <c r="ED368" s="167" t="str">
        <f t="shared" si="578"/>
        <v xml:space="preserve">  </v>
      </c>
      <c r="EE368" s="174" t="str">
        <f t="shared" si="535"/>
        <v>NG</v>
      </c>
      <c r="EF368" s="162"/>
      <c r="EG368" s="276" t="str">
        <f>IF(OR(EC$8="判定対象外",EF$8="判定対象外",EF368="-"),"-",IF(EC368=EF368,"OK","NG"))</f>
        <v>OK</v>
      </c>
      <c r="EH368" s="160"/>
      <c r="EI368" s="162"/>
      <c r="EJ368" s="167" t="str">
        <f t="shared" si="579"/>
        <v xml:space="preserve">  </v>
      </c>
      <c r="EK368" s="174" t="str">
        <f t="shared" si="536"/>
        <v>NG</v>
      </c>
      <c r="EL368" s="162"/>
      <c r="EM368" s="276" t="str">
        <f>IF(OR(EI$8="判定対象外",EL$8="判定対象外",EL368="-"),"-",IF(EI368=EL368,"OK","NG"))</f>
        <v>OK</v>
      </c>
      <c r="EN368" s="160"/>
      <c r="EO368" s="162"/>
      <c r="EP368" s="167" t="str">
        <f t="shared" si="580"/>
        <v xml:space="preserve">  </v>
      </c>
      <c r="EQ368" s="174" t="str">
        <f t="shared" si="537"/>
        <v>NG</v>
      </c>
      <c r="ER368" s="162"/>
      <c r="ES368" s="276" t="str">
        <f>IF(OR(EO$8="判定対象外",ER$8="判定対象外",ER368="-"),"-",IF(EO368=ER368,"OK","NG"))</f>
        <v>OK</v>
      </c>
      <c r="ET368" s="160"/>
      <c r="EU368" s="162"/>
      <c r="EV368" s="167" t="str">
        <f t="shared" si="581"/>
        <v xml:space="preserve">  </v>
      </c>
      <c r="EW368" s="174" t="str">
        <f t="shared" si="538"/>
        <v>NG</v>
      </c>
      <c r="EX368" s="162"/>
      <c r="EY368" s="276" t="str">
        <f>IF(OR(EU$8="判定対象外",EX$8="判定対象外",EX368="-"),"-",IF(EU368=EX368,"OK","NG"))</f>
        <v>OK</v>
      </c>
      <c r="EZ368" s="160"/>
      <c r="FA368" s="162"/>
      <c r="FB368" s="167" t="str">
        <f t="shared" si="582"/>
        <v xml:space="preserve">  </v>
      </c>
      <c r="FC368" s="174" t="str">
        <f t="shared" si="539"/>
        <v>NG</v>
      </c>
      <c r="FD368" s="162"/>
      <c r="FE368" s="276" t="str">
        <f>IF(OR(FA$8="判定対象外",FD$8="判定対象外",FD368="-"),"-",IF(FA368=FD368,"OK","NG"))</f>
        <v>OK</v>
      </c>
      <c r="FF368" s="160"/>
      <c r="FG368" s="162"/>
      <c r="FH368" s="167" t="str">
        <f t="shared" si="583"/>
        <v xml:space="preserve">  </v>
      </c>
      <c r="FI368" s="174" t="str">
        <f t="shared" si="540"/>
        <v>NG</v>
      </c>
      <c r="FJ368" s="162"/>
      <c r="FK368" s="276" t="str">
        <f>IF(OR(FG$8="判定対象外",FJ$8="判定対象外",FJ368="-"),"-",IF(FG368=FJ368,"OK","NG"))</f>
        <v>OK</v>
      </c>
      <c r="FL368" s="160"/>
      <c r="FM368" s="162"/>
      <c r="FN368" s="167" t="str">
        <f t="shared" si="584"/>
        <v xml:space="preserve">  </v>
      </c>
      <c r="FO368" s="174" t="str">
        <f t="shared" si="556"/>
        <v>NG</v>
      </c>
      <c r="FP368" s="162"/>
      <c r="FQ368" s="276" t="str">
        <f>IF(OR(FM$8="判定対象外",FP$8="判定対象外",FP368="-"),"-",IF(FM368=FP368,"OK","NG"))</f>
        <v>OK</v>
      </c>
      <c r="FR368" s="160"/>
      <c r="FS368" s="162"/>
      <c r="FT368" s="167" t="str">
        <f t="shared" si="585"/>
        <v xml:space="preserve">  </v>
      </c>
      <c r="FU368" s="174" t="str">
        <f t="shared" si="557"/>
        <v>NG</v>
      </c>
      <c r="FV368" s="162"/>
      <c r="FW368" s="276" t="str">
        <f>IF(OR(FS$8="判定対象外",FV$8="判定対象外",FV368="-"),"-",IF(FS368=FV368,"OK","NG"))</f>
        <v>OK</v>
      </c>
      <c r="FX368" s="160"/>
      <c r="FY368" s="162"/>
      <c r="FZ368" s="167" t="str">
        <f t="shared" si="586"/>
        <v xml:space="preserve">  </v>
      </c>
      <c r="GA368" s="174" t="str">
        <f t="shared" si="558"/>
        <v>NG</v>
      </c>
      <c r="GB368" s="162"/>
      <c r="GC368" s="276" t="str">
        <f>IF(OR(FY$8="判定対象外",GB$8="判定対象外",GB368="-"),"-",IF(FY368=GB368,"OK","NG"))</f>
        <v>OK</v>
      </c>
    </row>
    <row r="369" spans="2:185" s="52" customFormat="1" ht="344.25">
      <c r="B369" s="48">
        <f t="shared" si="587"/>
        <v>362</v>
      </c>
      <c r="C369" s="37"/>
      <c r="D369" s="37"/>
      <c r="E369" s="37"/>
      <c r="F369" s="188" t="s">
        <v>320</v>
      </c>
      <c r="G369" s="39"/>
      <c r="H369" s="40"/>
      <c r="I369" s="42"/>
      <c r="J369" s="42" t="s">
        <v>316</v>
      </c>
      <c r="K369" s="42"/>
      <c r="L369" s="42"/>
      <c r="M369" s="189" t="s">
        <v>321</v>
      </c>
      <c r="N369" s="63"/>
      <c r="O369" s="143"/>
      <c r="P369" s="45">
        <f>P368+1</f>
        <v>334</v>
      </c>
      <c r="Q369" s="46">
        <v>2</v>
      </c>
      <c r="R369" s="41" t="str">
        <f t="shared" si="590"/>
        <v>X</v>
      </c>
      <c r="S369" s="185" t="s">
        <v>100</v>
      </c>
      <c r="T369" s="43"/>
      <c r="U369" s="41" t="s">
        <v>80</v>
      </c>
      <c r="V369" s="44"/>
      <c r="W369" s="22">
        <v>3</v>
      </c>
      <c r="X369" s="47" t="s">
        <v>162</v>
      </c>
      <c r="Y369" s="47">
        <v>2</v>
      </c>
      <c r="Z369" s="47">
        <v>2</v>
      </c>
      <c r="AA369" s="42" t="s">
        <v>163</v>
      </c>
      <c r="AB369" s="42" t="s">
        <v>57</v>
      </c>
      <c r="AC369" s="166"/>
      <c r="AD369" s="160"/>
      <c r="AE369" s="162"/>
      <c r="AF369" s="167" t="str">
        <f t="shared" si="562"/>
        <v xml:space="preserve">  </v>
      </c>
      <c r="AG369" s="174" t="str">
        <f t="shared" si="542"/>
        <v>NG</v>
      </c>
      <c r="AH369" s="162"/>
      <c r="AI369" s="276" t="str">
        <f>IF(OR(AE$8="判定対象外",AH$8="判定対象外",AH369="-"),"-",IF(AE369=AH369,"OK","NG"))</f>
        <v>OK</v>
      </c>
      <c r="AJ369" s="160"/>
      <c r="AK369" s="162"/>
      <c r="AL369" s="167" t="str">
        <f t="shared" si="559"/>
        <v xml:space="preserve">  </v>
      </c>
      <c r="AM369" s="174" t="str">
        <f t="shared" si="588"/>
        <v>NG</v>
      </c>
      <c r="AN369" s="162"/>
      <c r="AO369" s="276" t="str">
        <f>IF(OR(AK$8="判定対象外",AN$8="判定対象外",AN369="-"),"-",IF(AK369=AN369,"OK","NG"))</f>
        <v>OK</v>
      </c>
      <c r="AP369" s="160"/>
      <c r="AQ369" s="162"/>
      <c r="AR369" s="167" t="str">
        <f t="shared" si="563"/>
        <v xml:space="preserve">  </v>
      </c>
      <c r="AS369" s="174" t="str">
        <f t="shared" si="543"/>
        <v>NG</v>
      </c>
      <c r="AT369" s="162"/>
      <c r="AU369" s="276" t="str">
        <f>IF(OR(AQ$8="判定対象外",AT$8="判定対象外",AT369="-"),"-",IF(AQ369=AT369,"OK","NG"))</f>
        <v>OK</v>
      </c>
      <c r="AV369" s="160"/>
      <c r="AW369" s="162"/>
      <c r="AX369" s="167" t="str">
        <f t="shared" si="564"/>
        <v xml:space="preserve">  </v>
      </c>
      <c r="AY369" s="174" t="str">
        <f t="shared" si="544"/>
        <v>NG</v>
      </c>
      <c r="AZ369" s="162"/>
      <c r="BA369" s="276" t="str">
        <f>IF(OR(AW$8="判定対象外",AZ$8="判定対象外",AZ369="-"),"-",IF(AW369=AZ369,"OK","NG"))</f>
        <v>OK</v>
      </c>
      <c r="BB369" s="160"/>
      <c r="BC369" s="162"/>
      <c r="BD369" s="167" t="str">
        <f t="shared" si="565"/>
        <v xml:space="preserve">  </v>
      </c>
      <c r="BE369" s="174" t="str">
        <f t="shared" si="545"/>
        <v>NG</v>
      </c>
      <c r="BF369" s="162"/>
      <c r="BG369" s="276" t="str">
        <f>IF(OR(BC$8="判定対象外",BF$8="判定対象外",BF369="-"),"-",IF(BC369=BF369,"OK","NG"))</f>
        <v>OK</v>
      </c>
      <c r="BH369" s="160"/>
      <c r="BI369" s="162"/>
      <c r="BJ369" s="167" t="str">
        <f t="shared" si="566"/>
        <v xml:space="preserve">  </v>
      </c>
      <c r="BK369" s="174" t="str">
        <f t="shared" si="546"/>
        <v>NG</v>
      </c>
      <c r="BL369" s="162"/>
      <c r="BM369" s="276" t="str">
        <f>IF(OR(BI$8="判定対象外",BL$8="判定対象外",BL369="-"),"-",IF(BI369=BL369,"OK","NG"))</f>
        <v>OK</v>
      </c>
      <c r="BN369" s="160"/>
      <c r="BO369" s="162"/>
      <c r="BP369" s="167" t="str">
        <f t="shared" si="567"/>
        <v xml:space="preserve">  </v>
      </c>
      <c r="BQ369" s="174" t="str">
        <f t="shared" si="547"/>
        <v>NG</v>
      </c>
      <c r="BR369" s="162"/>
      <c r="BS369" s="276" t="str">
        <f>IF(OR(BO$8="判定対象外",BR$8="判定対象外",BR369="-"),"-",IF(BO369=BR369,"OK","NG"))</f>
        <v>OK</v>
      </c>
      <c r="BT369" s="160"/>
      <c r="BU369" s="162"/>
      <c r="BV369" s="167" t="str">
        <f t="shared" si="568"/>
        <v xml:space="preserve">  </v>
      </c>
      <c r="BW369" s="174" t="str">
        <f t="shared" si="548"/>
        <v>NG</v>
      </c>
      <c r="BX369" s="162"/>
      <c r="BY369" s="276" t="str">
        <f>IF(OR(BU$8="判定対象外",BX$8="判定対象外",BX369="-"),"-",IF(BU369=BX369,"OK","NG"))</f>
        <v>OK</v>
      </c>
      <c r="BZ369" s="160"/>
      <c r="CA369" s="162"/>
      <c r="CB369" s="167" t="str">
        <f t="shared" si="569"/>
        <v xml:space="preserve">  </v>
      </c>
      <c r="CC369" s="174" t="str">
        <f t="shared" si="549"/>
        <v>NG</v>
      </c>
      <c r="CD369" s="162"/>
      <c r="CE369" s="276" t="str">
        <f>IF(OR(CA$8="判定対象外",CD$8="判定対象外",CD369="-"),"-",IF(CA369=CD369,"OK","NG"))</f>
        <v>OK</v>
      </c>
      <c r="CF369" s="160"/>
      <c r="CG369" s="162"/>
      <c r="CH369" s="167" t="str">
        <f t="shared" si="570"/>
        <v xml:space="preserve">  </v>
      </c>
      <c r="CI369" s="174" t="str">
        <f t="shared" si="550"/>
        <v>NG</v>
      </c>
      <c r="CJ369" s="162"/>
      <c r="CK369" s="276" t="str">
        <f>IF(OR(CG$8="判定対象外",CJ$8="判定対象外",CJ369="-"),"-",IF(CG369=CJ369,"OK","NG"))</f>
        <v>OK</v>
      </c>
      <c r="CL369" s="160"/>
      <c r="CM369" s="162"/>
      <c r="CN369" s="167" t="str">
        <f t="shared" si="571"/>
        <v xml:space="preserve">  </v>
      </c>
      <c r="CO369" s="174" t="str">
        <f t="shared" si="551"/>
        <v>NG</v>
      </c>
      <c r="CP369" s="162"/>
      <c r="CQ369" s="276" t="str">
        <f>IF(OR(CM$8="判定対象外",CP$8="判定対象外",CP369="-"),"-",IF(CM369=CP369,"OK","NG"))</f>
        <v>OK</v>
      </c>
      <c r="CR369" s="160"/>
      <c r="CS369" s="162"/>
      <c r="CT369" s="167" t="str">
        <f t="shared" si="572"/>
        <v xml:space="preserve">  </v>
      </c>
      <c r="CU369" s="174" t="str">
        <f t="shared" si="552"/>
        <v>NG</v>
      </c>
      <c r="CV369" s="162"/>
      <c r="CW369" s="276" t="str">
        <f>IF(OR(CS$8="判定対象外",CV$8="判定対象外",CV369="-"),"-",IF(CS369=CV369,"OK","NG"))</f>
        <v>OK</v>
      </c>
      <c r="CX369" s="160"/>
      <c r="CY369" s="162"/>
      <c r="CZ369" s="167" t="str">
        <f t="shared" si="573"/>
        <v xml:space="preserve">  </v>
      </c>
      <c r="DA369" s="174" t="str">
        <f t="shared" si="553"/>
        <v>NG</v>
      </c>
      <c r="DB369" s="162"/>
      <c r="DC369" s="276" t="str">
        <f>IF(OR(CY$8="判定対象外",DB$8="判定対象外",DB369="-"),"-",IF(CY369=DB369,"OK","NG"))</f>
        <v>OK</v>
      </c>
      <c r="DD369" s="160"/>
      <c r="DE369" s="162"/>
      <c r="DF369" s="167" t="str">
        <f t="shared" si="574"/>
        <v xml:space="preserve">  </v>
      </c>
      <c r="DG369" s="174" t="str">
        <f t="shared" si="554"/>
        <v>NG</v>
      </c>
      <c r="DH369" s="162"/>
      <c r="DI369" s="276" t="str">
        <f>IF(OR(DE$8="判定対象外",DH$8="判定対象外",DH369="-"),"-",IF(DE369=DH369,"OK","NG"))</f>
        <v>OK</v>
      </c>
      <c r="DJ369" s="160"/>
      <c r="DK369" s="162"/>
      <c r="DL369" s="167" t="str">
        <f t="shared" si="575"/>
        <v xml:space="preserve">  </v>
      </c>
      <c r="DM369" s="174" t="str">
        <f t="shared" si="555"/>
        <v>NG</v>
      </c>
      <c r="DN369" s="162"/>
      <c r="DO369" s="276" t="str">
        <f>IF(OR(DK$8="判定対象外",DN$8="判定対象外",DN369="-"),"-",IF(DK369=DN369,"OK","NG"))</f>
        <v>OK</v>
      </c>
      <c r="DP369" s="160"/>
      <c r="DQ369" s="162"/>
      <c r="DR369" s="167" t="str">
        <f t="shared" si="576"/>
        <v xml:space="preserve">  </v>
      </c>
      <c r="DS369" s="174" t="str">
        <f t="shared" si="533"/>
        <v>NG</v>
      </c>
      <c r="DT369" s="162"/>
      <c r="DU369" s="276" t="str">
        <f>IF(OR(DQ$8="判定対象外",DT$8="判定対象外",DT369="-"),"-",IF(DQ369=DT369,"OK","NG"))</f>
        <v>OK</v>
      </c>
      <c r="DV369" s="160"/>
      <c r="DW369" s="162"/>
      <c r="DX369" s="167" t="str">
        <f t="shared" si="577"/>
        <v xml:space="preserve">  </v>
      </c>
      <c r="DY369" s="174" t="str">
        <f t="shared" si="534"/>
        <v>NG</v>
      </c>
      <c r="DZ369" s="162"/>
      <c r="EA369" s="276" t="str">
        <f>IF(OR(DW$8="判定対象外",DZ$8="判定対象外",DZ369="-"),"-",IF(DW369=DZ369,"OK","NG"))</f>
        <v>OK</v>
      </c>
      <c r="EB369" s="160"/>
      <c r="EC369" s="162"/>
      <c r="ED369" s="167" t="str">
        <f t="shared" si="578"/>
        <v xml:space="preserve">  </v>
      </c>
      <c r="EE369" s="174" t="str">
        <f t="shared" si="535"/>
        <v>NG</v>
      </c>
      <c r="EF369" s="162"/>
      <c r="EG369" s="276" t="str">
        <f>IF(OR(EC$8="判定対象外",EF$8="判定対象外",EF369="-"),"-",IF(EC369=EF369,"OK","NG"))</f>
        <v>OK</v>
      </c>
      <c r="EH369" s="160"/>
      <c r="EI369" s="162"/>
      <c r="EJ369" s="167" t="str">
        <f t="shared" si="579"/>
        <v xml:space="preserve">  </v>
      </c>
      <c r="EK369" s="174" t="str">
        <f t="shared" si="536"/>
        <v>NG</v>
      </c>
      <c r="EL369" s="162"/>
      <c r="EM369" s="276" t="str">
        <f>IF(OR(EI$8="判定対象外",EL$8="判定対象外",EL369="-"),"-",IF(EI369=EL369,"OK","NG"))</f>
        <v>OK</v>
      </c>
      <c r="EN369" s="160"/>
      <c r="EO369" s="162"/>
      <c r="EP369" s="167" t="str">
        <f t="shared" si="580"/>
        <v xml:space="preserve">  </v>
      </c>
      <c r="EQ369" s="174" t="str">
        <f t="shared" si="537"/>
        <v>NG</v>
      </c>
      <c r="ER369" s="162"/>
      <c r="ES369" s="276" t="str">
        <f>IF(OR(EO$8="判定対象外",ER$8="判定対象外",ER369="-"),"-",IF(EO369=ER369,"OK","NG"))</f>
        <v>OK</v>
      </c>
      <c r="ET369" s="160"/>
      <c r="EU369" s="162"/>
      <c r="EV369" s="167" t="str">
        <f t="shared" si="581"/>
        <v xml:space="preserve">  </v>
      </c>
      <c r="EW369" s="174" t="str">
        <f t="shared" si="538"/>
        <v>NG</v>
      </c>
      <c r="EX369" s="162"/>
      <c r="EY369" s="276" t="str">
        <f>IF(OR(EU$8="判定対象外",EX$8="判定対象外",EX369="-"),"-",IF(EU369=EX369,"OK","NG"))</f>
        <v>OK</v>
      </c>
      <c r="EZ369" s="160"/>
      <c r="FA369" s="162"/>
      <c r="FB369" s="167" t="str">
        <f t="shared" si="582"/>
        <v xml:space="preserve">  </v>
      </c>
      <c r="FC369" s="174" t="str">
        <f t="shared" si="539"/>
        <v>NG</v>
      </c>
      <c r="FD369" s="162"/>
      <c r="FE369" s="276" t="str">
        <f>IF(OR(FA$8="判定対象外",FD$8="判定対象外",FD369="-"),"-",IF(FA369=FD369,"OK","NG"))</f>
        <v>OK</v>
      </c>
      <c r="FF369" s="160"/>
      <c r="FG369" s="162"/>
      <c r="FH369" s="167" t="str">
        <f t="shared" si="583"/>
        <v xml:space="preserve">  </v>
      </c>
      <c r="FI369" s="174" t="str">
        <f t="shared" si="540"/>
        <v>NG</v>
      </c>
      <c r="FJ369" s="162"/>
      <c r="FK369" s="276" t="str">
        <f>IF(OR(FG$8="判定対象外",FJ$8="判定対象外",FJ369="-"),"-",IF(FG369=FJ369,"OK","NG"))</f>
        <v>OK</v>
      </c>
      <c r="FL369" s="160"/>
      <c r="FM369" s="162"/>
      <c r="FN369" s="167" t="str">
        <f t="shared" si="584"/>
        <v xml:space="preserve">  </v>
      </c>
      <c r="FO369" s="174" t="str">
        <f t="shared" si="556"/>
        <v>NG</v>
      </c>
      <c r="FP369" s="162"/>
      <c r="FQ369" s="276" t="str">
        <f>IF(OR(FM$8="判定対象外",FP$8="判定対象外",FP369="-"),"-",IF(FM369=FP369,"OK","NG"))</f>
        <v>OK</v>
      </c>
      <c r="FR369" s="160"/>
      <c r="FS369" s="162"/>
      <c r="FT369" s="167" t="str">
        <f t="shared" si="585"/>
        <v xml:space="preserve">  </v>
      </c>
      <c r="FU369" s="174" t="str">
        <f t="shared" si="557"/>
        <v>NG</v>
      </c>
      <c r="FV369" s="162"/>
      <c r="FW369" s="276" t="str">
        <f>IF(OR(FS$8="判定対象外",FV$8="判定対象外",FV369="-"),"-",IF(FS369=FV369,"OK","NG"))</f>
        <v>OK</v>
      </c>
      <c r="FX369" s="160"/>
      <c r="FY369" s="162"/>
      <c r="FZ369" s="167" t="str">
        <f t="shared" si="586"/>
        <v xml:space="preserve">  </v>
      </c>
      <c r="GA369" s="174" t="str">
        <f t="shared" si="558"/>
        <v>NG</v>
      </c>
      <c r="GB369" s="162"/>
      <c r="GC369" s="276" t="str">
        <f>IF(OR(FY$8="判定対象外",GB$8="判定対象外",GB369="-"),"-",IF(FY369=GB369,"OK","NG"))</f>
        <v>OK</v>
      </c>
    </row>
    <row r="370" spans="2:185" s="52" customFormat="1">
      <c r="B370" s="48">
        <f t="shared" si="587"/>
        <v>363</v>
      </c>
      <c r="C370" s="37"/>
      <c r="D370" s="37"/>
      <c r="E370" s="37"/>
      <c r="F370" s="49" t="s">
        <v>322</v>
      </c>
      <c r="G370" s="39"/>
      <c r="H370" s="40"/>
      <c r="I370" s="42"/>
      <c r="J370" s="42"/>
      <c r="K370" s="42"/>
      <c r="L370" s="42"/>
      <c r="M370" s="213" t="s">
        <v>323</v>
      </c>
      <c r="N370" s="63"/>
      <c r="O370" s="143"/>
      <c r="P370" s="45">
        <f t="shared" ref="P370:P396" si="591">P369+1</f>
        <v>335</v>
      </c>
      <c r="Q370" s="46">
        <v>2</v>
      </c>
      <c r="R370" s="41" t="str">
        <f t="shared" si="590"/>
        <v>X</v>
      </c>
      <c r="S370" s="185" t="s">
        <v>190</v>
      </c>
      <c r="T370" s="43"/>
      <c r="U370" s="41" t="s">
        <v>80</v>
      </c>
      <c r="V370" s="44"/>
      <c r="W370" s="22">
        <v>3</v>
      </c>
      <c r="X370" s="47" t="s">
        <v>191</v>
      </c>
      <c r="Y370" s="47">
        <v>2</v>
      </c>
      <c r="Z370" s="47">
        <v>2</v>
      </c>
      <c r="AA370" s="42" t="s">
        <v>163</v>
      </c>
      <c r="AB370" s="42" t="s">
        <v>57</v>
      </c>
      <c r="AC370" s="166"/>
      <c r="AD370" s="160"/>
      <c r="AE370" s="141"/>
      <c r="AF370" s="203" t="str">
        <f t="shared" si="562"/>
        <v xml:space="preserve">  </v>
      </c>
      <c r="AG370" s="174" t="str">
        <f t="shared" si="542"/>
        <v>NG</v>
      </c>
      <c r="AH370" s="141"/>
      <c r="AI370" s="172" t="s">
        <v>71</v>
      </c>
      <c r="AJ370" s="160"/>
      <c r="AK370" s="141"/>
      <c r="AL370" s="203" t="str">
        <f t="shared" si="559"/>
        <v xml:space="preserve">  </v>
      </c>
      <c r="AM370" s="174" t="str">
        <f t="shared" si="588"/>
        <v>NG</v>
      </c>
      <c r="AN370" s="141"/>
      <c r="AO370" s="172" t="s">
        <v>71</v>
      </c>
      <c r="AP370" s="160"/>
      <c r="AQ370" s="141"/>
      <c r="AR370" s="203" t="str">
        <f t="shared" si="563"/>
        <v xml:space="preserve">  </v>
      </c>
      <c r="AS370" s="174" t="str">
        <f t="shared" si="543"/>
        <v>NG</v>
      </c>
      <c r="AT370" s="141"/>
      <c r="AU370" s="172" t="s">
        <v>71</v>
      </c>
      <c r="AV370" s="160"/>
      <c r="AW370" s="141"/>
      <c r="AX370" s="203" t="str">
        <f t="shared" si="564"/>
        <v xml:space="preserve">  </v>
      </c>
      <c r="AY370" s="174" t="str">
        <f t="shared" si="544"/>
        <v>NG</v>
      </c>
      <c r="AZ370" s="141"/>
      <c r="BA370" s="172" t="s">
        <v>71</v>
      </c>
      <c r="BB370" s="160"/>
      <c r="BC370" s="141"/>
      <c r="BD370" s="203" t="str">
        <f t="shared" si="565"/>
        <v xml:space="preserve">  </v>
      </c>
      <c r="BE370" s="174" t="str">
        <f t="shared" si="545"/>
        <v>NG</v>
      </c>
      <c r="BF370" s="141"/>
      <c r="BG370" s="172" t="s">
        <v>71</v>
      </c>
      <c r="BH370" s="160"/>
      <c r="BI370" s="141"/>
      <c r="BJ370" s="203" t="str">
        <f t="shared" si="566"/>
        <v xml:space="preserve">  </v>
      </c>
      <c r="BK370" s="174" t="str">
        <f t="shared" si="546"/>
        <v>NG</v>
      </c>
      <c r="BL370" s="141"/>
      <c r="BM370" s="172" t="s">
        <v>71</v>
      </c>
      <c r="BN370" s="160"/>
      <c r="BO370" s="141"/>
      <c r="BP370" s="203" t="str">
        <f t="shared" si="567"/>
        <v xml:space="preserve">  </v>
      </c>
      <c r="BQ370" s="174" t="str">
        <f t="shared" si="547"/>
        <v>NG</v>
      </c>
      <c r="BR370" s="141"/>
      <c r="BS370" s="172" t="s">
        <v>71</v>
      </c>
      <c r="BT370" s="160"/>
      <c r="BU370" s="141"/>
      <c r="BV370" s="203" t="str">
        <f t="shared" si="568"/>
        <v xml:space="preserve">  </v>
      </c>
      <c r="BW370" s="174" t="str">
        <f t="shared" si="548"/>
        <v>NG</v>
      </c>
      <c r="BX370" s="141"/>
      <c r="BY370" s="172" t="s">
        <v>71</v>
      </c>
      <c r="BZ370" s="160"/>
      <c r="CA370" s="141"/>
      <c r="CB370" s="203" t="str">
        <f t="shared" si="569"/>
        <v xml:space="preserve">  </v>
      </c>
      <c r="CC370" s="174" t="str">
        <f t="shared" si="549"/>
        <v>NG</v>
      </c>
      <c r="CD370" s="141"/>
      <c r="CE370" s="172" t="s">
        <v>71</v>
      </c>
      <c r="CF370" s="160"/>
      <c r="CG370" s="141"/>
      <c r="CH370" s="203" t="str">
        <f t="shared" si="570"/>
        <v xml:space="preserve">  </v>
      </c>
      <c r="CI370" s="174" t="str">
        <f t="shared" si="550"/>
        <v>NG</v>
      </c>
      <c r="CJ370" s="141"/>
      <c r="CK370" s="172" t="s">
        <v>71</v>
      </c>
      <c r="CL370" s="160"/>
      <c r="CM370" s="141"/>
      <c r="CN370" s="203" t="str">
        <f t="shared" si="571"/>
        <v xml:space="preserve">  </v>
      </c>
      <c r="CO370" s="174" t="str">
        <f t="shared" si="551"/>
        <v>NG</v>
      </c>
      <c r="CP370" s="141"/>
      <c r="CQ370" s="172" t="s">
        <v>71</v>
      </c>
      <c r="CR370" s="160"/>
      <c r="CS370" s="141"/>
      <c r="CT370" s="203" t="str">
        <f t="shared" si="572"/>
        <v xml:space="preserve">  </v>
      </c>
      <c r="CU370" s="174" t="str">
        <f t="shared" si="552"/>
        <v>NG</v>
      </c>
      <c r="CV370" s="141"/>
      <c r="CW370" s="172" t="s">
        <v>71</v>
      </c>
      <c r="CX370" s="160"/>
      <c r="CY370" s="141"/>
      <c r="CZ370" s="203" t="str">
        <f t="shared" si="573"/>
        <v xml:space="preserve">  </v>
      </c>
      <c r="DA370" s="174" t="str">
        <f t="shared" si="553"/>
        <v>NG</v>
      </c>
      <c r="DB370" s="141"/>
      <c r="DC370" s="172" t="s">
        <v>71</v>
      </c>
      <c r="DD370" s="160"/>
      <c r="DE370" s="141"/>
      <c r="DF370" s="203" t="str">
        <f t="shared" si="574"/>
        <v xml:space="preserve">  </v>
      </c>
      <c r="DG370" s="174" t="str">
        <f t="shared" si="554"/>
        <v>NG</v>
      </c>
      <c r="DH370" s="141"/>
      <c r="DI370" s="172" t="s">
        <v>71</v>
      </c>
      <c r="DJ370" s="160"/>
      <c r="DK370" s="141"/>
      <c r="DL370" s="203" t="str">
        <f t="shared" si="575"/>
        <v xml:space="preserve">  </v>
      </c>
      <c r="DM370" s="174" t="str">
        <f t="shared" si="555"/>
        <v>NG</v>
      </c>
      <c r="DN370" s="141"/>
      <c r="DO370" s="172" t="s">
        <v>71</v>
      </c>
      <c r="DP370" s="160"/>
      <c r="DQ370" s="141"/>
      <c r="DR370" s="203" t="str">
        <f t="shared" si="576"/>
        <v xml:space="preserve">  </v>
      </c>
      <c r="DS370" s="174" t="str">
        <f t="shared" si="533"/>
        <v>NG</v>
      </c>
      <c r="DT370" s="141"/>
      <c r="DU370" s="172" t="s">
        <v>71</v>
      </c>
      <c r="DV370" s="160"/>
      <c r="DW370" s="141"/>
      <c r="DX370" s="203" t="str">
        <f t="shared" si="577"/>
        <v xml:space="preserve">  </v>
      </c>
      <c r="DY370" s="174" t="str">
        <f t="shared" si="534"/>
        <v>NG</v>
      </c>
      <c r="DZ370" s="141"/>
      <c r="EA370" s="172" t="s">
        <v>71</v>
      </c>
      <c r="EB370" s="160"/>
      <c r="EC370" s="141"/>
      <c r="ED370" s="203" t="str">
        <f t="shared" si="578"/>
        <v xml:space="preserve">  </v>
      </c>
      <c r="EE370" s="174" t="str">
        <f t="shared" si="535"/>
        <v>NG</v>
      </c>
      <c r="EF370" s="141"/>
      <c r="EG370" s="172" t="s">
        <v>71</v>
      </c>
      <c r="EH370" s="160"/>
      <c r="EI370" s="141"/>
      <c r="EJ370" s="203" t="str">
        <f t="shared" si="579"/>
        <v xml:space="preserve">  </v>
      </c>
      <c r="EK370" s="174" t="str">
        <f t="shared" si="536"/>
        <v>NG</v>
      </c>
      <c r="EL370" s="141"/>
      <c r="EM370" s="172" t="s">
        <v>71</v>
      </c>
      <c r="EN370" s="160"/>
      <c r="EO370" s="141"/>
      <c r="EP370" s="203" t="str">
        <f t="shared" si="580"/>
        <v xml:space="preserve">  </v>
      </c>
      <c r="EQ370" s="174" t="str">
        <f t="shared" si="537"/>
        <v>NG</v>
      </c>
      <c r="ER370" s="141"/>
      <c r="ES370" s="172" t="s">
        <v>71</v>
      </c>
      <c r="ET370" s="160"/>
      <c r="EU370" s="141"/>
      <c r="EV370" s="203" t="str">
        <f t="shared" si="581"/>
        <v xml:space="preserve">  </v>
      </c>
      <c r="EW370" s="174" t="str">
        <f t="shared" si="538"/>
        <v>NG</v>
      </c>
      <c r="EX370" s="141"/>
      <c r="EY370" s="172" t="s">
        <v>71</v>
      </c>
      <c r="EZ370" s="160"/>
      <c r="FA370" s="141"/>
      <c r="FB370" s="203" t="str">
        <f t="shared" si="582"/>
        <v xml:space="preserve">  </v>
      </c>
      <c r="FC370" s="174" t="str">
        <f t="shared" si="539"/>
        <v>NG</v>
      </c>
      <c r="FD370" s="141"/>
      <c r="FE370" s="172" t="s">
        <v>71</v>
      </c>
      <c r="FF370" s="160"/>
      <c r="FG370" s="141"/>
      <c r="FH370" s="203" t="str">
        <f t="shared" si="583"/>
        <v xml:space="preserve">  </v>
      </c>
      <c r="FI370" s="174" t="str">
        <f t="shared" si="540"/>
        <v>NG</v>
      </c>
      <c r="FJ370" s="141"/>
      <c r="FK370" s="172" t="s">
        <v>71</v>
      </c>
      <c r="FL370" s="160"/>
      <c r="FM370" s="141"/>
      <c r="FN370" s="203" t="str">
        <f t="shared" si="584"/>
        <v xml:space="preserve">  </v>
      </c>
      <c r="FO370" s="174" t="str">
        <f t="shared" si="556"/>
        <v>NG</v>
      </c>
      <c r="FP370" s="141"/>
      <c r="FQ370" s="172" t="s">
        <v>71</v>
      </c>
      <c r="FR370" s="160"/>
      <c r="FS370" s="141"/>
      <c r="FT370" s="203" t="str">
        <f t="shared" si="585"/>
        <v xml:space="preserve">  </v>
      </c>
      <c r="FU370" s="174" t="str">
        <f t="shared" si="557"/>
        <v>NG</v>
      </c>
      <c r="FV370" s="141"/>
      <c r="FW370" s="172" t="s">
        <v>71</v>
      </c>
      <c r="FX370" s="160"/>
      <c r="FY370" s="141"/>
      <c r="FZ370" s="203" t="str">
        <f t="shared" si="586"/>
        <v xml:space="preserve">  </v>
      </c>
      <c r="GA370" s="174" t="str">
        <f t="shared" si="558"/>
        <v>NG</v>
      </c>
      <c r="GB370" s="141"/>
      <c r="GC370" s="172" t="s">
        <v>71</v>
      </c>
    </row>
    <row r="371" spans="2:185" s="52" customFormat="1">
      <c r="B371" s="48">
        <f t="shared" si="587"/>
        <v>364</v>
      </c>
      <c r="C371" s="37"/>
      <c r="D371" s="37"/>
      <c r="E371" s="37"/>
      <c r="F371" s="49" t="s">
        <v>192</v>
      </c>
      <c r="G371" s="39"/>
      <c r="H371" s="40"/>
      <c r="I371" s="42"/>
      <c r="J371" s="42" t="s">
        <v>316</v>
      </c>
      <c r="K371" s="42"/>
      <c r="L371" s="42"/>
      <c r="M371" s="47" t="s">
        <v>324</v>
      </c>
      <c r="N371" s="47"/>
      <c r="O371" s="143"/>
      <c r="P371" s="45">
        <f t="shared" si="591"/>
        <v>336</v>
      </c>
      <c r="Q371" s="46">
        <v>255</v>
      </c>
      <c r="R371" s="41" t="str">
        <f t="shared" si="590"/>
        <v>NX</v>
      </c>
      <c r="S371" s="185" t="s">
        <v>193</v>
      </c>
      <c r="T371" s="43"/>
      <c r="U371" s="41" t="s">
        <v>80</v>
      </c>
      <c r="V371" s="44"/>
      <c r="W371" s="22">
        <v>3</v>
      </c>
      <c r="X371" s="47" t="s">
        <v>194</v>
      </c>
      <c r="Y371" s="47">
        <v>1</v>
      </c>
      <c r="Z371" s="47">
        <v>255</v>
      </c>
      <c r="AA371" s="42" t="s">
        <v>195</v>
      </c>
      <c r="AB371" s="42" t="s">
        <v>57</v>
      </c>
      <c r="AC371" s="166"/>
      <c r="AD371" s="160"/>
      <c r="AE371" s="162"/>
      <c r="AF371" s="204" t="str">
        <f t="shared" si="562"/>
        <v xml:space="preserve">                                                                                                                                                                                                                                                               </v>
      </c>
      <c r="AG371" s="174" t="str">
        <f t="shared" si="542"/>
        <v>NG</v>
      </c>
      <c r="AH371" s="162"/>
      <c r="AI371" s="276" t="str">
        <f>IF(OR(AE$8="判定対象外",AH$8="判定対象外",AH371="-"),"-",IF(AE371=AH371,"OK","NG"))</f>
        <v>OK</v>
      </c>
      <c r="AJ371" s="160"/>
      <c r="AK371" s="162"/>
      <c r="AL371" s="204" t="str">
        <f t="shared" si="559"/>
        <v xml:space="preserve">                                                                                                                                                                                                                                                               </v>
      </c>
      <c r="AM371" s="174" t="str">
        <f t="shared" si="588"/>
        <v>NG</v>
      </c>
      <c r="AN371" s="162"/>
      <c r="AO371" s="276" t="str">
        <f>IF(OR(AK$8="判定対象外",AN$8="判定対象外",AN371="-"),"-",IF(AK371=AN371,"OK","NG"))</f>
        <v>OK</v>
      </c>
      <c r="AP371" s="160"/>
      <c r="AQ371" s="162"/>
      <c r="AR371" s="204" t="str">
        <f t="shared" si="563"/>
        <v xml:space="preserve">                                                                                                                                                                                                                                                               </v>
      </c>
      <c r="AS371" s="174" t="str">
        <f t="shared" si="543"/>
        <v>NG</v>
      </c>
      <c r="AT371" s="162"/>
      <c r="AU371" s="276" t="str">
        <f>IF(OR(AQ$8="判定対象外",AT$8="判定対象外",AT371="-"),"-",IF(AQ371=AT371,"OK","NG"))</f>
        <v>OK</v>
      </c>
      <c r="AV371" s="160"/>
      <c r="AW371" s="162"/>
      <c r="AX371" s="204" t="str">
        <f t="shared" si="564"/>
        <v xml:space="preserve">                                                                                                                                                                                                                                                               </v>
      </c>
      <c r="AY371" s="174" t="str">
        <f t="shared" si="544"/>
        <v>NG</v>
      </c>
      <c r="AZ371" s="162"/>
      <c r="BA371" s="276" t="str">
        <f>IF(OR(AW$8="判定対象外",AZ$8="判定対象外",AZ371="-"),"-",IF(AW371=AZ371,"OK","NG"))</f>
        <v>OK</v>
      </c>
      <c r="BB371" s="160"/>
      <c r="BC371" s="162"/>
      <c r="BD371" s="204" t="str">
        <f t="shared" si="565"/>
        <v xml:space="preserve">                                                                                                                                                                                                                                                               </v>
      </c>
      <c r="BE371" s="174" t="str">
        <f t="shared" si="545"/>
        <v>NG</v>
      </c>
      <c r="BF371" s="162"/>
      <c r="BG371" s="276" t="str">
        <f>IF(OR(BC$8="判定対象外",BF$8="判定対象外",BF371="-"),"-",IF(BC371=BF371,"OK","NG"))</f>
        <v>OK</v>
      </c>
      <c r="BH371" s="160"/>
      <c r="BI371" s="162"/>
      <c r="BJ371" s="204" t="str">
        <f t="shared" si="566"/>
        <v xml:space="preserve">                                                                                                                                                                                                                                                               </v>
      </c>
      <c r="BK371" s="174" t="str">
        <f t="shared" si="546"/>
        <v>NG</v>
      </c>
      <c r="BL371" s="162"/>
      <c r="BM371" s="276" t="str">
        <f>IF(OR(BI$8="判定対象外",BL$8="判定対象外",BL371="-"),"-",IF(BI371=BL371,"OK","NG"))</f>
        <v>OK</v>
      </c>
      <c r="BN371" s="160"/>
      <c r="BO371" s="162"/>
      <c r="BP371" s="204" t="str">
        <f t="shared" si="567"/>
        <v xml:space="preserve">                                                                                                                                                                                                                                                               </v>
      </c>
      <c r="BQ371" s="174" t="str">
        <f t="shared" si="547"/>
        <v>NG</v>
      </c>
      <c r="BR371" s="162"/>
      <c r="BS371" s="276" t="str">
        <f>IF(OR(BO$8="判定対象外",BR$8="判定対象外",BR371="-"),"-",IF(BO371=BR371,"OK","NG"))</f>
        <v>OK</v>
      </c>
      <c r="BT371" s="160"/>
      <c r="BU371" s="162"/>
      <c r="BV371" s="204" t="str">
        <f t="shared" si="568"/>
        <v xml:space="preserve">                                                                                                                                                                                                                                                               </v>
      </c>
      <c r="BW371" s="174" t="str">
        <f t="shared" si="548"/>
        <v>NG</v>
      </c>
      <c r="BX371" s="162"/>
      <c r="BY371" s="276" t="str">
        <f>IF(OR(BU$8="判定対象外",BX$8="判定対象外",BX371="-"),"-",IF(BU371=BX371,"OK","NG"))</f>
        <v>OK</v>
      </c>
      <c r="BZ371" s="160"/>
      <c r="CA371" s="162"/>
      <c r="CB371" s="204" t="str">
        <f t="shared" si="569"/>
        <v xml:space="preserve">                                                                                                                                                                                                                                                               </v>
      </c>
      <c r="CC371" s="174" t="str">
        <f t="shared" si="549"/>
        <v>NG</v>
      </c>
      <c r="CD371" s="162"/>
      <c r="CE371" s="276" t="str">
        <f>IF(OR(CA$8="判定対象外",CD$8="判定対象外",CD371="-"),"-",IF(CA371=CD371,"OK","NG"))</f>
        <v>OK</v>
      </c>
      <c r="CF371" s="160"/>
      <c r="CG371" s="162"/>
      <c r="CH371" s="204" t="str">
        <f t="shared" si="570"/>
        <v xml:space="preserve">                                                                                                                                                                                                                                                               </v>
      </c>
      <c r="CI371" s="174" t="str">
        <f t="shared" si="550"/>
        <v>NG</v>
      </c>
      <c r="CJ371" s="162"/>
      <c r="CK371" s="276" t="str">
        <f>IF(OR(CG$8="判定対象外",CJ$8="判定対象外",CJ371="-"),"-",IF(CG371=CJ371,"OK","NG"))</f>
        <v>OK</v>
      </c>
      <c r="CL371" s="160"/>
      <c r="CM371" s="162"/>
      <c r="CN371" s="204" t="str">
        <f t="shared" si="571"/>
        <v xml:space="preserve">                                                                                                                                                                                                                                                               </v>
      </c>
      <c r="CO371" s="174" t="str">
        <f t="shared" si="551"/>
        <v>NG</v>
      </c>
      <c r="CP371" s="162"/>
      <c r="CQ371" s="276" t="str">
        <f>IF(OR(CM$8="判定対象外",CP$8="判定対象外",CP371="-"),"-",IF(CM371=CP371,"OK","NG"))</f>
        <v>OK</v>
      </c>
      <c r="CR371" s="160"/>
      <c r="CS371" s="162"/>
      <c r="CT371" s="204" t="str">
        <f t="shared" si="572"/>
        <v xml:space="preserve">                                                                                                                                                                                                                                                               </v>
      </c>
      <c r="CU371" s="174" t="str">
        <f t="shared" si="552"/>
        <v>NG</v>
      </c>
      <c r="CV371" s="162"/>
      <c r="CW371" s="276" t="str">
        <f>IF(OR(CS$8="判定対象外",CV$8="判定対象外",CV371="-"),"-",IF(CS371=CV371,"OK","NG"))</f>
        <v>OK</v>
      </c>
      <c r="CX371" s="160"/>
      <c r="CY371" s="162"/>
      <c r="CZ371" s="204" t="str">
        <f t="shared" si="573"/>
        <v xml:space="preserve">                                                                                                                                                                                                                                                               </v>
      </c>
      <c r="DA371" s="174" t="str">
        <f t="shared" si="553"/>
        <v>NG</v>
      </c>
      <c r="DB371" s="162"/>
      <c r="DC371" s="276" t="str">
        <f>IF(OR(CY$8="判定対象外",DB$8="判定対象外",DB371="-"),"-",IF(CY371=DB371,"OK","NG"))</f>
        <v>OK</v>
      </c>
      <c r="DD371" s="160"/>
      <c r="DE371" s="162"/>
      <c r="DF371" s="204" t="str">
        <f t="shared" si="574"/>
        <v xml:space="preserve">                                                                                                                                                                                                                                                               </v>
      </c>
      <c r="DG371" s="174" t="str">
        <f t="shared" si="554"/>
        <v>NG</v>
      </c>
      <c r="DH371" s="162"/>
      <c r="DI371" s="276" t="str">
        <f>IF(OR(DE$8="判定対象外",DH$8="判定対象外",DH371="-"),"-",IF(DE371=DH371,"OK","NG"))</f>
        <v>OK</v>
      </c>
      <c r="DJ371" s="160"/>
      <c r="DK371" s="162"/>
      <c r="DL371" s="204" t="str">
        <f t="shared" si="575"/>
        <v xml:space="preserve">                                                                                                                                                                                                                                                               </v>
      </c>
      <c r="DM371" s="174" t="str">
        <f t="shared" si="555"/>
        <v>NG</v>
      </c>
      <c r="DN371" s="162"/>
      <c r="DO371" s="276" t="str">
        <f>IF(OR(DK$8="判定対象外",DN$8="判定対象外",DN371="-"),"-",IF(DK371=DN371,"OK","NG"))</f>
        <v>OK</v>
      </c>
      <c r="DP371" s="160"/>
      <c r="DQ371" s="162"/>
      <c r="DR371" s="204" t="str">
        <f t="shared" si="576"/>
        <v xml:space="preserve">                                                                                                                                                                                                                                                               </v>
      </c>
      <c r="DS371" s="174" t="str">
        <f t="shared" si="533"/>
        <v>NG</v>
      </c>
      <c r="DT371" s="162"/>
      <c r="DU371" s="276" t="str">
        <f>IF(OR(DQ$8="判定対象外",DT$8="判定対象外",DT371="-"),"-",IF(DQ371=DT371,"OK","NG"))</f>
        <v>OK</v>
      </c>
      <c r="DV371" s="160"/>
      <c r="DW371" s="162"/>
      <c r="DX371" s="204" t="str">
        <f t="shared" si="577"/>
        <v xml:space="preserve">                                                                                                                                                                                                                                                               </v>
      </c>
      <c r="DY371" s="174" t="str">
        <f t="shared" si="534"/>
        <v>NG</v>
      </c>
      <c r="DZ371" s="162"/>
      <c r="EA371" s="276" t="str">
        <f>IF(OR(DW$8="判定対象外",DZ$8="判定対象外",DZ371="-"),"-",IF(DW371=DZ371,"OK","NG"))</f>
        <v>OK</v>
      </c>
      <c r="EB371" s="160"/>
      <c r="EC371" s="162"/>
      <c r="ED371" s="204" t="str">
        <f t="shared" si="578"/>
        <v xml:space="preserve">                                                                                                                                                                                                                                                               </v>
      </c>
      <c r="EE371" s="174" t="str">
        <f t="shared" si="535"/>
        <v>NG</v>
      </c>
      <c r="EF371" s="162"/>
      <c r="EG371" s="276" t="str">
        <f>IF(OR(EC$8="判定対象外",EF$8="判定対象外",EF371="-"),"-",IF(EC371=EF371,"OK","NG"))</f>
        <v>OK</v>
      </c>
      <c r="EH371" s="160"/>
      <c r="EI371" s="162"/>
      <c r="EJ371" s="204" t="str">
        <f t="shared" si="579"/>
        <v xml:space="preserve">                                                                                                                                                                                                                                                               </v>
      </c>
      <c r="EK371" s="174" t="str">
        <f t="shared" si="536"/>
        <v>NG</v>
      </c>
      <c r="EL371" s="162"/>
      <c r="EM371" s="276" t="str">
        <f>IF(OR(EI$8="判定対象外",EL$8="判定対象外",EL371="-"),"-",IF(EI371=EL371,"OK","NG"))</f>
        <v>OK</v>
      </c>
      <c r="EN371" s="160"/>
      <c r="EO371" s="162"/>
      <c r="EP371" s="204" t="str">
        <f t="shared" si="580"/>
        <v xml:space="preserve">                                                                                                                                                                                                                                                               </v>
      </c>
      <c r="EQ371" s="174" t="str">
        <f t="shared" si="537"/>
        <v>NG</v>
      </c>
      <c r="ER371" s="162"/>
      <c r="ES371" s="276" t="str">
        <f>IF(OR(EO$8="判定対象外",ER$8="判定対象外",ER371="-"),"-",IF(EO371=ER371,"OK","NG"))</f>
        <v>OK</v>
      </c>
      <c r="ET371" s="160"/>
      <c r="EU371" s="162"/>
      <c r="EV371" s="204" t="str">
        <f t="shared" si="581"/>
        <v xml:space="preserve">                                                                                                                                                                                                                                                               </v>
      </c>
      <c r="EW371" s="174" t="str">
        <f t="shared" si="538"/>
        <v>NG</v>
      </c>
      <c r="EX371" s="162"/>
      <c r="EY371" s="276" t="str">
        <f>IF(OR(EU$8="判定対象外",EX$8="判定対象外",EX371="-"),"-",IF(EU371=EX371,"OK","NG"))</f>
        <v>OK</v>
      </c>
      <c r="EZ371" s="160"/>
      <c r="FA371" s="162"/>
      <c r="FB371" s="204" t="str">
        <f t="shared" si="582"/>
        <v xml:space="preserve">                                                                                                                                                                                                                                                               </v>
      </c>
      <c r="FC371" s="174" t="str">
        <f t="shared" si="539"/>
        <v>NG</v>
      </c>
      <c r="FD371" s="162"/>
      <c r="FE371" s="276" t="str">
        <f>IF(OR(FA$8="判定対象外",FD$8="判定対象外",FD371="-"),"-",IF(FA371=FD371,"OK","NG"))</f>
        <v>OK</v>
      </c>
      <c r="FF371" s="160"/>
      <c r="FG371" s="162"/>
      <c r="FH371" s="204" t="str">
        <f t="shared" si="583"/>
        <v xml:space="preserve">                                                                                                                                                                                                                                                               </v>
      </c>
      <c r="FI371" s="174" t="str">
        <f t="shared" si="540"/>
        <v>NG</v>
      </c>
      <c r="FJ371" s="162"/>
      <c r="FK371" s="276" t="str">
        <f>IF(OR(FG$8="判定対象外",FJ$8="判定対象外",FJ371="-"),"-",IF(FG371=FJ371,"OK","NG"))</f>
        <v>OK</v>
      </c>
      <c r="FL371" s="160"/>
      <c r="FM371" s="162"/>
      <c r="FN371" s="204" t="str">
        <f t="shared" si="584"/>
        <v xml:space="preserve">                                                                                                                                                                                                                                                               </v>
      </c>
      <c r="FO371" s="174" t="str">
        <f t="shared" si="556"/>
        <v>NG</v>
      </c>
      <c r="FP371" s="162"/>
      <c r="FQ371" s="276" t="str">
        <f>IF(OR(FM$8="判定対象外",FP$8="判定対象外",FP371="-"),"-",IF(FM371=FP371,"OK","NG"))</f>
        <v>OK</v>
      </c>
      <c r="FR371" s="160"/>
      <c r="FS371" s="162"/>
      <c r="FT371" s="204" t="str">
        <f t="shared" si="585"/>
        <v xml:space="preserve">                                                                                                                                                                                                                                                               </v>
      </c>
      <c r="FU371" s="174" t="str">
        <f t="shared" si="557"/>
        <v>NG</v>
      </c>
      <c r="FV371" s="162"/>
      <c r="FW371" s="276" t="str">
        <f>IF(OR(FS$8="判定対象外",FV$8="判定対象外",FV371="-"),"-",IF(FS371=FV371,"OK","NG"))</f>
        <v>OK</v>
      </c>
      <c r="FX371" s="160"/>
      <c r="FY371" s="162"/>
      <c r="FZ371" s="204" t="str">
        <f t="shared" si="586"/>
        <v xml:space="preserve">                                                                                                                                                                                                                                                               </v>
      </c>
      <c r="GA371" s="174" t="str">
        <f t="shared" si="558"/>
        <v>NG</v>
      </c>
      <c r="GB371" s="162"/>
      <c r="GC371" s="276" t="str">
        <f>IF(OR(FY$8="判定対象外",GB$8="判定対象外",GB371="-"),"-",IF(FY371=GB371,"OK","NG"))</f>
        <v>OK</v>
      </c>
    </row>
    <row r="372" spans="2:185" s="52" customFormat="1">
      <c r="B372" s="53">
        <f t="shared" si="587"/>
        <v>365</v>
      </c>
      <c r="C372" s="37"/>
      <c r="D372" s="37"/>
      <c r="E372" s="37"/>
      <c r="F372" s="54" t="s">
        <v>325</v>
      </c>
      <c r="G372" s="54"/>
      <c r="H372" s="55"/>
      <c r="I372" s="57"/>
      <c r="J372" s="57"/>
      <c r="K372" s="57"/>
      <c r="L372" s="57"/>
      <c r="M372" s="58" t="s">
        <v>326</v>
      </c>
      <c r="N372" s="62"/>
      <c r="O372" s="150"/>
      <c r="P372" s="45">
        <f t="shared" si="591"/>
        <v>337</v>
      </c>
      <c r="Q372" s="60">
        <v>256</v>
      </c>
      <c r="R372" s="41" t="str">
        <f t="shared" si="590"/>
        <v>NX</v>
      </c>
      <c r="S372" s="185" t="s">
        <v>196</v>
      </c>
      <c r="T372" s="43"/>
      <c r="U372" s="41" t="s">
        <v>80</v>
      </c>
      <c r="V372" s="44"/>
      <c r="W372" s="61">
        <v>3</v>
      </c>
      <c r="X372" s="62" t="s">
        <v>197</v>
      </c>
      <c r="Y372" s="62">
        <v>1</v>
      </c>
      <c r="Z372" s="62">
        <v>256</v>
      </c>
      <c r="AA372" s="57" t="s">
        <v>101</v>
      </c>
      <c r="AB372" s="57" t="s">
        <v>80</v>
      </c>
      <c r="AC372" s="214"/>
      <c r="AD372" s="160"/>
      <c r="AE372" s="141"/>
      <c r="AF372" s="203" t="str">
        <f t="shared" si="562"/>
        <v xml:space="preserve">                                                                                                                                                                                                                                                                </v>
      </c>
      <c r="AG372" s="174" t="str">
        <f t="shared" si="542"/>
        <v>NG</v>
      </c>
      <c r="AH372" s="141"/>
      <c r="AI372" s="172" t="s">
        <v>71</v>
      </c>
      <c r="AJ372" s="160"/>
      <c r="AK372" s="141"/>
      <c r="AL372" s="203" t="str">
        <f t="shared" si="559"/>
        <v xml:space="preserve">                                                                                                                                                                                                                                                                </v>
      </c>
      <c r="AM372" s="174" t="str">
        <f t="shared" si="588"/>
        <v>NG</v>
      </c>
      <c r="AN372" s="141"/>
      <c r="AO372" s="172" t="s">
        <v>71</v>
      </c>
      <c r="AP372" s="160"/>
      <c r="AQ372" s="141"/>
      <c r="AR372" s="203" t="str">
        <f t="shared" si="563"/>
        <v xml:space="preserve">                                                                                                                                                                                                                                                                </v>
      </c>
      <c r="AS372" s="174" t="str">
        <f t="shared" si="543"/>
        <v>NG</v>
      </c>
      <c r="AT372" s="141"/>
      <c r="AU372" s="172" t="s">
        <v>71</v>
      </c>
      <c r="AV372" s="160"/>
      <c r="AW372" s="141"/>
      <c r="AX372" s="203" t="str">
        <f t="shared" si="564"/>
        <v xml:space="preserve">                                                                                                                                                                                                                                                                </v>
      </c>
      <c r="AY372" s="174" t="str">
        <f t="shared" si="544"/>
        <v>NG</v>
      </c>
      <c r="AZ372" s="141"/>
      <c r="BA372" s="172" t="s">
        <v>71</v>
      </c>
      <c r="BB372" s="160"/>
      <c r="BC372" s="141"/>
      <c r="BD372" s="203" t="str">
        <f t="shared" si="565"/>
        <v xml:space="preserve">                                                                                                                                                                                                                                                                </v>
      </c>
      <c r="BE372" s="174" t="str">
        <f t="shared" si="545"/>
        <v>NG</v>
      </c>
      <c r="BF372" s="141"/>
      <c r="BG372" s="172" t="s">
        <v>71</v>
      </c>
      <c r="BH372" s="160"/>
      <c r="BI372" s="141"/>
      <c r="BJ372" s="203" t="str">
        <f t="shared" si="566"/>
        <v xml:space="preserve">                                                                                                                                                                                                                                                                </v>
      </c>
      <c r="BK372" s="174" t="str">
        <f t="shared" si="546"/>
        <v>NG</v>
      </c>
      <c r="BL372" s="141"/>
      <c r="BM372" s="172" t="s">
        <v>71</v>
      </c>
      <c r="BN372" s="160"/>
      <c r="BO372" s="141"/>
      <c r="BP372" s="203" t="str">
        <f t="shared" si="567"/>
        <v xml:space="preserve">                                                                                                                                                                                                                                                                </v>
      </c>
      <c r="BQ372" s="174" t="str">
        <f t="shared" si="547"/>
        <v>NG</v>
      </c>
      <c r="BR372" s="141"/>
      <c r="BS372" s="172" t="s">
        <v>71</v>
      </c>
      <c r="BT372" s="160"/>
      <c r="BU372" s="141"/>
      <c r="BV372" s="203" t="str">
        <f t="shared" si="568"/>
        <v xml:space="preserve">                                                                                                                                                                                                                                                                </v>
      </c>
      <c r="BW372" s="174" t="str">
        <f t="shared" si="548"/>
        <v>NG</v>
      </c>
      <c r="BX372" s="141"/>
      <c r="BY372" s="172" t="s">
        <v>71</v>
      </c>
      <c r="BZ372" s="160"/>
      <c r="CA372" s="141"/>
      <c r="CB372" s="203" t="str">
        <f t="shared" si="569"/>
        <v xml:space="preserve">                                                                                                                                                                                                                                                                </v>
      </c>
      <c r="CC372" s="174" t="str">
        <f t="shared" si="549"/>
        <v>NG</v>
      </c>
      <c r="CD372" s="141"/>
      <c r="CE372" s="172" t="s">
        <v>71</v>
      </c>
      <c r="CF372" s="160"/>
      <c r="CG372" s="141"/>
      <c r="CH372" s="203" t="str">
        <f t="shared" si="570"/>
        <v xml:space="preserve">                                                                                                                                                                                                                                                                </v>
      </c>
      <c r="CI372" s="174" t="str">
        <f t="shared" si="550"/>
        <v>NG</v>
      </c>
      <c r="CJ372" s="141"/>
      <c r="CK372" s="172" t="s">
        <v>71</v>
      </c>
      <c r="CL372" s="160"/>
      <c r="CM372" s="141"/>
      <c r="CN372" s="203" t="str">
        <f t="shared" si="571"/>
        <v xml:space="preserve">                                                                                                                                                                                                                                                                </v>
      </c>
      <c r="CO372" s="174" t="str">
        <f t="shared" si="551"/>
        <v>NG</v>
      </c>
      <c r="CP372" s="141"/>
      <c r="CQ372" s="172" t="s">
        <v>71</v>
      </c>
      <c r="CR372" s="160"/>
      <c r="CS372" s="141"/>
      <c r="CT372" s="203" t="str">
        <f t="shared" si="572"/>
        <v xml:space="preserve">                                                                                                                                                                                                                                                                </v>
      </c>
      <c r="CU372" s="174" t="str">
        <f t="shared" si="552"/>
        <v>NG</v>
      </c>
      <c r="CV372" s="141"/>
      <c r="CW372" s="172" t="s">
        <v>71</v>
      </c>
      <c r="CX372" s="160"/>
      <c r="CY372" s="141"/>
      <c r="CZ372" s="203" t="str">
        <f t="shared" si="573"/>
        <v xml:space="preserve">                                                                                                                                                                                                                                                                </v>
      </c>
      <c r="DA372" s="174" t="str">
        <f t="shared" si="553"/>
        <v>NG</v>
      </c>
      <c r="DB372" s="141"/>
      <c r="DC372" s="172" t="s">
        <v>71</v>
      </c>
      <c r="DD372" s="160"/>
      <c r="DE372" s="141"/>
      <c r="DF372" s="203" t="str">
        <f t="shared" si="574"/>
        <v xml:space="preserve">                                                                                                                                                                                                                                                                </v>
      </c>
      <c r="DG372" s="174" t="str">
        <f t="shared" si="554"/>
        <v>NG</v>
      </c>
      <c r="DH372" s="141"/>
      <c r="DI372" s="172" t="s">
        <v>71</v>
      </c>
      <c r="DJ372" s="160"/>
      <c r="DK372" s="141"/>
      <c r="DL372" s="203" t="str">
        <f t="shared" si="575"/>
        <v xml:space="preserve">                                                                                                                                                                                                                                                                </v>
      </c>
      <c r="DM372" s="174" t="str">
        <f t="shared" si="555"/>
        <v>NG</v>
      </c>
      <c r="DN372" s="141"/>
      <c r="DO372" s="172" t="s">
        <v>71</v>
      </c>
      <c r="DP372" s="160"/>
      <c r="DQ372" s="141"/>
      <c r="DR372" s="203" t="str">
        <f t="shared" si="576"/>
        <v xml:space="preserve">                                                                                                                                                                                                                                                                </v>
      </c>
      <c r="DS372" s="174" t="str">
        <f t="shared" si="533"/>
        <v>NG</v>
      </c>
      <c r="DT372" s="141"/>
      <c r="DU372" s="172" t="s">
        <v>71</v>
      </c>
      <c r="DV372" s="160"/>
      <c r="DW372" s="141"/>
      <c r="DX372" s="203" t="str">
        <f t="shared" si="577"/>
        <v xml:space="preserve">                                                                                                                                                                                                                                                                </v>
      </c>
      <c r="DY372" s="174" t="str">
        <f t="shared" si="534"/>
        <v>NG</v>
      </c>
      <c r="DZ372" s="141"/>
      <c r="EA372" s="172" t="s">
        <v>71</v>
      </c>
      <c r="EB372" s="160"/>
      <c r="EC372" s="141"/>
      <c r="ED372" s="203" t="str">
        <f t="shared" si="578"/>
        <v xml:space="preserve">                                                                                                                                                                                                                                                                </v>
      </c>
      <c r="EE372" s="174" t="str">
        <f t="shared" si="535"/>
        <v>NG</v>
      </c>
      <c r="EF372" s="141"/>
      <c r="EG372" s="172" t="s">
        <v>71</v>
      </c>
      <c r="EH372" s="160"/>
      <c r="EI372" s="141"/>
      <c r="EJ372" s="203" t="str">
        <f t="shared" si="579"/>
        <v xml:space="preserve">                                                                                                                                                                                                                                                                </v>
      </c>
      <c r="EK372" s="174" t="str">
        <f t="shared" si="536"/>
        <v>NG</v>
      </c>
      <c r="EL372" s="141"/>
      <c r="EM372" s="172" t="s">
        <v>71</v>
      </c>
      <c r="EN372" s="160"/>
      <c r="EO372" s="141"/>
      <c r="EP372" s="203" t="str">
        <f t="shared" si="580"/>
        <v xml:space="preserve">                                                                                                                                                                                                                                                                </v>
      </c>
      <c r="EQ372" s="174" t="str">
        <f t="shared" si="537"/>
        <v>NG</v>
      </c>
      <c r="ER372" s="141"/>
      <c r="ES372" s="172" t="s">
        <v>71</v>
      </c>
      <c r="ET372" s="160"/>
      <c r="EU372" s="141"/>
      <c r="EV372" s="203" t="str">
        <f t="shared" si="581"/>
        <v xml:space="preserve">                                                                                                                                                                                                                                                                </v>
      </c>
      <c r="EW372" s="174" t="str">
        <f t="shared" si="538"/>
        <v>NG</v>
      </c>
      <c r="EX372" s="141"/>
      <c r="EY372" s="172" t="s">
        <v>71</v>
      </c>
      <c r="EZ372" s="160"/>
      <c r="FA372" s="141"/>
      <c r="FB372" s="203" t="str">
        <f t="shared" si="582"/>
        <v xml:space="preserve">                                                                                                                                                                                                                                                                </v>
      </c>
      <c r="FC372" s="174" t="str">
        <f t="shared" si="539"/>
        <v>NG</v>
      </c>
      <c r="FD372" s="141"/>
      <c r="FE372" s="172" t="s">
        <v>71</v>
      </c>
      <c r="FF372" s="160"/>
      <c r="FG372" s="141"/>
      <c r="FH372" s="203" t="str">
        <f t="shared" si="583"/>
        <v xml:space="preserve">                                                                                                                                                                                                                                                                </v>
      </c>
      <c r="FI372" s="174" t="str">
        <f t="shared" si="540"/>
        <v>NG</v>
      </c>
      <c r="FJ372" s="141"/>
      <c r="FK372" s="172" t="s">
        <v>71</v>
      </c>
      <c r="FL372" s="160"/>
      <c r="FM372" s="141"/>
      <c r="FN372" s="203" t="str">
        <f t="shared" si="584"/>
        <v xml:space="preserve">                                                                                                                                                                                                                                                                </v>
      </c>
      <c r="FO372" s="174" t="str">
        <f t="shared" si="556"/>
        <v>NG</v>
      </c>
      <c r="FP372" s="141"/>
      <c r="FQ372" s="172" t="s">
        <v>71</v>
      </c>
      <c r="FR372" s="160"/>
      <c r="FS372" s="141"/>
      <c r="FT372" s="203" t="str">
        <f t="shared" si="585"/>
        <v xml:space="preserve">                                                                                                                                                                                                                                                                </v>
      </c>
      <c r="FU372" s="174" t="str">
        <f t="shared" si="557"/>
        <v>NG</v>
      </c>
      <c r="FV372" s="141"/>
      <c r="FW372" s="172" t="s">
        <v>71</v>
      </c>
      <c r="FX372" s="160"/>
      <c r="FY372" s="141"/>
      <c r="FZ372" s="203" t="str">
        <f t="shared" si="586"/>
        <v xml:space="preserve">                                                                                                                                                                                                                                                                </v>
      </c>
      <c r="GA372" s="174" t="str">
        <f t="shared" si="558"/>
        <v>NG</v>
      </c>
      <c r="GB372" s="141"/>
      <c r="GC372" s="172" t="s">
        <v>71</v>
      </c>
    </row>
    <row r="373" spans="2:185" s="52" customFormat="1" ht="63.75">
      <c r="B373" s="48">
        <f t="shared" si="587"/>
        <v>366</v>
      </c>
      <c r="C373" s="37"/>
      <c r="D373" s="37"/>
      <c r="E373" s="37"/>
      <c r="F373" s="49" t="s">
        <v>198</v>
      </c>
      <c r="G373" s="39"/>
      <c r="H373" s="40"/>
      <c r="I373" s="42"/>
      <c r="J373" s="42"/>
      <c r="K373" s="42"/>
      <c r="L373" s="42"/>
      <c r="M373" s="63" t="s">
        <v>327</v>
      </c>
      <c r="N373" s="47"/>
      <c r="O373" s="143"/>
      <c r="P373" s="45">
        <f t="shared" si="591"/>
        <v>338</v>
      </c>
      <c r="Q373" s="46">
        <v>256</v>
      </c>
      <c r="R373" s="41" t="str">
        <f t="shared" si="590"/>
        <v>NX</v>
      </c>
      <c r="S373" s="185" t="s">
        <v>199</v>
      </c>
      <c r="T373" s="43"/>
      <c r="U373" s="41" t="s">
        <v>80</v>
      </c>
      <c r="V373" s="44"/>
      <c r="W373" s="22">
        <v>3</v>
      </c>
      <c r="X373" s="47" t="s">
        <v>200</v>
      </c>
      <c r="Y373" s="47">
        <v>1</v>
      </c>
      <c r="Z373" s="47">
        <v>256</v>
      </c>
      <c r="AA373" s="42" t="s">
        <v>195</v>
      </c>
      <c r="AB373" s="42" t="s">
        <v>80</v>
      </c>
      <c r="AC373" s="166"/>
      <c r="AD373" s="160"/>
      <c r="AE373" s="162"/>
      <c r="AF373" s="167" t="str">
        <f t="shared" si="562"/>
        <v xml:space="preserve">                                                                                                                                                                                                                                                                </v>
      </c>
      <c r="AG373" s="174" t="str">
        <f t="shared" si="542"/>
        <v>NG</v>
      </c>
      <c r="AH373" s="162"/>
      <c r="AI373" s="172" t="s">
        <v>71</v>
      </c>
      <c r="AJ373" s="160"/>
      <c r="AK373" s="162"/>
      <c r="AL373" s="167" t="str">
        <f t="shared" si="559"/>
        <v xml:space="preserve">                                                                                                                                                                                                                                                                </v>
      </c>
      <c r="AM373" s="174" t="str">
        <f t="shared" si="588"/>
        <v>NG</v>
      </c>
      <c r="AN373" s="162"/>
      <c r="AO373" s="172" t="s">
        <v>71</v>
      </c>
      <c r="AP373" s="160"/>
      <c r="AQ373" s="162"/>
      <c r="AR373" s="167" t="str">
        <f t="shared" si="563"/>
        <v xml:space="preserve">                                                                                                                                                                                                                                                                </v>
      </c>
      <c r="AS373" s="174" t="str">
        <f t="shared" si="543"/>
        <v>NG</v>
      </c>
      <c r="AT373" s="162"/>
      <c r="AU373" s="172" t="s">
        <v>71</v>
      </c>
      <c r="AV373" s="160"/>
      <c r="AW373" s="162"/>
      <c r="AX373" s="167" t="str">
        <f t="shared" si="564"/>
        <v xml:space="preserve">                                                                                                                                                                                                                                                                </v>
      </c>
      <c r="AY373" s="174" t="str">
        <f t="shared" si="544"/>
        <v>NG</v>
      </c>
      <c r="AZ373" s="162"/>
      <c r="BA373" s="172" t="s">
        <v>71</v>
      </c>
      <c r="BB373" s="160"/>
      <c r="BC373" s="162"/>
      <c r="BD373" s="167" t="str">
        <f t="shared" si="565"/>
        <v xml:space="preserve">                                                                                                                                                                                                                                                                </v>
      </c>
      <c r="BE373" s="174" t="str">
        <f t="shared" si="545"/>
        <v>NG</v>
      </c>
      <c r="BF373" s="162"/>
      <c r="BG373" s="172" t="s">
        <v>71</v>
      </c>
      <c r="BH373" s="160"/>
      <c r="BI373" s="162"/>
      <c r="BJ373" s="167" t="str">
        <f t="shared" si="566"/>
        <v xml:space="preserve">                                                                                                                                                                                                                                                                </v>
      </c>
      <c r="BK373" s="174" t="str">
        <f t="shared" si="546"/>
        <v>NG</v>
      </c>
      <c r="BL373" s="162"/>
      <c r="BM373" s="172" t="s">
        <v>71</v>
      </c>
      <c r="BN373" s="160"/>
      <c r="BO373" s="162"/>
      <c r="BP373" s="167" t="str">
        <f t="shared" si="567"/>
        <v xml:space="preserve">                                                                                                                                                                                                                                                                </v>
      </c>
      <c r="BQ373" s="174" t="str">
        <f t="shared" si="547"/>
        <v>NG</v>
      </c>
      <c r="BR373" s="162"/>
      <c r="BS373" s="172" t="s">
        <v>71</v>
      </c>
      <c r="BT373" s="160"/>
      <c r="BU373" s="162"/>
      <c r="BV373" s="167" t="str">
        <f t="shared" si="568"/>
        <v xml:space="preserve">                                                                                                                                                                                                                                                                </v>
      </c>
      <c r="BW373" s="174" t="str">
        <f t="shared" si="548"/>
        <v>NG</v>
      </c>
      <c r="BX373" s="162"/>
      <c r="BY373" s="172" t="s">
        <v>71</v>
      </c>
      <c r="BZ373" s="160"/>
      <c r="CA373" s="162"/>
      <c r="CB373" s="167" t="str">
        <f t="shared" si="569"/>
        <v xml:space="preserve">                                                                                                                                                                                                                                                                </v>
      </c>
      <c r="CC373" s="174" t="str">
        <f t="shared" si="549"/>
        <v>NG</v>
      </c>
      <c r="CD373" s="162"/>
      <c r="CE373" s="172" t="s">
        <v>71</v>
      </c>
      <c r="CF373" s="160"/>
      <c r="CG373" s="162"/>
      <c r="CH373" s="167" t="str">
        <f t="shared" si="570"/>
        <v xml:space="preserve">                                                                                                                                                                                                                                                                </v>
      </c>
      <c r="CI373" s="174" t="str">
        <f t="shared" si="550"/>
        <v>NG</v>
      </c>
      <c r="CJ373" s="162"/>
      <c r="CK373" s="172" t="s">
        <v>71</v>
      </c>
      <c r="CL373" s="160"/>
      <c r="CM373" s="162"/>
      <c r="CN373" s="167" t="str">
        <f t="shared" si="571"/>
        <v xml:space="preserve">                                                                                                                                                                                                                                                                </v>
      </c>
      <c r="CO373" s="174" t="str">
        <f t="shared" si="551"/>
        <v>NG</v>
      </c>
      <c r="CP373" s="162"/>
      <c r="CQ373" s="172" t="s">
        <v>71</v>
      </c>
      <c r="CR373" s="160"/>
      <c r="CS373" s="162"/>
      <c r="CT373" s="167" t="str">
        <f t="shared" si="572"/>
        <v xml:space="preserve">                                                                                                                                                                                                                                                                </v>
      </c>
      <c r="CU373" s="174" t="str">
        <f t="shared" si="552"/>
        <v>NG</v>
      </c>
      <c r="CV373" s="162"/>
      <c r="CW373" s="172" t="s">
        <v>71</v>
      </c>
      <c r="CX373" s="160"/>
      <c r="CY373" s="162"/>
      <c r="CZ373" s="167" t="str">
        <f t="shared" si="573"/>
        <v xml:space="preserve">                                                                                                                                                                                                                                                                </v>
      </c>
      <c r="DA373" s="174" t="str">
        <f t="shared" si="553"/>
        <v>NG</v>
      </c>
      <c r="DB373" s="162"/>
      <c r="DC373" s="172" t="s">
        <v>71</v>
      </c>
      <c r="DD373" s="160"/>
      <c r="DE373" s="162"/>
      <c r="DF373" s="167" t="str">
        <f t="shared" si="574"/>
        <v xml:space="preserve">                                                                                                                                                                                                                                                                </v>
      </c>
      <c r="DG373" s="174" t="str">
        <f t="shared" si="554"/>
        <v>NG</v>
      </c>
      <c r="DH373" s="162"/>
      <c r="DI373" s="172" t="s">
        <v>71</v>
      </c>
      <c r="DJ373" s="160"/>
      <c r="DK373" s="162"/>
      <c r="DL373" s="167" t="str">
        <f t="shared" si="575"/>
        <v xml:space="preserve">                                                                                                                                                                                                                                                                </v>
      </c>
      <c r="DM373" s="174" t="str">
        <f t="shared" si="555"/>
        <v>NG</v>
      </c>
      <c r="DN373" s="162"/>
      <c r="DO373" s="172" t="s">
        <v>71</v>
      </c>
      <c r="DP373" s="160"/>
      <c r="DQ373" s="162"/>
      <c r="DR373" s="167" t="str">
        <f t="shared" si="576"/>
        <v xml:space="preserve">                                                                                                                                                                                                                                                                </v>
      </c>
      <c r="DS373" s="174" t="str">
        <f t="shared" si="533"/>
        <v>NG</v>
      </c>
      <c r="DT373" s="162"/>
      <c r="DU373" s="172" t="s">
        <v>71</v>
      </c>
      <c r="DV373" s="160"/>
      <c r="DW373" s="162"/>
      <c r="DX373" s="167" t="str">
        <f t="shared" si="577"/>
        <v xml:space="preserve">                                                                                                                                                                                                                                                                </v>
      </c>
      <c r="DY373" s="174" t="str">
        <f t="shared" si="534"/>
        <v>NG</v>
      </c>
      <c r="DZ373" s="162"/>
      <c r="EA373" s="172" t="s">
        <v>71</v>
      </c>
      <c r="EB373" s="160"/>
      <c r="EC373" s="162"/>
      <c r="ED373" s="167" t="str">
        <f t="shared" si="578"/>
        <v xml:space="preserve">                                                                                                                                                                                                                                                                </v>
      </c>
      <c r="EE373" s="174" t="str">
        <f t="shared" si="535"/>
        <v>NG</v>
      </c>
      <c r="EF373" s="162"/>
      <c r="EG373" s="172" t="s">
        <v>71</v>
      </c>
      <c r="EH373" s="160"/>
      <c r="EI373" s="162"/>
      <c r="EJ373" s="167" t="str">
        <f t="shared" si="579"/>
        <v xml:space="preserve">                                                                                                                                                                                                                                                                </v>
      </c>
      <c r="EK373" s="174" t="str">
        <f t="shared" si="536"/>
        <v>NG</v>
      </c>
      <c r="EL373" s="162"/>
      <c r="EM373" s="172" t="s">
        <v>71</v>
      </c>
      <c r="EN373" s="160"/>
      <c r="EO373" s="162"/>
      <c r="EP373" s="167" t="str">
        <f t="shared" si="580"/>
        <v xml:space="preserve">                                                                                                                                                                                                                                                                </v>
      </c>
      <c r="EQ373" s="174" t="str">
        <f t="shared" si="537"/>
        <v>NG</v>
      </c>
      <c r="ER373" s="162"/>
      <c r="ES373" s="172" t="s">
        <v>71</v>
      </c>
      <c r="ET373" s="160"/>
      <c r="EU373" s="162"/>
      <c r="EV373" s="167" t="str">
        <f t="shared" si="581"/>
        <v xml:space="preserve">                                                                                                                                                                                                                                                                </v>
      </c>
      <c r="EW373" s="174" t="str">
        <f t="shared" si="538"/>
        <v>NG</v>
      </c>
      <c r="EX373" s="162"/>
      <c r="EY373" s="172" t="s">
        <v>71</v>
      </c>
      <c r="EZ373" s="160"/>
      <c r="FA373" s="162"/>
      <c r="FB373" s="167" t="str">
        <f t="shared" si="582"/>
        <v xml:space="preserve">                                                                                                                                                                                                                                                                </v>
      </c>
      <c r="FC373" s="174" t="str">
        <f t="shared" si="539"/>
        <v>NG</v>
      </c>
      <c r="FD373" s="162"/>
      <c r="FE373" s="172" t="s">
        <v>71</v>
      </c>
      <c r="FF373" s="160"/>
      <c r="FG373" s="162"/>
      <c r="FH373" s="167" t="str">
        <f t="shared" si="583"/>
        <v xml:space="preserve">                                                                                                                                                                                                                                                                </v>
      </c>
      <c r="FI373" s="174" t="str">
        <f t="shared" si="540"/>
        <v>NG</v>
      </c>
      <c r="FJ373" s="162"/>
      <c r="FK373" s="172" t="s">
        <v>71</v>
      </c>
      <c r="FL373" s="160"/>
      <c r="FM373" s="162"/>
      <c r="FN373" s="167" t="str">
        <f t="shared" si="584"/>
        <v xml:space="preserve">                                                                                                                                                                                                                                                                </v>
      </c>
      <c r="FO373" s="174" t="str">
        <f t="shared" si="556"/>
        <v>NG</v>
      </c>
      <c r="FP373" s="162"/>
      <c r="FQ373" s="172" t="s">
        <v>71</v>
      </c>
      <c r="FR373" s="160"/>
      <c r="FS373" s="162"/>
      <c r="FT373" s="167" t="str">
        <f t="shared" si="585"/>
        <v xml:space="preserve">                                                                                                                                                                                                                                                                </v>
      </c>
      <c r="FU373" s="174" t="str">
        <f t="shared" si="557"/>
        <v>NG</v>
      </c>
      <c r="FV373" s="162"/>
      <c r="FW373" s="172" t="s">
        <v>71</v>
      </c>
      <c r="FX373" s="160"/>
      <c r="FY373" s="162"/>
      <c r="FZ373" s="167" t="str">
        <f t="shared" si="586"/>
        <v xml:space="preserve">                                                                                                                                                                                                                                                                </v>
      </c>
      <c r="GA373" s="174" t="str">
        <f t="shared" si="558"/>
        <v>NG</v>
      </c>
      <c r="GB373" s="162"/>
      <c r="GC373" s="172" t="s">
        <v>71</v>
      </c>
    </row>
    <row r="374" spans="2:185" s="52" customFormat="1" ht="63.75">
      <c r="B374" s="48">
        <f t="shared" si="587"/>
        <v>367</v>
      </c>
      <c r="C374" s="37"/>
      <c r="D374" s="37"/>
      <c r="E374" s="37"/>
      <c r="F374" s="49" t="s">
        <v>201</v>
      </c>
      <c r="G374" s="39"/>
      <c r="H374" s="40"/>
      <c r="I374" s="42"/>
      <c r="J374" s="42"/>
      <c r="K374" s="42"/>
      <c r="L374" s="42"/>
      <c r="M374" s="63" t="s">
        <v>328</v>
      </c>
      <c r="N374" s="47"/>
      <c r="O374" s="143"/>
      <c r="P374" s="45">
        <f t="shared" si="591"/>
        <v>339</v>
      </c>
      <c r="Q374" s="46">
        <v>256</v>
      </c>
      <c r="R374" s="41" t="str">
        <f t="shared" si="590"/>
        <v>NX</v>
      </c>
      <c r="S374" s="185" t="s">
        <v>202</v>
      </c>
      <c r="T374" s="43"/>
      <c r="U374" s="41" t="s">
        <v>80</v>
      </c>
      <c r="V374" s="44"/>
      <c r="W374" s="22">
        <v>3</v>
      </c>
      <c r="X374" s="47" t="s">
        <v>203</v>
      </c>
      <c r="Y374" s="47">
        <v>1</v>
      </c>
      <c r="Z374" s="47">
        <v>256</v>
      </c>
      <c r="AA374" s="42" t="s">
        <v>195</v>
      </c>
      <c r="AB374" s="42" t="s">
        <v>80</v>
      </c>
      <c r="AC374" s="166"/>
      <c r="AD374" s="160"/>
      <c r="AE374" s="162"/>
      <c r="AF374" s="167" t="str">
        <f t="shared" si="562"/>
        <v xml:space="preserve">                                                                                                                                                                                                                                                                </v>
      </c>
      <c r="AG374" s="174" t="str">
        <f t="shared" si="542"/>
        <v>NG</v>
      </c>
      <c r="AH374" s="162"/>
      <c r="AI374" s="172" t="s">
        <v>71</v>
      </c>
      <c r="AJ374" s="160"/>
      <c r="AK374" s="162"/>
      <c r="AL374" s="167" t="str">
        <f t="shared" si="559"/>
        <v xml:space="preserve">                                                                                                                                                                                                                                                                </v>
      </c>
      <c r="AM374" s="174" t="str">
        <f t="shared" si="588"/>
        <v>NG</v>
      </c>
      <c r="AN374" s="162"/>
      <c r="AO374" s="172" t="s">
        <v>71</v>
      </c>
      <c r="AP374" s="160"/>
      <c r="AQ374" s="162"/>
      <c r="AR374" s="167" t="str">
        <f t="shared" si="563"/>
        <v xml:space="preserve">                                                                                                                                                                                                                                                                </v>
      </c>
      <c r="AS374" s="174" t="str">
        <f t="shared" si="543"/>
        <v>NG</v>
      </c>
      <c r="AT374" s="162"/>
      <c r="AU374" s="172" t="s">
        <v>71</v>
      </c>
      <c r="AV374" s="160"/>
      <c r="AW374" s="162"/>
      <c r="AX374" s="167" t="str">
        <f t="shared" si="564"/>
        <v xml:space="preserve">                                                                                                                                                                                                                                                                </v>
      </c>
      <c r="AY374" s="174" t="str">
        <f t="shared" si="544"/>
        <v>NG</v>
      </c>
      <c r="AZ374" s="162"/>
      <c r="BA374" s="172" t="s">
        <v>71</v>
      </c>
      <c r="BB374" s="160"/>
      <c r="BC374" s="162"/>
      <c r="BD374" s="167" t="str">
        <f t="shared" si="565"/>
        <v xml:space="preserve">                                                                                                                                                                                                                                                                </v>
      </c>
      <c r="BE374" s="174" t="str">
        <f t="shared" si="545"/>
        <v>NG</v>
      </c>
      <c r="BF374" s="162"/>
      <c r="BG374" s="172" t="s">
        <v>71</v>
      </c>
      <c r="BH374" s="160"/>
      <c r="BI374" s="162"/>
      <c r="BJ374" s="167" t="str">
        <f t="shared" si="566"/>
        <v xml:space="preserve">                                                                                                                                                                                                                                                                </v>
      </c>
      <c r="BK374" s="174" t="str">
        <f t="shared" si="546"/>
        <v>NG</v>
      </c>
      <c r="BL374" s="162"/>
      <c r="BM374" s="172" t="s">
        <v>71</v>
      </c>
      <c r="BN374" s="160"/>
      <c r="BO374" s="162"/>
      <c r="BP374" s="167" t="str">
        <f t="shared" si="567"/>
        <v xml:space="preserve">                                                                                                                                                                                                                                                                </v>
      </c>
      <c r="BQ374" s="174" t="str">
        <f t="shared" si="547"/>
        <v>NG</v>
      </c>
      <c r="BR374" s="162"/>
      <c r="BS374" s="172" t="s">
        <v>71</v>
      </c>
      <c r="BT374" s="160"/>
      <c r="BU374" s="162"/>
      <c r="BV374" s="167" t="str">
        <f t="shared" si="568"/>
        <v xml:space="preserve">                                                                                                                                                                                                                                                                </v>
      </c>
      <c r="BW374" s="174" t="str">
        <f t="shared" si="548"/>
        <v>NG</v>
      </c>
      <c r="BX374" s="162"/>
      <c r="BY374" s="172" t="s">
        <v>71</v>
      </c>
      <c r="BZ374" s="160"/>
      <c r="CA374" s="162"/>
      <c r="CB374" s="167" t="str">
        <f t="shared" si="569"/>
        <v xml:space="preserve">                                                                                                                                                                                                                                                                </v>
      </c>
      <c r="CC374" s="174" t="str">
        <f t="shared" si="549"/>
        <v>NG</v>
      </c>
      <c r="CD374" s="162"/>
      <c r="CE374" s="172" t="s">
        <v>71</v>
      </c>
      <c r="CF374" s="160"/>
      <c r="CG374" s="162"/>
      <c r="CH374" s="167" t="str">
        <f t="shared" si="570"/>
        <v xml:space="preserve">                                                                                                                                                                                                                                                                </v>
      </c>
      <c r="CI374" s="174" t="str">
        <f t="shared" si="550"/>
        <v>NG</v>
      </c>
      <c r="CJ374" s="162"/>
      <c r="CK374" s="172" t="s">
        <v>71</v>
      </c>
      <c r="CL374" s="160"/>
      <c r="CM374" s="162"/>
      <c r="CN374" s="167" t="str">
        <f t="shared" si="571"/>
        <v xml:space="preserve">                                                                                                                                                                                                                                                                </v>
      </c>
      <c r="CO374" s="174" t="str">
        <f t="shared" si="551"/>
        <v>NG</v>
      </c>
      <c r="CP374" s="162"/>
      <c r="CQ374" s="172" t="s">
        <v>71</v>
      </c>
      <c r="CR374" s="160"/>
      <c r="CS374" s="162"/>
      <c r="CT374" s="167" t="str">
        <f t="shared" si="572"/>
        <v xml:space="preserve">                                                                                                                                                                                                                                                                </v>
      </c>
      <c r="CU374" s="174" t="str">
        <f t="shared" si="552"/>
        <v>NG</v>
      </c>
      <c r="CV374" s="162"/>
      <c r="CW374" s="172" t="s">
        <v>71</v>
      </c>
      <c r="CX374" s="160"/>
      <c r="CY374" s="162"/>
      <c r="CZ374" s="167" t="str">
        <f t="shared" si="573"/>
        <v xml:space="preserve">                                                                                                                                                                                                                                                                </v>
      </c>
      <c r="DA374" s="174" t="str">
        <f t="shared" si="553"/>
        <v>NG</v>
      </c>
      <c r="DB374" s="162"/>
      <c r="DC374" s="172" t="s">
        <v>71</v>
      </c>
      <c r="DD374" s="160"/>
      <c r="DE374" s="162"/>
      <c r="DF374" s="167" t="str">
        <f t="shared" si="574"/>
        <v xml:space="preserve">                                                                                                                                                                                                                                                                </v>
      </c>
      <c r="DG374" s="174" t="str">
        <f t="shared" si="554"/>
        <v>NG</v>
      </c>
      <c r="DH374" s="162"/>
      <c r="DI374" s="172" t="s">
        <v>71</v>
      </c>
      <c r="DJ374" s="160"/>
      <c r="DK374" s="162"/>
      <c r="DL374" s="167" t="str">
        <f t="shared" si="575"/>
        <v xml:space="preserve">                                                                                                                                                                                                                                                                </v>
      </c>
      <c r="DM374" s="174" t="str">
        <f t="shared" si="555"/>
        <v>NG</v>
      </c>
      <c r="DN374" s="162"/>
      <c r="DO374" s="172" t="s">
        <v>71</v>
      </c>
      <c r="DP374" s="160"/>
      <c r="DQ374" s="162"/>
      <c r="DR374" s="167" t="str">
        <f t="shared" si="576"/>
        <v xml:space="preserve">                                                                                                                                                                                                                                                                </v>
      </c>
      <c r="DS374" s="174" t="str">
        <f t="shared" si="533"/>
        <v>NG</v>
      </c>
      <c r="DT374" s="162"/>
      <c r="DU374" s="172" t="s">
        <v>71</v>
      </c>
      <c r="DV374" s="160"/>
      <c r="DW374" s="162"/>
      <c r="DX374" s="167" t="str">
        <f t="shared" si="577"/>
        <v xml:space="preserve">                                                                                                                                                                                                                                                                </v>
      </c>
      <c r="DY374" s="174" t="str">
        <f t="shared" si="534"/>
        <v>NG</v>
      </c>
      <c r="DZ374" s="162"/>
      <c r="EA374" s="172" t="s">
        <v>71</v>
      </c>
      <c r="EB374" s="160"/>
      <c r="EC374" s="162"/>
      <c r="ED374" s="167" t="str">
        <f t="shared" si="578"/>
        <v xml:space="preserve">                                                                                                                                                                                                                                                                </v>
      </c>
      <c r="EE374" s="174" t="str">
        <f t="shared" si="535"/>
        <v>NG</v>
      </c>
      <c r="EF374" s="162"/>
      <c r="EG374" s="172" t="s">
        <v>71</v>
      </c>
      <c r="EH374" s="160"/>
      <c r="EI374" s="162"/>
      <c r="EJ374" s="167" t="str">
        <f t="shared" si="579"/>
        <v xml:space="preserve">                                                                                                                                                                                                                                                                </v>
      </c>
      <c r="EK374" s="174" t="str">
        <f t="shared" si="536"/>
        <v>NG</v>
      </c>
      <c r="EL374" s="162"/>
      <c r="EM374" s="172" t="s">
        <v>71</v>
      </c>
      <c r="EN374" s="160"/>
      <c r="EO374" s="162"/>
      <c r="EP374" s="167" t="str">
        <f t="shared" si="580"/>
        <v xml:space="preserve">                                                                                                                                                                                                                                                                </v>
      </c>
      <c r="EQ374" s="174" t="str">
        <f t="shared" si="537"/>
        <v>NG</v>
      </c>
      <c r="ER374" s="162"/>
      <c r="ES374" s="172" t="s">
        <v>71</v>
      </c>
      <c r="ET374" s="160"/>
      <c r="EU374" s="162"/>
      <c r="EV374" s="167" t="str">
        <f t="shared" si="581"/>
        <v xml:space="preserve">                                                                                                                                                                                                                                                                </v>
      </c>
      <c r="EW374" s="174" t="str">
        <f t="shared" si="538"/>
        <v>NG</v>
      </c>
      <c r="EX374" s="162"/>
      <c r="EY374" s="172" t="s">
        <v>71</v>
      </c>
      <c r="EZ374" s="160"/>
      <c r="FA374" s="162"/>
      <c r="FB374" s="167" t="str">
        <f t="shared" si="582"/>
        <v xml:space="preserve">                                                                                                                                                                                                                                                                </v>
      </c>
      <c r="FC374" s="174" t="str">
        <f t="shared" si="539"/>
        <v>NG</v>
      </c>
      <c r="FD374" s="162"/>
      <c r="FE374" s="172" t="s">
        <v>71</v>
      </c>
      <c r="FF374" s="160"/>
      <c r="FG374" s="162"/>
      <c r="FH374" s="167" t="str">
        <f t="shared" si="583"/>
        <v xml:space="preserve">                                                                                                                                                                                                                                                                </v>
      </c>
      <c r="FI374" s="174" t="str">
        <f t="shared" si="540"/>
        <v>NG</v>
      </c>
      <c r="FJ374" s="162"/>
      <c r="FK374" s="172" t="s">
        <v>71</v>
      </c>
      <c r="FL374" s="160"/>
      <c r="FM374" s="162"/>
      <c r="FN374" s="167" t="str">
        <f t="shared" si="584"/>
        <v xml:space="preserve">                                                                                                                                                                                                                                                                </v>
      </c>
      <c r="FO374" s="174" t="str">
        <f t="shared" si="556"/>
        <v>NG</v>
      </c>
      <c r="FP374" s="162"/>
      <c r="FQ374" s="172" t="s">
        <v>71</v>
      </c>
      <c r="FR374" s="160"/>
      <c r="FS374" s="162"/>
      <c r="FT374" s="167" t="str">
        <f t="shared" si="585"/>
        <v xml:space="preserve">                                                                                                                                                                                                                                                                </v>
      </c>
      <c r="FU374" s="174" t="str">
        <f t="shared" si="557"/>
        <v>NG</v>
      </c>
      <c r="FV374" s="162"/>
      <c r="FW374" s="172" t="s">
        <v>71</v>
      </c>
      <c r="FX374" s="160"/>
      <c r="FY374" s="162"/>
      <c r="FZ374" s="167" t="str">
        <f t="shared" si="586"/>
        <v xml:space="preserve">                                                                                                                                                                                                                                                                </v>
      </c>
      <c r="GA374" s="174" t="str">
        <f t="shared" si="558"/>
        <v>NG</v>
      </c>
      <c r="GB374" s="162"/>
      <c r="GC374" s="172" t="s">
        <v>71</v>
      </c>
    </row>
    <row r="375" spans="2:185" s="52" customFormat="1" ht="69" customHeight="1">
      <c r="B375" s="53">
        <f t="shared" si="587"/>
        <v>368</v>
      </c>
      <c r="C375" s="37"/>
      <c r="D375" s="37"/>
      <c r="E375" s="37"/>
      <c r="F375" s="188" t="s">
        <v>329</v>
      </c>
      <c r="G375" s="39"/>
      <c r="H375" s="40"/>
      <c r="I375" s="42"/>
      <c r="J375" s="42" t="s">
        <v>316</v>
      </c>
      <c r="K375" s="42"/>
      <c r="L375" s="42"/>
      <c r="M375" s="63" t="s">
        <v>330</v>
      </c>
      <c r="N375" s="47"/>
      <c r="O375" s="143"/>
      <c r="P375" s="45">
        <f t="shared" si="591"/>
        <v>340</v>
      </c>
      <c r="Q375" s="46">
        <v>1</v>
      </c>
      <c r="R375" s="41" t="s">
        <v>81</v>
      </c>
      <c r="S375" s="185" t="s">
        <v>204</v>
      </c>
      <c r="T375" s="43"/>
      <c r="U375" s="41" t="s">
        <v>80</v>
      </c>
      <c r="V375" s="44"/>
      <c r="W375" s="22">
        <v>3</v>
      </c>
      <c r="X375" s="47" t="s">
        <v>205</v>
      </c>
      <c r="Y375" s="47">
        <v>1</v>
      </c>
      <c r="Z375" s="47">
        <v>1</v>
      </c>
      <c r="AA375" s="42">
        <v>9</v>
      </c>
      <c r="AB375" s="42" t="s">
        <v>57</v>
      </c>
      <c r="AC375" s="166"/>
      <c r="AD375" s="160"/>
      <c r="AE375" s="162"/>
      <c r="AF375" s="203" t="str">
        <f t="shared" si="562"/>
        <v xml:space="preserve"> </v>
      </c>
      <c r="AG375" s="174" t="str">
        <f t="shared" si="542"/>
        <v>NG</v>
      </c>
      <c r="AH375" s="162"/>
      <c r="AI375" s="276" t="str">
        <f>IF(OR(AE$8="判定対象外",AH$8="判定対象外",AH375="-"),"-",IF(AE375=AH375,"OK","NG"))</f>
        <v>OK</v>
      </c>
      <c r="AJ375" s="160"/>
      <c r="AK375" s="162"/>
      <c r="AL375" s="203" t="str">
        <f t="shared" si="559"/>
        <v xml:space="preserve"> </v>
      </c>
      <c r="AM375" s="174" t="str">
        <f t="shared" si="588"/>
        <v>NG</v>
      </c>
      <c r="AN375" s="162"/>
      <c r="AO375" s="276" t="str">
        <f>IF(OR(AK$8="判定対象外",AN$8="判定対象外",AN375="-"),"-",IF(AK375=AN375,"OK","NG"))</f>
        <v>OK</v>
      </c>
      <c r="AP375" s="160"/>
      <c r="AQ375" s="162"/>
      <c r="AR375" s="203" t="str">
        <f t="shared" si="563"/>
        <v xml:space="preserve"> </v>
      </c>
      <c r="AS375" s="174" t="str">
        <f t="shared" si="543"/>
        <v>NG</v>
      </c>
      <c r="AT375" s="162"/>
      <c r="AU375" s="276" t="str">
        <f>IF(OR(AQ$8="判定対象外",AT$8="判定対象外",AT375="-"),"-",IF(AQ375=AT375,"OK","NG"))</f>
        <v>OK</v>
      </c>
      <c r="AV375" s="160"/>
      <c r="AW375" s="162"/>
      <c r="AX375" s="203" t="str">
        <f t="shared" si="564"/>
        <v xml:space="preserve"> </v>
      </c>
      <c r="AY375" s="174" t="str">
        <f t="shared" si="544"/>
        <v>NG</v>
      </c>
      <c r="AZ375" s="162"/>
      <c r="BA375" s="276" t="str">
        <f>IF(OR(AW$8="判定対象外",AZ$8="判定対象外",AZ375="-"),"-",IF(AW375=AZ375,"OK","NG"))</f>
        <v>OK</v>
      </c>
      <c r="BB375" s="160"/>
      <c r="BC375" s="162"/>
      <c r="BD375" s="203" t="str">
        <f t="shared" si="565"/>
        <v xml:space="preserve"> </v>
      </c>
      <c r="BE375" s="174" t="str">
        <f t="shared" si="545"/>
        <v>NG</v>
      </c>
      <c r="BF375" s="162"/>
      <c r="BG375" s="276" t="str">
        <f>IF(OR(BC$8="判定対象外",BF$8="判定対象外",BF375="-"),"-",IF(BC375=BF375,"OK","NG"))</f>
        <v>OK</v>
      </c>
      <c r="BH375" s="160"/>
      <c r="BI375" s="162"/>
      <c r="BJ375" s="203" t="str">
        <f t="shared" si="566"/>
        <v xml:space="preserve"> </v>
      </c>
      <c r="BK375" s="174" t="str">
        <f t="shared" si="546"/>
        <v>NG</v>
      </c>
      <c r="BL375" s="162"/>
      <c r="BM375" s="276" t="str">
        <f>IF(OR(BI$8="判定対象外",BL$8="判定対象外",BL375="-"),"-",IF(BI375=BL375,"OK","NG"))</f>
        <v>OK</v>
      </c>
      <c r="BN375" s="160"/>
      <c r="BO375" s="162"/>
      <c r="BP375" s="203" t="str">
        <f t="shared" si="567"/>
        <v xml:space="preserve"> </v>
      </c>
      <c r="BQ375" s="174" t="str">
        <f t="shared" si="547"/>
        <v>NG</v>
      </c>
      <c r="BR375" s="162"/>
      <c r="BS375" s="276" t="str">
        <f>IF(OR(BO$8="判定対象外",BR$8="判定対象外",BR375="-"),"-",IF(BO375=BR375,"OK","NG"))</f>
        <v>OK</v>
      </c>
      <c r="BT375" s="160"/>
      <c r="BU375" s="162"/>
      <c r="BV375" s="203" t="str">
        <f t="shared" si="568"/>
        <v xml:space="preserve"> </v>
      </c>
      <c r="BW375" s="174" t="str">
        <f t="shared" si="548"/>
        <v>NG</v>
      </c>
      <c r="BX375" s="162"/>
      <c r="BY375" s="276" t="str">
        <f>IF(OR(BU$8="判定対象外",BX$8="判定対象外",BX375="-"),"-",IF(BU375=BX375,"OK","NG"))</f>
        <v>OK</v>
      </c>
      <c r="BZ375" s="160"/>
      <c r="CA375" s="162"/>
      <c r="CB375" s="203" t="str">
        <f t="shared" si="569"/>
        <v xml:space="preserve"> </v>
      </c>
      <c r="CC375" s="174" t="str">
        <f t="shared" si="549"/>
        <v>NG</v>
      </c>
      <c r="CD375" s="162"/>
      <c r="CE375" s="276" t="str">
        <f>IF(OR(CA$8="判定対象外",CD$8="判定対象外",CD375="-"),"-",IF(CA375=CD375,"OK","NG"))</f>
        <v>OK</v>
      </c>
      <c r="CF375" s="160"/>
      <c r="CG375" s="162"/>
      <c r="CH375" s="203" t="str">
        <f t="shared" si="570"/>
        <v xml:space="preserve"> </v>
      </c>
      <c r="CI375" s="174" t="str">
        <f t="shared" si="550"/>
        <v>NG</v>
      </c>
      <c r="CJ375" s="162"/>
      <c r="CK375" s="276" t="str">
        <f>IF(OR(CG$8="判定対象外",CJ$8="判定対象外",CJ375="-"),"-",IF(CG375=CJ375,"OK","NG"))</f>
        <v>OK</v>
      </c>
      <c r="CL375" s="160"/>
      <c r="CM375" s="162"/>
      <c r="CN375" s="203" t="str">
        <f t="shared" si="571"/>
        <v xml:space="preserve"> </v>
      </c>
      <c r="CO375" s="174" t="str">
        <f t="shared" si="551"/>
        <v>NG</v>
      </c>
      <c r="CP375" s="162"/>
      <c r="CQ375" s="276" t="str">
        <f>IF(OR(CM$8="判定対象外",CP$8="判定対象外",CP375="-"),"-",IF(CM375=CP375,"OK","NG"))</f>
        <v>OK</v>
      </c>
      <c r="CR375" s="160"/>
      <c r="CS375" s="162"/>
      <c r="CT375" s="203" t="str">
        <f t="shared" si="572"/>
        <v xml:space="preserve"> </v>
      </c>
      <c r="CU375" s="174" t="str">
        <f t="shared" si="552"/>
        <v>NG</v>
      </c>
      <c r="CV375" s="162"/>
      <c r="CW375" s="276" t="str">
        <f>IF(OR(CS$8="判定対象外",CV$8="判定対象外",CV375="-"),"-",IF(CS375=CV375,"OK","NG"))</f>
        <v>OK</v>
      </c>
      <c r="CX375" s="160"/>
      <c r="CY375" s="162"/>
      <c r="CZ375" s="203" t="str">
        <f t="shared" si="573"/>
        <v xml:space="preserve"> </v>
      </c>
      <c r="DA375" s="174" t="str">
        <f t="shared" si="553"/>
        <v>NG</v>
      </c>
      <c r="DB375" s="162"/>
      <c r="DC375" s="276" t="str">
        <f>IF(OR(CY$8="判定対象外",DB$8="判定対象外",DB375="-"),"-",IF(CY375=DB375,"OK","NG"))</f>
        <v>OK</v>
      </c>
      <c r="DD375" s="160"/>
      <c r="DE375" s="162"/>
      <c r="DF375" s="203" t="str">
        <f t="shared" si="574"/>
        <v xml:space="preserve"> </v>
      </c>
      <c r="DG375" s="174" t="str">
        <f t="shared" si="554"/>
        <v>NG</v>
      </c>
      <c r="DH375" s="162"/>
      <c r="DI375" s="276" t="str">
        <f>IF(OR(DE$8="判定対象外",DH$8="判定対象外",DH375="-"),"-",IF(DE375=DH375,"OK","NG"))</f>
        <v>OK</v>
      </c>
      <c r="DJ375" s="160"/>
      <c r="DK375" s="162"/>
      <c r="DL375" s="203" t="str">
        <f t="shared" si="575"/>
        <v xml:space="preserve"> </v>
      </c>
      <c r="DM375" s="174" t="str">
        <f t="shared" si="555"/>
        <v>NG</v>
      </c>
      <c r="DN375" s="162"/>
      <c r="DO375" s="276" t="str">
        <f>IF(OR(DK$8="判定対象外",DN$8="判定対象外",DN375="-"),"-",IF(DK375=DN375,"OK","NG"))</f>
        <v>OK</v>
      </c>
      <c r="DP375" s="160"/>
      <c r="DQ375" s="162"/>
      <c r="DR375" s="203" t="str">
        <f t="shared" si="576"/>
        <v xml:space="preserve"> </v>
      </c>
      <c r="DS375" s="174" t="str">
        <f t="shared" si="533"/>
        <v>NG</v>
      </c>
      <c r="DT375" s="162"/>
      <c r="DU375" s="276" t="str">
        <f>IF(OR(DQ$8="判定対象外",DT$8="判定対象外",DT375="-"),"-",IF(DQ375=DT375,"OK","NG"))</f>
        <v>OK</v>
      </c>
      <c r="DV375" s="160"/>
      <c r="DW375" s="162"/>
      <c r="DX375" s="203" t="str">
        <f t="shared" si="577"/>
        <v xml:space="preserve"> </v>
      </c>
      <c r="DY375" s="174" t="str">
        <f t="shared" si="534"/>
        <v>NG</v>
      </c>
      <c r="DZ375" s="162"/>
      <c r="EA375" s="276" t="str">
        <f>IF(OR(DW$8="判定対象外",DZ$8="判定対象外",DZ375="-"),"-",IF(DW375=DZ375,"OK","NG"))</f>
        <v>OK</v>
      </c>
      <c r="EB375" s="160"/>
      <c r="EC375" s="162"/>
      <c r="ED375" s="203" t="str">
        <f t="shared" si="578"/>
        <v xml:space="preserve"> </v>
      </c>
      <c r="EE375" s="174" t="str">
        <f t="shared" si="535"/>
        <v>NG</v>
      </c>
      <c r="EF375" s="162"/>
      <c r="EG375" s="276" t="str">
        <f>IF(OR(EC$8="判定対象外",EF$8="判定対象外",EF375="-"),"-",IF(EC375=EF375,"OK","NG"))</f>
        <v>OK</v>
      </c>
      <c r="EH375" s="160"/>
      <c r="EI375" s="162"/>
      <c r="EJ375" s="203" t="str">
        <f t="shared" si="579"/>
        <v xml:space="preserve"> </v>
      </c>
      <c r="EK375" s="174" t="str">
        <f t="shared" si="536"/>
        <v>NG</v>
      </c>
      <c r="EL375" s="162"/>
      <c r="EM375" s="276" t="str">
        <f>IF(OR(EI$8="判定対象外",EL$8="判定対象外",EL375="-"),"-",IF(EI375=EL375,"OK","NG"))</f>
        <v>OK</v>
      </c>
      <c r="EN375" s="160"/>
      <c r="EO375" s="162"/>
      <c r="EP375" s="203" t="str">
        <f t="shared" si="580"/>
        <v xml:space="preserve"> </v>
      </c>
      <c r="EQ375" s="174" t="str">
        <f t="shared" si="537"/>
        <v>NG</v>
      </c>
      <c r="ER375" s="162"/>
      <c r="ES375" s="276" t="str">
        <f>IF(OR(EO$8="判定対象外",ER$8="判定対象外",ER375="-"),"-",IF(EO375=ER375,"OK","NG"))</f>
        <v>OK</v>
      </c>
      <c r="ET375" s="160"/>
      <c r="EU375" s="162"/>
      <c r="EV375" s="203" t="str">
        <f t="shared" si="581"/>
        <v xml:space="preserve"> </v>
      </c>
      <c r="EW375" s="174" t="str">
        <f t="shared" si="538"/>
        <v>NG</v>
      </c>
      <c r="EX375" s="162"/>
      <c r="EY375" s="276" t="str">
        <f>IF(OR(EU$8="判定対象外",EX$8="判定対象外",EX375="-"),"-",IF(EU375=EX375,"OK","NG"))</f>
        <v>OK</v>
      </c>
      <c r="EZ375" s="160"/>
      <c r="FA375" s="162"/>
      <c r="FB375" s="203" t="str">
        <f t="shared" si="582"/>
        <v xml:space="preserve"> </v>
      </c>
      <c r="FC375" s="174" t="str">
        <f t="shared" si="539"/>
        <v>NG</v>
      </c>
      <c r="FD375" s="162"/>
      <c r="FE375" s="276" t="str">
        <f>IF(OR(FA$8="判定対象外",FD$8="判定対象外",FD375="-"),"-",IF(FA375=FD375,"OK","NG"))</f>
        <v>OK</v>
      </c>
      <c r="FF375" s="160"/>
      <c r="FG375" s="162"/>
      <c r="FH375" s="203" t="str">
        <f t="shared" si="583"/>
        <v xml:space="preserve"> </v>
      </c>
      <c r="FI375" s="174" t="str">
        <f t="shared" si="540"/>
        <v>NG</v>
      </c>
      <c r="FJ375" s="162"/>
      <c r="FK375" s="276" t="str">
        <f>IF(OR(FG$8="判定対象外",FJ$8="判定対象外",FJ375="-"),"-",IF(FG375=FJ375,"OK","NG"))</f>
        <v>OK</v>
      </c>
      <c r="FL375" s="160"/>
      <c r="FM375" s="162"/>
      <c r="FN375" s="203" t="str">
        <f t="shared" si="584"/>
        <v xml:space="preserve"> </v>
      </c>
      <c r="FO375" s="174" t="str">
        <f t="shared" si="556"/>
        <v>NG</v>
      </c>
      <c r="FP375" s="162"/>
      <c r="FQ375" s="276" t="str">
        <f>IF(OR(FM$8="判定対象外",FP$8="判定対象外",FP375="-"),"-",IF(FM375=FP375,"OK","NG"))</f>
        <v>OK</v>
      </c>
      <c r="FR375" s="160"/>
      <c r="FS375" s="162"/>
      <c r="FT375" s="203" t="str">
        <f t="shared" si="585"/>
        <v xml:space="preserve"> </v>
      </c>
      <c r="FU375" s="174" t="str">
        <f t="shared" si="557"/>
        <v>NG</v>
      </c>
      <c r="FV375" s="162"/>
      <c r="FW375" s="276" t="str">
        <f>IF(OR(FS$8="判定対象外",FV$8="判定対象外",FV375="-"),"-",IF(FS375=FV375,"OK","NG"))</f>
        <v>OK</v>
      </c>
      <c r="FX375" s="160"/>
      <c r="FY375" s="162"/>
      <c r="FZ375" s="203" t="str">
        <f t="shared" si="586"/>
        <v xml:space="preserve"> </v>
      </c>
      <c r="GA375" s="174" t="str">
        <f t="shared" si="558"/>
        <v>NG</v>
      </c>
      <c r="GB375" s="162"/>
      <c r="GC375" s="276" t="str">
        <f>IF(OR(FY$8="判定対象外",GB$8="判定対象外",GB375="-"),"-",IF(FY375=GB375,"OK","NG"))</f>
        <v>OK</v>
      </c>
    </row>
    <row r="376" spans="2:185" s="52" customFormat="1" ht="114.75">
      <c r="B376" s="48">
        <f t="shared" si="587"/>
        <v>369</v>
      </c>
      <c r="C376" s="37"/>
      <c r="D376" s="37"/>
      <c r="E376" s="37"/>
      <c r="F376" s="49" t="s">
        <v>206</v>
      </c>
      <c r="G376" s="39"/>
      <c r="H376" s="40"/>
      <c r="I376" s="42"/>
      <c r="J376" s="42"/>
      <c r="K376" s="42"/>
      <c r="L376" s="42"/>
      <c r="M376" s="163" t="s">
        <v>331</v>
      </c>
      <c r="N376" s="47"/>
      <c r="O376" s="143"/>
      <c r="P376" s="45">
        <f t="shared" si="591"/>
        <v>341</v>
      </c>
      <c r="Q376" s="46">
        <v>1</v>
      </c>
      <c r="R376" s="41" t="s">
        <v>81</v>
      </c>
      <c r="S376" s="185" t="s">
        <v>207</v>
      </c>
      <c r="T376" s="43"/>
      <c r="U376" s="41" t="s">
        <v>80</v>
      </c>
      <c r="V376" s="44"/>
      <c r="W376" s="22">
        <v>3</v>
      </c>
      <c r="X376" s="47" t="s">
        <v>98</v>
      </c>
      <c r="Y376" s="47">
        <v>1</v>
      </c>
      <c r="Z376" s="47">
        <v>1</v>
      </c>
      <c r="AA376" s="42">
        <v>9</v>
      </c>
      <c r="AB376" s="42" t="s">
        <v>57</v>
      </c>
      <c r="AC376" s="215"/>
      <c r="AD376" s="160"/>
      <c r="AE376" s="162"/>
      <c r="AF376" s="203" t="str">
        <f t="shared" si="562"/>
        <v xml:space="preserve"> </v>
      </c>
      <c r="AG376" s="174" t="str">
        <f t="shared" si="542"/>
        <v>NG</v>
      </c>
      <c r="AH376" s="162"/>
      <c r="AI376" s="172" t="s">
        <v>71</v>
      </c>
      <c r="AJ376" s="160"/>
      <c r="AK376" s="162"/>
      <c r="AL376" s="203" t="str">
        <f t="shared" si="559"/>
        <v xml:space="preserve"> </v>
      </c>
      <c r="AM376" s="174" t="str">
        <f t="shared" si="588"/>
        <v>NG</v>
      </c>
      <c r="AN376" s="162"/>
      <c r="AO376" s="172" t="s">
        <v>71</v>
      </c>
      <c r="AP376" s="160"/>
      <c r="AQ376" s="162"/>
      <c r="AR376" s="203" t="str">
        <f t="shared" si="563"/>
        <v xml:space="preserve"> </v>
      </c>
      <c r="AS376" s="174" t="str">
        <f t="shared" si="543"/>
        <v>NG</v>
      </c>
      <c r="AT376" s="162"/>
      <c r="AU376" s="172" t="s">
        <v>71</v>
      </c>
      <c r="AV376" s="160"/>
      <c r="AW376" s="162"/>
      <c r="AX376" s="203" t="str">
        <f t="shared" si="564"/>
        <v xml:space="preserve"> </v>
      </c>
      <c r="AY376" s="174" t="str">
        <f t="shared" si="544"/>
        <v>NG</v>
      </c>
      <c r="AZ376" s="162"/>
      <c r="BA376" s="172" t="s">
        <v>71</v>
      </c>
      <c r="BB376" s="160"/>
      <c r="BC376" s="162"/>
      <c r="BD376" s="203" t="str">
        <f t="shared" si="565"/>
        <v xml:space="preserve"> </v>
      </c>
      <c r="BE376" s="174" t="str">
        <f t="shared" si="545"/>
        <v>NG</v>
      </c>
      <c r="BF376" s="162"/>
      <c r="BG376" s="172" t="s">
        <v>71</v>
      </c>
      <c r="BH376" s="160"/>
      <c r="BI376" s="162"/>
      <c r="BJ376" s="203" t="str">
        <f t="shared" si="566"/>
        <v xml:space="preserve"> </v>
      </c>
      <c r="BK376" s="174" t="str">
        <f t="shared" si="546"/>
        <v>NG</v>
      </c>
      <c r="BL376" s="162"/>
      <c r="BM376" s="172" t="s">
        <v>71</v>
      </c>
      <c r="BN376" s="160"/>
      <c r="BO376" s="162"/>
      <c r="BP376" s="203" t="str">
        <f t="shared" si="567"/>
        <v xml:space="preserve"> </v>
      </c>
      <c r="BQ376" s="174" t="str">
        <f t="shared" si="547"/>
        <v>NG</v>
      </c>
      <c r="BR376" s="162"/>
      <c r="BS376" s="172" t="s">
        <v>71</v>
      </c>
      <c r="BT376" s="160"/>
      <c r="BU376" s="162"/>
      <c r="BV376" s="203" t="str">
        <f t="shared" si="568"/>
        <v xml:space="preserve"> </v>
      </c>
      <c r="BW376" s="174" t="str">
        <f t="shared" si="548"/>
        <v>NG</v>
      </c>
      <c r="BX376" s="162"/>
      <c r="BY376" s="172" t="s">
        <v>71</v>
      </c>
      <c r="BZ376" s="160"/>
      <c r="CA376" s="162"/>
      <c r="CB376" s="203" t="str">
        <f t="shared" si="569"/>
        <v xml:space="preserve"> </v>
      </c>
      <c r="CC376" s="174" t="str">
        <f t="shared" si="549"/>
        <v>NG</v>
      </c>
      <c r="CD376" s="162"/>
      <c r="CE376" s="172" t="s">
        <v>71</v>
      </c>
      <c r="CF376" s="160"/>
      <c r="CG376" s="162"/>
      <c r="CH376" s="203" t="str">
        <f t="shared" si="570"/>
        <v xml:space="preserve"> </v>
      </c>
      <c r="CI376" s="174" t="str">
        <f t="shared" si="550"/>
        <v>NG</v>
      </c>
      <c r="CJ376" s="162"/>
      <c r="CK376" s="172" t="s">
        <v>71</v>
      </c>
      <c r="CL376" s="160"/>
      <c r="CM376" s="162"/>
      <c r="CN376" s="203" t="str">
        <f t="shared" si="571"/>
        <v xml:space="preserve"> </v>
      </c>
      <c r="CO376" s="174" t="str">
        <f t="shared" si="551"/>
        <v>NG</v>
      </c>
      <c r="CP376" s="162"/>
      <c r="CQ376" s="172" t="s">
        <v>71</v>
      </c>
      <c r="CR376" s="160"/>
      <c r="CS376" s="162"/>
      <c r="CT376" s="203" t="str">
        <f t="shared" si="572"/>
        <v xml:space="preserve"> </v>
      </c>
      <c r="CU376" s="174" t="str">
        <f t="shared" si="552"/>
        <v>NG</v>
      </c>
      <c r="CV376" s="162"/>
      <c r="CW376" s="172" t="s">
        <v>71</v>
      </c>
      <c r="CX376" s="160"/>
      <c r="CY376" s="162"/>
      <c r="CZ376" s="203" t="str">
        <f t="shared" si="573"/>
        <v xml:space="preserve"> </v>
      </c>
      <c r="DA376" s="174" t="str">
        <f t="shared" si="553"/>
        <v>NG</v>
      </c>
      <c r="DB376" s="162"/>
      <c r="DC376" s="172" t="s">
        <v>71</v>
      </c>
      <c r="DD376" s="160"/>
      <c r="DE376" s="162"/>
      <c r="DF376" s="203" t="str">
        <f t="shared" si="574"/>
        <v xml:space="preserve"> </v>
      </c>
      <c r="DG376" s="174" t="str">
        <f t="shared" si="554"/>
        <v>NG</v>
      </c>
      <c r="DH376" s="162"/>
      <c r="DI376" s="172" t="s">
        <v>71</v>
      </c>
      <c r="DJ376" s="160"/>
      <c r="DK376" s="162"/>
      <c r="DL376" s="203" t="str">
        <f t="shared" si="575"/>
        <v xml:space="preserve"> </v>
      </c>
      <c r="DM376" s="174" t="str">
        <f t="shared" si="555"/>
        <v>NG</v>
      </c>
      <c r="DN376" s="162"/>
      <c r="DO376" s="172" t="s">
        <v>71</v>
      </c>
      <c r="DP376" s="160"/>
      <c r="DQ376" s="162"/>
      <c r="DR376" s="203" t="str">
        <f t="shared" si="576"/>
        <v xml:space="preserve"> </v>
      </c>
      <c r="DS376" s="174" t="str">
        <f t="shared" si="533"/>
        <v>NG</v>
      </c>
      <c r="DT376" s="162"/>
      <c r="DU376" s="172" t="s">
        <v>71</v>
      </c>
      <c r="DV376" s="160"/>
      <c r="DW376" s="162"/>
      <c r="DX376" s="203" t="str">
        <f t="shared" si="577"/>
        <v xml:space="preserve"> </v>
      </c>
      <c r="DY376" s="174" t="str">
        <f t="shared" si="534"/>
        <v>NG</v>
      </c>
      <c r="DZ376" s="162"/>
      <c r="EA376" s="172" t="s">
        <v>71</v>
      </c>
      <c r="EB376" s="160"/>
      <c r="EC376" s="162"/>
      <c r="ED376" s="203" t="str">
        <f t="shared" si="578"/>
        <v xml:space="preserve"> </v>
      </c>
      <c r="EE376" s="174" t="str">
        <f t="shared" si="535"/>
        <v>NG</v>
      </c>
      <c r="EF376" s="162"/>
      <c r="EG376" s="172" t="s">
        <v>71</v>
      </c>
      <c r="EH376" s="160"/>
      <c r="EI376" s="162"/>
      <c r="EJ376" s="203" t="str">
        <f t="shared" si="579"/>
        <v xml:space="preserve"> </v>
      </c>
      <c r="EK376" s="174" t="str">
        <f t="shared" si="536"/>
        <v>NG</v>
      </c>
      <c r="EL376" s="162"/>
      <c r="EM376" s="172" t="s">
        <v>71</v>
      </c>
      <c r="EN376" s="160"/>
      <c r="EO376" s="162"/>
      <c r="EP376" s="203" t="str">
        <f t="shared" si="580"/>
        <v xml:space="preserve"> </v>
      </c>
      <c r="EQ376" s="174" t="str">
        <f t="shared" si="537"/>
        <v>NG</v>
      </c>
      <c r="ER376" s="162"/>
      <c r="ES376" s="172" t="s">
        <v>71</v>
      </c>
      <c r="ET376" s="160"/>
      <c r="EU376" s="162"/>
      <c r="EV376" s="203" t="str">
        <f t="shared" si="581"/>
        <v xml:space="preserve"> </v>
      </c>
      <c r="EW376" s="174" t="str">
        <f t="shared" si="538"/>
        <v>NG</v>
      </c>
      <c r="EX376" s="162"/>
      <c r="EY376" s="172" t="s">
        <v>71</v>
      </c>
      <c r="EZ376" s="160"/>
      <c r="FA376" s="162"/>
      <c r="FB376" s="203" t="str">
        <f t="shared" si="582"/>
        <v xml:space="preserve"> </v>
      </c>
      <c r="FC376" s="174" t="str">
        <f t="shared" si="539"/>
        <v>NG</v>
      </c>
      <c r="FD376" s="162"/>
      <c r="FE376" s="172" t="s">
        <v>71</v>
      </c>
      <c r="FF376" s="160"/>
      <c r="FG376" s="162"/>
      <c r="FH376" s="203" t="str">
        <f t="shared" si="583"/>
        <v xml:space="preserve"> </v>
      </c>
      <c r="FI376" s="174" t="str">
        <f t="shared" si="540"/>
        <v>NG</v>
      </c>
      <c r="FJ376" s="162"/>
      <c r="FK376" s="172" t="s">
        <v>71</v>
      </c>
      <c r="FL376" s="160"/>
      <c r="FM376" s="162"/>
      <c r="FN376" s="203" t="str">
        <f t="shared" si="584"/>
        <v xml:space="preserve"> </v>
      </c>
      <c r="FO376" s="174" t="str">
        <f t="shared" si="556"/>
        <v>NG</v>
      </c>
      <c r="FP376" s="162"/>
      <c r="FQ376" s="172" t="s">
        <v>71</v>
      </c>
      <c r="FR376" s="160"/>
      <c r="FS376" s="162"/>
      <c r="FT376" s="203" t="str">
        <f t="shared" si="585"/>
        <v xml:space="preserve"> </v>
      </c>
      <c r="FU376" s="174" t="str">
        <f t="shared" si="557"/>
        <v>NG</v>
      </c>
      <c r="FV376" s="162"/>
      <c r="FW376" s="172" t="s">
        <v>71</v>
      </c>
      <c r="FX376" s="160"/>
      <c r="FY376" s="162"/>
      <c r="FZ376" s="203" t="str">
        <f t="shared" si="586"/>
        <v xml:space="preserve"> </v>
      </c>
      <c r="GA376" s="174" t="str">
        <f t="shared" si="558"/>
        <v>NG</v>
      </c>
      <c r="GB376" s="162"/>
      <c r="GC376" s="172" t="s">
        <v>71</v>
      </c>
    </row>
    <row r="377" spans="2:185" s="52" customFormat="1" ht="126.75" customHeight="1">
      <c r="B377" s="216">
        <f t="shared" si="587"/>
        <v>370</v>
      </c>
      <c r="C377" s="37"/>
      <c r="D377" s="37"/>
      <c r="E377" s="37"/>
      <c r="F377" s="188" t="s">
        <v>332</v>
      </c>
      <c r="G377" s="39"/>
      <c r="H377" s="40"/>
      <c r="I377" s="42"/>
      <c r="J377" s="42"/>
      <c r="K377" s="42"/>
      <c r="L377" s="42"/>
      <c r="M377" s="63" t="s">
        <v>333</v>
      </c>
      <c r="N377" s="47"/>
      <c r="O377" s="143"/>
      <c r="P377" s="45">
        <f t="shared" si="591"/>
        <v>342</v>
      </c>
      <c r="Q377" s="46">
        <v>1</v>
      </c>
      <c r="R377" s="41" t="str">
        <f t="shared" ref="R377:R394" si="592">IF(AA377="M","NX",AA377)</f>
        <v>X</v>
      </c>
      <c r="S377" s="185" t="s">
        <v>208</v>
      </c>
      <c r="T377" s="43"/>
      <c r="U377" s="41" t="s">
        <v>80</v>
      </c>
      <c r="V377" s="44"/>
      <c r="W377" s="22">
        <v>3</v>
      </c>
      <c r="X377" s="47" t="s">
        <v>209</v>
      </c>
      <c r="Y377" s="47">
        <v>1</v>
      </c>
      <c r="Z377" s="47">
        <v>1</v>
      </c>
      <c r="AA377" s="42" t="s">
        <v>81</v>
      </c>
      <c r="AB377" s="42" t="s">
        <v>80</v>
      </c>
      <c r="AC377" s="166"/>
      <c r="AD377" s="160"/>
      <c r="AE377" s="162"/>
      <c r="AF377" s="203" t="str">
        <f t="shared" si="562"/>
        <v xml:space="preserve"> </v>
      </c>
      <c r="AG377" s="174" t="str">
        <f t="shared" si="542"/>
        <v>NG</v>
      </c>
      <c r="AH377" s="162"/>
      <c r="AI377" s="276" t="str">
        <f>IF(OR(AE$8="判定対象外",AH$8="判定対象外",AH377="-"),"-",IF(AE377=AH377,"OK","NG"))</f>
        <v>OK</v>
      </c>
      <c r="AJ377" s="160"/>
      <c r="AK377" s="162"/>
      <c r="AL377" s="203" t="str">
        <f t="shared" si="559"/>
        <v xml:space="preserve"> </v>
      </c>
      <c r="AM377" s="174" t="str">
        <f t="shared" si="588"/>
        <v>NG</v>
      </c>
      <c r="AN377" s="162"/>
      <c r="AO377" s="276" t="str">
        <f>IF(OR(AK$8="判定対象外",AN$8="判定対象外",AN377="-"),"-",IF(AK377=AN377,"OK","NG"))</f>
        <v>OK</v>
      </c>
      <c r="AP377" s="160"/>
      <c r="AQ377" s="162"/>
      <c r="AR377" s="203" t="str">
        <f t="shared" si="563"/>
        <v xml:space="preserve"> </v>
      </c>
      <c r="AS377" s="174" t="str">
        <f t="shared" si="543"/>
        <v>NG</v>
      </c>
      <c r="AT377" s="162"/>
      <c r="AU377" s="276" t="str">
        <f>IF(OR(AQ$8="判定対象外",AT$8="判定対象外",AT377="-"),"-",IF(AQ377=AT377,"OK","NG"))</f>
        <v>OK</v>
      </c>
      <c r="AV377" s="160"/>
      <c r="AW377" s="162"/>
      <c r="AX377" s="203" t="str">
        <f t="shared" si="564"/>
        <v xml:space="preserve"> </v>
      </c>
      <c r="AY377" s="174" t="str">
        <f t="shared" si="544"/>
        <v>NG</v>
      </c>
      <c r="AZ377" s="162"/>
      <c r="BA377" s="276" t="str">
        <f>IF(OR(AW$8="判定対象外",AZ$8="判定対象外",AZ377="-"),"-",IF(AW377=AZ377,"OK","NG"))</f>
        <v>OK</v>
      </c>
      <c r="BB377" s="160"/>
      <c r="BC377" s="162"/>
      <c r="BD377" s="203" t="str">
        <f t="shared" si="565"/>
        <v xml:space="preserve"> </v>
      </c>
      <c r="BE377" s="174" t="str">
        <f t="shared" si="545"/>
        <v>NG</v>
      </c>
      <c r="BF377" s="162"/>
      <c r="BG377" s="276" t="str">
        <f>IF(OR(BC$8="判定対象外",BF$8="判定対象外",BF377="-"),"-",IF(BC377=BF377,"OK","NG"))</f>
        <v>OK</v>
      </c>
      <c r="BH377" s="160"/>
      <c r="BI377" s="162"/>
      <c r="BJ377" s="203" t="str">
        <f t="shared" si="566"/>
        <v xml:space="preserve"> </v>
      </c>
      <c r="BK377" s="174" t="str">
        <f t="shared" si="546"/>
        <v>NG</v>
      </c>
      <c r="BL377" s="162"/>
      <c r="BM377" s="276" t="str">
        <f>IF(OR(BI$8="判定対象外",BL$8="判定対象外",BL377="-"),"-",IF(BI377=BL377,"OK","NG"))</f>
        <v>OK</v>
      </c>
      <c r="BN377" s="160"/>
      <c r="BO377" s="162"/>
      <c r="BP377" s="203" t="str">
        <f t="shared" si="567"/>
        <v xml:space="preserve"> </v>
      </c>
      <c r="BQ377" s="174" t="str">
        <f t="shared" si="547"/>
        <v>NG</v>
      </c>
      <c r="BR377" s="162"/>
      <c r="BS377" s="276" t="str">
        <f>IF(OR(BO$8="判定対象外",BR$8="判定対象外",BR377="-"),"-",IF(BO377=BR377,"OK","NG"))</f>
        <v>OK</v>
      </c>
      <c r="BT377" s="160"/>
      <c r="BU377" s="162"/>
      <c r="BV377" s="203" t="str">
        <f t="shared" si="568"/>
        <v xml:space="preserve"> </v>
      </c>
      <c r="BW377" s="174" t="str">
        <f t="shared" si="548"/>
        <v>NG</v>
      </c>
      <c r="BX377" s="162"/>
      <c r="BY377" s="276" t="str">
        <f>IF(OR(BU$8="判定対象外",BX$8="判定対象外",BX377="-"),"-",IF(BU377=BX377,"OK","NG"))</f>
        <v>OK</v>
      </c>
      <c r="BZ377" s="160"/>
      <c r="CA377" s="162"/>
      <c r="CB377" s="203" t="str">
        <f t="shared" si="569"/>
        <v xml:space="preserve"> </v>
      </c>
      <c r="CC377" s="174" t="str">
        <f t="shared" si="549"/>
        <v>NG</v>
      </c>
      <c r="CD377" s="162"/>
      <c r="CE377" s="276" t="str">
        <f>IF(OR(CA$8="判定対象外",CD$8="判定対象外",CD377="-"),"-",IF(CA377=CD377,"OK","NG"))</f>
        <v>OK</v>
      </c>
      <c r="CF377" s="160"/>
      <c r="CG377" s="162"/>
      <c r="CH377" s="203" t="str">
        <f t="shared" si="570"/>
        <v xml:space="preserve"> </v>
      </c>
      <c r="CI377" s="174" t="str">
        <f t="shared" si="550"/>
        <v>NG</v>
      </c>
      <c r="CJ377" s="162"/>
      <c r="CK377" s="276" t="str">
        <f>IF(OR(CG$8="判定対象外",CJ$8="判定対象外",CJ377="-"),"-",IF(CG377=CJ377,"OK","NG"))</f>
        <v>OK</v>
      </c>
      <c r="CL377" s="160"/>
      <c r="CM377" s="162"/>
      <c r="CN377" s="203" t="str">
        <f t="shared" si="571"/>
        <v xml:space="preserve"> </v>
      </c>
      <c r="CO377" s="174" t="str">
        <f t="shared" si="551"/>
        <v>NG</v>
      </c>
      <c r="CP377" s="162"/>
      <c r="CQ377" s="276" t="str">
        <f>IF(OR(CM$8="判定対象外",CP$8="判定対象外",CP377="-"),"-",IF(CM377=CP377,"OK","NG"))</f>
        <v>OK</v>
      </c>
      <c r="CR377" s="160"/>
      <c r="CS377" s="162"/>
      <c r="CT377" s="203" t="str">
        <f t="shared" si="572"/>
        <v xml:space="preserve"> </v>
      </c>
      <c r="CU377" s="174" t="str">
        <f t="shared" si="552"/>
        <v>NG</v>
      </c>
      <c r="CV377" s="162"/>
      <c r="CW377" s="276" t="str">
        <f>IF(OR(CS$8="判定対象外",CV$8="判定対象外",CV377="-"),"-",IF(CS377=CV377,"OK","NG"))</f>
        <v>OK</v>
      </c>
      <c r="CX377" s="160"/>
      <c r="CY377" s="162"/>
      <c r="CZ377" s="203" t="str">
        <f t="shared" si="573"/>
        <v xml:space="preserve"> </v>
      </c>
      <c r="DA377" s="174" t="str">
        <f t="shared" si="553"/>
        <v>NG</v>
      </c>
      <c r="DB377" s="162"/>
      <c r="DC377" s="276" t="str">
        <f>IF(OR(CY$8="判定対象外",DB$8="判定対象外",DB377="-"),"-",IF(CY377=DB377,"OK","NG"))</f>
        <v>OK</v>
      </c>
      <c r="DD377" s="160"/>
      <c r="DE377" s="162"/>
      <c r="DF377" s="203" t="str">
        <f t="shared" si="574"/>
        <v xml:space="preserve"> </v>
      </c>
      <c r="DG377" s="174" t="str">
        <f t="shared" si="554"/>
        <v>NG</v>
      </c>
      <c r="DH377" s="162"/>
      <c r="DI377" s="276" t="str">
        <f>IF(OR(DE$8="判定対象外",DH$8="判定対象外",DH377="-"),"-",IF(DE377=DH377,"OK","NG"))</f>
        <v>OK</v>
      </c>
      <c r="DJ377" s="160"/>
      <c r="DK377" s="162"/>
      <c r="DL377" s="203" t="str">
        <f t="shared" si="575"/>
        <v xml:space="preserve"> </v>
      </c>
      <c r="DM377" s="174" t="str">
        <f t="shared" si="555"/>
        <v>NG</v>
      </c>
      <c r="DN377" s="162"/>
      <c r="DO377" s="276" t="str">
        <f>IF(OR(DK$8="判定対象外",DN$8="判定対象外",DN377="-"),"-",IF(DK377=DN377,"OK","NG"))</f>
        <v>OK</v>
      </c>
      <c r="DP377" s="160"/>
      <c r="DQ377" s="162"/>
      <c r="DR377" s="203" t="str">
        <f t="shared" si="576"/>
        <v xml:space="preserve"> </v>
      </c>
      <c r="DS377" s="174" t="str">
        <f t="shared" ref="DS377:DS440" si="593">IF(OR(DQ$8="判定対象外",DR$8="判定対象外",DR377="-"),"-",IF(DQ377=DR377,"OK","NG"))</f>
        <v>NG</v>
      </c>
      <c r="DT377" s="162"/>
      <c r="DU377" s="276" t="str">
        <f>IF(OR(DQ$8="判定対象外",DT$8="判定対象外",DT377="-"),"-",IF(DQ377=DT377,"OK","NG"))</f>
        <v>OK</v>
      </c>
      <c r="DV377" s="160"/>
      <c r="DW377" s="162"/>
      <c r="DX377" s="203" t="str">
        <f t="shared" si="577"/>
        <v xml:space="preserve"> </v>
      </c>
      <c r="DY377" s="174" t="str">
        <f t="shared" ref="DY377:DY440" si="594">IF(OR(DW$8="判定対象外",DX$8="判定対象外",DX377="-"),"-",IF(DW377=DX377,"OK","NG"))</f>
        <v>NG</v>
      </c>
      <c r="DZ377" s="162"/>
      <c r="EA377" s="276" t="str">
        <f>IF(OR(DW$8="判定対象外",DZ$8="判定対象外",DZ377="-"),"-",IF(DW377=DZ377,"OK","NG"))</f>
        <v>OK</v>
      </c>
      <c r="EB377" s="160"/>
      <c r="EC377" s="162"/>
      <c r="ED377" s="203" t="str">
        <f t="shared" si="578"/>
        <v xml:space="preserve"> </v>
      </c>
      <c r="EE377" s="174" t="str">
        <f t="shared" ref="EE377:EE440" si="595">IF(OR(EC$8="判定対象外",ED$8="判定対象外",ED377="-"),"-",IF(EC377=ED377,"OK","NG"))</f>
        <v>NG</v>
      </c>
      <c r="EF377" s="162"/>
      <c r="EG377" s="276" t="str">
        <f>IF(OR(EC$8="判定対象外",EF$8="判定対象外",EF377="-"),"-",IF(EC377=EF377,"OK","NG"))</f>
        <v>OK</v>
      </c>
      <c r="EH377" s="160"/>
      <c r="EI377" s="162"/>
      <c r="EJ377" s="203" t="str">
        <f t="shared" si="579"/>
        <v xml:space="preserve"> </v>
      </c>
      <c r="EK377" s="174" t="str">
        <f t="shared" ref="EK377:EK440" si="596">IF(OR(EI$8="判定対象外",EJ$8="判定対象外",EJ377="-"),"-",IF(EI377=EJ377,"OK","NG"))</f>
        <v>NG</v>
      </c>
      <c r="EL377" s="162"/>
      <c r="EM377" s="276" t="str">
        <f>IF(OR(EI$8="判定対象外",EL$8="判定対象外",EL377="-"),"-",IF(EI377=EL377,"OK","NG"))</f>
        <v>OK</v>
      </c>
      <c r="EN377" s="160"/>
      <c r="EO377" s="162"/>
      <c r="EP377" s="203" t="str">
        <f t="shared" si="580"/>
        <v xml:space="preserve"> </v>
      </c>
      <c r="EQ377" s="174" t="str">
        <f t="shared" ref="EQ377:EQ440" si="597">IF(OR(EO$8="判定対象外",EP$8="判定対象外",EP377="-"),"-",IF(EO377=EP377,"OK","NG"))</f>
        <v>NG</v>
      </c>
      <c r="ER377" s="162"/>
      <c r="ES377" s="276" t="str">
        <f>IF(OR(EO$8="判定対象外",ER$8="判定対象外",ER377="-"),"-",IF(EO377=ER377,"OK","NG"))</f>
        <v>OK</v>
      </c>
      <c r="ET377" s="160"/>
      <c r="EU377" s="162"/>
      <c r="EV377" s="203" t="str">
        <f t="shared" si="581"/>
        <v xml:space="preserve"> </v>
      </c>
      <c r="EW377" s="174" t="str">
        <f t="shared" ref="EW377:EW440" si="598">IF(OR(EU$8="判定対象外",EV$8="判定対象外",EV377="-"),"-",IF(EU377=EV377,"OK","NG"))</f>
        <v>NG</v>
      </c>
      <c r="EX377" s="162"/>
      <c r="EY377" s="276" t="str">
        <f>IF(OR(EU$8="判定対象外",EX$8="判定対象外",EX377="-"),"-",IF(EU377=EX377,"OK","NG"))</f>
        <v>OK</v>
      </c>
      <c r="EZ377" s="160"/>
      <c r="FA377" s="162"/>
      <c r="FB377" s="203" t="str">
        <f t="shared" si="582"/>
        <v xml:space="preserve"> </v>
      </c>
      <c r="FC377" s="174" t="str">
        <f t="shared" ref="FC377:FC440" si="599">IF(OR(FA$8="判定対象外",FB$8="判定対象外",FB377="-"),"-",IF(FA377=FB377,"OK","NG"))</f>
        <v>NG</v>
      </c>
      <c r="FD377" s="162"/>
      <c r="FE377" s="276" t="str">
        <f>IF(OR(FA$8="判定対象外",FD$8="判定対象外",FD377="-"),"-",IF(FA377=FD377,"OK","NG"))</f>
        <v>OK</v>
      </c>
      <c r="FF377" s="160"/>
      <c r="FG377" s="162"/>
      <c r="FH377" s="203" t="str">
        <f t="shared" si="583"/>
        <v xml:space="preserve"> </v>
      </c>
      <c r="FI377" s="174" t="str">
        <f t="shared" ref="FI377:FI440" si="600">IF(OR(FG$8="判定対象外",FH$8="判定対象外",FH377="-"),"-",IF(FG377=FH377,"OK","NG"))</f>
        <v>NG</v>
      </c>
      <c r="FJ377" s="162"/>
      <c r="FK377" s="276" t="str">
        <f>IF(OR(FG$8="判定対象外",FJ$8="判定対象外",FJ377="-"),"-",IF(FG377=FJ377,"OK","NG"))</f>
        <v>OK</v>
      </c>
      <c r="FL377" s="160"/>
      <c r="FM377" s="162"/>
      <c r="FN377" s="203" t="str">
        <f t="shared" si="584"/>
        <v xml:space="preserve"> </v>
      </c>
      <c r="FO377" s="174" t="str">
        <f t="shared" si="556"/>
        <v>NG</v>
      </c>
      <c r="FP377" s="162"/>
      <c r="FQ377" s="276" t="str">
        <f>IF(OR(FM$8="判定対象外",FP$8="判定対象外",FP377="-"),"-",IF(FM377=FP377,"OK","NG"))</f>
        <v>OK</v>
      </c>
      <c r="FR377" s="160"/>
      <c r="FS377" s="162"/>
      <c r="FT377" s="203" t="str">
        <f t="shared" si="585"/>
        <v xml:space="preserve"> </v>
      </c>
      <c r="FU377" s="174" t="str">
        <f t="shared" si="557"/>
        <v>NG</v>
      </c>
      <c r="FV377" s="162"/>
      <c r="FW377" s="276" t="str">
        <f>IF(OR(FS$8="判定対象外",FV$8="判定対象外",FV377="-"),"-",IF(FS377=FV377,"OK","NG"))</f>
        <v>OK</v>
      </c>
      <c r="FX377" s="160"/>
      <c r="FY377" s="162"/>
      <c r="FZ377" s="203" t="str">
        <f t="shared" si="586"/>
        <v xml:space="preserve"> </v>
      </c>
      <c r="GA377" s="174" t="str">
        <f t="shared" si="558"/>
        <v>NG</v>
      </c>
      <c r="GB377" s="162"/>
      <c r="GC377" s="276" t="str">
        <f>IF(OR(FY$8="判定対象外",GB$8="判定対象外",GB377="-"),"-",IF(FY377=GB377,"OK","NG"))</f>
        <v>OK</v>
      </c>
    </row>
    <row r="378" spans="2:185" s="52" customFormat="1">
      <c r="B378" s="216">
        <f t="shared" si="587"/>
        <v>371</v>
      </c>
      <c r="C378" s="37"/>
      <c r="D378" s="37"/>
      <c r="E378" s="37"/>
      <c r="F378" s="49" t="s">
        <v>210</v>
      </c>
      <c r="G378" s="39"/>
      <c r="H378" s="40"/>
      <c r="I378" s="42"/>
      <c r="J378" s="42"/>
      <c r="K378" s="42"/>
      <c r="L378" s="42"/>
      <c r="M378" s="163" t="s">
        <v>334</v>
      </c>
      <c r="N378" s="47"/>
      <c r="O378" s="143"/>
      <c r="P378" s="45">
        <f t="shared" si="591"/>
        <v>343</v>
      </c>
      <c r="Q378" s="46">
        <v>400</v>
      </c>
      <c r="R378" s="41" t="str">
        <f t="shared" si="592"/>
        <v>NX</v>
      </c>
      <c r="S378" s="185" t="s">
        <v>211</v>
      </c>
      <c r="T378" s="43"/>
      <c r="U378" s="41" t="s">
        <v>80</v>
      </c>
      <c r="V378" s="44"/>
      <c r="W378" s="22">
        <v>3</v>
      </c>
      <c r="X378" s="47" t="s">
        <v>212</v>
      </c>
      <c r="Y378" s="47">
        <v>1</v>
      </c>
      <c r="Z378" s="47">
        <v>400</v>
      </c>
      <c r="AA378" s="42" t="s">
        <v>195</v>
      </c>
      <c r="AB378" s="42" t="s">
        <v>80</v>
      </c>
      <c r="AC378" s="166"/>
      <c r="AD378" s="160"/>
      <c r="AE378" s="162"/>
      <c r="AF378" s="175" t="str">
        <f t="shared" si="562"/>
        <v xml:space="preserve">                                                                                                                                                                                                                                                                                                                                                                                                                </v>
      </c>
      <c r="AG378" s="174" t="str">
        <f t="shared" si="542"/>
        <v>NG</v>
      </c>
      <c r="AH378" s="162"/>
      <c r="AI378" s="276" t="str">
        <f>IF(OR(AE$8="判定対象外",AH$8="判定対象外",AH378="-"),"-",IF(AE378=AH378,"OK","NG"))</f>
        <v>OK</v>
      </c>
      <c r="AJ378" s="160"/>
      <c r="AK378" s="162"/>
      <c r="AL378" s="175" t="str">
        <f t="shared" si="559"/>
        <v xml:space="preserve">                                                                                                                                                                                                                                                                                                                                                                                                                </v>
      </c>
      <c r="AM378" s="174" t="str">
        <f t="shared" si="588"/>
        <v>NG</v>
      </c>
      <c r="AN378" s="162"/>
      <c r="AO378" s="276" t="str">
        <f>IF(OR(AK$8="判定対象外",AN$8="判定対象外",AN378="-"),"-",IF(AK378=AN378,"OK","NG"))</f>
        <v>OK</v>
      </c>
      <c r="AP378" s="160"/>
      <c r="AQ378" s="162"/>
      <c r="AR378" s="175" t="str">
        <f t="shared" si="563"/>
        <v xml:space="preserve">                                                                                                                                                                                                                                                                                                                                                                                                                </v>
      </c>
      <c r="AS378" s="174" t="str">
        <f t="shared" si="543"/>
        <v>NG</v>
      </c>
      <c r="AT378" s="162"/>
      <c r="AU378" s="276" t="str">
        <f>IF(OR(AQ$8="判定対象外",AT$8="判定対象外",AT378="-"),"-",IF(AQ378=AT378,"OK","NG"))</f>
        <v>OK</v>
      </c>
      <c r="AV378" s="160"/>
      <c r="AW378" s="162"/>
      <c r="AX378" s="175" t="str">
        <f t="shared" si="564"/>
        <v xml:space="preserve">                                                                                                                                                                                                                                                                                                                                                                                                                </v>
      </c>
      <c r="AY378" s="174" t="str">
        <f t="shared" si="544"/>
        <v>NG</v>
      </c>
      <c r="AZ378" s="162"/>
      <c r="BA378" s="276" t="str">
        <f>IF(OR(AW$8="判定対象外",AZ$8="判定対象外",AZ378="-"),"-",IF(AW378=AZ378,"OK","NG"))</f>
        <v>OK</v>
      </c>
      <c r="BB378" s="160"/>
      <c r="BC378" s="162"/>
      <c r="BD378" s="175" t="str">
        <f t="shared" si="565"/>
        <v xml:space="preserve">                                                                                                                                                                                                                                                                                                                                                                                                                </v>
      </c>
      <c r="BE378" s="174" t="str">
        <f t="shared" si="545"/>
        <v>NG</v>
      </c>
      <c r="BF378" s="162"/>
      <c r="BG378" s="276" t="str">
        <f>IF(OR(BC$8="判定対象外",BF$8="判定対象外",BF378="-"),"-",IF(BC378=BF378,"OK","NG"))</f>
        <v>OK</v>
      </c>
      <c r="BH378" s="160"/>
      <c r="BI378" s="162"/>
      <c r="BJ378" s="175" t="str">
        <f t="shared" si="566"/>
        <v xml:space="preserve">                                                                                                                                                                                                                                                                                                                                                                                                                </v>
      </c>
      <c r="BK378" s="174" t="str">
        <f t="shared" si="546"/>
        <v>NG</v>
      </c>
      <c r="BL378" s="162"/>
      <c r="BM378" s="276" t="str">
        <f>IF(OR(BI$8="判定対象外",BL$8="判定対象外",BL378="-"),"-",IF(BI378=BL378,"OK","NG"))</f>
        <v>OK</v>
      </c>
      <c r="BN378" s="160"/>
      <c r="BO378" s="162"/>
      <c r="BP378" s="175" t="str">
        <f t="shared" si="567"/>
        <v xml:space="preserve">                                                                                                                                                                                                                                                                                                                                                                                                                </v>
      </c>
      <c r="BQ378" s="174" t="str">
        <f t="shared" si="547"/>
        <v>NG</v>
      </c>
      <c r="BR378" s="162"/>
      <c r="BS378" s="276" t="str">
        <f>IF(OR(BO$8="判定対象外",BR$8="判定対象外",BR378="-"),"-",IF(BO378=BR378,"OK","NG"))</f>
        <v>OK</v>
      </c>
      <c r="BT378" s="160"/>
      <c r="BU378" s="162"/>
      <c r="BV378" s="175" t="str">
        <f t="shared" si="568"/>
        <v xml:space="preserve">                                                                                                                                                                                                                                                                                                                                                                                                                </v>
      </c>
      <c r="BW378" s="174" t="str">
        <f t="shared" si="548"/>
        <v>NG</v>
      </c>
      <c r="BX378" s="162"/>
      <c r="BY378" s="276" t="str">
        <f>IF(OR(BU$8="判定対象外",BX$8="判定対象外",BX378="-"),"-",IF(BU378=BX378,"OK","NG"))</f>
        <v>OK</v>
      </c>
      <c r="BZ378" s="160"/>
      <c r="CA378" s="162"/>
      <c r="CB378" s="175" t="str">
        <f t="shared" si="569"/>
        <v xml:space="preserve">                                                                                                                                                                                                                                                                                                                                                                                                                </v>
      </c>
      <c r="CC378" s="174" t="str">
        <f t="shared" si="549"/>
        <v>NG</v>
      </c>
      <c r="CD378" s="162"/>
      <c r="CE378" s="276" t="str">
        <f>IF(OR(CA$8="判定対象外",CD$8="判定対象外",CD378="-"),"-",IF(CA378=CD378,"OK","NG"))</f>
        <v>OK</v>
      </c>
      <c r="CF378" s="160"/>
      <c r="CG378" s="162"/>
      <c r="CH378" s="175" t="str">
        <f t="shared" si="570"/>
        <v xml:space="preserve">                                                                                                                                                                                                                                                                                                                                                                                                                </v>
      </c>
      <c r="CI378" s="174" t="str">
        <f t="shared" si="550"/>
        <v>NG</v>
      </c>
      <c r="CJ378" s="162"/>
      <c r="CK378" s="276" t="str">
        <f>IF(OR(CG$8="判定対象外",CJ$8="判定対象外",CJ378="-"),"-",IF(CG378=CJ378,"OK","NG"))</f>
        <v>OK</v>
      </c>
      <c r="CL378" s="160"/>
      <c r="CM378" s="162"/>
      <c r="CN378" s="175" t="str">
        <f t="shared" si="571"/>
        <v xml:space="preserve">                                                                                                                                                                                                                                                                                                                                                                                                                </v>
      </c>
      <c r="CO378" s="174" t="str">
        <f t="shared" si="551"/>
        <v>NG</v>
      </c>
      <c r="CP378" s="162"/>
      <c r="CQ378" s="276" t="str">
        <f>IF(OR(CM$8="判定対象外",CP$8="判定対象外",CP378="-"),"-",IF(CM378=CP378,"OK","NG"))</f>
        <v>OK</v>
      </c>
      <c r="CR378" s="160"/>
      <c r="CS378" s="162"/>
      <c r="CT378" s="175" t="str">
        <f t="shared" si="572"/>
        <v xml:space="preserve">                                                                                                                                                                                                                                                                                                                                                                                                                </v>
      </c>
      <c r="CU378" s="174" t="str">
        <f t="shared" si="552"/>
        <v>NG</v>
      </c>
      <c r="CV378" s="162"/>
      <c r="CW378" s="276" t="str">
        <f>IF(OR(CS$8="判定対象外",CV$8="判定対象外",CV378="-"),"-",IF(CS378=CV378,"OK","NG"))</f>
        <v>OK</v>
      </c>
      <c r="CX378" s="160"/>
      <c r="CY378" s="162"/>
      <c r="CZ378" s="175" t="str">
        <f t="shared" si="573"/>
        <v xml:space="preserve">                                                                                                                                                                                                                                                                                                                                                                                                                </v>
      </c>
      <c r="DA378" s="174" t="str">
        <f t="shared" si="553"/>
        <v>NG</v>
      </c>
      <c r="DB378" s="162"/>
      <c r="DC378" s="276" t="str">
        <f>IF(OR(CY$8="判定対象外",DB$8="判定対象外",DB378="-"),"-",IF(CY378=DB378,"OK","NG"))</f>
        <v>OK</v>
      </c>
      <c r="DD378" s="160"/>
      <c r="DE378" s="162"/>
      <c r="DF378" s="175" t="str">
        <f t="shared" si="574"/>
        <v xml:space="preserve">                                                                                                                                                                                                                                                                                                                                                                                                                </v>
      </c>
      <c r="DG378" s="174" t="str">
        <f t="shared" si="554"/>
        <v>NG</v>
      </c>
      <c r="DH378" s="162"/>
      <c r="DI378" s="276" t="str">
        <f>IF(OR(DE$8="判定対象外",DH$8="判定対象外",DH378="-"),"-",IF(DE378=DH378,"OK","NG"))</f>
        <v>OK</v>
      </c>
      <c r="DJ378" s="160"/>
      <c r="DK378" s="162"/>
      <c r="DL378" s="175" t="str">
        <f t="shared" si="575"/>
        <v xml:space="preserve">                                                                                                                                                                                                                                                                                                                                                                                                                </v>
      </c>
      <c r="DM378" s="174" t="str">
        <f t="shared" si="555"/>
        <v>NG</v>
      </c>
      <c r="DN378" s="162"/>
      <c r="DO378" s="276" t="str">
        <f>IF(OR(DK$8="判定対象外",DN$8="判定対象外",DN378="-"),"-",IF(DK378=DN378,"OK","NG"))</f>
        <v>OK</v>
      </c>
      <c r="DP378" s="160"/>
      <c r="DQ378" s="162"/>
      <c r="DR378" s="175" t="str">
        <f t="shared" si="576"/>
        <v xml:space="preserve">                                                                                                                                                                                                                                                                                                                                                                                                                </v>
      </c>
      <c r="DS378" s="174" t="str">
        <f t="shared" si="593"/>
        <v>NG</v>
      </c>
      <c r="DT378" s="162"/>
      <c r="DU378" s="276" t="str">
        <f>IF(OR(DQ$8="判定対象外",DT$8="判定対象外",DT378="-"),"-",IF(DQ378=DT378,"OK","NG"))</f>
        <v>OK</v>
      </c>
      <c r="DV378" s="160"/>
      <c r="DW378" s="162"/>
      <c r="DX378" s="175" t="str">
        <f t="shared" si="577"/>
        <v xml:space="preserve">                                                                                                                                                                                                                                                                                                                                                                                                                </v>
      </c>
      <c r="DY378" s="174" t="str">
        <f t="shared" si="594"/>
        <v>NG</v>
      </c>
      <c r="DZ378" s="162"/>
      <c r="EA378" s="276" t="str">
        <f>IF(OR(DW$8="判定対象外",DZ$8="判定対象外",DZ378="-"),"-",IF(DW378=DZ378,"OK","NG"))</f>
        <v>OK</v>
      </c>
      <c r="EB378" s="160"/>
      <c r="EC378" s="162"/>
      <c r="ED378" s="175" t="str">
        <f t="shared" si="578"/>
        <v xml:space="preserve">                                                                                                                                                                                                                                                                                                                                                                                                                </v>
      </c>
      <c r="EE378" s="174" t="str">
        <f t="shared" si="595"/>
        <v>NG</v>
      </c>
      <c r="EF378" s="162"/>
      <c r="EG378" s="276" t="str">
        <f>IF(OR(EC$8="判定対象外",EF$8="判定対象外",EF378="-"),"-",IF(EC378=EF378,"OK","NG"))</f>
        <v>OK</v>
      </c>
      <c r="EH378" s="160"/>
      <c r="EI378" s="162"/>
      <c r="EJ378" s="175" t="str">
        <f t="shared" si="579"/>
        <v xml:space="preserve">                                                                                                                                                                                                                                                                                                                                                                                                                </v>
      </c>
      <c r="EK378" s="174" t="str">
        <f t="shared" si="596"/>
        <v>NG</v>
      </c>
      <c r="EL378" s="162"/>
      <c r="EM378" s="276" t="str">
        <f>IF(OR(EI$8="判定対象外",EL$8="判定対象外",EL378="-"),"-",IF(EI378=EL378,"OK","NG"))</f>
        <v>OK</v>
      </c>
      <c r="EN378" s="160"/>
      <c r="EO378" s="162"/>
      <c r="EP378" s="175" t="str">
        <f t="shared" si="580"/>
        <v xml:space="preserve">                                                                                                                                                                                                                                                                                                                                                                                                                </v>
      </c>
      <c r="EQ378" s="174" t="str">
        <f t="shared" si="597"/>
        <v>NG</v>
      </c>
      <c r="ER378" s="162"/>
      <c r="ES378" s="276" t="str">
        <f>IF(OR(EO$8="判定対象外",ER$8="判定対象外",ER378="-"),"-",IF(EO378=ER378,"OK","NG"))</f>
        <v>OK</v>
      </c>
      <c r="ET378" s="160"/>
      <c r="EU378" s="162"/>
      <c r="EV378" s="175" t="str">
        <f t="shared" si="581"/>
        <v xml:space="preserve">                                                                                                                                                                                                                                                                                                                                                                                                                </v>
      </c>
      <c r="EW378" s="174" t="str">
        <f t="shared" si="598"/>
        <v>NG</v>
      </c>
      <c r="EX378" s="162"/>
      <c r="EY378" s="276" t="str">
        <f>IF(OR(EU$8="判定対象外",EX$8="判定対象外",EX378="-"),"-",IF(EU378=EX378,"OK","NG"))</f>
        <v>OK</v>
      </c>
      <c r="EZ378" s="160"/>
      <c r="FA378" s="162"/>
      <c r="FB378" s="175" t="str">
        <f t="shared" si="582"/>
        <v xml:space="preserve">                                                                                                                                                                                                                                                                                                                                                                                                                </v>
      </c>
      <c r="FC378" s="174" t="str">
        <f t="shared" si="599"/>
        <v>NG</v>
      </c>
      <c r="FD378" s="162"/>
      <c r="FE378" s="276" t="str">
        <f>IF(OR(FA$8="判定対象外",FD$8="判定対象外",FD378="-"),"-",IF(FA378=FD378,"OK","NG"))</f>
        <v>OK</v>
      </c>
      <c r="FF378" s="160"/>
      <c r="FG378" s="162"/>
      <c r="FH378" s="175" t="str">
        <f t="shared" si="583"/>
        <v xml:space="preserve">                                                                                                                                                                                                                                                                                                                                                                                                                </v>
      </c>
      <c r="FI378" s="174" t="str">
        <f t="shared" si="600"/>
        <v>NG</v>
      </c>
      <c r="FJ378" s="162"/>
      <c r="FK378" s="276" t="str">
        <f>IF(OR(FG$8="判定対象外",FJ$8="判定対象外",FJ378="-"),"-",IF(FG378=FJ378,"OK","NG"))</f>
        <v>OK</v>
      </c>
      <c r="FL378" s="160"/>
      <c r="FM378" s="162"/>
      <c r="FN378" s="175" t="str">
        <f t="shared" si="584"/>
        <v xml:space="preserve">                                                                                                                                                                                                                                                                                                                                                                                                                </v>
      </c>
      <c r="FO378" s="174" t="str">
        <f t="shared" si="556"/>
        <v>NG</v>
      </c>
      <c r="FP378" s="162"/>
      <c r="FQ378" s="276" t="str">
        <f>IF(OR(FM$8="判定対象外",FP$8="判定対象外",FP378="-"),"-",IF(FM378=FP378,"OK","NG"))</f>
        <v>OK</v>
      </c>
      <c r="FR378" s="160"/>
      <c r="FS378" s="162"/>
      <c r="FT378" s="175" t="str">
        <f t="shared" si="585"/>
        <v xml:space="preserve">                                                                                                                                                                                                                                                                                                                                                                                                                </v>
      </c>
      <c r="FU378" s="174" t="str">
        <f t="shared" si="557"/>
        <v>NG</v>
      </c>
      <c r="FV378" s="162"/>
      <c r="FW378" s="276" t="str">
        <f>IF(OR(FS$8="判定対象外",FV$8="判定対象外",FV378="-"),"-",IF(FS378=FV378,"OK","NG"))</f>
        <v>OK</v>
      </c>
      <c r="FX378" s="160"/>
      <c r="FY378" s="162"/>
      <c r="FZ378" s="175" t="str">
        <f t="shared" si="586"/>
        <v xml:space="preserve">                                                                                                                                                                                                                                                                                                                                                                                                                </v>
      </c>
      <c r="GA378" s="174" t="str">
        <f t="shared" si="558"/>
        <v>NG</v>
      </c>
      <c r="GB378" s="162"/>
      <c r="GC378" s="276" t="str">
        <f>IF(OR(FY$8="判定対象外",GB$8="判定対象外",GB378="-"),"-",IF(FY378=GB378,"OK","NG"))</f>
        <v>OK</v>
      </c>
    </row>
    <row r="379" spans="2:185" s="52" customFormat="1" ht="63.75">
      <c r="B379" s="216">
        <f t="shared" si="587"/>
        <v>372</v>
      </c>
      <c r="C379" s="37"/>
      <c r="D379" s="37"/>
      <c r="E379" s="37"/>
      <c r="F379" s="49" t="s">
        <v>213</v>
      </c>
      <c r="G379" s="39"/>
      <c r="H379" s="40"/>
      <c r="I379" s="42"/>
      <c r="J379" s="42"/>
      <c r="K379" s="42"/>
      <c r="L379" s="42"/>
      <c r="M379" s="163" t="s">
        <v>335</v>
      </c>
      <c r="N379" s="47"/>
      <c r="O379" s="143"/>
      <c r="P379" s="45">
        <f t="shared" si="591"/>
        <v>344</v>
      </c>
      <c r="Q379" s="46">
        <v>400</v>
      </c>
      <c r="R379" s="41" t="str">
        <f t="shared" si="592"/>
        <v>NX</v>
      </c>
      <c r="S379" s="185" t="s">
        <v>214</v>
      </c>
      <c r="T379" s="43"/>
      <c r="U379" s="41" t="s">
        <v>80</v>
      </c>
      <c r="V379" s="44"/>
      <c r="W379" s="22">
        <v>3</v>
      </c>
      <c r="X379" s="47" t="s">
        <v>215</v>
      </c>
      <c r="Y379" s="47">
        <v>1</v>
      </c>
      <c r="Z379" s="47">
        <v>400</v>
      </c>
      <c r="AA379" s="42" t="s">
        <v>195</v>
      </c>
      <c r="AB379" s="42" t="s">
        <v>80</v>
      </c>
      <c r="AC379" s="166"/>
      <c r="AD379" s="160"/>
      <c r="AE379" s="162"/>
      <c r="AF379" s="146" t="str">
        <f t="shared" si="562"/>
        <v xml:space="preserve">                                                                                                                                                                                                                                                                                                                                                                                                                </v>
      </c>
      <c r="AG379" s="174" t="str">
        <f t="shared" si="542"/>
        <v>NG</v>
      </c>
      <c r="AH379" s="162"/>
      <c r="AI379" s="172" t="s">
        <v>71</v>
      </c>
      <c r="AJ379" s="160"/>
      <c r="AK379" s="162"/>
      <c r="AL379" s="146" t="str">
        <f t="shared" si="559"/>
        <v xml:space="preserve">                                                                                                                                                                                                                                                                                                                                                                                                                </v>
      </c>
      <c r="AM379" s="174" t="str">
        <f t="shared" si="588"/>
        <v>NG</v>
      </c>
      <c r="AN379" s="162"/>
      <c r="AO379" s="172" t="s">
        <v>71</v>
      </c>
      <c r="AP379" s="160"/>
      <c r="AQ379" s="162"/>
      <c r="AR379" s="146" t="str">
        <f t="shared" si="563"/>
        <v xml:space="preserve">                                                                                                                                                                                                                                                                                                                                                                                                                </v>
      </c>
      <c r="AS379" s="174" t="str">
        <f t="shared" si="543"/>
        <v>NG</v>
      </c>
      <c r="AT379" s="162"/>
      <c r="AU379" s="172" t="s">
        <v>71</v>
      </c>
      <c r="AV379" s="160"/>
      <c r="AW379" s="162"/>
      <c r="AX379" s="146" t="str">
        <f t="shared" si="564"/>
        <v xml:space="preserve">                                                                                                                                                                                                                                                                                                                                                                                                                </v>
      </c>
      <c r="AY379" s="174" t="str">
        <f t="shared" si="544"/>
        <v>NG</v>
      </c>
      <c r="AZ379" s="162"/>
      <c r="BA379" s="172" t="s">
        <v>71</v>
      </c>
      <c r="BB379" s="160"/>
      <c r="BC379" s="162"/>
      <c r="BD379" s="146" t="str">
        <f t="shared" si="565"/>
        <v xml:space="preserve">                                                                                                                                                                                                                                                                                                                                                                                                                </v>
      </c>
      <c r="BE379" s="174" t="str">
        <f t="shared" si="545"/>
        <v>NG</v>
      </c>
      <c r="BF379" s="162"/>
      <c r="BG379" s="172" t="s">
        <v>71</v>
      </c>
      <c r="BH379" s="160"/>
      <c r="BI379" s="162"/>
      <c r="BJ379" s="146" t="str">
        <f t="shared" si="566"/>
        <v xml:space="preserve">                                                                                                                                                                                                                                                                                                                                                                                                                </v>
      </c>
      <c r="BK379" s="174" t="str">
        <f t="shared" si="546"/>
        <v>NG</v>
      </c>
      <c r="BL379" s="162"/>
      <c r="BM379" s="172" t="s">
        <v>71</v>
      </c>
      <c r="BN379" s="160"/>
      <c r="BO379" s="162"/>
      <c r="BP379" s="146" t="str">
        <f t="shared" si="567"/>
        <v xml:space="preserve">                                                                                                                                                                                                                                                                                                                                                                                                                </v>
      </c>
      <c r="BQ379" s="174" t="str">
        <f t="shared" si="547"/>
        <v>NG</v>
      </c>
      <c r="BR379" s="162"/>
      <c r="BS379" s="172" t="s">
        <v>71</v>
      </c>
      <c r="BT379" s="160"/>
      <c r="BU379" s="162"/>
      <c r="BV379" s="146" t="str">
        <f t="shared" si="568"/>
        <v xml:space="preserve">                                                                                                                                                                                                                                                                                                                                                                                                                </v>
      </c>
      <c r="BW379" s="174" t="str">
        <f t="shared" si="548"/>
        <v>NG</v>
      </c>
      <c r="BX379" s="162"/>
      <c r="BY379" s="172" t="s">
        <v>71</v>
      </c>
      <c r="BZ379" s="160"/>
      <c r="CA379" s="162"/>
      <c r="CB379" s="146" t="str">
        <f t="shared" si="569"/>
        <v xml:space="preserve">                                                                                                                                                                                                                                                                                                                                                                                                                </v>
      </c>
      <c r="CC379" s="174" t="str">
        <f t="shared" si="549"/>
        <v>NG</v>
      </c>
      <c r="CD379" s="162"/>
      <c r="CE379" s="172" t="s">
        <v>71</v>
      </c>
      <c r="CF379" s="160"/>
      <c r="CG379" s="162"/>
      <c r="CH379" s="146" t="str">
        <f t="shared" si="570"/>
        <v xml:space="preserve">                                                                                                                                                                                                                                                                                                                                                                                                                </v>
      </c>
      <c r="CI379" s="174" t="str">
        <f t="shared" si="550"/>
        <v>NG</v>
      </c>
      <c r="CJ379" s="162"/>
      <c r="CK379" s="172" t="s">
        <v>71</v>
      </c>
      <c r="CL379" s="160"/>
      <c r="CM379" s="162"/>
      <c r="CN379" s="146" t="str">
        <f t="shared" si="571"/>
        <v xml:space="preserve">                                                                                                                                                                                                                                                                                                                                                                                                                </v>
      </c>
      <c r="CO379" s="174" t="str">
        <f t="shared" si="551"/>
        <v>NG</v>
      </c>
      <c r="CP379" s="162"/>
      <c r="CQ379" s="172" t="s">
        <v>71</v>
      </c>
      <c r="CR379" s="160"/>
      <c r="CS379" s="162"/>
      <c r="CT379" s="146" t="str">
        <f t="shared" si="572"/>
        <v xml:space="preserve">                                                                                                                                                                                                                                                                                                                                                                                                                </v>
      </c>
      <c r="CU379" s="174" t="str">
        <f t="shared" si="552"/>
        <v>NG</v>
      </c>
      <c r="CV379" s="162"/>
      <c r="CW379" s="172" t="s">
        <v>71</v>
      </c>
      <c r="CX379" s="160"/>
      <c r="CY379" s="162"/>
      <c r="CZ379" s="146" t="str">
        <f t="shared" si="573"/>
        <v xml:space="preserve">                                                                                                                                                                                                                                                                                                                                                                                                                </v>
      </c>
      <c r="DA379" s="174" t="str">
        <f t="shared" si="553"/>
        <v>NG</v>
      </c>
      <c r="DB379" s="162"/>
      <c r="DC379" s="172" t="s">
        <v>71</v>
      </c>
      <c r="DD379" s="160"/>
      <c r="DE379" s="162"/>
      <c r="DF379" s="146" t="str">
        <f t="shared" si="574"/>
        <v xml:space="preserve">                                                                                                                                                                                                                                                                                                                                                                                                                </v>
      </c>
      <c r="DG379" s="174" t="str">
        <f t="shared" si="554"/>
        <v>NG</v>
      </c>
      <c r="DH379" s="162"/>
      <c r="DI379" s="172" t="s">
        <v>71</v>
      </c>
      <c r="DJ379" s="160"/>
      <c r="DK379" s="162"/>
      <c r="DL379" s="146" t="str">
        <f t="shared" si="575"/>
        <v xml:space="preserve">                                                                                                                                                                                                                                                                                                                                                                                                                </v>
      </c>
      <c r="DM379" s="174" t="str">
        <f t="shared" si="555"/>
        <v>NG</v>
      </c>
      <c r="DN379" s="162"/>
      <c r="DO379" s="172" t="s">
        <v>71</v>
      </c>
      <c r="DP379" s="160"/>
      <c r="DQ379" s="162"/>
      <c r="DR379" s="146" t="str">
        <f t="shared" si="576"/>
        <v xml:space="preserve">                                                                                                                                                                                                                                                                                                                                                                                                                </v>
      </c>
      <c r="DS379" s="174" t="str">
        <f t="shared" si="593"/>
        <v>NG</v>
      </c>
      <c r="DT379" s="162"/>
      <c r="DU379" s="172" t="s">
        <v>71</v>
      </c>
      <c r="DV379" s="160"/>
      <c r="DW379" s="162"/>
      <c r="DX379" s="146" t="str">
        <f t="shared" si="577"/>
        <v xml:space="preserve">                                                                                                                                                                                                                                                                                                                                                                                                                </v>
      </c>
      <c r="DY379" s="174" t="str">
        <f t="shared" si="594"/>
        <v>NG</v>
      </c>
      <c r="DZ379" s="162"/>
      <c r="EA379" s="172" t="s">
        <v>71</v>
      </c>
      <c r="EB379" s="160"/>
      <c r="EC379" s="162"/>
      <c r="ED379" s="146" t="str">
        <f t="shared" si="578"/>
        <v xml:space="preserve">                                                                                                                                                                                                                                                                                                                                                                                                                </v>
      </c>
      <c r="EE379" s="174" t="str">
        <f t="shared" si="595"/>
        <v>NG</v>
      </c>
      <c r="EF379" s="162"/>
      <c r="EG379" s="172" t="s">
        <v>71</v>
      </c>
      <c r="EH379" s="160"/>
      <c r="EI379" s="162"/>
      <c r="EJ379" s="146" t="str">
        <f t="shared" si="579"/>
        <v xml:space="preserve">                                                                                                                                                                                                                                                                                                                                                                                                                </v>
      </c>
      <c r="EK379" s="174" t="str">
        <f t="shared" si="596"/>
        <v>NG</v>
      </c>
      <c r="EL379" s="162"/>
      <c r="EM379" s="172" t="s">
        <v>71</v>
      </c>
      <c r="EN379" s="160"/>
      <c r="EO379" s="162"/>
      <c r="EP379" s="146" t="str">
        <f t="shared" si="580"/>
        <v xml:space="preserve">                                                                                                                                                                                                                                                                                                                                                                                                                </v>
      </c>
      <c r="EQ379" s="174" t="str">
        <f t="shared" si="597"/>
        <v>NG</v>
      </c>
      <c r="ER379" s="162"/>
      <c r="ES379" s="172" t="s">
        <v>71</v>
      </c>
      <c r="ET379" s="160"/>
      <c r="EU379" s="162"/>
      <c r="EV379" s="146" t="str">
        <f t="shared" si="581"/>
        <v xml:space="preserve">                                                                                                                                                                                                                                                                                                                                                                                                                </v>
      </c>
      <c r="EW379" s="174" t="str">
        <f t="shared" si="598"/>
        <v>NG</v>
      </c>
      <c r="EX379" s="162"/>
      <c r="EY379" s="172" t="s">
        <v>71</v>
      </c>
      <c r="EZ379" s="160"/>
      <c r="FA379" s="162"/>
      <c r="FB379" s="146" t="str">
        <f t="shared" si="582"/>
        <v xml:space="preserve">                                                                                                                                                                                                                                                                                                                                                                                                                </v>
      </c>
      <c r="FC379" s="174" t="str">
        <f t="shared" si="599"/>
        <v>NG</v>
      </c>
      <c r="FD379" s="162"/>
      <c r="FE379" s="172" t="s">
        <v>71</v>
      </c>
      <c r="FF379" s="160"/>
      <c r="FG379" s="162"/>
      <c r="FH379" s="146" t="str">
        <f t="shared" si="583"/>
        <v xml:space="preserve">                                                                                                                                                                                                                                                                                                                                                                                                                </v>
      </c>
      <c r="FI379" s="174" t="str">
        <f t="shared" si="600"/>
        <v>NG</v>
      </c>
      <c r="FJ379" s="162"/>
      <c r="FK379" s="172" t="s">
        <v>71</v>
      </c>
      <c r="FL379" s="160"/>
      <c r="FM379" s="162"/>
      <c r="FN379" s="146" t="str">
        <f t="shared" si="584"/>
        <v xml:space="preserve">                                                                                                                                                                                                                                                                                                                                                                                                                </v>
      </c>
      <c r="FO379" s="174" t="str">
        <f t="shared" si="556"/>
        <v>NG</v>
      </c>
      <c r="FP379" s="162"/>
      <c r="FQ379" s="172" t="s">
        <v>71</v>
      </c>
      <c r="FR379" s="160"/>
      <c r="FS379" s="162"/>
      <c r="FT379" s="146" t="str">
        <f t="shared" si="585"/>
        <v xml:space="preserve">                                                                                                                                                                                                                                                                                                                                                                                                                </v>
      </c>
      <c r="FU379" s="174" t="str">
        <f t="shared" si="557"/>
        <v>NG</v>
      </c>
      <c r="FV379" s="162"/>
      <c r="FW379" s="172" t="s">
        <v>71</v>
      </c>
      <c r="FX379" s="160"/>
      <c r="FY379" s="162"/>
      <c r="FZ379" s="146" t="str">
        <f t="shared" si="586"/>
        <v xml:space="preserve">                                                                                                                                                                                                                                                                                                                                                                                                                </v>
      </c>
      <c r="GA379" s="174" t="str">
        <f t="shared" si="558"/>
        <v>NG</v>
      </c>
      <c r="GB379" s="162"/>
      <c r="GC379" s="172" t="s">
        <v>71</v>
      </c>
    </row>
    <row r="380" spans="2:185" s="52" customFormat="1">
      <c r="B380" s="216">
        <f t="shared" si="587"/>
        <v>373</v>
      </c>
      <c r="C380" s="37"/>
      <c r="D380" s="37"/>
      <c r="E380" s="37"/>
      <c r="F380" s="49" t="s">
        <v>216</v>
      </c>
      <c r="G380" s="39"/>
      <c r="H380" s="40"/>
      <c r="I380" s="42"/>
      <c r="J380" s="42"/>
      <c r="K380" s="42"/>
      <c r="L380" s="42"/>
      <c r="M380" s="63" t="s">
        <v>336</v>
      </c>
      <c r="N380" s="47"/>
      <c r="O380" s="143"/>
      <c r="P380" s="45">
        <f t="shared" si="591"/>
        <v>345</v>
      </c>
      <c r="Q380" s="46">
        <v>400</v>
      </c>
      <c r="R380" s="41" t="str">
        <f t="shared" si="592"/>
        <v>NX</v>
      </c>
      <c r="S380" s="185" t="s">
        <v>217</v>
      </c>
      <c r="T380" s="43"/>
      <c r="U380" s="41" t="s">
        <v>80</v>
      </c>
      <c r="V380" s="44"/>
      <c r="W380" s="22">
        <v>3</v>
      </c>
      <c r="X380" s="47" t="s">
        <v>218</v>
      </c>
      <c r="Y380" s="47">
        <v>1</v>
      </c>
      <c r="Z380" s="47">
        <v>400</v>
      </c>
      <c r="AA380" s="42" t="s">
        <v>195</v>
      </c>
      <c r="AB380" s="42" t="s">
        <v>80</v>
      </c>
      <c r="AC380" s="166"/>
      <c r="AD380" s="160"/>
      <c r="AE380" s="141"/>
      <c r="AF380" s="146" t="str">
        <f t="shared" si="562"/>
        <v xml:space="preserve">                                                                                                                                                                                                                                                                                                                                                                                                                </v>
      </c>
      <c r="AG380" s="174" t="str">
        <f t="shared" si="542"/>
        <v>NG</v>
      </c>
      <c r="AH380" s="141"/>
      <c r="AI380" s="172" t="s">
        <v>71</v>
      </c>
      <c r="AJ380" s="160"/>
      <c r="AK380" s="141"/>
      <c r="AL380" s="146" t="str">
        <f t="shared" si="559"/>
        <v xml:space="preserve">                                                                                                                                                                                                                                                                                                                                                                                                                </v>
      </c>
      <c r="AM380" s="174" t="str">
        <f t="shared" si="588"/>
        <v>NG</v>
      </c>
      <c r="AN380" s="141"/>
      <c r="AO380" s="172" t="s">
        <v>71</v>
      </c>
      <c r="AP380" s="160"/>
      <c r="AQ380" s="141"/>
      <c r="AR380" s="146" t="str">
        <f t="shared" si="563"/>
        <v xml:space="preserve">                                                                                                                                                                                                                                                                                                                                                                                                                </v>
      </c>
      <c r="AS380" s="174" t="str">
        <f t="shared" si="543"/>
        <v>NG</v>
      </c>
      <c r="AT380" s="141"/>
      <c r="AU380" s="172" t="s">
        <v>71</v>
      </c>
      <c r="AV380" s="160"/>
      <c r="AW380" s="141"/>
      <c r="AX380" s="146" t="str">
        <f t="shared" si="564"/>
        <v xml:space="preserve">                                                                                                                                                                                                                                                                                                                                                                                                                </v>
      </c>
      <c r="AY380" s="174" t="str">
        <f t="shared" si="544"/>
        <v>NG</v>
      </c>
      <c r="AZ380" s="141"/>
      <c r="BA380" s="172" t="s">
        <v>71</v>
      </c>
      <c r="BB380" s="160"/>
      <c r="BC380" s="141"/>
      <c r="BD380" s="146" t="str">
        <f t="shared" si="565"/>
        <v xml:space="preserve">                                                                                                                                                                                                                                                                                                                                                                                                                </v>
      </c>
      <c r="BE380" s="174" t="str">
        <f t="shared" si="545"/>
        <v>NG</v>
      </c>
      <c r="BF380" s="141"/>
      <c r="BG380" s="172" t="s">
        <v>71</v>
      </c>
      <c r="BH380" s="160"/>
      <c r="BI380" s="141"/>
      <c r="BJ380" s="146" t="str">
        <f t="shared" si="566"/>
        <v xml:space="preserve">                                                                                                                                                                                                                                                                                                                                                                                                                </v>
      </c>
      <c r="BK380" s="174" t="str">
        <f t="shared" si="546"/>
        <v>NG</v>
      </c>
      <c r="BL380" s="141"/>
      <c r="BM380" s="172" t="s">
        <v>71</v>
      </c>
      <c r="BN380" s="160"/>
      <c r="BO380" s="141"/>
      <c r="BP380" s="146" t="str">
        <f t="shared" si="567"/>
        <v xml:space="preserve">                                                                                                                                                                                                                                                                                                                                                                                                                </v>
      </c>
      <c r="BQ380" s="174" t="str">
        <f t="shared" si="547"/>
        <v>NG</v>
      </c>
      <c r="BR380" s="141"/>
      <c r="BS380" s="172" t="s">
        <v>71</v>
      </c>
      <c r="BT380" s="160"/>
      <c r="BU380" s="141"/>
      <c r="BV380" s="146" t="str">
        <f t="shared" si="568"/>
        <v xml:space="preserve">                                                                                                                                                                                                                                                                                                                                                                                                                </v>
      </c>
      <c r="BW380" s="174" t="str">
        <f t="shared" si="548"/>
        <v>NG</v>
      </c>
      <c r="BX380" s="141"/>
      <c r="BY380" s="172" t="s">
        <v>71</v>
      </c>
      <c r="BZ380" s="160"/>
      <c r="CA380" s="141"/>
      <c r="CB380" s="146" t="str">
        <f t="shared" si="569"/>
        <v xml:space="preserve">                                                                                                                                                                                                                                                                                                                                                                                                                </v>
      </c>
      <c r="CC380" s="174" t="str">
        <f t="shared" si="549"/>
        <v>NG</v>
      </c>
      <c r="CD380" s="141"/>
      <c r="CE380" s="172" t="s">
        <v>71</v>
      </c>
      <c r="CF380" s="160"/>
      <c r="CG380" s="141"/>
      <c r="CH380" s="146" t="str">
        <f t="shared" si="570"/>
        <v xml:space="preserve">                                                                                                                                                                                                                                                                                                                                                                                                                </v>
      </c>
      <c r="CI380" s="174" t="str">
        <f t="shared" si="550"/>
        <v>NG</v>
      </c>
      <c r="CJ380" s="141"/>
      <c r="CK380" s="172" t="s">
        <v>71</v>
      </c>
      <c r="CL380" s="160"/>
      <c r="CM380" s="141"/>
      <c r="CN380" s="146" t="str">
        <f t="shared" si="571"/>
        <v xml:space="preserve">                                                                                                                                                                                                                                                                                                                                                                                                                </v>
      </c>
      <c r="CO380" s="174" t="str">
        <f t="shared" si="551"/>
        <v>NG</v>
      </c>
      <c r="CP380" s="141"/>
      <c r="CQ380" s="172" t="s">
        <v>71</v>
      </c>
      <c r="CR380" s="160"/>
      <c r="CS380" s="141"/>
      <c r="CT380" s="146" t="str">
        <f t="shared" si="572"/>
        <v xml:space="preserve">                                                                                                                                                                                                                                                                                                                                                                                                                </v>
      </c>
      <c r="CU380" s="174" t="str">
        <f t="shared" si="552"/>
        <v>NG</v>
      </c>
      <c r="CV380" s="141"/>
      <c r="CW380" s="172" t="s">
        <v>71</v>
      </c>
      <c r="CX380" s="160"/>
      <c r="CY380" s="141"/>
      <c r="CZ380" s="146" t="str">
        <f t="shared" si="573"/>
        <v xml:space="preserve">                                                                                                                                                                                                                                                                                                                                                                                                                </v>
      </c>
      <c r="DA380" s="174" t="str">
        <f t="shared" si="553"/>
        <v>NG</v>
      </c>
      <c r="DB380" s="141"/>
      <c r="DC380" s="172" t="s">
        <v>71</v>
      </c>
      <c r="DD380" s="160"/>
      <c r="DE380" s="141"/>
      <c r="DF380" s="146" t="str">
        <f t="shared" si="574"/>
        <v xml:space="preserve">                                                                                                                                                                                                                                                                                                                                                                                                                </v>
      </c>
      <c r="DG380" s="174" t="str">
        <f t="shared" si="554"/>
        <v>NG</v>
      </c>
      <c r="DH380" s="141"/>
      <c r="DI380" s="172" t="s">
        <v>71</v>
      </c>
      <c r="DJ380" s="160"/>
      <c r="DK380" s="141"/>
      <c r="DL380" s="146" t="str">
        <f t="shared" si="575"/>
        <v xml:space="preserve">                                                                                                                                                                                                                                                                                                                                                                                                                </v>
      </c>
      <c r="DM380" s="174" t="str">
        <f t="shared" si="555"/>
        <v>NG</v>
      </c>
      <c r="DN380" s="141"/>
      <c r="DO380" s="172" t="s">
        <v>71</v>
      </c>
      <c r="DP380" s="160"/>
      <c r="DQ380" s="141"/>
      <c r="DR380" s="146" t="str">
        <f t="shared" si="576"/>
        <v xml:space="preserve">                                                                                                                                                                                                                                                                                                                                                                                                                </v>
      </c>
      <c r="DS380" s="174" t="str">
        <f t="shared" si="593"/>
        <v>NG</v>
      </c>
      <c r="DT380" s="141"/>
      <c r="DU380" s="172" t="s">
        <v>71</v>
      </c>
      <c r="DV380" s="160"/>
      <c r="DW380" s="141"/>
      <c r="DX380" s="146" t="str">
        <f t="shared" si="577"/>
        <v xml:space="preserve">                                                                                                                                                                                                                                                                                                                                                                                                                </v>
      </c>
      <c r="DY380" s="174" t="str">
        <f t="shared" si="594"/>
        <v>NG</v>
      </c>
      <c r="DZ380" s="141"/>
      <c r="EA380" s="172" t="s">
        <v>71</v>
      </c>
      <c r="EB380" s="160"/>
      <c r="EC380" s="141"/>
      <c r="ED380" s="146" t="str">
        <f t="shared" si="578"/>
        <v xml:space="preserve">                                                                                                                                                                                                                                                                                                                                                                                                                </v>
      </c>
      <c r="EE380" s="174" t="str">
        <f t="shared" si="595"/>
        <v>NG</v>
      </c>
      <c r="EF380" s="141"/>
      <c r="EG380" s="172" t="s">
        <v>71</v>
      </c>
      <c r="EH380" s="160"/>
      <c r="EI380" s="141"/>
      <c r="EJ380" s="146" t="str">
        <f t="shared" si="579"/>
        <v xml:space="preserve">                                                                                                                                                                                                                                                                                                                                                                                                                </v>
      </c>
      <c r="EK380" s="174" t="str">
        <f t="shared" si="596"/>
        <v>NG</v>
      </c>
      <c r="EL380" s="141"/>
      <c r="EM380" s="172" t="s">
        <v>71</v>
      </c>
      <c r="EN380" s="160"/>
      <c r="EO380" s="141"/>
      <c r="EP380" s="146" t="str">
        <f t="shared" si="580"/>
        <v xml:space="preserve">                                                                                                                                                                                                                                                                                                                                                                                                                </v>
      </c>
      <c r="EQ380" s="174" t="str">
        <f t="shared" si="597"/>
        <v>NG</v>
      </c>
      <c r="ER380" s="141"/>
      <c r="ES380" s="172" t="s">
        <v>71</v>
      </c>
      <c r="ET380" s="160"/>
      <c r="EU380" s="141"/>
      <c r="EV380" s="146" t="str">
        <f t="shared" si="581"/>
        <v xml:space="preserve">                                                                                                                                                                                                                                                                                                                                                                                                                </v>
      </c>
      <c r="EW380" s="174" t="str">
        <f t="shared" si="598"/>
        <v>NG</v>
      </c>
      <c r="EX380" s="141"/>
      <c r="EY380" s="172" t="s">
        <v>71</v>
      </c>
      <c r="EZ380" s="160"/>
      <c r="FA380" s="141"/>
      <c r="FB380" s="146" t="str">
        <f t="shared" si="582"/>
        <v xml:space="preserve">                                                                                                                                                                                                                                                                                                                                                                                                                </v>
      </c>
      <c r="FC380" s="174" t="str">
        <f t="shared" si="599"/>
        <v>NG</v>
      </c>
      <c r="FD380" s="141"/>
      <c r="FE380" s="172" t="s">
        <v>71</v>
      </c>
      <c r="FF380" s="160"/>
      <c r="FG380" s="141"/>
      <c r="FH380" s="146" t="str">
        <f t="shared" si="583"/>
        <v xml:space="preserve">                                                                                                                                                                                                                                                                                                                                                                                                                </v>
      </c>
      <c r="FI380" s="174" t="str">
        <f t="shared" si="600"/>
        <v>NG</v>
      </c>
      <c r="FJ380" s="141"/>
      <c r="FK380" s="172" t="s">
        <v>71</v>
      </c>
      <c r="FL380" s="160"/>
      <c r="FM380" s="141"/>
      <c r="FN380" s="146" t="str">
        <f t="shared" si="584"/>
        <v xml:space="preserve">                                                                                                                                                                                                                                                                                                                                                                                                                </v>
      </c>
      <c r="FO380" s="174" t="str">
        <f t="shared" si="556"/>
        <v>NG</v>
      </c>
      <c r="FP380" s="141"/>
      <c r="FQ380" s="172" t="s">
        <v>71</v>
      </c>
      <c r="FR380" s="160"/>
      <c r="FS380" s="141"/>
      <c r="FT380" s="146" t="str">
        <f t="shared" si="585"/>
        <v xml:space="preserve">                                                                                                                                                                                                                                                                                                                                                                                                                </v>
      </c>
      <c r="FU380" s="174" t="str">
        <f t="shared" si="557"/>
        <v>NG</v>
      </c>
      <c r="FV380" s="141"/>
      <c r="FW380" s="172" t="s">
        <v>71</v>
      </c>
      <c r="FX380" s="160"/>
      <c r="FY380" s="141"/>
      <c r="FZ380" s="146" t="str">
        <f t="shared" si="586"/>
        <v xml:space="preserve">                                                                                                                                                                                                                                                                                                                                                                                                                </v>
      </c>
      <c r="GA380" s="174" t="str">
        <f t="shared" si="558"/>
        <v>NG</v>
      </c>
      <c r="GB380" s="141"/>
      <c r="GC380" s="172" t="s">
        <v>71</v>
      </c>
    </row>
    <row r="381" spans="2:185" s="52" customFormat="1" ht="76.5">
      <c r="B381" s="216">
        <f t="shared" si="587"/>
        <v>374</v>
      </c>
      <c r="C381" s="37"/>
      <c r="D381" s="37"/>
      <c r="E381" s="37"/>
      <c r="F381" s="49" t="s">
        <v>219</v>
      </c>
      <c r="G381" s="39"/>
      <c r="H381" s="40"/>
      <c r="I381" s="42"/>
      <c r="J381" s="42"/>
      <c r="K381" s="42"/>
      <c r="L381" s="42"/>
      <c r="M381" s="63" t="s">
        <v>337</v>
      </c>
      <c r="N381" s="47"/>
      <c r="O381" s="143"/>
      <c r="P381" s="45">
        <f t="shared" si="591"/>
        <v>346</v>
      </c>
      <c r="Q381" s="46">
        <v>400</v>
      </c>
      <c r="R381" s="41" t="str">
        <f t="shared" si="592"/>
        <v>NX</v>
      </c>
      <c r="S381" s="185" t="s">
        <v>220</v>
      </c>
      <c r="T381" s="43"/>
      <c r="U381" s="41" t="s">
        <v>80</v>
      </c>
      <c r="V381" s="44"/>
      <c r="W381" s="22">
        <v>3</v>
      </c>
      <c r="X381" s="47" t="s">
        <v>221</v>
      </c>
      <c r="Y381" s="47">
        <v>1</v>
      </c>
      <c r="Z381" s="47">
        <v>400</v>
      </c>
      <c r="AA381" s="42" t="s">
        <v>195</v>
      </c>
      <c r="AB381" s="42" t="s">
        <v>80</v>
      </c>
      <c r="AC381" s="166"/>
      <c r="AD381" s="160"/>
      <c r="AE381" s="141"/>
      <c r="AF381" s="146" t="str">
        <f t="shared" si="562"/>
        <v xml:space="preserve">                                                                                                                                                                                                                                                                                                                                                                                                                </v>
      </c>
      <c r="AG381" s="174" t="str">
        <f t="shared" si="542"/>
        <v>NG</v>
      </c>
      <c r="AH381" s="141"/>
      <c r="AI381" s="172" t="s">
        <v>71</v>
      </c>
      <c r="AJ381" s="160"/>
      <c r="AK381" s="141"/>
      <c r="AL381" s="146" t="str">
        <f t="shared" si="559"/>
        <v xml:space="preserve">                                                                                                                                                                                                                                                                                                                                                                                                                </v>
      </c>
      <c r="AM381" s="174" t="str">
        <f t="shared" si="588"/>
        <v>NG</v>
      </c>
      <c r="AN381" s="141"/>
      <c r="AO381" s="172" t="s">
        <v>71</v>
      </c>
      <c r="AP381" s="160"/>
      <c r="AQ381" s="141"/>
      <c r="AR381" s="146" t="str">
        <f t="shared" si="563"/>
        <v xml:space="preserve">                                                                                                                                                                                                                                                                                                                                                                                                                </v>
      </c>
      <c r="AS381" s="174" t="str">
        <f t="shared" si="543"/>
        <v>NG</v>
      </c>
      <c r="AT381" s="141"/>
      <c r="AU381" s="172" t="s">
        <v>71</v>
      </c>
      <c r="AV381" s="160"/>
      <c r="AW381" s="141"/>
      <c r="AX381" s="146" t="str">
        <f t="shared" si="564"/>
        <v xml:space="preserve">                                                                                                                                                                                                                                                                                                                                                                                                                </v>
      </c>
      <c r="AY381" s="174" t="str">
        <f t="shared" si="544"/>
        <v>NG</v>
      </c>
      <c r="AZ381" s="141"/>
      <c r="BA381" s="172" t="s">
        <v>71</v>
      </c>
      <c r="BB381" s="160"/>
      <c r="BC381" s="141"/>
      <c r="BD381" s="146" t="str">
        <f t="shared" si="565"/>
        <v xml:space="preserve">                                                                                                                                                                                                                                                                                                                                                                                                                </v>
      </c>
      <c r="BE381" s="174" t="str">
        <f t="shared" si="545"/>
        <v>NG</v>
      </c>
      <c r="BF381" s="141"/>
      <c r="BG381" s="172" t="s">
        <v>71</v>
      </c>
      <c r="BH381" s="160"/>
      <c r="BI381" s="141"/>
      <c r="BJ381" s="146" t="str">
        <f t="shared" si="566"/>
        <v xml:space="preserve">                                                                                                                                                                                                                                                                                                                                                                                                                </v>
      </c>
      <c r="BK381" s="174" t="str">
        <f t="shared" si="546"/>
        <v>NG</v>
      </c>
      <c r="BL381" s="141"/>
      <c r="BM381" s="172" t="s">
        <v>71</v>
      </c>
      <c r="BN381" s="160"/>
      <c r="BO381" s="141"/>
      <c r="BP381" s="146" t="str">
        <f t="shared" si="567"/>
        <v xml:space="preserve">                                                                                                                                                                                                                                                                                                                                                                                                                </v>
      </c>
      <c r="BQ381" s="174" t="str">
        <f t="shared" si="547"/>
        <v>NG</v>
      </c>
      <c r="BR381" s="141"/>
      <c r="BS381" s="172" t="s">
        <v>71</v>
      </c>
      <c r="BT381" s="160"/>
      <c r="BU381" s="141"/>
      <c r="BV381" s="146" t="str">
        <f t="shared" si="568"/>
        <v xml:space="preserve">                                                                                                                                                                                                                                                                                                                                                                                                                </v>
      </c>
      <c r="BW381" s="174" t="str">
        <f t="shared" si="548"/>
        <v>NG</v>
      </c>
      <c r="BX381" s="141"/>
      <c r="BY381" s="172" t="s">
        <v>71</v>
      </c>
      <c r="BZ381" s="160"/>
      <c r="CA381" s="141"/>
      <c r="CB381" s="146" t="str">
        <f t="shared" si="569"/>
        <v xml:space="preserve">                                                                                                                                                                                                                                                                                                                                                                                                                </v>
      </c>
      <c r="CC381" s="174" t="str">
        <f t="shared" si="549"/>
        <v>NG</v>
      </c>
      <c r="CD381" s="141"/>
      <c r="CE381" s="172" t="s">
        <v>71</v>
      </c>
      <c r="CF381" s="160"/>
      <c r="CG381" s="141"/>
      <c r="CH381" s="146" t="str">
        <f t="shared" si="570"/>
        <v xml:space="preserve">                                                                                                                                                                                                                                                                                                                                                                                                                </v>
      </c>
      <c r="CI381" s="174" t="str">
        <f t="shared" si="550"/>
        <v>NG</v>
      </c>
      <c r="CJ381" s="141"/>
      <c r="CK381" s="172" t="s">
        <v>71</v>
      </c>
      <c r="CL381" s="160"/>
      <c r="CM381" s="141"/>
      <c r="CN381" s="146" t="str">
        <f t="shared" si="571"/>
        <v xml:space="preserve">                                                                                                                                                                                                                                                                                                                                                                                                                </v>
      </c>
      <c r="CO381" s="174" t="str">
        <f t="shared" si="551"/>
        <v>NG</v>
      </c>
      <c r="CP381" s="141"/>
      <c r="CQ381" s="172" t="s">
        <v>71</v>
      </c>
      <c r="CR381" s="160"/>
      <c r="CS381" s="141"/>
      <c r="CT381" s="146" t="str">
        <f t="shared" si="572"/>
        <v xml:space="preserve">                                                                                                                                                                                                                                                                                                                                                                                                                </v>
      </c>
      <c r="CU381" s="174" t="str">
        <f t="shared" si="552"/>
        <v>NG</v>
      </c>
      <c r="CV381" s="141"/>
      <c r="CW381" s="172" t="s">
        <v>71</v>
      </c>
      <c r="CX381" s="160"/>
      <c r="CY381" s="141"/>
      <c r="CZ381" s="146" t="str">
        <f t="shared" si="573"/>
        <v xml:space="preserve">                                                                                                                                                                                                                                                                                                                                                                                                                </v>
      </c>
      <c r="DA381" s="174" t="str">
        <f t="shared" si="553"/>
        <v>NG</v>
      </c>
      <c r="DB381" s="141"/>
      <c r="DC381" s="172" t="s">
        <v>71</v>
      </c>
      <c r="DD381" s="160"/>
      <c r="DE381" s="141"/>
      <c r="DF381" s="146" t="str">
        <f t="shared" si="574"/>
        <v xml:space="preserve">                                                                                                                                                                                                                                                                                                                                                                                                                </v>
      </c>
      <c r="DG381" s="174" t="str">
        <f t="shared" si="554"/>
        <v>NG</v>
      </c>
      <c r="DH381" s="141"/>
      <c r="DI381" s="172" t="s">
        <v>71</v>
      </c>
      <c r="DJ381" s="160"/>
      <c r="DK381" s="141"/>
      <c r="DL381" s="146" t="str">
        <f t="shared" si="575"/>
        <v xml:space="preserve">                                                                                                                                                                                                                                                                                                                                                                                                                </v>
      </c>
      <c r="DM381" s="174" t="str">
        <f t="shared" si="555"/>
        <v>NG</v>
      </c>
      <c r="DN381" s="141"/>
      <c r="DO381" s="172" t="s">
        <v>71</v>
      </c>
      <c r="DP381" s="160"/>
      <c r="DQ381" s="141"/>
      <c r="DR381" s="146" t="str">
        <f t="shared" si="576"/>
        <v xml:space="preserve">                                                                                                                                                                                                                                                                                                                                                                                                                </v>
      </c>
      <c r="DS381" s="174" t="str">
        <f t="shared" si="593"/>
        <v>NG</v>
      </c>
      <c r="DT381" s="141"/>
      <c r="DU381" s="172" t="s">
        <v>71</v>
      </c>
      <c r="DV381" s="160"/>
      <c r="DW381" s="141"/>
      <c r="DX381" s="146" t="str">
        <f t="shared" si="577"/>
        <v xml:space="preserve">                                                                                                                                                                                                                                                                                                                                                                                                                </v>
      </c>
      <c r="DY381" s="174" t="str">
        <f t="shared" si="594"/>
        <v>NG</v>
      </c>
      <c r="DZ381" s="141"/>
      <c r="EA381" s="172" t="s">
        <v>71</v>
      </c>
      <c r="EB381" s="160"/>
      <c r="EC381" s="141"/>
      <c r="ED381" s="146" t="str">
        <f t="shared" si="578"/>
        <v xml:space="preserve">                                                                                                                                                                                                                                                                                                                                                                                                                </v>
      </c>
      <c r="EE381" s="174" t="str">
        <f t="shared" si="595"/>
        <v>NG</v>
      </c>
      <c r="EF381" s="141"/>
      <c r="EG381" s="172" t="s">
        <v>71</v>
      </c>
      <c r="EH381" s="160"/>
      <c r="EI381" s="141"/>
      <c r="EJ381" s="146" t="str">
        <f t="shared" si="579"/>
        <v xml:space="preserve">                                                                                                                                                                                                                                                                                                                                                                                                                </v>
      </c>
      <c r="EK381" s="174" t="str">
        <f t="shared" si="596"/>
        <v>NG</v>
      </c>
      <c r="EL381" s="141"/>
      <c r="EM381" s="172" t="s">
        <v>71</v>
      </c>
      <c r="EN381" s="160"/>
      <c r="EO381" s="141"/>
      <c r="EP381" s="146" t="str">
        <f t="shared" si="580"/>
        <v xml:space="preserve">                                                                                                                                                                                                                                                                                                                                                                                                                </v>
      </c>
      <c r="EQ381" s="174" t="str">
        <f t="shared" si="597"/>
        <v>NG</v>
      </c>
      <c r="ER381" s="141"/>
      <c r="ES381" s="172" t="s">
        <v>71</v>
      </c>
      <c r="ET381" s="160"/>
      <c r="EU381" s="141"/>
      <c r="EV381" s="146" t="str">
        <f t="shared" si="581"/>
        <v xml:space="preserve">                                                                                                                                                                                                                                                                                                                                                                                                                </v>
      </c>
      <c r="EW381" s="174" t="str">
        <f t="shared" si="598"/>
        <v>NG</v>
      </c>
      <c r="EX381" s="141"/>
      <c r="EY381" s="172" t="s">
        <v>71</v>
      </c>
      <c r="EZ381" s="160"/>
      <c r="FA381" s="141"/>
      <c r="FB381" s="146" t="str">
        <f t="shared" si="582"/>
        <v xml:space="preserve">                                                                                                                                                                                                                                                                                                                                                                                                                </v>
      </c>
      <c r="FC381" s="174" t="str">
        <f t="shared" si="599"/>
        <v>NG</v>
      </c>
      <c r="FD381" s="141"/>
      <c r="FE381" s="172" t="s">
        <v>71</v>
      </c>
      <c r="FF381" s="160"/>
      <c r="FG381" s="141"/>
      <c r="FH381" s="146" t="str">
        <f t="shared" si="583"/>
        <v xml:space="preserve">                                                                                                                                                                                                                                                                                                                                                                                                                </v>
      </c>
      <c r="FI381" s="174" t="str">
        <f t="shared" si="600"/>
        <v>NG</v>
      </c>
      <c r="FJ381" s="141"/>
      <c r="FK381" s="172" t="s">
        <v>71</v>
      </c>
      <c r="FL381" s="160"/>
      <c r="FM381" s="141"/>
      <c r="FN381" s="146" t="str">
        <f t="shared" si="584"/>
        <v xml:space="preserve">                                                                                                                                                                                                                                                                                                                                                                                                                </v>
      </c>
      <c r="FO381" s="174" t="str">
        <f t="shared" si="556"/>
        <v>NG</v>
      </c>
      <c r="FP381" s="141"/>
      <c r="FQ381" s="172" t="s">
        <v>71</v>
      </c>
      <c r="FR381" s="160"/>
      <c r="FS381" s="141"/>
      <c r="FT381" s="146" t="str">
        <f t="shared" si="585"/>
        <v xml:space="preserve">                                                                                                                                                                                                                                                                                                                                                                                                                </v>
      </c>
      <c r="FU381" s="174" t="str">
        <f t="shared" si="557"/>
        <v>NG</v>
      </c>
      <c r="FV381" s="141"/>
      <c r="FW381" s="172" t="s">
        <v>71</v>
      </c>
      <c r="FX381" s="160"/>
      <c r="FY381" s="141"/>
      <c r="FZ381" s="146" t="str">
        <f t="shared" si="586"/>
        <v xml:space="preserve">                                                                                                                                                                                                                                                                                                                                                                                                                </v>
      </c>
      <c r="GA381" s="174" t="str">
        <f t="shared" si="558"/>
        <v>NG</v>
      </c>
      <c r="GB381" s="141"/>
      <c r="GC381" s="172" t="s">
        <v>71</v>
      </c>
    </row>
    <row r="382" spans="2:185" s="52" customFormat="1">
      <c r="B382" s="216">
        <f t="shared" si="587"/>
        <v>375</v>
      </c>
      <c r="C382" s="37"/>
      <c r="D382" s="37"/>
      <c r="E382" s="37"/>
      <c r="F382" s="49" t="s">
        <v>222</v>
      </c>
      <c r="G382" s="39"/>
      <c r="H382" s="40"/>
      <c r="I382" s="42"/>
      <c r="J382" s="42"/>
      <c r="K382" s="42"/>
      <c r="L382" s="42"/>
      <c r="M382" s="63" t="s">
        <v>336</v>
      </c>
      <c r="N382" s="47"/>
      <c r="O382" s="143"/>
      <c r="P382" s="45">
        <f t="shared" si="591"/>
        <v>347</v>
      </c>
      <c r="Q382" s="46">
        <v>400</v>
      </c>
      <c r="R382" s="41" t="str">
        <f t="shared" si="592"/>
        <v>NX</v>
      </c>
      <c r="S382" s="185" t="s">
        <v>223</v>
      </c>
      <c r="T382" s="43"/>
      <c r="U382" s="41" t="s">
        <v>80</v>
      </c>
      <c r="V382" s="44"/>
      <c r="W382" s="22">
        <v>3</v>
      </c>
      <c r="X382" s="47" t="s">
        <v>224</v>
      </c>
      <c r="Y382" s="47">
        <v>1</v>
      </c>
      <c r="Z382" s="47">
        <v>400</v>
      </c>
      <c r="AA382" s="42" t="s">
        <v>195</v>
      </c>
      <c r="AB382" s="42" t="s">
        <v>80</v>
      </c>
      <c r="AC382" s="166"/>
      <c r="AD382" s="160"/>
      <c r="AE382" s="141"/>
      <c r="AF382" s="146" t="str">
        <f t="shared" si="562"/>
        <v xml:space="preserve">                                                                                                                                                                                                                                                                                                                                                                                                                </v>
      </c>
      <c r="AG382" s="174" t="str">
        <f t="shared" si="542"/>
        <v>NG</v>
      </c>
      <c r="AH382" s="141"/>
      <c r="AI382" s="172" t="s">
        <v>71</v>
      </c>
      <c r="AJ382" s="160"/>
      <c r="AK382" s="141"/>
      <c r="AL382" s="146" t="str">
        <f t="shared" si="559"/>
        <v xml:space="preserve">                                                                                                                                                                                                                                                                                                                                                                                                                </v>
      </c>
      <c r="AM382" s="174" t="str">
        <f t="shared" si="588"/>
        <v>NG</v>
      </c>
      <c r="AN382" s="141"/>
      <c r="AO382" s="172" t="s">
        <v>71</v>
      </c>
      <c r="AP382" s="160"/>
      <c r="AQ382" s="141"/>
      <c r="AR382" s="146" t="str">
        <f t="shared" si="563"/>
        <v xml:space="preserve">                                                                                                                                                                                                                                                                                                                                                                                                                </v>
      </c>
      <c r="AS382" s="174" t="str">
        <f t="shared" si="543"/>
        <v>NG</v>
      </c>
      <c r="AT382" s="141"/>
      <c r="AU382" s="172" t="s">
        <v>71</v>
      </c>
      <c r="AV382" s="160"/>
      <c r="AW382" s="141"/>
      <c r="AX382" s="146" t="str">
        <f t="shared" si="564"/>
        <v xml:space="preserve">                                                                                                                                                                                                                                                                                                                                                                                                                </v>
      </c>
      <c r="AY382" s="174" t="str">
        <f t="shared" si="544"/>
        <v>NG</v>
      </c>
      <c r="AZ382" s="141"/>
      <c r="BA382" s="172" t="s">
        <v>71</v>
      </c>
      <c r="BB382" s="160"/>
      <c r="BC382" s="141"/>
      <c r="BD382" s="146" t="str">
        <f t="shared" si="565"/>
        <v xml:space="preserve">                                                                                                                                                                                                                                                                                                                                                                                                                </v>
      </c>
      <c r="BE382" s="174" t="str">
        <f t="shared" si="545"/>
        <v>NG</v>
      </c>
      <c r="BF382" s="141"/>
      <c r="BG382" s="172" t="s">
        <v>71</v>
      </c>
      <c r="BH382" s="160"/>
      <c r="BI382" s="141"/>
      <c r="BJ382" s="146" t="str">
        <f t="shared" si="566"/>
        <v xml:space="preserve">                                                                                                                                                                                                                                                                                                                                                                                                                </v>
      </c>
      <c r="BK382" s="174" t="str">
        <f t="shared" si="546"/>
        <v>NG</v>
      </c>
      <c r="BL382" s="141"/>
      <c r="BM382" s="172" t="s">
        <v>71</v>
      </c>
      <c r="BN382" s="160"/>
      <c r="BO382" s="141"/>
      <c r="BP382" s="146" t="str">
        <f t="shared" si="567"/>
        <v xml:space="preserve">                                                                                                                                                                                                                                                                                                                                                                                                                </v>
      </c>
      <c r="BQ382" s="174" t="str">
        <f t="shared" si="547"/>
        <v>NG</v>
      </c>
      <c r="BR382" s="141"/>
      <c r="BS382" s="172" t="s">
        <v>71</v>
      </c>
      <c r="BT382" s="160"/>
      <c r="BU382" s="141"/>
      <c r="BV382" s="146" t="str">
        <f t="shared" si="568"/>
        <v xml:space="preserve">                                                                                                                                                                                                                                                                                                                                                                                                                </v>
      </c>
      <c r="BW382" s="174" t="str">
        <f t="shared" si="548"/>
        <v>NG</v>
      </c>
      <c r="BX382" s="141"/>
      <c r="BY382" s="172" t="s">
        <v>71</v>
      </c>
      <c r="BZ382" s="160"/>
      <c r="CA382" s="141"/>
      <c r="CB382" s="146" t="str">
        <f t="shared" si="569"/>
        <v xml:space="preserve">                                                                                                                                                                                                                                                                                                                                                                                                                </v>
      </c>
      <c r="CC382" s="174" t="str">
        <f t="shared" si="549"/>
        <v>NG</v>
      </c>
      <c r="CD382" s="141"/>
      <c r="CE382" s="172" t="s">
        <v>71</v>
      </c>
      <c r="CF382" s="160"/>
      <c r="CG382" s="141"/>
      <c r="CH382" s="146" t="str">
        <f t="shared" si="570"/>
        <v xml:space="preserve">                                                                                                                                                                                                                                                                                                                                                                                                                </v>
      </c>
      <c r="CI382" s="174" t="str">
        <f t="shared" si="550"/>
        <v>NG</v>
      </c>
      <c r="CJ382" s="141"/>
      <c r="CK382" s="172" t="s">
        <v>71</v>
      </c>
      <c r="CL382" s="160"/>
      <c r="CM382" s="141"/>
      <c r="CN382" s="146" t="str">
        <f t="shared" si="571"/>
        <v xml:space="preserve">                                                                                                                                                                                                                                                                                                                                                                                                                </v>
      </c>
      <c r="CO382" s="174" t="str">
        <f t="shared" si="551"/>
        <v>NG</v>
      </c>
      <c r="CP382" s="141"/>
      <c r="CQ382" s="172" t="s">
        <v>71</v>
      </c>
      <c r="CR382" s="160"/>
      <c r="CS382" s="141"/>
      <c r="CT382" s="146" t="str">
        <f t="shared" si="572"/>
        <v xml:space="preserve">                                                                                                                                                                                                                                                                                                                                                                                                                </v>
      </c>
      <c r="CU382" s="174" t="str">
        <f t="shared" si="552"/>
        <v>NG</v>
      </c>
      <c r="CV382" s="141"/>
      <c r="CW382" s="172" t="s">
        <v>71</v>
      </c>
      <c r="CX382" s="160"/>
      <c r="CY382" s="141"/>
      <c r="CZ382" s="146" t="str">
        <f t="shared" si="573"/>
        <v xml:space="preserve">                                                                                                                                                                                                                                                                                                                                                                                                                </v>
      </c>
      <c r="DA382" s="174" t="str">
        <f t="shared" si="553"/>
        <v>NG</v>
      </c>
      <c r="DB382" s="141"/>
      <c r="DC382" s="172" t="s">
        <v>71</v>
      </c>
      <c r="DD382" s="160"/>
      <c r="DE382" s="141"/>
      <c r="DF382" s="146" t="str">
        <f t="shared" si="574"/>
        <v xml:space="preserve">                                                                                                                                                                                                                                                                                                                                                                                                                </v>
      </c>
      <c r="DG382" s="174" t="str">
        <f t="shared" si="554"/>
        <v>NG</v>
      </c>
      <c r="DH382" s="141"/>
      <c r="DI382" s="172" t="s">
        <v>71</v>
      </c>
      <c r="DJ382" s="160"/>
      <c r="DK382" s="141"/>
      <c r="DL382" s="146" t="str">
        <f t="shared" si="575"/>
        <v xml:space="preserve">                                                                                                                                                                                                                                                                                                                                                                                                                </v>
      </c>
      <c r="DM382" s="174" t="str">
        <f t="shared" si="555"/>
        <v>NG</v>
      </c>
      <c r="DN382" s="141"/>
      <c r="DO382" s="172" t="s">
        <v>71</v>
      </c>
      <c r="DP382" s="160"/>
      <c r="DQ382" s="141"/>
      <c r="DR382" s="146" t="str">
        <f t="shared" si="576"/>
        <v xml:space="preserve">                                                                                                                                                                                                                                                                                                                                                                                                                </v>
      </c>
      <c r="DS382" s="174" t="str">
        <f t="shared" si="593"/>
        <v>NG</v>
      </c>
      <c r="DT382" s="141"/>
      <c r="DU382" s="172" t="s">
        <v>71</v>
      </c>
      <c r="DV382" s="160"/>
      <c r="DW382" s="141"/>
      <c r="DX382" s="146" t="str">
        <f t="shared" si="577"/>
        <v xml:space="preserve">                                                                                                                                                                                                                                                                                                                                                                                                                </v>
      </c>
      <c r="DY382" s="174" t="str">
        <f t="shared" si="594"/>
        <v>NG</v>
      </c>
      <c r="DZ382" s="141"/>
      <c r="EA382" s="172" t="s">
        <v>71</v>
      </c>
      <c r="EB382" s="160"/>
      <c r="EC382" s="141"/>
      <c r="ED382" s="146" t="str">
        <f t="shared" si="578"/>
        <v xml:space="preserve">                                                                                                                                                                                                                                                                                                                                                                                                                </v>
      </c>
      <c r="EE382" s="174" t="str">
        <f t="shared" si="595"/>
        <v>NG</v>
      </c>
      <c r="EF382" s="141"/>
      <c r="EG382" s="172" t="s">
        <v>71</v>
      </c>
      <c r="EH382" s="160"/>
      <c r="EI382" s="141"/>
      <c r="EJ382" s="146" t="str">
        <f t="shared" si="579"/>
        <v xml:space="preserve">                                                                                                                                                                                                                                                                                                                                                                                                                </v>
      </c>
      <c r="EK382" s="174" t="str">
        <f t="shared" si="596"/>
        <v>NG</v>
      </c>
      <c r="EL382" s="141"/>
      <c r="EM382" s="172" t="s">
        <v>71</v>
      </c>
      <c r="EN382" s="160"/>
      <c r="EO382" s="141"/>
      <c r="EP382" s="146" t="str">
        <f t="shared" si="580"/>
        <v xml:space="preserve">                                                                                                                                                                                                                                                                                                                                                                                                                </v>
      </c>
      <c r="EQ382" s="174" t="str">
        <f t="shared" si="597"/>
        <v>NG</v>
      </c>
      <c r="ER382" s="141"/>
      <c r="ES382" s="172" t="s">
        <v>71</v>
      </c>
      <c r="ET382" s="160"/>
      <c r="EU382" s="141"/>
      <c r="EV382" s="146" t="str">
        <f t="shared" si="581"/>
        <v xml:space="preserve">                                                                                                                                                                                                                                                                                                                                                                                                                </v>
      </c>
      <c r="EW382" s="174" t="str">
        <f t="shared" si="598"/>
        <v>NG</v>
      </c>
      <c r="EX382" s="141"/>
      <c r="EY382" s="172" t="s">
        <v>71</v>
      </c>
      <c r="EZ382" s="160"/>
      <c r="FA382" s="141"/>
      <c r="FB382" s="146" t="str">
        <f t="shared" si="582"/>
        <v xml:space="preserve">                                                                                                                                                                                                                                                                                                                                                                                                                </v>
      </c>
      <c r="FC382" s="174" t="str">
        <f t="shared" si="599"/>
        <v>NG</v>
      </c>
      <c r="FD382" s="141"/>
      <c r="FE382" s="172" t="s">
        <v>71</v>
      </c>
      <c r="FF382" s="160"/>
      <c r="FG382" s="141"/>
      <c r="FH382" s="146" t="str">
        <f t="shared" si="583"/>
        <v xml:space="preserve">                                                                                                                                                                                                                                                                                                                                                                                                                </v>
      </c>
      <c r="FI382" s="174" t="str">
        <f t="shared" si="600"/>
        <v>NG</v>
      </c>
      <c r="FJ382" s="141"/>
      <c r="FK382" s="172" t="s">
        <v>71</v>
      </c>
      <c r="FL382" s="160"/>
      <c r="FM382" s="141"/>
      <c r="FN382" s="146" t="str">
        <f t="shared" si="584"/>
        <v xml:space="preserve">                                                                                                                                                                                                                                                                                                                                                                                                                </v>
      </c>
      <c r="FO382" s="174" t="str">
        <f t="shared" si="556"/>
        <v>NG</v>
      </c>
      <c r="FP382" s="141"/>
      <c r="FQ382" s="172" t="s">
        <v>71</v>
      </c>
      <c r="FR382" s="160"/>
      <c r="FS382" s="141"/>
      <c r="FT382" s="146" t="str">
        <f t="shared" si="585"/>
        <v xml:space="preserve">                                                                                                                                                                                                                                                                                                                                                                                                                </v>
      </c>
      <c r="FU382" s="174" t="str">
        <f t="shared" si="557"/>
        <v>NG</v>
      </c>
      <c r="FV382" s="141"/>
      <c r="FW382" s="172" t="s">
        <v>71</v>
      </c>
      <c r="FX382" s="160"/>
      <c r="FY382" s="141"/>
      <c r="FZ382" s="146" t="str">
        <f t="shared" si="586"/>
        <v xml:space="preserve">                                                                                                                                                                                                                                                                                                                                                                                                                </v>
      </c>
      <c r="GA382" s="174" t="str">
        <f t="shared" si="558"/>
        <v>NG</v>
      </c>
      <c r="GB382" s="141"/>
      <c r="GC382" s="172" t="s">
        <v>71</v>
      </c>
    </row>
    <row r="383" spans="2:185" s="52" customFormat="1">
      <c r="B383" s="216">
        <f t="shared" si="587"/>
        <v>376</v>
      </c>
      <c r="C383" s="37"/>
      <c r="D383" s="37"/>
      <c r="E383" s="37"/>
      <c r="F383" s="49" t="s">
        <v>225</v>
      </c>
      <c r="G383" s="39"/>
      <c r="H383" s="40"/>
      <c r="I383" s="42"/>
      <c r="J383" s="42"/>
      <c r="K383" s="42"/>
      <c r="L383" s="42"/>
      <c r="M383" s="63" t="s">
        <v>336</v>
      </c>
      <c r="N383" s="47"/>
      <c r="O383" s="143"/>
      <c r="P383" s="45">
        <f t="shared" si="591"/>
        <v>348</v>
      </c>
      <c r="Q383" s="46">
        <v>400</v>
      </c>
      <c r="R383" s="41" t="str">
        <f t="shared" si="592"/>
        <v>NX</v>
      </c>
      <c r="S383" s="185" t="s">
        <v>226</v>
      </c>
      <c r="T383" s="43"/>
      <c r="U383" s="41" t="s">
        <v>80</v>
      </c>
      <c r="V383" s="44"/>
      <c r="W383" s="22">
        <v>3</v>
      </c>
      <c r="X383" s="47" t="s">
        <v>227</v>
      </c>
      <c r="Y383" s="47">
        <v>1</v>
      </c>
      <c r="Z383" s="47">
        <v>400</v>
      </c>
      <c r="AA383" s="42" t="s">
        <v>195</v>
      </c>
      <c r="AB383" s="42" t="s">
        <v>80</v>
      </c>
      <c r="AC383" s="166"/>
      <c r="AD383" s="160"/>
      <c r="AE383" s="141"/>
      <c r="AF383" s="146" t="str">
        <f t="shared" si="562"/>
        <v xml:space="preserve">                                                                                                                                                                                                                                                                                                                                                                                                                </v>
      </c>
      <c r="AG383" s="174" t="str">
        <f t="shared" si="542"/>
        <v>NG</v>
      </c>
      <c r="AH383" s="141"/>
      <c r="AI383" s="172" t="s">
        <v>71</v>
      </c>
      <c r="AJ383" s="160"/>
      <c r="AK383" s="141"/>
      <c r="AL383" s="146" t="str">
        <f t="shared" si="559"/>
        <v xml:space="preserve">                                                                                                                                                                                                                                                                                                                                                                                                                </v>
      </c>
      <c r="AM383" s="174" t="str">
        <f t="shared" si="588"/>
        <v>NG</v>
      </c>
      <c r="AN383" s="141"/>
      <c r="AO383" s="172" t="s">
        <v>71</v>
      </c>
      <c r="AP383" s="160"/>
      <c r="AQ383" s="141"/>
      <c r="AR383" s="146" t="str">
        <f t="shared" si="563"/>
        <v xml:space="preserve">                                                                                                                                                                                                                                                                                                                                                                                                                </v>
      </c>
      <c r="AS383" s="174" t="str">
        <f t="shared" si="543"/>
        <v>NG</v>
      </c>
      <c r="AT383" s="141"/>
      <c r="AU383" s="172" t="s">
        <v>71</v>
      </c>
      <c r="AV383" s="160"/>
      <c r="AW383" s="141"/>
      <c r="AX383" s="146" t="str">
        <f t="shared" si="564"/>
        <v xml:space="preserve">                                                                                                                                                                                                                                                                                                                                                                                                                </v>
      </c>
      <c r="AY383" s="174" t="str">
        <f t="shared" si="544"/>
        <v>NG</v>
      </c>
      <c r="AZ383" s="141"/>
      <c r="BA383" s="172" t="s">
        <v>71</v>
      </c>
      <c r="BB383" s="160"/>
      <c r="BC383" s="141"/>
      <c r="BD383" s="146" t="str">
        <f t="shared" si="565"/>
        <v xml:space="preserve">                                                                                                                                                                                                                                                                                                                                                                                                                </v>
      </c>
      <c r="BE383" s="174" t="str">
        <f t="shared" si="545"/>
        <v>NG</v>
      </c>
      <c r="BF383" s="141"/>
      <c r="BG383" s="172" t="s">
        <v>71</v>
      </c>
      <c r="BH383" s="160"/>
      <c r="BI383" s="141"/>
      <c r="BJ383" s="146" t="str">
        <f t="shared" si="566"/>
        <v xml:space="preserve">                                                                                                                                                                                                                                                                                                                                                                                                                </v>
      </c>
      <c r="BK383" s="174" t="str">
        <f t="shared" si="546"/>
        <v>NG</v>
      </c>
      <c r="BL383" s="141"/>
      <c r="BM383" s="172" t="s">
        <v>71</v>
      </c>
      <c r="BN383" s="160"/>
      <c r="BO383" s="141"/>
      <c r="BP383" s="146" t="str">
        <f t="shared" si="567"/>
        <v xml:space="preserve">                                                                                                                                                                                                                                                                                                                                                                                                                </v>
      </c>
      <c r="BQ383" s="174" t="str">
        <f t="shared" si="547"/>
        <v>NG</v>
      </c>
      <c r="BR383" s="141"/>
      <c r="BS383" s="172" t="s">
        <v>71</v>
      </c>
      <c r="BT383" s="160"/>
      <c r="BU383" s="141"/>
      <c r="BV383" s="146" t="str">
        <f t="shared" si="568"/>
        <v xml:space="preserve">                                                                                                                                                                                                                                                                                                                                                                                                                </v>
      </c>
      <c r="BW383" s="174" t="str">
        <f t="shared" si="548"/>
        <v>NG</v>
      </c>
      <c r="BX383" s="141"/>
      <c r="BY383" s="172" t="s">
        <v>71</v>
      </c>
      <c r="BZ383" s="160"/>
      <c r="CA383" s="141"/>
      <c r="CB383" s="146" t="str">
        <f t="shared" si="569"/>
        <v xml:space="preserve">                                                                                                                                                                                                                                                                                                                                                                                                                </v>
      </c>
      <c r="CC383" s="174" t="str">
        <f t="shared" si="549"/>
        <v>NG</v>
      </c>
      <c r="CD383" s="141"/>
      <c r="CE383" s="172" t="s">
        <v>71</v>
      </c>
      <c r="CF383" s="160"/>
      <c r="CG383" s="141"/>
      <c r="CH383" s="146" t="str">
        <f t="shared" si="570"/>
        <v xml:space="preserve">                                                                                                                                                                                                                                                                                                                                                                                                                </v>
      </c>
      <c r="CI383" s="174" t="str">
        <f t="shared" si="550"/>
        <v>NG</v>
      </c>
      <c r="CJ383" s="141"/>
      <c r="CK383" s="172" t="s">
        <v>71</v>
      </c>
      <c r="CL383" s="160"/>
      <c r="CM383" s="141"/>
      <c r="CN383" s="146" t="str">
        <f t="shared" si="571"/>
        <v xml:space="preserve">                                                                                                                                                                                                                                                                                                                                                                                                                </v>
      </c>
      <c r="CO383" s="174" t="str">
        <f t="shared" si="551"/>
        <v>NG</v>
      </c>
      <c r="CP383" s="141"/>
      <c r="CQ383" s="172" t="s">
        <v>71</v>
      </c>
      <c r="CR383" s="160"/>
      <c r="CS383" s="141"/>
      <c r="CT383" s="146" t="str">
        <f t="shared" si="572"/>
        <v xml:space="preserve">                                                                                                                                                                                                                                                                                                                                                                                                                </v>
      </c>
      <c r="CU383" s="174" t="str">
        <f t="shared" si="552"/>
        <v>NG</v>
      </c>
      <c r="CV383" s="141"/>
      <c r="CW383" s="172" t="s">
        <v>71</v>
      </c>
      <c r="CX383" s="160"/>
      <c r="CY383" s="141"/>
      <c r="CZ383" s="146" t="str">
        <f t="shared" si="573"/>
        <v xml:space="preserve">                                                                                                                                                                                                                                                                                                                                                                                                                </v>
      </c>
      <c r="DA383" s="174" t="str">
        <f t="shared" si="553"/>
        <v>NG</v>
      </c>
      <c r="DB383" s="141"/>
      <c r="DC383" s="172" t="s">
        <v>71</v>
      </c>
      <c r="DD383" s="160"/>
      <c r="DE383" s="141"/>
      <c r="DF383" s="146" t="str">
        <f t="shared" si="574"/>
        <v xml:space="preserve">                                                                                                                                                                                                                                                                                                                                                                                                                </v>
      </c>
      <c r="DG383" s="174" t="str">
        <f t="shared" si="554"/>
        <v>NG</v>
      </c>
      <c r="DH383" s="141"/>
      <c r="DI383" s="172" t="s">
        <v>71</v>
      </c>
      <c r="DJ383" s="160"/>
      <c r="DK383" s="141"/>
      <c r="DL383" s="146" t="str">
        <f t="shared" si="575"/>
        <v xml:space="preserve">                                                                                                                                                                                                                                                                                                                                                                                                                </v>
      </c>
      <c r="DM383" s="174" t="str">
        <f t="shared" si="555"/>
        <v>NG</v>
      </c>
      <c r="DN383" s="141"/>
      <c r="DO383" s="172" t="s">
        <v>71</v>
      </c>
      <c r="DP383" s="160"/>
      <c r="DQ383" s="141"/>
      <c r="DR383" s="146" t="str">
        <f t="shared" si="576"/>
        <v xml:space="preserve">                                                                                                                                                                                                                                                                                                                                                                                                                </v>
      </c>
      <c r="DS383" s="174" t="str">
        <f t="shared" si="593"/>
        <v>NG</v>
      </c>
      <c r="DT383" s="141"/>
      <c r="DU383" s="172" t="s">
        <v>71</v>
      </c>
      <c r="DV383" s="160"/>
      <c r="DW383" s="141"/>
      <c r="DX383" s="146" t="str">
        <f t="shared" si="577"/>
        <v xml:space="preserve">                                                                                                                                                                                                                                                                                                                                                                                                                </v>
      </c>
      <c r="DY383" s="174" t="str">
        <f t="shared" si="594"/>
        <v>NG</v>
      </c>
      <c r="DZ383" s="141"/>
      <c r="EA383" s="172" t="s">
        <v>71</v>
      </c>
      <c r="EB383" s="160"/>
      <c r="EC383" s="141"/>
      <c r="ED383" s="146" t="str">
        <f t="shared" si="578"/>
        <v xml:space="preserve">                                                                                                                                                                                                                                                                                                                                                                                                                </v>
      </c>
      <c r="EE383" s="174" t="str">
        <f t="shared" si="595"/>
        <v>NG</v>
      </c>
      <c r="EF383" s="141"/>
      <c r="EG383" s="172" t="s">
        <v>71</v>
      </c>
      <c r="EH383" s="160"/>
      <c r="EI383" s="141"/>
      <c r="EJ383" s="146" t="str">
        <f t="shared" si="579"/>
        <v xml:space="preserve">                                                                                                                                                                                                                                                                                                                                                                                                                </v>
      </c>
      <c r="EK383" s="174" t="str">
        <f t="shared" si="596"/>
        <v>NG</v>
      </c>
      <c r="EL383" s="141"/>
      <c r="EM383" s="172" t="s">
        <v>71</v>
      </c>
      <c r="EN383" s="160"/>
      <c r="EO383" s="141"/>
      <c r="EP383" s="146" t="str">
        <f t="shared" si="580"/>
        <v xml:space="preserve">                                                                                                                                                                                                                                                                                                                                                                                                                </v>
      </c>
      <c r="EQ383" s="174" t="str">
        <f t="shared" si="597"/>
        <v>NG</v>
      </c>
      <c r="ER383" s="141"/>
      <c r="ES383" s="172" t="s">
        <v>71</v>
      </c>
      <c r="ET383" s="160"/>
      <c r="EU383" s="141"/>
      <c r="EV383" s="146" t="str">
        <f t="shared" si="581"/>
        <v xml:space="preserve">                                                                                                                                                                                                                                                                                                                                                                                                                </v>
      </c>
      <c r="EW383" s="174" t="str">
        <f t="shared" si="598"/>
        <v>NG</v>
      </c>
      <c r="EX383" s="141"/>
      <c r="EY383" s="172" t="s">
        <v>71</v>
      </c>
      <c r="EZ383" s="160"/>
      <c r="FA383" s="141"/>
      <c r="FB383" s="146" t="str">
        <f t="shared" si="582"/>
        <v xml:space="preserve">                                                                                                                                                                                                                                                                                                                                                                                                                </v>
      </c>
      <c r="FC383" s="174" t="str">
        <f t="shared" si="599"/>
        <v>NG</v>
      </c>
      <c r="FD383" s="141"/>
      <c r="FE383" s="172" t="s">
        <v>71</v>
      </c>
      <c r="FF383" s="160"/>
      <c r="FG383" s="141"/>
      <c r="FH383" s="146" t="str">
        <f t="shared" si="583"/>
        <v xml:space="preserve">                                                                                                                                                                                                                                                                                                                                                                                                                </v>
      </c>
      <c r="FI383" s="174" t="str">
        <f t="shared" si="600"/>
        <v>NG</v>
      </c>
      <c r="FJ383" s="141"/>
      <c r="FK383" s="172" t="s">
        <v>71</v>
      </c>
      <c r="FL383" s="160"/>
      <c r="FM383" s="141"/>
      <c r="FN383" s="146" t="str">
        <f t="shared" si="584"/>
        <v xml:space="preserve">                                                                                                                                                                                                                                                                                                                                                                                                                </v>
      </c>
      <c r="FO383" s="174" t="str">
        <f t="shared" si="556"/>
        <v>NG</v>
      </c>
      <c r="FP383" s="141"/>
      <c r="FQ383" s="172" t="s">
        <v>71</v>
      </c>
      <c r="FR383" s="160"/>
      <c r="FS383" s="141"/>
      <c r="FT383" s="146" t="str">
        <f t="shared" si="585"/>
        <v xml:space="preserve">                                                                                                                                                                                                                                                                                                                                                                                                                </v>
      </c>
      <c r="FU383" s="174" t="str">
        <f t="shared" si="557"/>
        <v>NG</v>
      </c>
      <c r="FV383" s="141"/>
      <c r="FW383" s="172" t="s">
        <v>71</v>
      </c>
      <c r="FX383" s="160"/>
      <c r="FY383" s="141"/>
      <c r="FZ383" s="146" t="str">
        <f t="shared" si="586"/>
        <v xml:space="preserve">                                                                                                                                                                                                                                                                                                                                                                                                                </v>
      </c>
      <c r="GA383" s="174" t="str">
        <f t="shared" si="558"/>
        <v>NG</v>
      </c>
      <c r="GB383" s="141"/>
      <c r="GC383" s="172" t="s">
        <v>71</v>
      </c>
    </row>
    <row r="384" spans="2:185" s="52" customFormat="1" ht="89.25">
      <c r="B384" s="216">
        <f t="shared" si="587"/>
        <v>377</v>
      </c>
      <c r="C384" s="37"/>
      <c r="D384" s="37"/>
      <c r="E384" s="37"/>
      <c r="F384" s="49" t="s">
        <v>228</v>
      </c>
      <c r="G384" s="39"/>
      <c r="H384" s="40"/>
      <c r="I384" s="42"/>
      <c r="J384" s="42"/>
      <c r="K384" s="42"/>
      <c r="L384" s="42"/>
      <c r="M384" s="63" t="s">
        <v>338</v>
      </c>
      <c r="N384" s="47"/>
      <c r="O384" s="143"/>
      <c r="P384" s="45">
        <f t="shared" si="591"/>
        <v>349</v>
      </c>
      <c r="Q384" s="46">
        <v>1</v>
      </c>
      <c r="R384" s="41" t="str">
        <f t="shared" si="592"/>
        <v>X</v>
      </c>
      <c r="S384" s="185" t="s">
        <v>229</v>
      </c>
      <c r="T384" s="43"/>
      <c r="U384" s="41" t="s">
        <v>80</v>
      </c>
      <c r="V384" s="44"/>
      <c r="W384" s="22">
        <v>3</v>
      </c>
      <c r="X384" s="47" t="s">
        <v>230</v>
      </c>
      <c r="Y384" s="47">
        <v>1</v>
      </c>
      <c r="Z384" s="47">
        <v>1</v>
      </c>
      <c r="AA384" s="42" t="s">
        <v>163</v>
      </c>
      <c r="AB384" s="42" t="s">
        <v>57</v>
      </c>
      <c r="AC384" s="217"/>
      <c r="AD384" s="160"/>
      <c r="AE384" s="162"/>
      <c r="AF384" s="203" t="str">
        <f t="shared" si="562"/>
        <v xml:space="preserve"> </v>
      </c>
      <c r="AG384" s="174" t="str">
        <f t="shared" si="542"/>
        <v>NG</v>
      </c>
      <c r="AH384" s="162"/>
      <c r="AI384" s="172" t="s">
        <v>71</v>
      </c>
      <c r="AJ384" s="160"/>
      <c r="AK384" s="162"/>
      <c r="AL384" s="203" t="str">
        <f t="shared" si="559"/>
        <v xml:space="preserve"> </v>
      </c>
      <c r="AM384" s="174" t="str">
        <f t="shared" si="588"/>
        <v>NG</v>
      </c>
      <c r="AN384" s="162"/>
      <c r="AO384" s="172" t="s">
        <v>71</v>
      </c>
      <c r="AP384" s="160"/>
      <c r="AQ384" s="162"/>
      <c r="AR384" s="203" t="str">
        <f t="shared" si="563"/>
        <v xml:space="preserve"> </v>
      </c>
      <c r="AS384" s="174" t="str">
        <f t="shared" si="543"/>
        <v>NG</v>
      </c>
      <c r="AT384" s="162"/>
      <c r="AU384" s="172" t="s">
        <v>71</v>
      </c>
      <c r="AV384" s="160"/>
      <c r="AW384" s="162"/>
      <c r="AX384" s="203" t="str">
        <f t="shared" si="564"/>
        <v xml:space="preserve"> </v>
      </c>
      <c r="AY384" s="174" t="str">
        <f t="shared" si="544"/>
        <v>NG</v>
      </c>
      <c r="AZ384" s="162"/>
      <c r="BA384" s="172" t="s">
        <v>71</v>
      </c>
      <c r="BB384" s="160"/>
      <c r="BC384" s="162"/>
      <c r="BD384" s="203" t="str">
        <f t="shared" si="565"/>
        <v xml:space="preserve"> </v>
      </c>
      <c r="BE384" s="174" t="str">
        <f t="shared" si="545"/>
        <v>NG</v>
      </c>
      <c r="BF384" s="162"/>
      <c r="BG384" s="172" t="s">
        <v>71</v>
      </c>
      <c r="BH384" s="160"/>
      <c r="BI384" s="162"/>
      <c r="BJ384" s="203" t="str">
        <f t="shared" si="566"/>
        <v xml:space="preserve"> </v>
      </c>
      <c r="BK384" s="174" t="str">
        <f t="shared" si="546"/>
        <v>NG</v>
      </c>
      <c r="BL384" s="162"/>
      <c r="BM384" s="172" t="s">
        <v>71</v>
      </c>
      <c r="BN384" s="160"/>
      <c r="BO384" s="162"/>
      <c r="BP384" s="203" t="str">
        <f t="shared" si="567"/>
        <v xml:space="preserve"> </v>
      </c>
      <c r="BQ384" s="174" t="str">
        <f t="shared" si="547"/>
        <v>NG</v>
      </c>
      <c r="BR384" s="162"/>
      <c r="BS384" s="172" t="s">
        <v>71</v>
      </c>
      <c r="BT384" s="160"/>
      <c r="BU384" s="162"/>
      <c r="BV384" s="203" t="str">
        <f t="shared" si="568"/>
        <v xml:space="preserve"> </v>
      </c>
      <c r="BW384" s="174" t="str">
        <f t="shared" si="548"/>
        <v>NG</v>
      </c>
      <c r="BX384" s="162"/>
      <c r="BY384" s="172" t="s">
        <v>71</v>
      </c>
      <c r="BZ384" s="160"/>
      <c r="CA384" s="162"/>
      <c r="CB384" s="203" t="str">
        <f t="shared" si="569"/>
        <v xml:space="preserve"> </v>
      </c>
      <c r="CC384" s="174" t="str">
        <f t="shared" si="549"/>
        <v>NG</v>
      </c>
      <c r="CD384" s="162"/>
      <c r="CE384" s="172" t="s">
        <v>71</v>
      </c>
      <c r="CF384" s="160"/>
      <c r="CG384" s="162"/>
      <c r="CH384" s="203" t="str">
        <f t="shared" si="570"/>
        <v xml:space="preserve"> </v>
      </c>
      <c r="CI384" s="174" t="str">
        <f t="shared" si="550"/>
        <v>NG</v>
      </c>
      <c r="CJ384" s="162"/>
      <c r="CK384" s="172" t="s">
        <v>71</v>
      </c>
      <c r="CL384" s="160"/>
      <c r="CM384" s="162"/>
      <c r="CN384" s="203" t="str">
        <f t="shared" si="571"/>
        <v xml:space="preserve"> </v>
      </c>
      <c r="CO384" s="174" t="str">
        <f t="shared" si="551"/>
        <v>NG</v>
      </c>
      <c r="CP384" s="162"/>
      <c r="CQ384" s="172" t="s">
        <v>71</v>
      </c>
      <c r="CR384" s="160"/>
      <c r="CS384" s="162"/>
      <c r="CT384" s="203" t="str">
        <f t="shared" si="572"/>
        <v xml:space="preserve"> </v>
      </c>
      <c r="CU384" s="174" t="str">
        <f t="shared" si="552"/>
        <v>NG</v>
      </c>
      <c r="CV384" s="162"/>
      <c r="CW384" s="172" t="s">
        <v>71</v>
      </c>
      <c r="CX384" s="160"/>
      <c r="CY384" s="162"/>
      <c r="CZ384" s="203" t="str">
        <f t="shared" si="573"/>
        <v xml:space="preserve"> </v>
      </c>
      <c r="DA384" s="174" t="str">
        <f t="shared" si="553"/>
        <v>NG</v>
      </c>
      <c r="DB384" s="162"/>
      <c r="DC384" s="172" t="s">
        <v>71</v>
      </c>
      <c r="DD384" s="160"/>
      <c r="DE384" s="162"/>
      <c r="DF384" s="203" t="str">
        <f t="shared" si="574"/>
        <v xml:space="preserve"> </v>
      </c>
      <c r="DG384" s="174" t="str">
        <f t="shared" si="554"/>
        <v>NG</v>
      </c>
      <c r="DH384" s="162"/>
      <c r="DI384" s="172" t="s">
        <v>71</v>
      </c>
      <c r="DJ384" s="160"/>
      <c r="DK384" s="162"/>
      <c r="DL384" s="203" t="str">
        <f t="shared" si="575"/>
        <v xml:space="preserve"> </v>
      </c>
      <c r="DM384" s="174" t="str">
        <f t="shared" si="555"/>
        <v>NG</v>
      </c>
      <c r="DN384" s="162"/>
      <c r="DO384" s="172" t="s">
        <v>71</v>
      </c>
      <c r="DP384" s="160"/>
      <c r="DQ384" s="162"/>
      <c r="DR384" s="203" t="str">
        <f t="shared" si="576"/>
        <v xml:space="preserve"> </v>
      </c>
      <c r="DS384" s="174" t="str">
        <f t="shared" si="593"/>
        <v>NG</v>
      </c>
      <c r="DT384" s="162"/>
      <c r="DU384" s="172" t="s">
        <v>71</v>
      </c>
      <c r="DV384" s="160"/>
      <c r="DW384" s="162"/>
      <c r="DX384" s="203" t="str">
        <f t="shared" si="577"/>
        <v xml:space="preserve"> </v>
      </c>
      <c r="DY384" s="174" t="str">
        <f t="shared" si="594"/>
        <v>NG</v>
      </c>
      <c r="DZ384" s="162"/>
      <c r="EA384" s="172" t="s">
        <v>71</v>
      </c>
      <c r="EB384" s="160"/>
      <c r="EC384" s="162"/>
      <c r="ED384" s="203" t="str">
        <f t="shared" si="578"/>
        <v xml:space="preserve"> </v>
      </c>
      <c r="EE384" s="174" t="str">
        <f t="shared" si="595"/>
        <v>NG</v>
      </c>
      <c r="EF384" s="162"/>
      <c r="EG384" s="172" t="s">
        <v>71</v>
      </c>
      <c r="EH384" s="160"/>
      <c r="EI384" s="162"/>
      <c r="EJ384" s="203" t="str">
        <f t="shared" si="579"/>
        <v xml:space="preserve"> </v>
      </c>
      <c r="EK384" s="174" t="str">
        <f t="shared" si="596"/>
        <v>NG</v>
      </c>
      <c r="EL384" s="162"/>
      <c r="EM384" s="172" t="s">
        <v>71</v>
      </c>
      <c r="EN384" s="160"/>
      <c r="EO384" s="162"/>
      <c r="EP384" s="203" t="str">
        <f t="shared" si="580"/>
        <v xml:space="preserve"> </v>
      </c>
      <c r="EQ384" s="174" t="str">
        <f t="shared" si="597"/>
        <v>NG</v>
      </c>
      <c r="ER384" s="162"/>
      <c r="ES384" s="172" t="s">
        <v>71</v>
      </c>
      <c r="ET384" s="160"/>
      <c r="EU384" s="162"/>
      <c r="EV384" s="203" t="str">
        <f t="shared" si="581"/>
        <v xml:space="preserve"> </v>
      </c>
      <c r="EW384" s="174" t="str">
        <f t="shared" si="598"/>
        <v>NG</v>
      </c>
      <c r="EX384" s="162"/>
      <c r="EY384" s="172" t="s">
        <v>71</v>
      </c>
      <c r="EZ384" s="160"/>
      <c r="FA384" s="162"/>
      <c r="FB384" s="203" t="str">
        <f t="shared" si="582"/>
        <v xml:space="preserve"> </v>
      </c>
      <c r="FC384" s="174" t="str">
        <f t="shared" si="599"/>
        <v>NG</v>
      </c>
      <c r="FD384" s="162"/>
      <c r="FE384" s="172" t="s">
        <v>71</v>
      </c>
      <c r="FF384" s="160"/>
      <c r="FG384" s="162"/>
      <c r="FH384" s="203" t="str">
        <f t="shared" si="583"/>
        <v xml:space="preserve"> </v>
      </c>
      <c r="FI384" s="174" t="str">
        <f t="shared" si="600"/>
        <v>NG</v>
      </c>
      <c r="FJ384" s="162"/>
      <c r="FK384" s="172" t="s">
        <v>71</v>
      </c>
      <c r="FL384" s="160"/>
      <c r="FM384" s="162"/>
      <c r="FN384" s="203" t="str">
        <f t="shared" si="584"/>
        <v xml:space="preserve"> </v>
      </c>
      <c r="FO384" s="174" t="str">
        <f t="shared" si="556"/>
        <v>NG</v>
      </c>
      <c r="FP384" s="162"/>
      <c r="FQ384" s="172" t="s">
        <v>71</v>
      </c>
      <c r="FR384" s="160"/>
      <c r="FS384" s="162"/>
      <c r="FT384" s="203" t="str">
        <f t="shared" si="585"/>
        <v xml:space="preserve"> </v>
      </c>
      <c r="FU384" s="174" t="str">
        <f t="shared" si="557"/>
        <v>NG</v>
      </c>
      <c r="FV384" s="162"/>
      <c r="FW384" s="172" t="s">
        <v>71</v>
      </c>
      <c r="FX384" s="160"/>
      <c r="FY384" s="162"/>
      <c r="FZ384" s="203" t="str">
        <f t="shared" si="586"/>
        <v xml:space="preserve"> </v>
      </c>
      <c r="GA384" s="174" t="str">
        <f t="shared" si="558"/>
        <v>NG</v>
      </c>
      <c r="GB384" s="162"/>
      <c r="GC384" s="172" t="s">
        <v>71</v>
      </c>
    </row>
    <row r="385" spans="1:185" s="52" customFormat="1">
      <c r="B385" s="216">
        <f t="shared" si="587"/>
        <v>378</v>
      </c>
      <c r="C385" s="37"/>
      <c r="D385" s="37"/>
      <c r="E385" s="37"/>
      <c r="F385" s="49" t="s">
        <v>231</v>
      </c>
      <c r="G385" s="39"/>
      <c r="H385" s="40"/>
      <c r="I385" s="42"/>
      <c r="J385" s="42"/>
      <c r="K385" s="42"/>
      <c r="L385" s="42"/>
      <c r="M385" s="63"/>
      <c r="N385" s="47"/>
      <c r="O385" s="143"/>
      <c r="P385" s="45">
        <f t="shared" si="591"/>
        <v>350</v>
      </c>
      <c r="Q385" s="46">
        <v>128</v>
      </c>
      <c r="R385" s="41" t="str">
        <f t="shared" si="592"/>
        <v>X</v>
      </c>
      <c r="S385" s="185" t="s">
        <v>232</v>
      </c>
      <c r="T385" s="43"/>
      <c r="U385" s="41" t="s">
        <v>80</v>
      </c>
      <c r="V385" s="44"/>
      <c r="W385" s="22">
        <v>3</v>
      </c>
      <c r="X385" s="47" t="s">
        <v>233</v>
      </c>
      <c r="Y385" s="47">
        <v>1</v>
      </c>
      <c r="Z385" s="47">
        <v>128</v>
      </c>
      <c r="AA385" s="42" t="s">
        <v>163</v>
      </c>
      <c r="AB385" s="42" t="s">
        <v>57</v>
      </c>
      <c r="AC385" s="166"/>
      <c r="AD385" s="160"/>
      <c r="AE385" s="141"/>
      <c r="AF385" s="203" t="str">
        <f t="shared" si="562"/>
        <v xml:space="preserve">                                                                                                                                </v>
      </c>
      <c r="AG385" s="174" t="str">
        <f t="shared" si="542"/>
        <v>NG</v>
      </c>
      <c r="AH385" s="141"/>
      <c r="AI385" s="276" t="str">
        <f>IF(OR(AE$8="判定対象外",AH$8="判定対象外",AH385="-"),"-",IF(AE385=AH385,"OK","NG"))</f>
        <v>OK</v>
      </c>
      <c r="AJ385" s="160"/>
      <c r="AK385" s="141"/>
      <c r="AL385" s="203" t="str">
        <f t="shared" si="559"/>
        <v xml:space="preserve">                                                                                                                                </v>
      </c>
      <c r="AM385" s="174" t="str">
        <f t="shared" si="588"/>
        <v>NG</v>
      </c>
      <c r="AN385" s="141"/>
      <c r="AO385" s="276" t="str">
        <f>IF(OR(AK$8="判定対象外",AN$8="判定対象外",AN385="-"),"-",IF(AK385=AN385,"OK","NG"))</f>
        <v>OK</v>
      </c>
      <c r="AP385" s="160"/>
      <c r="AQ385" s="141"/>
      <c r="AR385" s="203" t="str">
        <f t="shared" si="563"/>
        <v xml:space="preserve">                                                                                                                                </v>
      </c>
      <c r="AS385" s="174" t="str">
        <f t="shared" si="543"/>
        <v>NG</v>
      </c>
      <c r="AT385" s="141"/>
      <c r="AU385" s="276" t="str">
        <f>IF(OR(AQ$8="判定対象外",AT$8="判定対象外",AT385="-"),"-",IF(AQ385=AT385,"OK","NG"))</f>
        <v>OK</v>
      </c>
      <c r="AV385" s="160"/>
      <c r="AW385" s="141"/>
      <c r="AX385" s="203" t="str">
        <f t="shared" si="564"/>
        <v xml:space="preserve">                                                                                                                                </v>
      </c>
      <c r="AY385" s="174" t="str">
        <f t="shared" si="544"/>
        <v>NG</v>
      </c>
      <c r="AZ385" s="141"/>
      <c r="BA385" s="276" t="str">
        <f>IF(OR(AW$8="判定対象外",AZ$8="判定対象外",AZ385="-"),"-",IF(AW385=AZ385,"OK","NG"))</f>
        <v>OK</v>
      </c>
      <c r="BB385" s="160"/>
      <c r="BC385" s="141"/>
      <c r="BD385" s="203" t="str">
        <f t="shared" si="565"/>
        <v xml:space="preserve">                                                                                                                                </v>
      </c>
      <c r="BE385" s="174" t="str">
        <f t="shared" si="545"/>
        <v>NG</v>
      </c>
      <c r="BF385" s="141"/>
      <c r="BG385" s="276" t="str">
        <f>IF(OR(BC$8="判定対象外",BF$8="判定対象外",BF385="-"),"-",IF(BC385=BF385,"OK","NG"))</f>
        <v>OK</v>
      </c>
      <c r="BH385" s="160"/>
      <c r="BI385" s="141"/>
      <c r="BJ385" s="203" t="str">
        <f t="shared" si="566"/>
        <v xml:space="preserve">                                                                                                                                </v>
      </c>
      <c r="BK385" s="174" t="str">
        <f t="shared" si="546"/>
        <v>NG</v>
      </c>
      <c r="BL385" s="141"/>
      <c r="BM385" s="276" t="str">
        <f>IF(OR(BI$8="判定対象外",BL$8="判定対象外",BL385="-"),"-",IF(BI385=BL385,"OK","NG"))</f>
        <v>OK</v>
      </c>
      <c r="BN385" s="160"/>
      <c r="BO385" s="141"/>
      <c r="BP385" s="203" t="str">
        <f t="shared" si="567"/>
        <v xml:space="preserve">                                                                                                                                </v>
      </c>
      <c r="BQ385" s="174" t="str">
        <f t="shared" si="547"/>
        <v>NG</v>
      </c>
      <c r="BR385" s="141"/>
      <c r="BS385" s="276" t="str">
        <f>IF(OR(BO$8="判定対象外",BR$8="判定対象外",BR385="-"),"-",IF(BO385=BR385,"OK","NG"))</f>
        <v>OK</v>
      </c>
      <c r="BT385" s="160"/>
      <c r="BU385" s="141"/>
      <c r="BV385" s="203" t="str">
        <f t="shared" si="568"/>
        <v xml:space="preserve">                                                                                                                                </v>
      </c>
      <c r="BW385" s="174" t="str">
        <f t="shared" si="548"/>
        <v>NG</v>
      </c>
      <c r="BX385" s="141"/>
      <c r="BY385" s="276" t="str">
        <f>IF(OR(BU$8="判定対象外",BX$8="判定対象外",BX385="-"),"-",IF(BU385=BX385,"OK","NG"))</f>
        <v>OK</v>
      </c>
      <c r="BZ385" s="160"/>
      <c r="CA385" s="141"/>
      <c r="CB385" s="203" t="str">
        <f t="shared" si="569"/>
        <v xml:space="preserve">                                                                                                                                </v>
      </c>
      <c r="CC385" s="174" t="str">
        <f t="shared" si="549"/>
        <v>NG</v>
      </c>
      <c r="CD385" s="141"/>
      <c r="CE385" s="276" t="str">
        <f>IF(OR(CA$8="判定対象外",CD$8="判定対象外",CD385="-"),"-",IF(CA385=CD385,"OK","NG"))</f>
        <v>OK</v>
      </c>
      <c r="CF385" s="160"/>
      <c r="CG385" s="141"/>
      <c r="CH385" s="203" t="str">
        <f t="shared" si="570"/>
        <v xml:space="preserve">                                                                                                                                </v>
      </c>
      <c r="CI385" s="174" t="str">
        <f t="shared" si="550"/>
        <v>NG</v>
      </c>
      <c r="CJ385" s="141"/>
      <c r="CK385" s="276" t="str">
        <f>IF(OR(CG$8="判定対象外",CJ$8="判定対象外",CJ385="-"),"-",IF(CG385=CJ385,"OK","NG"))</f>
        <v>OK</v>
      </c>
      <c r="CL385" s="160"/>
      <c r="CM385" s="141"/>
      <c r="CN385" s="203" t="str">
        <f t="shared" si="571"/>
        <v xml:space="preserve">                                                                                                                                </v>
      </c>
      <c r="CO385" s="174" t="str">
        <f t="shared" si="551"/>
        <v>NG</v>
      </c>
      <c r="CP385" s="141"/>
      <c r="CQ385" s="276" t="str">
        <f>IF(OR(CM$8="判定対象外",CP$8="判定対象外",CP385="-"),"-",IF(CM385=CP385,"OK","NG"))</f>
        <v>OK</v>
      </c>
      <c r="CR385" s="160"/>
      <c r="CS385" s="141"/>
      <c r="CT385" s="203" t="str">
        <f t="shared" si="572"/>
        <v xml:space="preserve">                                                                                                                                </v>
      </c>
      <c r="CU385" s="174" t="str">
        <f t="shared" si="552"/>
        <v>NG</v>
      </c>
      <c r="CV385" s="141"/>
      <c r="CW385" s="276" t="str">
        <f>IF(OR(CS$8="判定対象外",CV$8="判定対象外",CV385="-"),"-",IF(CS385=CV385,"OK","NG"))</f>
        <v>OK</v>
      </c>
      <c r="CX385" s="160"/>
      <c r="CY385" s="141"/>
      <c r="CZ385" s="203" t="str">
        <f t="shared" si="573"/>
        <v xml:space="preserve">                                                                                                                                </v>
      </c>
      <c r="DA385" s="174" t="str">
        <f t="shared" si="553"/>
        <v>NG</v>
      </c>
      <c r="DB385" s="141"/>
      <c r="DC385" s="276" t="str">
        <f>IF(OR(CY$8="判定対象外",DB$8="判定対象外",DB385="-"),"-",IF(CY385=DB385,"OK","NG"))</f>
        <v>OK</v>
      </c>
      <c r="DD385" s="160"/>
      <c r="DE385" s="141"/>
      <c r="DF385" s="203" t="str">
        <f t="shared" si="574"/>
        <v xml:space="preserve">                                                                                                                                </v>
      </c>
      <c r="DG385" s="174" t="str">
        <f t="shared" si="554"/>
        <v>NG</v>
      </c>
      <c r="DH385" s="141"/>
      <c r="DI385" s="276" t="str">
        <f>IF(OR(DE$8="判定対象外",DH$8="判定対象外",DH385="-"),"-",IF(DE385=DH385,"OK","NG"))</f>
        <v>OK</v>
      </c>
      <c r="DJ385" s="160"/>
      <c r="DK385" s="141"/>
      <c r="DL385" s="203" t="str">
        <f t="shared" si="575"/>
        <v xml:space="preserve">                                                                                                                                </v>
      </c>
      <c r="DM385" s="174" t="str">
        <f t="shared" si="555"/>
        <v>NG</v>
      </c>
      <c r="DN385" s="141"/>
      <c r="DO385" s="276" t="str">
        <f>IF(OR(DK$8="判定対象外",DN$8="判定対象外",DN385="-"),"-",IF(DK385=DN385,"OK","NG"))</f>
        <v>OK</v>
      </c>
      <c r="DP385" s="160"/>
      <c r="DQ385" s="141"/>
      <c r="DR385" s="203" t="str">
        <f t="shared" si="576"/>
        <v xml:space="preserve">                                                                                                                                </v>
      </c>
      <c r="DS385" s="174" t="str">
        <f t="shared" si="593"/>
        <v>NG</v>
      </c>
      <c r="DT385" s="141"/>
      <c r="DU385" s="276" t="str">
        <f>IF(OR(DQ$8="判定対象外",DT$8="判定対象外",DT385="-"),"-",IF(DQ385=DT385,"OK","NG"))</f>
        <v>OK</v>
      </c>
      <c r="DV385" s="160"/>
      <c r="DW385" s="141"/>
      <c r="DX385" s="203" t="str">
        <f t="shared" si="577"/>
        <v xml:space="preserve">                                                                                                                                </v>
      </c>
      <c r="DY385" s="174" t="str">
        <f t="shared" si="594"/>
        <v>NG</v>
      </c>
      <c r="DZ385" s="141"/>
      <c r="EA385" s="276" t="str">
        <f>IF(OR(DW$8="判定対象外",DZ$8="判定対象外",DZ385="-"),"-",IF(DW385=DZ385,"OK","NG"))</f>
        <v>OK</v>
      </c>
      <c r="EB385" s="160"/>
      <c r="EC385" s="141"/>
      <c r="ED385" s="203" t="str">
        <f t="shared" si="578"/>
        <v xml:space="preserve">                                                                                                                                </v>
      </c>
      <c r="EE385" s="174" t="str">
        <f t="shared" si="595"/>
        <v>NG</v>
      </c>
      <c r="EF385" s="141"/>
      <c r="EG385" s="276" t="str">
        <f>IF(OR(EC$8="判定対象外",EF$8="判定対象外",EF385="-"),"-",IF(EC385=EF385,"OK","NG"))</f>
        <v>OK</v>
      </c>
      <c r="EH385" s="160"/>
      <c r="EI385" s="141"/>
      <c r="EJ385" s="203" t="str">
        <f t="shared" si="579"/>
        <v xml:space="preserve">                                                                                                                                </v>
      </c>
      <c r="EK385" s="174" t="str">
        <f t="shared" si="596"/>
        <v>NG</v>
      </c>
      <c r="EL385" s="141"/>
      <c r="EM385" s="276" t="str">
        <f>IF(OR(EI$8="判定対象外",EL$8="判定対象外",EL385="-"),"-",IF(EI385=EL385,"OK","NG"))</f>
        <v>OK</v>
      </c>
      <c r="EN385" s="160"/>
      <c r="EO385" s="141"/>
      <c r="EP385" s="203" t="str">
        <f t="shared" si="580"/>
        <v xml:space="preserve">                                                                                                                                </v>
      </c>
      <c r="EQ385" s="174" t="str">
        <f t="shared" si="597"/>
        <v>NG</v>
      </c>
      <c r="ER385" s="141"/>
      <c r="ES385" s="276" t="str">
        <f>IF(OR(EO$8="判定対象外",ER$8="判定対象外",ER385="-"),"-",IF(EO385=ER385,"OK","NG"))</f>
        <v>OK</v>
      </c>
      <c r="ET385" s="160"/>
      <c r="EU385" s="141"/>
      <c r="EV385" s="203" t="str">
        <f t="shared" si="581"/>
        <v xml:space="preserve">                                                                                                                                </v>
      </c>
      <c r="EW385" s="174" t="str">
        <f t="shared" si="598"/>
        <v>NG</v>
      </c>
      <c r="EX385" s="141"/>
      <c r="EY385" s="276" t="str">
        <f>IF(OR(EU$8="判定対象外",EX$8="判定対象外",EX385="-"),"-",IF(EU385=EX385,"OK","NG"))</f>
        <v>OK</v>
      </c>
      <c r="EZ385" s="160"/>
      <c r="FA385" s="141"/>
      <c r="FB385" s="203" t="str">
        <f t="shared" si="582"/>
        <v xml:space="preserve">                                                                                                                                </v>
      </c>
      <c r="FC385" s="174" t="str">
        <f t="shared" si="599"/>
        <v>NG</v>
      </c>
      <c r="FD385" s="141"/>
      <c r="FE385" s="276" t="str">
        <f>IF(OR(FA$8="判定対象外",FD$8="判定対象外",FD385="-"),"-",IF(FA385=FD385,"OK","NG"))</f>
        <v>OK</v>
      </c>
      <c r="FF385" s="160"/>
      <c r="FG385" s="141"/>
      <c r="FH385" s="203" t="str">
        <f t="shared" si="583"/>
        <v xml:space="preserve">                                                                                                                                </v>
      </c>
      <c r="FI385" s="174" t="str">
        <f t="shared" si="600"/>
        <v>NG</v>
      </c>
      <c r="FJ385" s="141"/>
      <c r="FK385" s="276" t="str">
        <f>IF(OR(FG$8="判定対象外",FJ$8="判定対象外",FJ385="-"),"-",IF(FG385=FJ385,"OK","NG"))</f>
        <v>OK</v>
      </c>
      <c r="FL385" s="160"/>
      <c r="FM385" s="141"/>
      <c r="FN385" s="203" t="str">
        <f t="shared" si="584"/>
        <v xml:space="preserve">                                                                                                                                </v>
      </c>
      <c r="FO385" s="174" t="str">
        <f t="shared" si="556"/>
        <v>NG</v>
      </c>
      <c r="FP385" s="141"/>
      <c r="FQ385" s="276" t="str">
        <f>IF(OR(FM$8="判定対象外",FP$8="判定対象外",FP385="-"),"-",IF(FM385=FP385,"OK","NG"))</f>
        <v>OK</v>
      </c>
      <c r="FR385" s="160"/>
      <c r="FS385" s="141"/>
      <c r="FT385" s="203" t="str">
        <f t="shared" si="585"/>
        <v xml:space="preserve">                                                                                                                                </v>
      </c>
      <c r="FU385" s="174" t="str">
        <f t="shared" si="557"/>
        <v>NG</v>
      </c>
      <c r="FV385" s="141"/>
      <c r="FW385" s="276" t="str">
        <f>IF(OR(FS$8="判定対象外",FV$8="判定対象外",FV385="-"),"-",IF(FS385=FV385,"OK","NG"))</f>
        <v>OK</v>
      </c>
      <c r="FX385" s="160"/>
      <c r="FY385" s="141"/>
      <c r="FZ385" s="203" t="str">
        <f t="shared" si="586"/>
        <v xml:space="preserve">                                                                                                                                </v>
      </c>
      <c r="GA385" s="174" t="str">
        <f t="shared" si="558"/>
        <v>NG</v>
      </c>
      <c r="GB385" s="141"/>
      <c r="GC385" s="276" t="str">
        <f>IF(OR(FY$8="判定対象外",GB$8="判定対象外",GB385="-"),"-",IF(FY385=GB385,"OK","NG"))</f>
        <v>OK</v>
      </c>
    </row>
    <row r="386" spans="1:185" s="52" customFormat="1" ht="114.75">
      <c r="B386" s="216">
        <f t="shared" si="587"/>
        <v>379</v>
      </c>
      <c r="C386" s="37"/>
      <c r="D386" s="37"/>
      <c r="E386" s="37"/>
      <c r="F386" s="49" t="s">
        <v>339</v>
      </c>
      <c r="G386" s="39"/>
      <c r="H386" s="40"/>
      <c r="I386" s="42"/>
      <c r="J386" s="42"/>
      <c r="K386" s="42"/>
      <c r="L386" s="42"/>
      <c r="M386" s="63" t="s">
        <v>340</v>
      </c>
      <c r="N386" s="47"/>
      <c r="O386" s="143"/>
      <c r="P386" s="45">
        <f t="shared" si="591"/>
        <v>351</v>
      </c>
      <c r="Q386" s="46">
        <v>1</v>
      </c>
      <c r="R386" s="41" t="str">
        <f t="shared" si="592"/>
        <v>X</v>
      </c>
      <c r="S386" s="185" t="s">
        <v>234</v>
      </c>
      <c r="T386" s="43"/>
      <c r="U386" s="41" t="s">
        <v>80</v>
      </c>
      <c r="V386" s="44"/>
      <c r="W386" s="22">
        <v>3</v>
      </c>
      <c r="X386" s="47" t="s">
        <v>235</v>
      </c>
      <c r="Y386" s="47">
        <v>1</v>
      </c>
      <c r="Z386" s="47">
        <v>1</v>
      </c>
      <c r="AA386" s="42" t="s">
        <v>163</v>
      </c>
      <c r="AB386" s="42" t="s">
        <v>57</v>
      </c>
      <c r="AC386" s="217"/>
      <c r="AD386" s="160"/>
      <c r="AE386" s="162"/>
      <c r="AF386" s="203" t="str">
        <f t="shared" si="562"/>
        <v xml:space="preserve"> </v>
      </c>
      <c r="AG386" s="174" t="str">
        <f t="shared" si="542"/>
        <v>NG</v>
      </c>
      <c r="AH386" s="162"/>
      <c r="AI386" s="172" t="s">
        <v>71</v>
      </c>
      <c r="AJ386" s="160"/>
      <c r="AK386" s="162"/>
      <c r="AL386" s="203" t="str">
        <f t="shared" si="559"/>
        <v xml:space="preserve"> </v>
      </c>
      <c r="AM386" s="174" t="str">
        <f t="shared" si="588"/>
        <v>NG</v>
      </c>
      <c r="AN386" s="162"/>
      <c r="AO386" s="172" t="s">
        <v>71</v>
      </c>
      <c r="AP386" s="160"/>
      <c r="AQ386" s="162"/>
      <c r="AR386" s="203" t="str">
        <f t="shared" si="563"/>
        <v xml:space="preserve"> </v>
      </c>
      <c r="AS386" s="174" t="str">
        <f t="shared" si="543"/>
        <v>NG</v>
      </c>
      <c r="AT386" s="162"/>
      <c r="AU386" s="172" t="s">
        <v>71</v>
      </c>
      <c r="AV386" s="160"/>
      <c r="AW386" s="162"/>
      <c r="AX386" s="203" t="str">
        <f t="shared" si="564"/>
        <v xml:space="preserve"> </v>
      </c>
      <c r="AY386" s="174" t="str">
        <f t="shared" si="544"/>
        <v>NG</v>
      </c>
      <c r="AZ386" s="162"/>
      <c r="BA386" s="172" t="s">
        <v>71</v>
      </c>
      <c r="BB386" s="160"/>
      <c r="BC386" s="162"/>
      <c r="BD386" s="203" t="str">
        <f t="shared" si="565"/>
        <v xml:space="preserve"> </v>
      </c>
      <c r="BE386" s="174" t="str">
        <f t="shared" si="545"/>
        <v>NG</v>
      </c>
      <c r="BF386" s="162"/>
      <c r="BG386" s="172" t="s">
        <v>71</v>
      </c>
      <c r="BH386" s="160"/>
      <c r="BI386" s="162"/>
      <c r="BJ386" s="203" t="str">
        <f t="shared" si="566"/>
        <v xml:space="preserve"> </v>
      </c>
      <c r="BK386" s="174" t="str">
        <f t="shared" si="546"/>
        <v>NG</v>
      </c>
      <c r="BL386" s="162"/>
      <c r="BM386" s="172" t="s">
        <v>71</v>
      </c>
      <c r="BN386" s="160"/>
      <c r="BO386" s="162"/>
      <c r="BP386" s="203" t="str">
        <f t="shared" si="567"/>
        <v xml:space="preserve"> </v>
      </c>
      <c r="BQ386" s="174" t="str">
        <f t="shared" si="547"/>
        <v>NG</v>
      </c>
      <c r="BR386" s="162"/>
      <c r="BS386" s="172" t="s">
        <v>71</v>
      </c>
      <c r="BT386" s="160"/>
      <c r="BU386" s="162"/>
      <c r="BV386" s="203" t="str">
        <f t="shared" si="568"/>
        <v xml:space="preserve"> </v>
      </c>
      <c r="BW386" s="174" t="str">
        <f t="shared" si="548"/>
        <v>NG</v>
      </c>
      <c r="BX386" s="162"/>
      <c r="BY386" s="172" t="s">
        <v>71</v>
      </c>
      <c r="BZ386" s="160"/>
      <c r="CA386" s="162"/>
      <c r="CB386" s="203" t="str">
        <f t="shared" si="569"/>
        <v xml:space="preserve"> </v>
      </c>
      <c r="CC386" s="174" t="str">
        <f t="shared" si="549"/>
        <v>NG</v>
      </c>
      <c r="CD386" s="162"/>
      <c r="CE386" s="172" t="s">
        <v>71</v>
      </c>
      <c r="CF386" s="160"/>
      <c r="CG386" s="162"/>
      <c r="CH386" s="203" t="str">
        <f t="shared" si="570"/>
        <v xml:space="preserve"> </v>
      </c>
      <c r="CI386" s="174" t="str">
        <f t="shared" si="550"/>
        <v>NG</v>
      </c>
      <c r="CJ386" s="162"/>
      <c r="CK386" s="172" t="s">
        <v>71</v>
      </c>
      <c r="CL386" s="160"/>
      <c r="CM386" s="162"/>
      <c r="CN386" s="203" t="str">
        <f t="shared" si="571"/>
        <v xml:space="preserve"> </v>
      </c>
      <c r="CO386" s="174" t="str">
        <f t="shared" si="551"/>
        <v>NG</v>
      </c>
      <c r="CP386" s="162"/>
      <c r="CQ386" s="172" t="s">
        <v>71</v>
      </c>
      <c r="CR386" s="160"/>
      <c r="CS386" s="162"/>
      <c r="CT386" s="203" t="str">
        <f t="shared" si="572"/>
        <v xml:space="preserve"> </v>
      </c>
      <c r="CU386" s="174" t="str">
        <f t="shared" si="552"/>
        <v>NG</v>
      </c>
      <c r="CV386" s="162"/>
      <c r="CW386" s="172" t="s">
        <v>71</v>
      </c>
      <c r="CX386" s="160"/>
      <c r="CY386" s="162"/>
      <c r="CZ386" s="203" t="str">
        <f t="shared" si="573"/>
        <v xml:space="preserve"> </v>
      </c>
      <c r="DA386" s="174" t="str">
        <f t="shared" si="553"/>
        <v>NG</v>
      </c>
      <c r="DB386" s="162"/>
      <c r="DC386" s="172" t="s">
        <v>71</v>
      </c>
      <c r="DD386" s="160"/>
      <c r="DE386" s="162"/>
      <c r="DF386" s="203" t="str">
        <f t="shared" si="574"/>
        <v xml:space="preserve"> </v>
      </c>
      <c r="DG386" s="174" t="str">
        <f t="shared" si="554"/>
        <v>NG</v>
      </c>
      <c r="DH386" s="162"/>
      <c r="DI386" s="172" t="s">
        <v>71</v>
      </c>
      <c r="DJ386" s="160"/>
      <c r="DK386" s="162"/>
      <c r="DL386" s="203" t="str">
        <f t="shared" si="575"/>
        <v xml:space="preserve"> </v>
      </c>
      <c r="DM386" s="174" t="str">
        <f t="shared" si="555"/>
        <v>NG</v>
      </c>
      <c r="DN386" s="162"/>
      <c r="DO386" s="172" t="s">
        <v>71</v>
      </c>
      <c r="DP386" s="160"/>
      <c r="DQ386" s="162"/>
      <c r="DR386" s="203" t="str">
        <f t="shared" si="576"/>
        <v xml:space="preserve"> </v>
      </c>
      <c r="DS386" s="174" t="str">
        <f t="shared" si="593"/>
        <v>NG</v>
      </c>
      <c r="DT386" s="162"/>
      <c r="DU386" s="172" t="s">
        <v>71</v>
      </c>
      <c r="DV386" s="160"/>
      <c r="DW386" s="162"/>
      <c r="DX386" s="203" t="str">
        <f t="shared" si="577"/>
        <v xml:space="preserve"> </v>
      </c>
      <c r="DY386" s="174" t="str">
        <f t="shared" si="594"/>
        <v>NG</v>
      </c>
      <c r="DZ386" s="162"/>
      <c r="EA386" s="172" t="s">
        <v>71</v>
      </c>
      <c r="EB386" s="160"/>
      <c r="EC386" s="162"/>
      <c r="ED386" s="203" t="str">
        <f t="shared" si="578"/>
        <v xml:space="preserve"> </v>
      </c>
      <c r="EE386" s="174" t="str">
        <f t="shared" si="595"/>
        <v>NG</v>
      </c>
      <c r="EF386" s="162"/>
      <c r="EG386" s="172" t="s">
        <v>71</v>
      </c>
      <c r="EH386" s="160"/>
      <c r="EI386" s="162"/>
      <c r="EJ386" s="203" t="str">
        <f t="shared" si="579"/>
        <v xml:space="preserve"> </v>
      </c>
      <c r="EK386" s="174" t="str">
        <f t="shared" si="596"/>
        <v>NG</v>
      </c>
      <c r="EL386" s="162"/>
      <c r="EM386" s="172" t="s">
        <v>71</v>
      </c>
      <c r="EN386" s="160"/>
      <c r="EO386" s="162"/>
      <c r="EP386" s="203" t="str">
        <f t="shared" si="580"/>
        <v xml:space="preserve"> </v>
      </c>
      <c r="EQ386" s="174" t="str">
        <f t="shared" si="597"/>
        <v>NG</v>
      </c>
      <c r="ER386" s="162"/>
      <c r="ES386" s="172" t="s">
        <v>71</v>
      </c>
      <c r="ET386" s="160"/>
      <c r="EU386" s="162"/>
      <c r="EV386" s="203" t="str">
        <f t="shared" si="581"/>
        <v xml:space="preserve"> </v>
      </c>
      <c r="EW386" s="174" t="str">
        <f t="shared" si="598"/>
        <v>NG</v>
      </c>
      <c r="EX386" s="162"/>
      <c r="EY386" s="172" t="s">
        <v>71</v>
      </c>
      <c r="EZ386" s="160"/>
      <c r="FA386" s="162"/>
      <c r="FB386" s="203" t="str">
        <f t="shared" si="582"/>
        <v xml:space="preserve"> </v>
      </c>
      <c r="FC386" s="174" t="str">
        <f t="shared" si="599"/>
        <v>NG</v>
      </c>
      <c r="FD386" s="162"/>
      <c r="FE386" s="172" t="s">
        <v>71</v>
      </c>
      <c r="FF386" s="160"/>
      <c r="FG386" s="162"/>
      <c r="FH386" s="203" t="str">
        <f t="shared" si="583"/>
        <v xml:space="preserve"> </v>
      </c>
      <c r="FI386" s="174" t="str">
        <f t="shared" si="600"/>
        <v>NG</v>
      </c>
      <c r="FJ386" s="162"/>
      <c r="FK386" s="172" t="s">
        <v>71</v>
      </c>
      <c r="FL386" s="160"/>
      <c r="FM386" s="162"/>
      <c r="FN386" s="203" t="str">
        <f t="shared" si="584"/>
        <v xml:space="preserve"> </v>
      </c>
      <c r="FO386" s="174" t="str">
        <f t="shared" si="556"/>
        <v>NG</v>
      </c>
      <c r="FP386" s="162"/>
      <c r="FQ386" s="172" t="s">
        <v>71</v>
      </c>
      <c r="FR386" s="160"/>
      <c r="FS386" s="162"/>
      <c r="FT386" s="203" t="str">
        <f t="shared" si="585"/>
        <v xml:space="preserve"> </v>
      </c>
      <c r="FU386" s="174" t="str">
        <f t="shared" si="557"/>
        <v>NG</v>
      </c>
      <c r="FV386" s="162"/>
      <c r="FW386" s="172" t="s">
        <v>71</v>
      </c>
      <c r="FX386" s="160"/>
      <c r="FY386" s="162"/>
      <c r="FZ386" s="203" t="str">
        <f t="shared" si="586"/>
        <v xml:space="preserve"> </v>
      </c>
      <c r="GA386" s="174" t="str">
        <f t="shared" si="558"/>
        <v>NG</v>
      </c>
      <c r="GB386" s="162"/>
      <c r="GC386" s="172" t="s">
        <v>71</v>
      </c>
    </row>
    <row r="387" spans="1:185" s="52" customFormat="1" ht="127.5">
      <c r="B387" s="216">
        <f t="shared" si="587"/>
        <v>380</v>
      </c>
      <c r="C387" s="37"/>
      <c r="D387" s="37"/>
      <c r="E387" s="37"/>
      <c r="F387" s="49" t="s">
        <v>341</v>
      </c>
      <c r="G387" s="39"/>
      <c r="H387" s="40"/>
      <c r="I387" s="42"/>
      <c r="J387" s="42" t="s">
        <v>316</v>
      </c>
      <c r="K387" s="42"/>
      <c r="L387" s="42"/>
      <c r="M387" s="163" t="s">
        <v>342</v>
      </c>
      <c r="N387" s="47"/>
      <c r="O387" s="143"/>
      <c r="P387" s="45">
        <f t="shared" si="591"/>
        <v>352</v>
      </c>
      <c r="Q387" s="46">
        <v>1</v>
      </c>
      <c r="R387" s="41" t="str">
        <f t="shared" si="592"/>
        <v>X</v>
      </c>
      <c r="S387" s="185" t="s">
        <v>236</v>
      </c>
      <c r="T387" s="43"/>
      <c r="U387" s="41" t="s">
        <v>80</v>
      </c>
      <c r="V387" s="44"/>
      <c r="W387" s="22">
        <v>3</v>
      </c>
      <c r="X387" s="47" t="s">
        <v>237</v>
      </c>
      <c r="Y387" s="47">
        <v>1</v>
      </c>
      <c r="Z387" s="47">
        <v>1</v>
      </c>
      <c r="AA387" s="42" t="s">
        <v>163</v>
      </c>
      <c r="AB387" s="42" t="s">
        <v>57</v>
      </c>
      <c r="AC387" s="217"/>
      <c r="AD387" s="160"/>
      <c r="AE387" s="162"/>
      <c r="AF387" s="203" t="str">
        <f t="shared" si="562"/>
        <v xml:space="preserve"> </v>
      </c>
      <c r="AG387" s="174" t="str">
        <f t="shared" si="542"/>
        <v>NG</v>
      </c>
      <c r="AH387" s="162"/>
      <c r="AI387" s="276" t="str">
        <f>IF(OR(AE$8="判定対象外",AH$8="判定対象外",AH387="-"),"-",IF(AE387=AH387,"OK","NG"))</f>
        <v>OK</v>
      </c>
      <c r="AJ387" s="160"/>
      <c r="AK387" s="162"/>
      <c r="AL387" s="203" t="str">
        <f t="shared" si="559"/>
        <v xml:space="preserve"> </v>
      </c>
      <c r="AM387" s="174" t="str">
        <f t="shared" si="588"/>
        <v>NG</v>
      </c>
      <c r="AN387" s="162"/>
      <c r="AO387" s="276" t="str">
        <f>IF(OR(AK$8="判定対象外",AN$8="判定対象外",AN387="-"),"-",IF(AK387=AN387,"OK","NG"))</f>
        <v>OK</v>
      </c>
      <c r="AP387" s="160"/>
      <c r="AQ387" s="162"/>
      <c r="AR387" s="203" t="str">
        <f t="shared" si="563"/>
        <v xml:space="preserve"> </v>
      </c>
      <c r="AS387" s="174" t="str">
        <f t="shared" si="543"/>
        <v>NG</v>
      </c>
      <c r="AT387" s="162"/>
      <c r="AU387" s="276" t="str">
        <f>IF(OR(AQ$8="判定対象外",AT$8="判定対象外",AT387="-"),"-",IF(AQ387=AT387,"OK","NG"))</f>
        <v>OK</v>
      </c>
      <c r="AV387" s="160"/>
      <c r="AW387" s="162"/>
      <c r="AX387" s="203" t="str">
        <f t="shared" si="564"/>
        <v xml:space="preserve"> </v>
      </c>
      <c r="AY387" s="174" t="str">
        <f t="shared" si="544"/>
        <v>NG</v>
      </c>
      <c r="AZ387" s="162"/>
      <c r="BA387" s="276" t="str">
        <f>IF(OR(AW$8="判定対象外",AZ$8="判定対象外",AZ387="-"),"-",IF(AW387=AZ387,"OK","NG"))</f>
        <v>OK</v>
      </c>
      <c r="BB387" s="160"/>
      <c r="BC387" s="162"/>
      <c r="BD387" s="203" t="str">
        <f t="shared" si="565"/>
        <v xml:space="preserve"> </v>
      </c>
      <c r="BE387" s="174" t="str">
        <f t="shared" si="545"/>
        <v>NG</v>
      </c>
      <c r="BF387" s="162"/>
      <c r="BG387" s="276" t="str">
        <f>IF(OR(BC$8="判定対象外",BF$8="判定対象外",BF387="-"),"-",IF(BC387=BF387,"OK","NG"))</f>
        <v>OK</v>
      </c>
      <c r="BH387" s="160"/>
      <c r="BI387" s="162"/>
      <c r="BJ387" s="203" t="str">
        <f t="shared" si="566"/>
        <v xml:space="preserve"> </v>
      </c>
      <c r="BK387" s="174" t="str">
        <f t="shared" si="546"/>
        <v>NG</v>
      </c>
      <c r="BL387" s="162"/>
      <c r="BM387" s="276" t="str">
        <f>IF(OR(BI$8="判定対象外",BL$8="判定対象外",BL387="-"),"-",IF(BI387=BL387,"OK","NG"))</f>
        <v>OK</v>
      </c>
      <c r="BN387" s="160"/>
      <c r="BO387" s="162"/>
      <c r="BP387" s="203" t="str">
        <f t="shared" si="567"/>
        <v xml:space="preserve"> </v>
      </c>
      <c r="BQ387" s="174" t="str">
        <f t="shared" si="547"/>
        <v>NG</v>
      </c>
      <c r="BR387" s="162"/>
      <c r="BS387" s="276" t="str">
        <f>IF(OR(BO$8="判定対象外",BR$8="判定対象外",BR387="-"),"-",IF(BO387=BR387,"OK","NG"))</f>
        <v>OK</v>
      </c>
      <c r="BT387" s="160"/>
      <c r="BU387" s="162"/>
      <c r="BV387" s="203" t="str">
        <f t="shared" si="568"/>
        <v xml:space="preserve"> </v>
      </c>
      <c r="BW387" s="174" t="str">
        <f t="shared" si="548"/>
        <v>NG</v>
      </c>
      <c r="BX387" s="162"/>
      <c r="BY387" s="276" t="str">
        <f>IF(OR(BU$8="判定対象外",BX$8="判定対象外",BX387="-"),"-",IF(BU387=BX387,"OK","NG"))</f>
        <v>OK</v>
      </c>
      <c r="BZ387" s="160"/>
      <c r="CA387" s="162"/>
      <c r="CB387" s="203" t="str">
        <f t="shared" si="569"/>
        <v xml:space="preserve"> </v>
      </c>
      <c r="CC387" s="174" t="str">
        <f t="shared" si="549"/>
        <v>NG</v>
      </c>
      <c r="CD387" s="162"/>
      <c r="CE387" s="276" t="str">
        <f>IF(OR(CA$8="判定対象外",CD$8="判定対象外",CD387="-"),"-",IF(CA387=CD387,"OK","NG"))</f>
        <v>OK</v>
      </c>
      <c r="CF387" s="160"/>
      <c r="CG387" s="162"/>
      <c r="CH387" s="203" t="str">
        <f t="shared" si="570"/>
        <v xml:space="preserve"> </v>
      </c>
      <c r="CI387" s="174" t="str">
        <f t="shared" si="550"/>
        <v>NG</v>
      </c>
      <c r="CJ387" s="162"/>
      <c r="CK387" s="276" t="str">
        <f>IF(OR(CG$8="判定対象外",CJ$8="判定対象外",CJ387="-"),"-",IF(CG387=CJ387,"OK","NG"))</f>
        <v>OK</v>
      </c>
      <c r="CL387" s="160"/>
      <c r="CM387" s="162"/>
      <c r="CN387" s="203" t="str">
        <f t="shared" si="571"/>
        <v xml:space="preserve"> </v>
      </c>
      <c r="CO387" s="174" t="str">
        <f t="shared" si="551"/>
        <v>NG</v>
      </c>
      <c r="CP387" s="162"/>
      <c r="CQ387" s="276" t="str">
        <f>IF(OR(CM$8="判定対象外",CP$8="判定対象外",CP387="-"),"-",IF(CM387=CP387,"OK","NG"))</f>
        <v>OK</v>
      </c>
      <c r="CR387" s="160"/>
      <c r="CS387" s="162"/>
      <c r="CT387" s="203" t="str">
        <f t="shared" si="572"/>
        <v xml:space="preserve"> </v>
      </c>
      <c r="CU387" s="174" t="str">
        <f t="shared" si="552"/>
        <v>NG</v>
      </c>
      <c r="CV387" s="162"/>
      <c r="CW387" s="276" t="str">
        <f>IF(OR(CS$8="判定対象外",CV$8="判定対象外",CV387="-"),"-",IF(CS387=CV387,"OK","NG"))</f>
        <v>OK</v>
      </c>
      <c r="CX387" s="160"/>
      <c r="CY387" s="162"/>
      <c r="CZ387" s="203" t="str">
        <f t="shared" si="573"/>
        <v xml:space="preserve"> </v>
      </c>
      <c r="DA387" s="174" t="str">
        <f t="shared" si="553"/>
        <v>NG</v>
      </c>
      <c r="DB387" s="162"/>
      <c r="DC387" s="276" t="str">
        <f>IF(OR(CY$8="判定対象外",DB$8="判定対象外",DB387="-"),"-",IF(CY387=DB387,"OK","NG"))</f>
        <v>OK</v>
      </c>
      <c r="DD387" s="160"/>
      <c r="DE387" s="162"/>
      <c r="DF387" s="203" t="str">
        <f t="shared" si="574"/>
        <v xml:space="preserve"> </v>
      </c>
      <c r="DG387" s="174" t="str">
        <f t="shared" si="554"/>
        <v>NG</v>
      </c>
      <c r="DH387" s="162"/>
      <c r="DI387" s="276" t="str">
        <f>IF(OR(DE$8="判定対象外",DH$8="判定対象外",DH387="-"),"-",IF(DE387=DH387,"OK","NG"))</f>
        <v>OK</v>
      </c>
      <c r="DJ387" s="160"/>
      <c r="DK387" s="162"/>
      <c r="DL387" s="203" t="str">
        <f t="shared" si="575"/>
        <v xml:space="preserve"> </v>
      </c>
      <c r="DM387" s="174" t="str">
        <f t="shared" si="555"/>
        <v>NG</v>
      </c>
      <c r="DN387" s="162"/>
      <c r="DO387" s="276" t="str">
        <f>IF(OR(DK$8="判定対象外",DN$8="判定対象外",DN387="-"),"-",IF(DK387=DN387,"OK","NG"))</f>
        <v>OK</v>
      </c>
      <c r="DP387" s="160"/>
      <c r="DQ387" s="162"/>
      <c r="DR387" s="203" t="str">
        <f t="shared" si="576"/>
        <v xml:space="preserve"> </v>
      </c>
      <c r="DS387" s="174" t="str">
        <f t="shared" si="593"/>
        <v>NG</v>
      </c>
      <c r="DT387" s="162"/>
      <c r="DU387" s="276" t="str">
        <f>IF(OR(DQ$8="判定対象外",DT$8="判定対象外",DT387="-"),"-",IF(DQ387=DT387,"OK","NG"))</f>
        <v>OK</v>
      </c>
      <c r="DV387" s="160"/>
      <c r="DW387" s="162"/>
      <c r="DX387" s="203" t="str">
        <f t="shared" si="577"/>
        <v xml:space="preserve"> </v>
      </c>
      <c r="DY387" s="174" t="str">
        <f t="shared" si="594"/>
        <v>NG</v>
      </c>
      <c r="DZ387" s="162"/>
      <c r="EA387" s="276" t="str">
        <f>IF(OR(DW$8="判定対象外",DZ$8="判定対象外",DZ387="-"),"-",IF(DW387=DZ387,"OK","NG"))</f>
        <v>OK</v>
      </c>
      <c r="EB387" s="160"/>
      <c r="EC387" s="162"/>
      <c r="ED387" s="203" t="str">
        <f t="shared" si="578"/>
        <v xml:space="preserve"> </v>
      </c>
      <c r="EE387" s="174" t="str">
        <f t="shared" si="595"/>
        <v>NG</v>
      </c>
      <c r="EF387" s="162"/>
      <c r="EG387" s="276" t="str">
        <f>IF(OR(EC$8="判定対象外",EF$8="判定対象外",EF387="-"),"-",IF(EC387=EF387,"OK","NG"))</f>
        <v>OK</v>
      </c>
      <c r="EH387" s="160"/>
      <c r="EI387" s="162"/>
      <c r="EJ387" s="203" t="str">
        <f t="shared" si="579"/>
        <v xml:space="preserve"> </v>
      </c>
      <c r="EK387" s="174" t="str">
        <f t="shared" si="596"/>
        <v>NG</v>
      </c>
      <c r="EL387" s="162"/>
      <c r="EM387" s="276" t="str">
        <f>IF(OR(EI$8="判定対象外",EL$8="判定対象外",EL387="-"),"-",IF(EI387=EL387,"OK","NG"))</f>
        <v>OK</v>
      </c>
      <c r="EN387" s="160"/>
      <c r="EO387" s="162"/>
      <c r="EP387" s="203" t="str">
        <f t="shared" si="580"/>
        <v xml:space="preserve"> </v>
      </c>
      <c r="EQ387" s="174" t="str">
        <f t="shared" si="597"/>
        <v>NG</v>
      </c>
      <c r="ER387" s="162"/>
      <c r="ES387" s="276" t="str">
        <f>IF(OR(EO$8="判定対象外",ER$8="判定対象外",ER387="-"),"-",IF(EO387=ER387,"OK","NG"))</f>
        <v>OK</v>
      </c>
      <c r="ET387" s="160"/>
      <c r="EU387" s="162"/>
      <c r="EV387" s="203" t="str">
        <f t="shared" si="581"/>
        <v xml:space="preserve"> </v>
      </c>
      <c r="EW387" s="174" t="str">
        <f t="shared" si="598"/>
        <v>NG</v>
      </c>
      <c r="EX387" s="162"/>
      <c r="EY387" s="276" t="str">
        <f>IF(OR(EU$8="判定対象外",EX$8="判定対象外",EX387="-"),"-",IF(EU387=EX387,"OK","NG"))</f>
        <v>OK</v>
      </c>
      <c r="EZ387" s="160"/>
      <c r="FA387" s="162"/>
      <c r="FB387" s="203" t="str">
        <f t="shared" si="582"/>
        <v xml:space="preserve"> </v>
      </c>
      <c r="FC387" s="174" t="str">
        <f t="shared" si="599"/>
        <v>NG</v>
      </c>
      <c r="FD387" s="162"/>
      <c r="FE387" s="276" t="str">
        <f>IF(OR(FA$8="判定対象外",FD$8="判定対象外",FD387="-"),"-",IF(FA387=FD387,"OK","NG"))</f>
        <v>OK</v>
      </c>
      <c r="FF387" s="160"/>
      <c r="FG387" s="162"/>
      <c r="FH387" s="203" t="str">
        <f t="shared" si="583"/>
        <v xml:space="preserve"> </v>
      </c>
      <c r="FI387" s="174" t="str">
        <f t="shared" si="600"/>
        <v>NG</v>
      </c>
      <c r="FJ387" s="162"/>
      <c r="FK387" s="276" t="str">
        <f>IF(OR(FG$8="判定対象外",FJ$8="判定対象外",FJ387="-"),"-",IF(FG387=FJ387,"OK","NG"))</f>
        <v>OK</v>
      </c>
      <c r="FL387" s="160"/>
      <c r="FM387" s="162"/>
      <c r="FN387" s="203" t="str">
        <f t="shared" si="584"/>
        <v xml:space="preserve"> </v>
      </c>
      <c r="FO387" s="174" t="str">
        <f t="shared" si="556"/>
        <v>NG</v>
      </c>
      <c r="FP387" s="162"/>
      <c r="FQ387" s="276" t="str">
        <f>IF(OR(FM$8="判定対象外",FP$8="判定対象外",FP387="-"),"-",IF(FM387=FP387,"OK","NG"))</f>
        <v>OK</v>
      </c>
      <c r="FR387" s="160"/>
      <c r="FS387" s="162"/>
      <c r="FT387" s="203" t="str">
        <f t="shared" si="585"/>
        <v xml:space="preserve"> </v>
      </c>
      <c r="FU387" s="174" t="str">
        <f t="shared" si="557"/>
        <v>NG</v>
      </c>
      <c r="FV387" s="162"/>
      <c r="FW387" s="276" t="str">
        <f>IF(OR(FS$8="判定対象外",FV$8="判定対象外",FV387="-"),"-",IF(FS387=FV387,"OK","NG"))</f>
        <v>OK</v>
      </c>
      <c r="FX387" s="160"/>
      <c r="FY387" s="162"/>
      <c r="FZ387" s="203" t="str">
        <f t="shared" si="586"/>
        <v xml:space="preserve"> </v>
      </c>
      <c r="GA387" s="174" t="str">
        <f t="shared" si="558"/>
        <v>NG</v>
      </c>
      <c r="GB387" s="162"/>
      <c r="GC387" s="276" t="str">
        <f>IF(OR(FY$8="判定対象外",GB$8="判定対象外",GB387="-"),"-",IF(FY387=GB387,"OK","NG"))</f>
        <v>OK</v>
      </c>
    </row>
    <row r="388" spans="1:185" s="52" customFormat="1" ht="339.75" customHeight="1">
      <c r="B388" s="216">
        <f t="shared" si="587"/>
        <v>381</v>
      </c>
      <c r="C388" s="37"/>
      <c r="D388" s="37"/>
      <c r="E388" s="25"/>
      <c r="F388" s="218" t="s">
        <v>288</v>
      </c>
      <c r="G388" s="27"/>
      <c r="H388" s="28"/>
      <c r="I388" s="42"/>
      <c r="J388" s="42" t="s">
        <v>316</v>
      </c>
      <c r="K388" s="42"/>
      <c r="L388" s="42"/>
      <c r="M388" s="161" t="s">
        <v>343</v>
      </c>
      <c r="N388" s="39"/>
      <c r="O388" s="143"/>
      <c r="P388" s="45">
        <f t="shared" si="591"/>
        <v>353</v>
      </c>
      <c r="Q388" s="46">
        <v>2</v>
      </c>
      <c r="R388" s="41" t="str">
        <f t="shared" si="592"/>
        <v>X</v>
      </c>
      <c r="S388" s="185" t="s">
        <v>238</v>
      </c>
      <c r="T388" s="43"/>
      <c r="U388" s="41" t="s">
        <v>80</v>
      </c>
      <c r="V388" s="44"/>
      <c r="W388" s="22">
        <v>3</v>
      </c>
      <c r="X388" s="47" t="s">
        <v>239</v>
      </c>
      <c r="Y388" s="47">
        <v>2</v>
      </c>
      <c r="Z388" s="47">
        <v>2</v>
      </c>
      <c r="AA388" s="42" t="s">
        <v>81</v>
      </c>
      <c r="AB388" s="42" t="s">
        <v>80</v>
      </c>
      <c r="AC388" s="164"/>
      <c r="AD388" s="160"/>
      <c r="AE388" s="162"/>
      <c r="AF388" s="167" t="str">
        <f t="shared" si="562"/>
        <v xml:space="preserve">  </v>
      </c>
      <c r="AG388" s="174" t="str">
        <f t="shared" si="542"/>
        <v>NG</v>
      </c>
      <c r="AH388" s="162"/>
      <c r="AI388" s="276" t="str">
        <f>IF(OR(AE$8="判定対象外",AH$8="判定対象外",AH388="-"),"-",IF(AE388=AH388,"OK","NG"))</f>
        <v>OK</v>
      </c>
      <c r="AJ388" s="160"/>
      <c r="AK388" s="162"/>
      <c r="AL388" s="167" t="str">
        <f t="shared" si="559"/>
        <v xml:space="preserve">  </v>
      </c>
      <c r="AM388" s="174" t="str">
        <f t="shared" si="588"/>
        <v>NG</v>
      </c>
      <c r="AN388" s="162"/>
      <c r="AO388" s="276" t="str">
        <f>IF(OR(AK$8="判定対象外",AN$8="判定対象外",AN388="-"),"-",IF(AK388=AN388,"OK","NG"))</f>
        <v>OK</v>
      </c>
      <c r="AP388" s="160"/>
      <c r="AQ388" s="162"/>
      <c r="AR388" s="167" t="str">
        <f t="shared" si="563"/>
        <v xml:space="preserve">  </v>
      </c>
      <c r="AS388" s="174" t="str">
        <f t="shared" si="543"/>
        <v>NG</v>
      </c>
      <c r="AT388" s="162"/>
      <c r="AU388" s="276" t="str">
        <f>IF(OR(AQ$8="判定対象外",AT$8="判定対象外",AT388="-"),"-",IF(AQ388=AT388,"OK","NG"))</f>
        <v>OK</v>
      </c>
      <c r="AV388" s="160"/>
      <c r="AW388" s="162"/>
      <c r="AX388" s="167" t="str">
        <f t="shared" si="564"/>
        <v xml:space="preserve">  </v>
      </c>
      <c r="AY388" s="174" t="str">
        <f t="shared" si="544"/>
        <v>NG</v>
      </c>
      <c r="AZ388" s="162"/>
      <c r="BA388" s="276" t="str">
        <f>IF(OR(AW$8="判定対象外",AZ$8="判定対象外",AZ388="-"),"-",IF(AW388=AZ388,"OK","NG"))</f>
        <v>OK</v>
      </c>
      <c r="BB388" s="160"/>
      <c r="BC388" s="162"/>
      <c r="BD388" s="167" t="str">
        <f t="shared" si="565"/>
        <v xml:space="preserve">  </v>
      </c>
      <c r="BE388" s="174" t="str">
        <f t="shared" si="545"/>
        <v>NG</v>
      </c>
      <c r="BF388" s="162"/>
      <c r="BG388" s="276" t="str">
        <f>IF(OR(BC$8="判定対象外",BF$8="判定対象外",BF388="-"),"-",IF(BC388=BF388,"OK","NG"))</f>
        <v>OK</v>
      </c>
      <c r="BH388" s="160"/>
      <c r="BI388" s="162"/>
      <c r="BJ388" s="167" t="str">
        <f t="shared" si="566"/>
        <v xml:space="preserve">  </v>
      </c>
      <c r="BK388" s="174" t="str">
        <f t="shared" si="546"/>
        <v>NG</v>
      </c>
      <c r="BL388" s="162"/>
      <c r="BM388" s="276" t="str">
        <f>IF(OR(BI$8="判定対象外",BL$8="判定対象外",BL388="-"),"-",IF(BI388=BL388,"OK","NG"))</f>
        <v>OK</v>
      </c>
      <c r="BN388" s="160"/>
      <c r="BO388" s="162"/>
      <c r="BP388" s="167" t="str">
        <f t="shared" si="567"/>
        <v xml:space="preserve">  </v>
      </c>
      <c r="BQ388" s="174" t="str">
        <f t="shared" si="547"/>
        <v>NG</v>
      </c>
      <c r="BR388" s="162"/>
      <c r="BS388" s="276" t="str">
        <f>IF(OR(BO$8="判定対象外",BR$8="判定対象外",BR388="-"),"-",IF(BO388=BR388,"OK","NG"))</f>
        <v>OK</v>
      </c>
      <c r="BT388" s="160"/>
      <c r="BU388" s="162"/>
      <c r="BV388" s="167" t="str">
        <f t="shared" si="568"/>
        <v xml:space="preserve">  </v>
      </c>
      <c r="BW388" s="174" t="str">
        <f t="shared" si="548"/>
        <v>NG</v>
      </c>
      <c r="BX388" s="162"/>
      <c r="BY388" s="276" t="str">
        <f>IF(OR(BU$8="判定対象外",BX$8="判定対象外",BX388="-"),"-",IF(BU388=BX388,"OK","NG"))</f>
        <v>OK</v>
      </c>
      <c r="BZ388" s="160"/>
      <c r="CA388" s="162"/>
      <c r="CB388" s="167" t="str">
        <f t="shared" si="569"/>
        <v xml:space="preserve">  </v>
      </c>
      <c r="CC388" s="174" t="str">
        <f t="shared" si="549"/>
        <v>NG</v>
      </c>
      <c r="CD388" s="162"/>
      <c r="CE388" s="276" t="str">
        <f>IF(OR(CA$8="判定対象外",CD$8="判定対象外",CD388="-"),"-",IF(CA388=CD388,"OK","NG"))</f>
        <v>OK</v>
      </c>
      <c r="CF388" s="160"/>
      <c r="CG388" s="162"/>
      <c r="CH388" s="167" t="str">
        <f t="shared" si="570"/>
        <v xml:space="preserve">  </v>
      </c>
      <c r="CI388" s="174" t="str">
        <f t="shared" si="550"/>
        <v>NG</v>
      </c>
      <c r="CJ388" s="162"/>
      <c r="CK388" s="276" t="str">
        <f>IF(OR(CG$8="判定対象外",CJ$8="判定対象外",CJ388="-"),"-",IF(CG388=CJ388,"OK","NG"))</f>
        <v>OK</v>
      </c>
      <c r="CL388" s="160"/>
      <c r="CM388" s="162"/>
      <c r="CN388" s="167" t="str">
        <f t="shared" si="571"/>
        <v xml:space="preserve">  </v>
      </c>
      <c r="CO388" s="174" t="str">
        <f t="shared" si="551"/>
        <v>NG</v>
      </c>
      <c r="CP388" s="162"/>
      <c r="CQ388" s="276" t="str">
        <f>IF(OR(CM$8="判定対象外",CP$8="判定対象外",CP388="-"),"-",IF(CM388=CP388,"OK","NG"))</f>
        <v>OK</v>
      </c>
      <c r="CR388" s="160"/>
      <c r="CS388" s="162"/>
      <c r="CT388" s="167" t="str">
        <f t="shared" si="572"/>
        <v xml:space="preserve">  </v>
      </c>
      <c r="CU388" s="174" t="str">
        <f t="shared" si="552"/>
        <v>NG</v>
      </c>
      <c r="CV388" s="162"/>
      <c r="CW388" s="276" t="str">
        <f>IF(OR(CS$8="判定対象外",CV$8="判定対象外",CV388="-"),"-",IF(CS388=CV388,"OK","NG"))</f>
        <v>OK</v>
      </c>
      <c r="CX388" s="160"/>
      <c r="CY388" s="162"/>
      <c r="CZ388" s="167" t="str">
        <f t="shared" si="573"/>
        <v xml:space="preserve">  </v>
      </c>
      <c r="DA388" s="174" t="str">
        <f t="shared" si="553"/>
        <v>NG</v>
      </c>
      <c r="DB388" s="162"/>
      <c r="DC388" s="276" t="str">
        <f>IF(OR(CY$8="判定対象外",DB$8="判定対象外",DB388="-"),"-",IF(CY388=DB388,"OK","NG"))</f>
        <v>OK</v>
      </c>
      <c r="DD388" s="160"/>
      <c r="DE388" s="162"/>
      <c r="DF388" s="167" t="str">
        <f t="shared" si="574"/>
        <v xml:space="preserve">  </v>
      </c>
      <c r="DG388" s="174" t="str">
        <f t="shared" si="554"/>
        <v>NG</v>
      </c>
      <c r="DH388" s="162"/>
      <c r="DI388" s="276" t="str">
        <f>IF(OR(DE$8="判定対象外",DH$8="判定対象外",DH388="-"),"-",IF(DE388=DH388,"OK","NG"))</f>
        <v>OK</v>
      </c>
      <c r="DJ388" s="160"/>
      <c r="DK388" s="162"/>
      <c r="DL388" s="167" t="str">
        <f t="shared" si="575"/>
        <v xml:space="preserve">  </v>
      </c>
      <c r="DM388" s="174" t="str">
        <f t="shared" si="555"/>
        <v>NG</v>
      </c>
      <c r="DN388" s="162"/>
      <c r="DO388" s="276" t="str">
        <f>IF(OR(DK$8="判定対象外",DN$8="判定対象外",DN388="-"),"-",IF(DK388=DN388,"OK","NG"))</f>
        <v>OK</v>
      </c>
      <c r="DP388" s="160"/>
      <c r="DQ388" s="162"/>
      <c r="DR388" s="167" t="str">
        <f t="shared" si="576"/>
        <v xml:space="preserve">  </v>
      </c>
      <c r="DS388" s="174" t="str">
        <f t="shared" si="593"/>
        <v>NG</v>
      </c>
      <c r="DT388" s="162"/>
      <c r="DU388" s="276" t="str">
        <f>IF(OR(DQ$8="判定対象外",DT$8="判定対象外",DT388="-"),"-",IF(DQ388=DT388,"OK","NG"))</f>
        <v>OK</v>
      </c>
      <c r="DV388" s="160"/>
      <c r="DW388" s="162"/>
      <c r="DX388" s="167" t="str">
        <f t="shared" si="577"/>
        <v xml:space="preserve">  </v>
      </c>
      <c r="DY388" s="174" t="str">
        <f t="shared" si="594"/>
        <v>NG</v>
      </c>
      <c r="DZ388" s="162"/>
      <c r="EA388" s="276" t="str">
        <f>IF(OR(DW$8="判定対象外",DZ$8="判定対象外",DZ388="-"),"-",IF(DW388=DZ388,"OK","NG"))</f>
        <v>OK</v>
      </c>
      <c r="EB388" s="160"/>
      <c r="EC388" s="162"/>
      <c r="ED388" s="167" t="str">
        <f t="shared" si="578"/>
        <v xml:space="preserve">  </v>
      </c>
      <c r="EE388" s="174" t="str">
        <f t="shared" si="595"/>
        <v>NG</v>
      </c>
      <c r="EF388" s="162"/>
      <c r="EG388" s="276" t="str">
        <f>IF(OR(EC$8="判定対象外",EF$8="判定対象外",EF388="-"),"-",IF(EC388=EF388,"OK","NG"))</f>
        <v>OK</v>
      </c>
      <c r="EH388" s="160"/>
      <c r="EI388" s="162"/>
      <c r="EJ388" s="167" t="str">
        <f t="shared" si="579"/>
        <v xml:space="preserve">  </v>
      </c>
      <c r="EK388" s="174" t="str">
        <f t="shared" si="596"/>
        <v>NG</v>
      </c>
      <c r="EL388" s="162"/>
      <c r="EM388" s="276" t="str">
        <f>IF(OR(EI$8="判定対象外",EL$8="判定対象外",EL388="-"),"-",IF(EI388=EL388,"OK","NG"))</f>
        <v>OK</v>
      </c>
      <c r="EN388" s="160"/>
      <c r="EO388" s="162"/>
      <c r="EP388" s="167" t="str">
        <f t="shared" si="580"/>
        <v xml:space="preserve">  </v>
      </c>
      <c r="EQ388" s="174" t="str">
        <f t="shared" si="597"/>
        <v>NG</v>
      </c>
      <c r="ER388" s="162"/>
      <c r="ES388" s="276" t="str">
        <f>IF(OR(EO$8="判定対象外",ER$8="判定対象外",ER388="-"),"-",IF(EO388=ER388,"OK","NG"))</f>
        <v>OK</v>
      </c>
      <c r="ET388" s="160"/>
      <c r="EU388" s="162"/>
      <c r="EV388" s="167" t="str">
        <f t="shared" si="581"/>
        <v xml:space="preserve">  </v>
      </c>
      <c r="EW388" s="174" t="str">
        <f t="shared" si="598"/>
        <v>NG</v>
      </c>
      <c r="EX388" s="162"/>
      <c r="EY388" s="276" t="str">
        <f>IF(OR(EU$8="判定対象外",EX$8="判定対象外",EX388="-"),"-",IF(EU388=EX388,"OK","NG"))</f>
        <v>OK</v>
      </c>
      <c r="EZ388" s="160"/>
      <c r="FA388" s="162"/>
      <c r="FB388" s="167" t="str">
        <f t="shared" si="582"/>
        <v xml:space="preserve">  </v>
      </c>
      <c r="FC388" s="174" t="str">
        <f t="shared" si="599"/>
        <v>NG</v>
      </c>
      <c r="FD388" s="162"/>
      <c r="FE388" s="276" t="str">
        <f>IF(OR(FA$8="判定対象外",FD$8="判定対象外",FD388="-"),"-",IF(FA388=FD388,"OK","NG"))</f>
        <v>OK</v>
      </c>
      <c r="FF388" s="160"/>
      <c r="FG388" s="162"/>
      <c r="FH388" s="167" t="str">
        <f t="shared" si="583"/>
        <v xml:space="preserve">  </v>
      </c>
      <c r="FI388" s="174" t="str">
        <f t="shared" si="600"/>
        <v>NG</v>
      </c>
      <c r="FJ388" s="162"/>
      <c r="FK388" s="276" t="str">
        <f>IF(OR(FG$8="判定対象外",FJ$8="判定対象外",FJ388="-"),"-",IF(FG388=FJ388,"OK","NG"))</f>
        <v>OK</v>
      </c>
      <c r="FL388" s="160"/>
      <c r="FM388" s="162"/>
      <c r="FN388" s="167" t="str">
        <f t="shared" si="584"/>
        <v xml:space="preserve">  </v>
      </c>
      <c r="FO388" s="174" t="str">
        <f t="shared" si="556"/>
        <v>NG</v>
      </c>
      <c r="FP388" s="162"/>
      <c r="FQ388" s="276" t="str">
        <f>IF(OR(FM$8="判定対象外",FP$8="判定対象外",FP388="-"),"-",IF(FM388=FP388,"OK","NG"))</f>
        <v>OK</v>
      </c>
      <c r="FR388" s="160"/>
      <c r="FS388" s="162"/>
      <c r="FT388" s="167" t="str">
        <f t="shared" si="585"/>
        <v xml:space="preserve">  </v>
      </c>
      <c r="FU388" s="174" t="str">
        <f t="shared" si="557"/>
        <v>NG</v>
      </c>
      <c r="FV388" s="162"/>
      <c r="FW388" s="276" t="str">
        <f>IF(OR(FS$8="判定対象外",FV$8="判定対象外",FV388="-"),"-",IF(FS388=FV388,"OK","NG"))</f>
        <v>OK</v>
      </c>
      <c r="FX388" s="160"/>
      <c r="FY388" s="162"/>
      <c r="FZ388" s="167" t="str">
        <f t="shared" si="586"/>
        <v xml:space="preserve">  </v>
      </c>
      <c r="GA388" s="174" t="str">
        <f t="shared" si="558"/>
        <v>NG</v>
      </c>
      <c r="GB388" s="162"/>
      <c r="GC388" s="276" t="str">
        <f>IF(OR(FY$8="判定対象外",GB$8="判定対象外",GB388="-"),"-",IF(FY388=GB388,"OK","NG"))</f>
        <v>OK</v>
      </c>
    </row>
    <row r="389" spans="1:185" s="52" customFormat="1" ht="25.5">
      <c r="B389" s="216">
        <f t="shared" si="587"/>
        <v>382</v>
      </c>
      <c r="C389" s="37"/>
      <c r="D389" s="37"/>
      <c r="E389" s="25"/>
      <c r="F389" s="184" t="s">
        <v>344</v>
      </c>
      <c r="G389" s="27"/>
      <c r="H389" s="28"/>
      <c r="I389" s="42"/>
      <c r="J389" s="42"/>
      <c r="K389" s="42"/>
      <c r="L389" s="42"/>
      <c r="M389" s="63" t="s">
        <v>345</v>
      </c>
      <c r="N389" s="39"/>
      <c r="O389" s="143"/>
      <c r="P389" s="45">
        <f t="shared" si="591"/>
        <v>354</v>
      </c>
      <c r="Q389" s="46">
        <v>7</v>
      </c>
      <c r="R389" s="41" t="str">
        <f t="shared" si="592"/>
        <v>X</v>
      </c>
      <c r="S389" s="185" t="s">
        <v>240</v>
      </c>
      <c r="T389" s="43"/>
      <c r="U389" s="41" t="s">
        <v>80</v>
      </c>
      <c r="V389" s="44"/>
      <c r="W389" s="22">
        <v>3</v>
      </c>
      <c r="X389" s="47" t="s">
        <v>241</v>
      </c>
      <c r="Y389" s="47">
        <v>7</v>
      </c>
      <c r="Z389" s="47">
        <v>7</v>
      </c>
      <c r="AA389" s="42" t="s">
        <v>81</v>
      </c>
      <c r="AB389" s="42" t="s">
        <v>80</v>
      </c>
      <c r="AC389" s="219"/>
      <c r="AD389" s="160"/>
      <c r="AE389" s="141"/>
      <c r="AF389" s="203" t="str">
        <f t="shared" si="562"/>
        <v xml:space="preserve">       </v>
      </c>
      <c r="AG389" s="174" t="str">
        <f t="shared" si="542"/>
        <v>NG</v>
      </c>
      <c r="AH389" s="141"/>
      <c r="AI389" s="172" t="s">
        <v>71</v>
      </c>
      <c r="AJ389" s="160"/>
      <c r="AK389" s="141"/>
      <c r="AL389" s="203" t="str">
        <f t="shared" si="559"/>
        <v xml:space="preserve">       </v>
      </c>
      <c r="AM389" s="174" t="str">
        <f t="shared" si="588"/>
        <v>NG</v>
      </c>
      <c r="AN389" s="141"/>
      <c r="AO389" s="172" t="s">
        <v>71</v>
      </c>
      <c r="AP389" s="160"/>
      <c r="AQ389" s="141"/>
      <c r="AR389" s="203" t="str">
        <f t="shared" si="563"/>
        <v xml:space="preserve">       </v>
      </c>
      <c r="AS389" s="174" t="str">
        <f t="shared" si="543"/>
        <v>NG</v>
      </c>
      <c r="AT389" s="141"/>
      <c r="AU389" s="172" t="s">
        <v>71</v>
      </c>
      <c r="AV389" s="160"/>
      <c r="AW389" s="141"/>
      <c r="AX389" s="203" t="str">
        <f t="shared" si="564"/>
        <v xml:space="preserve">       </v>
      </c>
      <c r="AY389" s="174" t="str">
        <f t="shared" si="544"/>
        <v>NG</v>
      </c>
      <c r="AZ389" s="141"/>
      <c r="BA389" s="172" t="s">
        <v>71</v>
      </c>
      <c r="BB389" s="160"/>
      <c r="BC389" s="141"/>
      <c r="BD389" s="203" t="str">
        <f t="shared" si="565"/>
        <v xml:space="preserve">       </v>
      </c>
      <c r="BE389" s="174" t="str">
        <f t="shared" si="545"/>
        <v>NG</v>
      </c>
      <c r="BF389" s="141"/>
      <c r="BG389" s="172" t="s">
        <v>71</v>
      </c>
      <c r="BH389" s="160"/>
      <c r="BI389" s="141"/>
      <c r="BJ389" s="203" t="str">
        <f t="shared" si="566"/>
        <v xml:space="preserve">       </v>
      </c>
      <c r="BK389" s="174" t="str">
        <f t="shared" si="546"/>
        <v>NG</v>
      </c>
      <c r="BL389" s="141"/>
      <c r="BM389" s="172" t="s">
        <v>71</v>
      </c>
      <c r="BN389" s="160"/>
      <c r="BO389" s="141"/>
      <c r="BP389" s="203" t="str">
        <f t="shared" si="567"/>
        <v xml:space="preserve">       </v>
      </c>
      <c r="BQ389" s="174" t="str">
        <f t="shared" si="547"/>
        <v>NG</v>
      </c>
      <c r="BR389" s="141"/>
      <c r="BS389" s="172" t="s">
        <v>71</v>
      </c>
      <c r="BT389" s="160"/>
      <c r="BU389" s="141"/>
      <c r="BV389" s="203" t="str">
        <f t="shared" si="568"/>
        <v xml:space="preserve">       </v>
      </c>
      <c r="BW389" s="174" t="str">
        <f t="shared" si="548"/>
        <v>NG</v>
      </c>
      <c r="BX389" s="141"/>
      <c r="BY389" s="172" t="s">
        <v>71</v>
      </c>
      <c r="BZ389" s="160"/>
      <c r="CA389" s="141"/>
      <c r="CB389" s="203" t="str">
        <f t="shared" si="569"/>
        <v xml:space="preserve">       </v>
      </c>
      <c r="CC389" s="174" t="str">
        <f t="shared" si="549"/>
        <v>NG</v>
      </c>
      <c r="CD389" s="141"/>
      <c r="CE389" s="172" t="s">
        <v>71</v>
      </c>
      <c r="CF389" s="160"/>
      <c r="CG389" s="141"/>
      <c r="CH389" s="203" t="str">
        <f t="shared" si="570"/>
        <v xml:space="preserve">       </v>
      </c>
      <c r="CI389" s="174" t="str">
        <f t="shared" si="550"/>
        <v>NG</v>
      </c>
      <c r="CJ389" s="141"/>
      <c r="CK389" s="172" t="s">
        <v>71</v>
      </c>
      <c r="CL389" s="160"/>
      <c r="CM389" s="141"/>
      <c r="CN389" s="203" t="str">
        <f t="shared" si="571"/>
        <v xml:space="preserve">       </v>
      </c>
      <c r="CO389" s="174" t="str">
        <f t="shared" si="551"/>
        <v>NG</v>
      </c>
      <c r="CP389" s="141"/>
      <c r="CQ389" s="172" t="s">
        <v>71</v>
      </c>
      <c r="CR389" s="160"/>
      <c r="CS389" s="141"/>
      <c r="CT389" s="203" t="str">
        <f t="shared" si="572"/>
        <v xml:space="preserve">       </v>
      </c>
      <c r="CU389" s="174" t="str">
        <f t="shared" si="552"/>
        <v>NG</v>
      </c>
      <c r="CV389" s="141"/>
      <c r="CW389" s="172" t="s">
        <v>71</v>
      </c>
      <c r="CX389" s="160"/>
      <c r="CY389" s="141"/>
      <c r="CZ389" s="203" t="str">
        <f t="shared" si="573"/>
        <v xml:space="preserve">       </v>
      </c>
      <c r="DA389" s="174" t="str">
        <f t="shared" si="553"/>
        <v>NG</v>
      </c>
      <c r="DB389" s="141"/>
      <c r="DC389" s="172" t="s">
        <v>71</v>
      </c>
      <c r="DD389" s="160"/>
      <c r="DE389" s="141"/>
      <c r="DF389" s="203" t="str">
        <f t="shared" si="574"/>
        <v xml:space="preserve">       </v>
      </c>
      <c r="DG389" s="174" t="str">
        <f t="shared" si="554"/>
        <v>NG</v>
      </c>
      <c r="DH389" s="141"/>
      <c r="DI389" s="172" t="s">
        <v>71</v>
      </c>
      <c r="DJ389" s="160"/>
      <c r="DK389" s="141"/>
      <c r="DL389" s="203" t="str">
        <f t="shared" si="575"/>
        <v xml:space="preserve">       </v>
      </c>
      <c r="DM389" s="174" t="str">
        <f t="shared" si="555"/>
        <v>NG</v>
      </c>
      <c r="DN389" s="141"/>
      <c r="DO389" s="172" t="s">
        <v>71</v>
      </c>
      <c r="DP389" s="160"/>
      <c r="DQ389" s="141"/>
      <c r="DR389" s="203" t="str">
        <f t="shared" si="576"/>
        <v xml:space="preserve">       </v>
      </c>
      <c r="DS389" s="174" t="str">
        <f t="shared" si="593"/>
        <v>NG</v>
      </c>
      <c r="DT389" s="141"/>
      <c r="DU389" s="172" t="s">
        <v>71</v>
      </c>
      <c r="DV389" s="160"/>
      <c r="DW389" s="141"/>
      <c r="DX389" s="203" t="str">
        <f t="shared" si="577"/>
        <v xml:space="preserve">       </v>
      </c>
      <c r="DY389" s="174" t="str">
        <f t="shared" si="594"/>
        <v>NG</v>
      </c>
      <c r="DZ389" s="141"/>
      <c r="EA389" s="172" t="s">
        <v>71</v>
      </c>
      <c r="EB389" s="160"/>
      <c r="EC389" s="141"/>
      <c r="ED389" s="203" t="str">
        <f t="shared" si="578"/>
        <v xml:space="preserve">       </v>
      </c>
      <c r="EE389" s="174" t="str">
        <f t="shared" si="595"/>
        <v>NG</v>
      </c>
      <c r="EF389" s="141"/>
      <c r="EG389" s="172" t="s">
        <v>71</v>
      </c>
      <c r="EH389" s="160"/>
      <c r="EI389" s="141"/>
      <c r="EJ389" s="203" t="str">
        <f t="shared" si="579"/>
        <v xml:space="preserve">       </v>
      </c>
      <c r="EK389" s="174" t="str">
        <f t="shared" si="596"/>
        <v>NG</v>
      </c>
      <c r="EL389" s="141"/>
      <c r="EM389" s="172" t="s">
        <v>71</v>
      </c>
      <c r="EN389" s="160"/>
      <c r="EO389" s="141"/>
      <c r="EP389" s="203" t="str">
        <f t="shared" si="580"/>
        <v xml:space="preserve">       </v>
      </c>
      <c r="EQ389" s="174" t="str">
        <f t="shared" si="597"/>
        <v>NG</v>
      </c>
      <c r="ER389" s="141"/>
      <c r="ES389" s="172" t="s">
        <v>71</v>
      </c>
      <c r="ET389" s="160"/>
      <c r="EU389" s="141"/>
      <c r="EV389" s="203" t="str">
        <f t="shared" si="581"/>
        <v xml:space="preserve">       </v>
      </c>
      <c r="EW389" s="174" t="str">
        <f t="shared" si="598"/>
        <v>NG</v>
      </c>
      <c r="EX389" s="141"/>
      <c r="EY389" s="172" t="s">
        <v>71</v>
      </c>
      <c r="EZ389" s="160"/>
      <c r="FA389" s="141"/>
      <c r="FB389" s="203" t="str">
        <f t="shared" si="582"/>
        <v xml:space="preserve">       </v>
      </c>
      <c r="FC389" s="174" t="str">
        <f t="shared" si="599"/>
        <v>NG</v>
      </c>
      <c r="FD389" s="141"/>
      <c r="FE389" s="172" t="s">
        <v>71</v>
      </c>
      <c r="FF389" s="160"/>
      <c r="FG389" s="141"/>
      <c r="FH389" s="203" t="str">
        <f t="shared" si="583"/>
        <v xml:space="preserve">       </v>
      </c>
      <c r="FI389" s="174" t="str">
        <f t="shared" si="600"/>
        <v>NG</v>
      </c>
      <c r="FJ389" s="141"/>
      <c r="FK389" s="172" t="s">
        <v>71</v>
      </c>
      <c r="FL389" s="160"/>
      <c r="FM389" s="141"/>
      <c r="FN389" s="203" t="str">
        <f t="shared" si="584"/>
        <v xml:space="preserve">       </v>
      </c>
      <c r="FO389" s="174" t="str">
        <f t="shared" si="556"/>
        <v>NG</v>
      </c>
      <c r="FP389" s="141"/>
      <c r="FQ389" s="172" t="s">
        <v>71</v>
      </c>
      <c r="FR389" s="160"/>
      <c r="FS389" s="141"/>
      <c r="FT389" s="203" t="str">
        <f t="shared" si="585"/>
        <v xml:space="preserve">       </v>
      </c>
      <c r="FU389" s="174" t="str">
        <f t="shared" si="557"/>
        <v>NG</v>
      </c>
      <c r="FV389" s="141"/>
      <c r="FW389" s="172" t="s">
        <v>71</v>
      </c>
      <c r="FX389" s="160"/>
      <c r="FY389" s="141"/>
      <c r="FZ389" s="203" t="str">
        <f t="shared" si="586"/>
        <v xml:space="preserve">       </v>
      </c>
      <c r="GA389" s="174" t="str">
        <f t="shared" si="558"/>
        <v>NG</v>
      </c>
      <c r="GB389" s="141"/>
      <c r="GC389" s="172" t="s">
        <v>71</v>
      </c>
    </row>
    <row r="390" spans="1:185" s="237" customFormat="1" ht="25.5">
      <c r="B390" s="216">
        <f t="shared" si="587"/>
        <v>383</v>
      </c>
      <c r="C390" s="220"/>
      <c r="D390" s="220"/>
      <c r="E390" s="221"/>
      <c r="F390" s="222" t="s">
        <v>346</v>
      </c>
      <c r="G390" s="223"/>
      <c r="H390" s="224"/>
      <c r="I390" s="225"/>
      <c r="J390" s="225"/>
      <c r="K390" s="226"/>
      <c r="L390" s="226"/>
      <c r="M390" s="227" t="s">
        <v>345</v>
      </c>
      <c r="N390" s="228"/>
      <c r="O390" s="229"/>
      <c r="P390" s="45">
        <f t="shared" si="591"/>
        <v>355</v>
      </c>
      <c r="Q390" s="230">
        <v>10</v>
      </c>
      <c r="R390" s="41" t="str">
        <f t="shared" si="592"/>
        <v>X</v>
      </c>
      <c r="S390" s="185" t="s">
        <v>242</v>
      </c>
      <c r="T390" s="231"/>
      <c r="U390" s="41" t="s">
        <v>80</v>
      </c>
      <c r="V390" s="229"/>
      <c r="W390" s="232">
        <v>3</v>
      </c>
      <c r="X390" s="194" t="s">
        <v>243</v>
      </c>
      <c r="Y390" s="194">
        <v>10</v>
      </c>
      <c r="Z390" s="194">
        <v>10</v>
      </c>
      <c r="AA390" s="225" t="s">
        <v>163</v>
      </c>
      <c r="AB390" s="225" t="s">
        <v>57</v>
      </c>
      <c r="AC390" s="219"/>
      <c r="AD390" s="233"/>
      <c r="AE390" s="268"/>
      <c r="AF390" s="235" t="str">
        <f t="shared" si="562"/>
        <v xml:space="preserve">          </v>
      </c>
      <c r="AG390" s="174" t="str">
        <f t="shared" si="542"/>
        <v>NG</v>
      </c>
      <c r="AH390" s="268"/>
      <c r="AI390" s="172" t="s">
        <v>71</v>
      </c>
      <c r="AJ390" s="233"/>
      <c r="AK390" s="234"/>
      <c r="AL390" s="235" t="str">
        <f t="shared" si="559"/>
        <v xml:space="preserve">          </v>
      </c>
      <c r="AM390" s="174" t="str">
        <f t="shared" si="588"/>
        <v>NG</v>
      </c>
      <c r="AN390" s="268"/>
      <c r="AO390" s="172" t="s">
        <v>71</v>
      </c>
      <c r="AP390" s="233"/>
      <c r="AQ390" s="268"/>
      <c r="AR390" s="235" t="str">
        <f t="shared" si="563"/>
        <v xml:space="preserve">          </v>
      </c>
      <c r="AS390" s="174" t="str">
        <f t="shared" si="543"/>
        <v>NG</v>
      </c>
      <c r="AT390" s="268"/>
      <c r="AU390" s="172" t="s">
        <v>71</v>
      </c>
      <c r="AV390" s="233"/>
      <c r="AW390" s="268"/>
      <c r="AX390" s="235" t="str">
        <f t="shared" si="564"/>
        <v xml:space="preserve">          </v>
      </c>
      <c r="AY390" s="174" t="str">
        <f t="shared" si="544"/>
        <v>NG</v>
      </c>
      <c r="AZ390" s="268"/>
      <c r="BA390" s="172" t="s">
        <v>71</v>
      </c>
      <c r="BB390" s="233"/>
      <c r="BC390" s="268"/>
      <c r="BD390" s="235" t="str">
        <f t="shared" si="565"/>
        <v xml:space="preserve">          </v>
      </c>
      <c r="BE390" s="174" t="str">
        <f t="shared" si="545"/>
        <v>NG</v>
      </c>
      <c r="BF390" s="268"/>
      <c r="BG390" s="172" t="s">
        <v>71</v>
      </c>
      <c r="BH390" s="233"/>
      <c r="BI390" s="268"/>
      <c r="BJ390" s="235" t="str">
        <f t="shared" si="566"/>
        <v xml:space="preserve">          </v>
      </c>
      <c r="BK390" s="174" t="str">
        <f t="shared" si="546"/>
        <v>NG</v>
      </c>
      <c r="BL390" s="268"/>
      <c r="BM390" s="172" t="s">
        <v>71</v>
      </c>
      <c r="BN390" s="233"/>
      <c r="BO390" s="268"/>
      <c r="BP390" s="235" t="str">
        <f t="shared" si="567"/>
        <v xml:space="preserve">          </v>
      </c>
      <c r="BQ390" s="174" t="str">
        <f t="shared" si="547"/>
        <v>NG</v>
      </c>
      <c r="BR390" s="268"/>
      <c r="BS390" s="172" t="s">
        <v>71</v>
      </c>
      <c r="BT390" s="233"/>
      <c r="BU390" s="268"/>
      <c r="BV390" s="235" t="str">
        <f t="shared" si="568"/>
        <v xml:space="preserve">          </v>
      </c>
      <c r="BW390" s="174" t="str">
        <f t="shared" si="548"/>
        <v>NG</v>
      </c>
      <c r="BX390" s="268"/>
      <c r="BY390" s="172" t="s">
        <v>71</v>
      </c>
      <c r="BZ390" s="233"/>
      <c r="CA390" s="268"/>
      <c r="CB390" s="235" t="str">
        <f t="shared" si="569"/>
        <v xml:space="preserve">          </v>
      </c>
      <c r="CC390" s="174" t="str">
        <f t="shared" si="549"/>
        <v>NG</v>
      </c>
      <c r="CD390" s="268"/>
      <c r="CE390" s="172" t="s">
        <v>71</v>
      </c>
      <c r="CF390" s="233"/>
      <c r="CG390" s="268"/>
      <c r="CH390" s="235" t="str">
        <f t="shared" si="570"/>
        <v xml:space="preserve">          </v>
      </c>
      <c r="CI390" s="174" t="str">
        <f t="shared" si="550"/>
        <v>NG</v>
      </c>
      <c r="CJ390" s="268"/>
      <c r="CK390" s="172" t="s">
        <v>71</v>
      </c>
      <c r="CL390" s="233"/>
      <c r="CM390" s="268"/>
      <c r="CN390" s="235" t="str">
        <f t="shared" si="571"/>
        <v xml:space="preserve">          </v>
      </c>
      <c r="CO390" s="174" t="str">
        <f t="shared" si="551"/>
        <v>NG</v>
      </c>
      <c r="CP390" s="268"/>
      <c r="CQ390" s="172" t="s">
        <v>71</v>
      </c>
      <c r="CR390" s="233"/>
      <c r="CS390" s="268"/>
      <c r="CT390" s="235" t="str">
        <f t="shared" si="572"/>
        <v xml:space="preserve">          </v>
      </c>
      <c r="CU390" s="174" t="str">
        <f t="shared" si="552"/>
        <v>NG</v>
      </c>
      <c r="CV390" s="268"/>
      <c r="CW390" s="172" t="s">
        <v>71</v>
      </c>
      <c r="CX390" s="233"/>
      <c r="CY390" s="268"/>
      <c r="CZ390" s="235" t="str">
        <f t="shared" si="573"/>
        <v xml:space="preserve">          </v>
      </c>
      <c r="DA390" s="174" t="str">
        <f t="shared" si="553"/>
        <v>NG</v>
      </c>
      <c r="DB390" s="268"/>
      <c r="DC390" s="172" t="s">
        <v>71</v>
      </c>
      <c r="DD390" s="233"/>
      <c r="DE390" s="268"/>
      <c r="DF390" s="235" t="str">
        <f t="shared" si="574"/>
        <v xml:space="preserve">          </v>
      </c>
      <c r="DG390" s="174" t="str">
        <f t="shared" si="554"/>
        <v>NG</v>
      </c>
      <c r="DH390" s="268"/>
      <c r="DI390" s="172" t="s">
        <v>71</v>
      </c>
      <c r="DJ390" s="233"/>
      <c r="DK390" s="268"/>
      <c r="DL390" s="235" t="str">
        <f t="shared" si="575"/>
        <v xml:space="preserve">          </v>
      </c>
      <c r="DM390" s="174" t="str">
        <f t="shared" si="555"/>
        <v>NG</v>
      </c>
      <c r="DN390" s="268"/>
      <c r="DO390" s="172" t="s">
        <v>71</v>
      </c>
      <c r="DP390" s="233"/>
      <c r="DQ390" s="268"/>
      <c r="DR390" s="235" t="str">
        <f t="shared" si="576"/>
        <v xml:space="preserve">          </v>
      </c>
      <c r="DS390" s="174" t="str">
        <f t="shared" si="593"/>
        <v>NG</v>
      </c>
      <c r="DT390" s="268"/>
      <c r="DU390" s="172" t="s">
        <v>71</v>
      </c>
      <c r="DV390" s="233"/>
      <c r="DW390" s="268"/>
      <c r="DX390" s="235" t="str">
        <f t="shared" si="577"/>
        <v xml:space="preserve">          </v>
      </c>
      <c r="DY390" s="174" t="str">
        <f t="shared" si="594"/>
        <v>NG</v>
      </c>
      <c r="DZ390" s="268"/>
      <c r="EA390" s="172" t="s">
        <v>71</v>
      </c>
      <c r="EB390" s="233"/>
      <c r="EC390" s="268"/>
      <c r="ED390" s="235" t="str">
        <f t="shared" si="578"/>
        <v xml:space="preserve">          </v>
      </c>
      <c r="EE390" s="174" t="str">
        <f t="shared" si="595"/>
        <v>NG</v>
      </c>
      <c r="EF390" s="268"/>
      <c r="EG390" s="172" t="s">
        <v>71</v>
      </c>
      <c r="EH390" s="233"/>
      <c r="EI390" s="268"/>
      <c r="EJ390" s="235" t="str">
        <f t="shared" si="579"/>
        <v xml:space="preserve">          </v>
      </c>
      <c r="EK390" s="174" t="str">
        <f t="shared" si="596"/>
        <v>NG</v>
      </c>
      <c r="EL390" s="268"/>
      <c r="EM390" s="172" t="s">
        <v>71</v>
      </c>
      <c r="EN390" s="233"/>
      <c r="EO390" s="268"/>
      <c r="EP390" s="235" t="str">
        <f t="shared" si="580"/>
        <v xml:space="preserve">          </v>
      </c>
      <c r="EQ390" s="174" t="str">
        <f t="shared" si="597"/>
        <v>NG</v>
      </c>
      <c r="ER390" s="268"/>
      <c r="ES390" s="172" t="s">
        <v>71</v>
      </c>
      <c r="ET390" s="233"/>
      <c r="EU390" s="268"/>
      <c r="EV390" s="235" t="str">
        <f t="shared" si="581"/>
        <v xml:space="preserve">          </v>
      </c>
      <c r="EW390" s="174" t="str">
        <f t="shared" si="598"/>
        <v>NG</v>
      </c>
      <c r="EX390" s="268"/>
      <c r="EY390" s="172" t="s">
        <v>71</v>
      </c>
      <c r="EZ390" s="233"/>
      <c r="FA390" s="268"/>
      <c r="FB390" s="235" t="str">
        <f t="shared" si="582"/>
        <v xml:space="preserve">          </v>
      </c>
      <c r="FC390" s="174" t="str">
        <f t="shared" si="599"/>
        <v>NG</v>
      </c>
      <c r="FD390" s="268"/>
      <c r="FE390" s="172" t="s">
        <v>71</v>
      </c>
      <c r="FF390" s="233"/>
      <c r="FG390" s="268"/>
      <c r="FH390" s="235" t="str">
        <f t="shared" si="583"/>
        <v xml:space="preserve">          </v>
      </c>
      <c r="FI390" s="174" t="str">
        <f t="shared" si="600"/>
        <v>NG</v>
      </c>
      <c r="FJ390" s="268"/>
      <c r="FK390" s="172" t="s">
        <v>71</v>
      </c>
      <c r="FL390" s="233"/>
      <c r="FM390" s="268"/>
      <c r="FN390" s="235" t="str">
        <f t="shared" si="584"/>
        <v xml:space="preserve">          </v>
      </c>
      <c r="FO390" s="174" t="str">
        <f t="shared" si="556"/>
        <v>NG</v>
      </c>
      <c r="FP390" s="268"/>
      <c r="FQ390" s="172" t="s">
        <v>71</v>
      </c>
      <c r="FR390" s="233"/>
      <c r="FS390" s="268"/>
      <c r="FT390" s="235" t="str">
        <f t="shared" si="585"/>
        <v xml:space="preserve">          </v>
      </c>
      <c r="FU390" s="174" t="str">
        <f t="shared" si="557"/>
        <v>NG</v>
      </c>
      <c r="FV390" s="268"/>
      <c r="FW390" s="172" t="s">
        <v>71</v>
      </c>
      <c r="FX390" s="233"/>
      <c r="FY390" s="268"/>
      <c r="FZ390" s="235" t="str">
        <f t="shared" si="586"/>
        <v xml:space="preserve">          </v>
      </c>
      <c r="GA390" s="174" t="str">
        <f t="shared" si="558"/>
        <v>NG</v>
      </c>
      <c r="GB390" s="268"/>
      <c r="GC390" s="172" t="s">
        <v>71</v>
      </c>
    </row>
    <row r="391" spans="1:185" s="237" customFormat="1" ht="25.5">
      <c r="B391" s="216">
        <f t="shared" si="587"/>
        <v>384</v>
      </c>
      <c r="C391" s="220"/>
      <c r="D391" s="220"/>
      <c r="E391" s="220"/>
      <c r="F391" s="238" t="s">
        <v>244</v>
      </c>
      <c r="G391" s="168"/>
      <c r="H391" s="239"/>
      <c r="I391" s="225"/>
      <c r="J391" s="225"/>
      <c r="K391" s="226"/>
      <c r="L391" s="226"/>
      <c r="M391" s="227" t="s">
        <v>345</v>
      </c>
      <c r="N391" s="228"/>
      <c r="O391" s="229"/>
      <c r="P391" s="45">
        <f t="shared" si="591"/>
        <v>356</v>
      </c>
      <c r="Q391" s="230">
        <v>3</v>
      </c>
      <c r="R391" s="41" t="str">
        <f t="shared" si="592"/>
        <v>X</v>
      </c>
      <c r="S391" s="185" t="s">
        <v>245</v>
      </c>
      <c r="T391" s="231"/>
      <c r="U391" s="41" t="s">
        <v>80</v>
      </c>
      <c r="V391" s="229"/>
      <c r="W391" s="232">
        <v>3</v>
      </c>
      <c r="X391" s="194" t="s">
        <v>246</v>
      </c>
      <c r="Y391" s="194">
        <v>3</v>
      </c>
      <c r="Z391" s="194">
        <v>3</v>
      </c>
      <c r="AA391" s="225" t="s">
        <v>163</v>
      </c>
      <c r="AB391" s="225" t="s">
        <v>57</v>
      </c>
      <c r="AC391" s="219"/>
      <c r="AD391" s="233"/>
      <c r="AE391" s="268"/>
      <c r="AF391" s="235" t="str">
        <f t="shared" si="562"/>
        <v xml:space="preserve">   </v>
      </c>
      <c r="AG391" s="174" t="str">
        <f t="shared" si="542"/>
        <v>NG</v>
      </c>
      <c r="AH391" s="268"/>
      <c r="AI391" s="172" t="s">
        <v>71</v>
      </c>
      <c r="AJ391" s="233"/>
      <c r="AK391" s="234"/>
      <c r="AL391" s="235" t="str">
        <f t="shared" si="559"/>
        <v xml:space="preserve">   </v>
      </c>
      <c r="AM391" s="174" t="str">
        <f t="shared" si="588"/>
        <v>NG</v>
      </c>
      <c r="AN391" s="268"/>
      <c r="AO391" s="172" t="s">
        <v>71</v>
      </c>
      <c r="AP391" s="233"/>
      <c r="AQ391" s="268"/>
      <c r="AR391" s="235" t="str">
        <f t="shared" si="563"/>
        <v xml:space="preserve">   </v>
      </c>
      <c r="AS391" s="174" t="str">
        <f t="shared" si="543"/>
        <v>NG</v>
      </c>
      <c r="AT391" s="268"/>
      <c r="AU391" s="172" t="s">
        <v>71</v>
      </c>
      <c r="AV391" s="233"/>
      <c r="AW391" s="268"/>
      <c r="AX391" s="235" t="str">
        <f t="shared" si="564"/>
        <v xml:space="preserve">   </v>
      </c>
      <c r="AY391" s="174" t="str">
        <f t="shared" si="544"/>
        <v>NG</v>
      </c>
      <c r="AZ391" s="268"/>
      <c r="BA391" s="172" t="s">
        <v>71</v>
      </c>
      <c r="BB391" s="233"/>
      <c r="BC391" s="268"/>
      <c r="BD391" s="235" t="str">
        <f t="shared" si="565"/>
        <v xml:space="preserve">   </v>
      </c>
      <c r="BE391" s="174" t="str">
        <f t="shared" si="545"/>
        <v>NG</v>
      </c>
      <c r="BF391" s="268"/>
      <c r="BG391" s="172" t="s">
        <v>71</v>
      </c>
      <c r="BH391" s="233"/>
      <c r="BI391" s="268"/>
      <c r="BJ391" s="235" t="str">
        <f t="shared" si="566"/>
        <v xml:space="preserve">   </v>
      </c>
      <c r="BK391" s="174" t="str">
        <f t="shared" si="546"/>
        <v>NG</v>
      </c>
      <c r="BL391" s="268"/>
      <c r="BM391" s="172" t="s">
        <v>71</v>
      </c>
      <c r="BN391" s="233"/>
      <c r="BO391" s="268"/>
      <c r="BP391" s="235" t="str">
        <f t="shared" si="567"/>
        <v xml:space="preserve">   </v>
      </c>
      <c r="BQ391" s="174" t="str">
        <f t="shared" si="547"/>
        <v>NG</v>
      </c>
      <c r="BR391" s="268"/>
      <c r="BS391" s="172" t="s">
        <v>71</v>
      </c>
      <c r="BT391" s="233"/>
      <c r="BU391" s="268"/>
      <c r="BV391" s="235" t="str">
        <f t="shared" si="568"/>
        <v xml:space="preserve">   </v>
      </c>
      <c r="BW391" s="174" t="str">
        <f t="shared" si="548"/>
        <v>NG</v>
      </c>
      <c r="BX391" s="268"/>
      <c r="BY391" s="172" t="s">
        <v>71</v>
      </c>
      <c r="BZ391" s="233"/>
      <c r="CA391" s="268"/>
      <c r="CB391" s="235" t="str">
        <f t="shared" si="569"/>
        <v xml:space="preserve">   </v>
      </c>
      <c r="CC391" s="174" t="str">
        <f t="shared" si="549"/>
        <v>NG</v>
      </c>
      <c r="CD391" s="268"/>
      <c r="CE391" s="172" t="s">
        <v>71</v>
      </c>
      <c r="CF391" s="233"/>
      <c r="CG391" s="268"/>
      <c r="CH391" s="235" t="str">
        <f t="shared" si="570"/>
        <v xml:space="preserve">   </v>
      </c>
      <c r="CI391" s="174" t="str">
        <f t="shared" si="550"/>
        <v>NG</v>
      </c>
      <c r="CJ391" s="268"/>
      <c r="CK391" s="172" t="s">
        <v>71</v>
      </c>
      <c r="CL391" s="233"/>
      <c r="CM391" s="268"/>
      <c r="CN391" s="235" t="str">
        <f t="shared" si="571"/>
        <v xml:space="preserve">   </v>
      </c>
      <c r="CO391" s="174" t="str">
        <f t="shared" si="551"/>
        <v>NG</v>
      </c>
      <c r="CP391" s="268"/>
      <c r="CQ391" s="172" t="s">
        <v>71</v>
      </c>
      <c r="CR391" s="233"/>
      <c r="CS391" s="268"/>
      <c r="CT391" s="235" t="str">
        <f t="shared" si="572"/>
        <v xml:space="preserve">   </v>
      </c>
      <c r="CU391" s="174" t="str">
        <f t="shared" si="552"/>
        <v>NG</v>
      </c>
      <c r="CV391" s="268"/>
      <c r="CW391" s="172" t="s">
        <v>71</v>
      </c>
      <c r="CX391" s="233"/>
      <c r="CY391" s="268"/>
      <c r="CZ391" s="235" t="str">
        <f t="shared" si="573"/>
        <v xml:space="preserve">   </v>
      </c>
      <c r="DA391" s="174" t="str">
        <f t="shared" si="553"/>
        <v>NG</v>
      </c>
      <c r="DB391" s="268"/>
      <c r="DC391" s="172" t="s">
        <v>71</v>
      </c>
      <c r="DD391" s="233"/>
      <c r="DE391" s="268"/>
      <c r="DF391" s="235" t="str">
        <f t="shared" si="574"/>
        <v xml:space="preserve">   </v>
      </c>
      <c r="DG391" s="174" t="str">
        <f t="shared" si="554"/>
        <v>NG</v>
      </c>
      <c r="DH391" s="268"/>
      <c r="DI391" s="172" t="s">
        <v>71</v>
      </c>
      <c r="DJ391" s="233"/>
      <c r="DK391" s="268"/>
      <c r="DL391" s="235" t="str">
        <f t="shared" si="575"/>
        <v xml:space="preserve">   </v>
      </c>
      <c r="DM391" s="174" t="str">
        <f t="shared" si="555"/>
        <v>NG</v>
      </c>
      <c r="DN391" s="268"/>
      <c r="DO391" s="172" t="s">
        <v>71</v>
      </c>
      <c r="DP391" s="233"/>
      <c r="DQ391" s="268"/>
      <c r="DR391" s="235" t="str">
        <f t="shared" si="576"/>
        <v xml:space="preserve">   </v>
      </c>
      <c r="DS391" s="174" t="str">
        <f t="shared" si="593"/>
        <v>NG</v>
      </c>
      <c r="DT391" s="268"/>
      <c r="DU391" s="172" t="s">
        <v>71</v>
      </c>
      <c r="DV391" s="233"/>
      <c r="DW391" s="268"/>
      <c r="DX391" s="235" t="str">
        <f t="shared" si="577"/>
        <v xml:space="preserve">   </v>
      </c>
      <c r="DY391" s="174" t="str">
        <f t="shared" si="594"/>
        <v>NG</v>
      </c>
      <c r="DZ391" s="268"/>
      <c r="EA391" s="172" t="s">
        <v>71</v>
      </c>
      <c r="EB391" s="233"/>
      <c r="EC391" s="268"/>
      <c r="ED391" s="235" t="str">
        <f t="shared" si="578"/>
        <v xml:space="preserve">   </v>
      </c>
      <c r="EE391" s="174" t="str">
        <f t="shared" si="595"/>
        <v>NG</v>
      </c>
      <c r="EF391" s="268"/>
      <c r="EG391" s="172" t="s">
        <v>71</v>
      </c>
      <c r="EH391" s="233"/>
      <c r="EI391" s="268"/>
      <c r="EJ391" s="235" t="str">
        <f t="shared" si="579"/>
        <v xml:space="preserve">   </v>
      </c>
      <c r="EK391" s="174" t="str">
        <f t="shared" si="596"/>
        <v>NG</v>
      </c>
      <c r="EL391" s="268"/>
      <c r="EM391" s="172" t="s">
        <v>71</v>
      </c>
      <c r="EN391" s="233"/>
      <c r="EO391" s="268"/>
      <c r="EP391" s="235" t="str">
        <f t="shared" si="580"/>
        <v xml:space="preserve">   </v>
      </c>
      <c r="EQ391" s="174" t="str">
        <f t="shared" si="597"/>
        <v>NG</v>
      </c>
      <c r="ER391" s="268"/>
      <c r="ES391" s="172" t="s">
        <v>71</v>
      </c>
      <c r="ET391" s="233"/>
      <c r="EU391" s="268"/>
      <c r="EV391" s="235" t="str">
        <f t="shared" si="581"/>
        <v xml:space="preserve">   </v>
      </c>
      <c r="EW391" s="174" t="str">
        <f t="shared" si="598"/>
        <v>NG</v>
      </c>
      <c r="EX391" s="268"/>
      <c r="EY391" s="172" t="s">
        <v>71</v>
      </c>
      <c r="EZ391" s="233"/>
      <c r="FA391" s="268"/>
      <c r="FB391" s="235" t="str">
        <f t="shared" si="582"/>
        <v xml:space="preserve">   </v>
      </c>
      <c r="FC391" s="174" t="str">
        <f t="shared" si="599"/>
        <v>NG</v>
      </c>
      <c r="FD391" s="268"/>
      <c r="FE391" s="172" t="s">
        <v>71</v>
      </c>
      <c r="FF391" s="233"/>
      <c r="FG391" s="268"/>
      <c r="FH391" s="235" t="str">
        <f t="shared" si="583"/>
        <v xml:space="preserve">   </v>
      </c>
      <c r="FI391" s="174" t="str">
        <f t="shared" si="600"/>
        <v>NG</v>
      </c>
      <c r="FJ391" s="268"/>
      <c r="FK391" s="172" t="s">
        <v>71</v>
      </c>
      <c r="FL391" s="233"/>
      <c r="FM391" s="268"/>
      <c r="FN391" s="235" t="str">
        <f t="shared" si="584"/>
        <v xml:space="preserve">   </v>
      </c>
      <c r="FO391" s="174" t="str">
        <f t="shared" si="556"/>
        <v>NG</v>
      </c>
      <c r="FP391" s="268"/>
      <c r="FQ391" s="172" t="s">
        <v>71</v>
      </c>
      <c r="FR391" s="233"/>
      <c r="FS391" s="268"/>
      <c r="FT391" s="235" t="str">
        <f t="shared" si="585"/>
        <v xml:space="preserve">   </v>
      </c>
      <c r="FU391" s="174" t="str">
        <f t="shared" si="557"/>
        <v>NG</v>
      </c>
      <c r="FV391" s="268"/>
      <c r="FW391" s="172" t="s">
        <v>71</v>
      </c>
      <c r="FX391" s="233"/>
      <c r="FY391" s="268"/>
      <c r="FZ391" s="235" t="str">
        <f t="shared" si="586"/>
        <v xml:space="preserve">   </v>
      </c>
      <c r="GA391" s="174" t="str">
        <f t="shared" si="558"/>
        <v>NG</v>
      </c>
      <c r="GB391" s="268"/>
      <c r="GC391" s="172" t="s">
        <v>71</v>
      </c>
    </row>
    <row r="392" spans="1:185" s="237" customFormat="1" ht="25.5">
      <c r="B392" s="216">
        <f t="shared" si="587"/>
        <v>385</v>
      </c>
      <c r="C392" s="220"/>
      <c r="D392" s="220"/>
      <c r="E392" s="220"/>
      <c r="F392" s="238" t="s">
        <v>347</v>
      </c>
      <c r="G392" s="168"/>
      <c r="H392" s="239"/>
      <c r="I392" s="225"/>
      <c r="J392" s="225"/>
      <c r="K392" s="226"/>
      <c r="L392" s="226"/>
      <c r="M392" s="227" t="s">
        <v>345</v>
      </c>
      <c r="N392" s="228"/>
      <c r="O392" s="229"/>
      <c r="P392" s="45">
        <f t="shared" si="591"/>
        <v>357</v>
      </c>
      <c r="Q392" s="230">
        <v>2</v>
      </c>
      <c r="R392" s="41" t="str">
        <f t="shared" si="592"/>
        <v>X</v>
      </c>
      <c r="S392" s="185" t="s">
        <v>247</v>
      </c>
      <c r="T392" s="231"/>
      <c r="U392" s="41" t="s">
        <v>80</v>
      </c>
      <c r="V392" s="229"/>
      <c r="W392" s="232">
        <v>3</v>
      </c>
      <c r="X392" s="194" t="s">
        <v>248</v>
      </c>
      <c r="Y392" s="194">
        <v>2</v>
      </c>
      <c r="Z392" s="194">
        <v>2</v>
      </c>
      <c r="AA392" s="225" t="s">
        <v>163</v>
      </c>
      <c r="AB392" s="225" t="s">
        <v>57</v>
      </c>
      <c r="AC392" s="219"/>
      <c r="AD392" s="233"/>
      <c r="AE392" s="268"/>
      <c r="AF392" s="235" t="str">
        <f t="shared" si="562"/>
        <v xml:space="preserve">  </v>
      </c>
      <c r="AG392" s="174" t="str">
        <f t="shared" ref="AG392:AG455" si="601">IF(OR(AE$8="判定対象外",AF$8="判定対象外",AF392="-"),"-",IF(AE392=AF392,"OK","NG"))</f>
        <v>NG</v>
      </c>
      <c r="AH392" s="268"/>
      <c r="AI392" s="172" t="s">
        <v>71</v>
      </c>
      <c r="AJ392" s="233"/>
      <c r="AK392" s="234"/>
      <c r="AL392" s="235" t="str">
        <f t="shared" si="559"/>
        <v xml:space="preserve">  </v>
      </c>
      <c r="AM392" s="174" t="str">
        <f t="shared" si="588"/>
        <v>NG</v>
      </c>
      <c r="AN392" s="268"/>
      <c r="AO392" s="172" t="s">
        <v>71</v>
      </c>
      <c r="AP392" s="233"/>
      <c r="AQ392" s="268"/>
      <c r="AR392" s="235" t="str">
        <f t="shared" si="563"/>
        <v xml:space="preserve">  </v>
      </c>
      <c r="AS392" s="174" t="str">
        <f t="shared" ref="AS392:AS455" si="602">IF(OR(AQ$8="判定対象外",AR$8="判定対象外",AR392="-"),"-",IF(AQ392=AR392,"OK","NG"))</f>
        <v>NG</v>
      </c>
      <c r="AT392" s="268"/>
      <c r="AU392" s="172" t="s">
        <v>71</v>
      </c>
      <c r="AV392" s="233"/>
      <c r="AW392" s="268"/>
      <c r="AX392" s="235" t="str">
        <f t="shared" si="564"/>
        <v xml:space="preserve">  </v>
      </c>
      <c r="AY392" s="174" t="str">
        <f t="shared" ref="AY392:AY455" si="603">IF(OR(AW$8="判定対象外",AX$8="判定対象外",AX392="-"),"-",IF(AW392=AX392,"OK","NG"))</f>
        <v>NG</v>
      </c>
      <c r="AZ392" s="268"/>
      <c r="BA392" s="172" t="s">
        <v>71</v>
      </c>
      <c r="BB392" s="233"/>
      <c r="BC392" s="268"/>
      <c r="BD392" s="235" t="str">
        <f t="shared" si="565"/>
        <v xml:space="preserve">  </v>
      </c>
      <c r="BE392" s="174" t="str">
        <f t="shared" ref="BE392:BE455" si="604">IF(OR(BC$8="判定対象外",BD$8="判定対象外",BD392="-"),"-",IF(BC392=BD392,"OK","NG"))</f>
        <v>NG</v>
      </c>
      <c r="BF392" s="268"/>
      <c r="BG392" s="172" t="s">
        <v>71</v>
      </c>
      <c r="BH392" s="233"/>
      <c r="BI392" s="268"/>
      <c r="BJ392" s="235" t="str">
        <f t="shared" si="566"/>
        <v xml:space="preserve">  </v>
      </c>
      <c r="BK392" s="174" t="str">
        <f t="shared" ref="BK392:BK455" si="605">IF(OR(BI$8="判定対象外",BJ$8="判定対象外",BJ392="-"),"-",IF(BI392=BJ392,"OK","NG"))</f>
        <v>NG</v>
      </c>
      <c r="BL392" s="268"/>
      <c r="BM392" s="172" t="s">
        <v>71</v>
      </c>
      <c r="BN392" s="233"/>
      <c r="BO392" s="268"/>
      <c r="BP392" s="235" t="str">
        <f t="shared" si="567"/>
        <v xml:space="preserve">  </v>
      </c>
      <c r="BQ392" s="174" t="str">
        <f t="shared" ref="BQ392:BQ455" si="606">IF(OR(BO$8="判定対象外",BP$8="判定対象外",BP392="-"),"-",IF(BO392=BP392,"OK","NG"))</f>
        <v>NG</v>
      </c>
      <c r="BR392" s="268"/>
      <c r="BS392" s="172" t="s">
        <v>71</v>
      </c>
      <c r="BT392" s="233"/>
      <c r="BU392" s="268"/>
      <c r="BV392" s="235" t="str">
        <f t="shared" si="568"/>
        <v xml:space="preserve">  </v>
      </c>
      <c r="BW392" s="174" t="str">
        <f t="shared" ref="BW392:BW455" si="607">IF(OR(BU$8="判定対象外",BV$8="判定対象外",BV392="-"),"-",IF(BU392=BV392,"OK","NG"))</f>
        <v>NG</v>
      </c>
      <c r="BX392" s="268"/>
      <c r="BY392" s="172" t="s">
        <v>71</v>
      </c>
      <c r="BZ392" s="233"/>
      <c r="CA392" s="268"/>
      <c r="CB392" s="235" t="str">
        <f t="shared" si="569"/>
        <v xml:space="preserve">  </v>
      </c>
      <c r="CC392" s="174" t="str">
        <f t="shared" ref="CC392:CC455" si="608">IF(OR(CA$8="判定対象外",CB$8="判定対象外",CB392="-"),"-",IF(CA392=CB392,"OK","NG"))</f>
        <v>NG</v>
      </c>
      <c r="CD392" s="268"/>
      <c r="CE392" s="172" t="s">
        <v>71</v>
      </c>
      <c r="CF392" s="233"/>
      <c r="CG392" s="268"/>
      <c r="CH392" s="235" t="str">
        <f t="shared" si="570"/>
        <v xml:space="preserve">  </v>
      </c>
      <c r="CI392" s="174" t="str">
        <f t="shared" ref="CI392:CI455" si="609">IF(OR(CG$8="判定対象外",CH$8="判定対象外",CH392="-"),"-",IF(CG392=CH392,"OK","NG"))</f>
        <v>NG</v>
      </c>
      <c r="CJ392" s="268"/>
      <c r="CK392" s="172" t="s">
        <v>71</v>
      </c>
      <c r="CL392" s="233"/>
      <c r="CM392" s="268"/>
      <c r="CN392" s="235" t="str">
        <f t="shared" si="571"/>
        <v xml:space="preserve">  </v>
      </c>
      <c r="CO392" s="174" t="str">
        <f t="shared" ref="CO392:CO455" si="610">IF(OR(CM$8="判定対象外",CN$8="判定対象外",CN392="-"),"-",IF(CM392=CN392,"OK","NG"))</f>
        <v>NG</v>
      </c>
      <c r="CP392" s="268"/>
      <c r="CQ392" s="172" t="s">
        <v>71</v>
      </c>
      <c r="CR392" s="233"/>
      <c r="CS392" s="268"/>
      <c r="CT392" s="235" t="str">
        <f t="shared" si="572"/>
        <v xml:space="preserve">  </v>
      </c>
      <c r="CU392" s="174" t="str">
        <f t="shared" ref="CU392:CU455" si="611">IF(OR(CS$8="判定対象外",CT$8="判定対象外",CT392="-"),"-",IF(CS392=CT392,"OK","NG"))</f>
        <v>NG</v>
      </c>
      <c r="CV392" s="268"/>
      <c r="CW392" s="172" t="s">
        <v>71</v>
      </c>
      <c r="CX392" s="233"/>
      <c r="CY392" s="268"/>
      <c r="CZ392" s="235" t="str">
        <f t="shared" si="573"/>
        <v xml:space="preserve">  </v>
      </c>
      <c r="DA392" s="174" t="str">
        <f t="shared" ref="DA392:DA455" si="612">IF(OR(CY$8="判定対象外",CZ$8="判定対象外",CZ392="-"),"-",IF(CY392=CZ392,"OK","NG"))</f>
        <v>NG</v>
      </c>
      <c r="DB392" s="268"/>
      <c r="DC392" s="172" t="s">
        <v>71</v>
      </c>
      <c r="DD392" s="233"/>
      <c r="DE392" s="268"/>
      <c r="DF392" s="235" t="str">
        <f t="shared" si="574"/>
        <v xml:space="preserve">  </v>
      </c>
      <c r="DG392" s="174" t="str">
        <f t="shared" ref="DG392:DG455" si="613">IF(OR(DE$8="判定対象外",DF$8="判定対象外",DF392="-"),"-",IF(DE392=DF392,"OK","NG"))</f>
        <v>NG</v>
      </c>
      <c r="DH392" s="268"/>
      <c r="DI392" s="172" t="s">
        <v>71</v>
      </c>
      <c r="DJ392" s="233"/>
      <c r="DK392" s="268"/>
      <c r="DL392" s="235" t="str">
        <f t="shared" si="575"/>
        <v xml:space="preserve">  </v>
      </c>
      <c r="DM392" s="174" t="str">
        <f t="shared" ref="DM392:DM455" si="614">IF(OR(DK$8="判定対象外",DL$8="判定対象外",DL392="-"),"-",IF(DK392=DL392,"OK","NG"))</f>
        <v>NG</v>
      </c>
      <c r="DN392" s="268"/>
      <c r="DO392" s="172" t="s">
        <v>71</v>
      </c>
      <c r="DP392" s="233"/>
      <c r="DQ392" s="268"/>
      <c r="DR392" s="235" t="str">
        <f t="shared" si="576"/>
        <v xml:space="preserve">  </v>
      </c>
      <c r="DS392" s="174" t="str">
        <f t="shared" si="593"/>
        <v>NG</v>
      </c>
      <c r="DT392" s="268"/>
      <c r="DU392" s="172" t="s">
        <v>71</v>
      </c>
      <c r="DV392" s="233"/>
      <c r="DW392" s="268"/>
      <c r="DX392" s="235" t="str">
        <f t="shared" si="577"/>
        <v xml:space="preserve">  </v>
      </c>
      <c r="DY392" s="174" t="str">
        <f t="shared" si="594"/>
        <v>NG</v>
      </c>
      <c r="DZ392" s="268"/>
      <c r="EA392" s="172" t="s">
        <v>71</v>
      </c>
      <c r="EB392" s="233"/>
      <c r="EC392" s="268"/>
      <c r="ED392" s="235" t="str">
        <f t="shared" si="578"/>
        <v xml:space="preserve">  </v>
      </c>
      <c r="EE392" s="174" t="str">
        <f t="shared" si="595"/>
        <v>NG</v>
      </c>
      <c r="EF392" s="268"/>
      <c r="EG392" s="172" t="s">
        <v>71</v>
      </c>
      <c r="EH392" s="233"/>
      <c r="EI392" s="268"/>
      <c r="EJ392" s="235" t="str">
        <f t="shared" si="579"/>
        <v xml:space="preserve">  </v>
      </c>
      <c r="EK392" s="174" t="str">
        <f t="shared" si="596"/>
        <v>NG</v>
      </c>
      <c r="EL392" s="268"/>
      <c r="EM392" s="172" t="s">
        <v>71</v>
      </c>
      <c r="EN392" s="233"/>
      <c r="EO392" s="268"/>
      <c r="EP392" s="235" t="str">
        <f t="shared" si="580"/>
        <v xml:space="preserve">  </v>
      </c>
      <c r="EQ392" s="174" t="str">
        <f t="shared" si="597"/>
        <v>NG</v>
      </c>
      <c r="ER392" s="268"/>
      <c r="ES392" s="172" t="s">
        <v>71</v>
      </c>
      <c r="ET392" s="233"/>
      <c r="EU392" s="268"/>
      <c r="EV392" s="235" t="str">
        <f t="shared" si="581"/>
        <v xml:space="preserve">  </v>
      </c>
      <c r="EW392" s="174" t="str">
        <f t="shared" si="598"/>
        <v>NG</v>
      </c>
      <c r="EX392" s="268"/>
      <c r="EY392" s="172" t="s">
        <v>71</v>
      </c>
      <c r="EZ392" s="233"/>
      <c r="FA392" s="268"/>
      <c r="FB392" s="235" t="str">
        <f t="shared" si="582"/>
        <v xml:space="preserve">  </v>
      </c>
      <c r="FC392" s="174" t="str">
        <f t="shared" si="599"/>
        <v>NG</v>
      </c>
      <c r="FD392" s="268"/>
      <c r="FE392" s="172" t="s">
        <v>71</v>
      </c>
      <c r="FF392" s="233"/>
      <c r="FG392" s="268"/>
      <c r="FH392" s="235" t="str">
        <f t="shared" si="583"/>
        <v xml:space="preserve">  </v>
      </c>
      <c r="FI392" s="174" t="str">
        <f t="shared" si="600"/>
        <v>NG</v>
      </c>
      <c r="FJ392" s="268"/>
      <c r="FK392" s="172" t="s">
        <v>71</v>
      </c>
      <c r="FL392" s="233"/>
      <c r="FM392" s="268"/>
      <c r="FN392" s="235" t="str">
        <f t="shared" si="584"/>
        <v xml:space="preserve">  </v>
      </c>
      <c r="FO392" s="174" t="str">
        <f t="shared" ref="FO392:FO455" si="615">IF(OR(FM$8="判定対象外",FN$8="判定対象外",FN392="-"),"-",IF(FM392=FN392,"OK","NG"))</f>
        <v>NG</v>
      </c>
      <c r="FP392" s="268"/>
      <c r="FQ392" s="172" t="s">
        <v>71</v>
      </c>
      <c r="FR392" s="233"/>
      <c r="FS392" s="268"/>
      <c r="FT392" s="235" t="str">
        <f t="shared" si="585"/>
        <v xml:space="preserve">  </v>
      </c>
      <c r="FU392" s="174" t="str">
        <f t="shared" ref="FU392:FU455" si="616">IF(OR(FS$8="判定対象外",FT$8="判定対象外",FT392="-"),"-",IF(FS392=FT392,"OK","NG"))</f>
        <v>NG</v>
      </c>
      <c r="FV392" s="268"/>
      <c r="FW392" s="172" t="s">
        <v>71</v>
      </c>
      <c r="FX392" s="233"/>
      <c r="FY392" s="268"/>
      <c r="FZ392" s="235" t="str">
        <f t="shared" si="586"/>
        <v xml:space="preserve">  </v>
      </c>
      <c r="GA392" s="174" t="str">
        <f t="shared" ref="GA392:GA455" si="617">IF(OR(FY$8="判定対象外",FZ$8="判定対象外",FZ392="-"),"-",IF(FY392=FZ392,"OK","NG"))</f>
        <v>NG</v>
      </c>
      <c r="GB392" s="268"/>
      <c r="GC392" s="172" t="s">
        <v>71</v>
      </c>
    </row>
    <row r="393" spans="1:185" s="237" customFormat="1" ht="51.75" customHeight="1">
      <c r="B393" s="216">
        <f t="shared" si="587"/>
        <v>386</v>
      </c>
      <c r="C393" s="220"/>
      <c r="D393" s="220"/>
      <c r="E393" s="220"/>
      <c r="F393" s="240" t="s">
        <v>348</v>
      </c>
      <c r="G393" s="241"/>
      <c r="H393" s="242"/>
      <c r="I393" s="225"/>
      <c r="J393" s="225"/>
      <c r="K393" s="226"/>
      <c r="L393" s="226"/>
      <c r="M393" s="227" t="s">
        <v>349</v>
      </c>
      <c r="N393" s="228"/>
      <c r="O393" s="229"/>
      <c r="P393" s="45">
        <f t="shared" si="591"/>
        <v>358</v>
      </c>
      <c r="Q393" s="230">
        <v>5</v>
      </c>
      <c r="R393" s="41" t="str">
        <f t="shared" si="592"/>
        <v>X</v>
      </c>
      <c r="S393" s="185" t="s">
        <v>249</v>
      </c>
      <c r="T393" s="231"/>
      <c r="U393" s="41" t="s">
        <v>80</v>
      </c>
      <c r="V393" s="229"/>
      <c r="W393" s="232">
        <v>3</v>
      </c>
      <c r="X393" s="194" t="s">
        <v>250</v>
      </c>
      <c r="Y393" s="194">
        <v>5</v>
      </c>
      <c r="Z393" s="194">
        <v>5</v>
      </c>
      <c r="AA393" s="225" t="s">
        <v>163</v>
      </c>
      <c r="AB393" s="225" t="s">
        <v>57</v>
      </c>
      <c r="AC393" s="243"/>
      <c r="AD393" s="233"/>
      <c r="AE393" s="297"/>
      <c r="AF393" s="235" t="str">
        <f t="shared" si="562"/>
        <v xml:space="preserve">     </v>
      </c>
      <c r="AG393" s="174" t="str">
        <f t="shared" si="601"/>
        <v>NG</v>
      </c>
      <c r="AH393" s="297"/>
      <c r="AI393" s="276" t="str">
        <f>IF(OR(AE$8="判定対象外",AH$8="判定対象外",AH393="-"),"-",IF(AE393=AH393,"OK","NG"))</f>
        <v>OK</v>
      </c>
      <c r="AJ393" s="233"/>
      <c r="AK393" s="269"/>
      <c r="AL393" s="235" t="str">
        <f t="shared" si="559"/>
        <v xml:space="preserve">     </v>
      </c>
      <c r="AM393" s="174" t="str">
        <f t="shared" si="588"/>
        <v>NG</v>
      </c>
      <c r="AN393" s="297"/>
      <c r="AO393" s="276" t="str">
        <f>IF(OR(AK$8="判定対象外",AN$8="判定対象外",AN393="-"),"-",IF(AK393=AN393,"OK","NG"))</f>
        <v>OK</v>
      </c>
      <c r="AP393" s="233"/>
      <c r="AQ393" s="297"/>
      <c r="AR393" s="235" t="str">
        <f t="shared" si="563"/>
        <v xml:space="preserve">     </v>
      </c>
      <c r="AS393" s="174" t="str">
        <f t="shared" si="602"/>
        <v>NG</v>
      </c>
      <c r="AT393" s="297"/>
      <c r="AU393" s="276" t="str">
        <f>IF(OR(AQ$8="判定対象外",AT$8="判定対象外",AT393="-"),"-",IF(AQ393=AT393,"OK","NG"))</f>
        <v>OK</v>
      </c>
      <c r="AV393" s="233"/>
      <c r="AW393" s="297"/>
      <c r="AX393" s="235" t="str">
        <f t="shared" si="564"/>
        <v xml:space="preserve">     </v>
      </c>
      <c r="AY393" s="174" t="str">
        <f t="shared" si="603"/>
        <v>NG</v>
      </c>
      <c r="AZ393" s="297"/>
      <c r="BA393" s="276" t="str">
        <f>IF(OR(AW$8="判定対象外",AZ$8="判定対象外",AZ393="-"),"-",IF(AW393=AZ393,"OK","NG"))</f>
        <v>OK</v>
      </c>
      <c r="BB393" s="233"/>
      <c r="BC393" s="297"/>
      <c r="BD393" s="235" t="str">
        <f t="shared" si="565"/>
        <v xml:space="preserve">     </v>
      </c>
      <c r="BE393" s="174" t="str">
        <f t="shared" si="604"/>
        <v>NG</v>
      </c>
      <c r="BF393" s="297"/>
      <c r="BG393" s="276" t="str">
        <f>IF(OR(BC$8="判定対象外",BF$8="判定対象外",BF393="-"),"-",IF(BC393=BF393,"OK","NG"))</f>
        <v>OK</v>
      </c>
      <c r="BH393" s="233"/>
      <c r="BI393" s="297"/>
      <c r="BJ393" s="235" t="str">
        <f t="shared" si="566"/>
        <v xml:space="preserve">     </v>
      </c>
      <c r="BK393" s="174" t="str">
        <f t="shared" si="605"/>
        <v>NG</v>
      </c>
      <c r="BL393" s="297"/>
      <c r="BM393" s="276" t="str">
        <f>IF(OR(BI$8="判定対象外",BL$8="判定対象外",BL393="-"),"-",IF(BI393=BL393,"OK","NG"))</f>
        <v>OK</v>
      </c>
      <c r="BN393" s="233"/>
      <c r="BO393" s="297"/>
      <c r="BP393" s="235" t="str">
        <f t="shared" si="567"/>
        <v xml:space="preserve">     </v>
      </c>
      <c r="BQ393" s="174" t="str">
        <f t="shared" si="606"/>
        <v>NG</v>
      </c>
      <c r="BR393" s="297"/>
      <c r="BS393" s="276" t="str">
        <f>IF(OR(BO$8="判定対象外",BR$8="判定対象外",BR393="-"),"-",IF(BO393=BR393,"OK","NG"))</f>
        <v>OK</v>
      </c>
      <c r="BT393" s="233"/>
      <c r="BU393" s="297"/>
      <c r="BV393" s="235" t="str">
        <f t="shared" si="568"/>
        <v xml:space="preserve">     </v>
      </c>
      <c r="BW393" s="174" t="str">
        <f t="shared" si="607"/>
        <v>NG</v>
      </c>
      <c r="BX393" s="297"/>
      <c r="BY393" s="276" t="str">
        <f>IF(OR(BU$8="判定対象外",BX$8="判定対象外",BX393="-"),"-",IF(BU393=BX393,"OK","NG"))</f>
        <v>OK</v>
      </c>
      <c r="BZ393" s="233"/>
      <c r="CA393" s="297"/>
      <c r="CB393" s="235" t="str">
        <f t="shared" si="569"/>
        <v xml:space="preserve">     </v>
      </c>
      <c r="CC393" s="174" t="str">
        <f t="shared" si="608"/>
        <v>NG</v>
      </c>
      <c r="CD393" s="297"/>
      <c r="CE393" s="276" t="str">
        <f>IF(OR(CA$8="判定対象外",CD$8="判定対象外",CD393="-"),"-",IF(CA393=CD393,"OK","NG"))</f>
        <v>OK</v>
      </c>
      <c r="CF393" s="233"/>
      <c r="CG393" s="297"/>
      <c r="CH393" s="235" t="str">
        <f t="shared" si="570"/>
        <v xml:space="preserve">     </v>
      </c>
      <c r="CI393" s="174" t="str">
        <f t="shared" si="609"/>
        <v>NG</v>
      </c>
      <c r="CJ393" s="297"/>
      <c r="CK393" s="276" t="str">
        <f>IF(OR(CG$8="判定対象外",CJ$8="判定対象外",CJ393="-"),"-",IF(CG393=CJ393,"OK","NG"))</f>
        <v>OK</v>
      </c>
      <c r="CL393" s="233"/>
      <c r="CM393" s="297"/>
      <c r="CN393" s="235" t="str">
        <f t="shared" si="571"/>
        <v xml:space="preserve">     </v>
      </c>
      <c r="CO393" s="174" t="str">
        <f t="shared" si="610"/>
        <v>NG</v>
      </c>
      <c r="CP393" s="297"/>
      <c r="CQ393" s="276" t="str">
        <f>IF(OR(CM$8="判定対象外",CP$8="判定対象外",CP393="-"),"-",IF(CM393=CP393,"OK","NG"))</f>
        <v>OK</v>
      </c>
      <c r="CR393" s="233"/>
      <c r="CS393" s="297"/>
      <c r="CT393" s="235" t="str">
        <f t="shared" si="572"/>
        <v xml:space="preserve">     </v>
      </c>
      <c r="CU393" s="174" t="str">
        <f t="shared" si="611"/>
        <v>NG</v>
      </c>
      <c r="CV393" s="297"/>
      <c r="CW393" s="276" t="str">
        <f>IF(OR(CS$8="判定対象外",CV$8="判定対象外",CV393="-"),"-",IF(CS393=CV393,"OK","NG"))</f>
        <v>OK</v>
      </c>
      <c r="CX393" s="233"/>
      <c r="CY393" s="297"/>
      <c r="CZ393" s="235" t="str">
        <f t="shared" si="573"/>
        <v xml:space="preserve">     </v>
      </c>
      <c r="DA393" s="174" t="str">
        <f t="shared" si="612"/>
        <v>NG</v>
      </c>
      <c r="DB393" s="297"/>
      <c r="DC393" s="276" t="str">
        <f>IF(OR(CY$8="判定対象外",DB$8="判定対象外",DB393="-"),"-",IF(CY393=DB393,"OK","NG"))</f>
        <v>OK</v>
      </c>
      <c r="DD393" s="233"/>
      <c r="DE393" s="297"/>
      <c r="DF393" s="235" t="str">
        <f t="shared" si="574"/>
        <v xml:space="preserve">     </v>
      </c>
      <c r="DG393" s="174" t="str">
        <f t="shared" si="613"/>
        <v>NG</v>
      </c>
      <c r="DH393" s="297"/>
      <c r="DI393" s="276" t="str">
        <f>IF(OR(DE$8="判定対象外",DH$8="判定対象外",DH393="-"),"-",IF(DE393=DH393,"OK","NG"))</f>
        <v>OK</v>
      </c>
      <c r="DJ393" s="233"/>
      <c r="DK393" s="297"/>
      <c r="DL393" s="235" t="str">
        <f t="shared" si="575"/>
        <v xml:space="preserve">     </v>
      </c>
      <c r="DM393" s="174" t="str">
        <f t="shared" si="614"/>
        <v>NG</v>
      </c>
      <c r="DN393" s="297"/>
      <c r="DO393" s="276" t="str">
        <f>IF(OR(DK$8="判定対象外",DN$8="判定対象外",DN393="-"),"-",IF(DK393=DN393,"OK","NG"))</f>
        <v>OK</v>
      </c>
      <c r="DP393" s="233"/>
      <c r="DQ393" s="297"/>
      <c r="DR393" s="235" t="str">
        <f t="shared" si="576"/>
        <v xml:space="preserve">     </v>
      </c>
      <c r="DS393" s="174" t="str">
        <f t="shared" si="593"/>
        <v>NG</v>
      </c>
      <c r="DT393" s="297"/>
      <c r="DU393" s="276" t="str">
        <f>IF(OR(DQ$8="判定対象外",DT$8="判定対象外",DT393="-"),"-",IF(DQ393=DT393,"OK","NG"))</f>
        <v>OK</v>
      </c>
      <c r="DV393" s="233"/>
      <c r="DW393" s="297"/>
      <c r="DX393" s="235" t="str">
        <f t="shared" si="577"/>
        <v xml:space="preserve">     </v>
      </c>
      <c r="DY393" s="174" t="str">
        <f t="shared" si="594"/>
        <v>NG</v>
      </c>
      <c r="DZ393" s="297"/>
      <c r="EA393" s="276" t="str">
        <f>IF(OR(DW$8="判定対象外",DZ$8="判定対象外",DZ393="-"),"-",IF(DW393=DZ393,"OK","NG"))</f>
        <v>OK</v>
      </c>
      <c r="EB393" s="233"/>
      <c r="EC393" s="297"/>
      <c r="ED393" s="235" t="str">
        <f t="shared" si="578"/>
        <v xml:space="preserve">     </v>
      </c>
      <c r="EE393" s="174" t="str">
        <f t="shared" si="595"/>
        <v>NG</v>
      </c>
      <c r="EF393" s="297"/>
      <c r="EG393" s="276" t="str">
        <f>IF(OR(EC$8="判定対象外",EF$8="判定対象外",EF393="-"),"-",IF(EC393=EF393,"OK","NG"))</f>
        <v>OK</v>
      </c>
      <c r="EH393" s="233"/>
      <c r="EI393" s="297"/>
      <c r="EJ393" s="235" t="str">
        <f t="shared" si="579"/>
        <v xml:space="preserve">     </v>
      </c>
      <c r="EK393" s="174" t="str">
        <f t="shared" si="596"/>
        <v>NG</v>
      </c>
      <c r="EL393" s="297"/>
      <c r="EM393" s="276" t="str">
        <f>IF(OR(EI$8="判定対象外",EL$8="判定対象外",EL393="-"),"-",IF(EI393=EL393,"OK","NG"))</f>
        <v>OK</v>
      </c>
      <c r="EN393" s="233"/>
      <c r="EO393" s="297"/>
      <c r="EP393" s="235" t="str">
        <f t="shared" si="580"/>
        <v xml:space="preserve">     </v>
      </c>
      <c r="EQ393" s="174" t="str">
        <f t="shared" si="597"/>
        <v>NG</v>
      </c>
      <c r="ER393" s="297"/>
      <c r="ES393" s="276" t="str">
        <f>IF(OR(EO$8="判定対象外",ER$8="判定対象外",ER393="-"),"-",IF(EO393=ER393,"OK","NG"))</f>
        <v>OK</v>
      </c>
      <c r="ET393" s="233"/>
      <c r="EU393" s="297"/>
      <c r="EV393" s="235" t="str">
        <f t="shared" si="581"/>
        <v xml:space="preserve">     </v>
      </c>
      <c r="EW393" s="174" t="str">
        <f t="shared" si="598"/>
        <v>NG</v>
      </c>
      <c r="EX393" s="297"/>
      <c r="EY393" s="276" t="str">
        <f>IF(OR(EU$8="判定対象外",EX$8="判定対象外",EX393="-"),"-",IF(EU393=EX393,"OK","NG"))</f>
        <v>OK</v>
      </c>
      <c r="EZ393" s="233"/>
      <c r="FA393" s="297"/>
      <c r="FB393" s="235" t="str">
        <f t="shared" si="582"/>
        <v xml:space="preserve">     </v>
      </c>
      <c r="FC393" s="174" t="str">
        <f t="shared" si="599"/>
        <v>NG</v>
      </c>
      <c r="FD393" s="297"/>
      <c r="FE393" s="276" t="str">
        <f>IF(OR(FA$8="判定対象外",FD$8="判定対象外",FD393="-"),"-",IF(FA393=FD393,"OK","NG"))</f>
        <v>OK</v>
      </c>
      <c r="FF393" s="233"/>
      <c r="FG393" s="297"/>
      <c r="FH393" s="235" t="str">
        <f t="shared" si="583"/>
        <v xml:space="preserve">     </v>
      </c>
      <c r="FI393" s="174" t="str">
        <f t="shared" si="600"/>
        <v>NG</v>
      </c>
      <c r="FJ393" s="297"/>
      <c r="FK393" s="276" t="str">
        <f>IF(OR(FG$8="判定対象外",FJ$8="判定対象外",FJ393="-"),"-",IF(FG393=FJ393,"OK","NG"))</f>
        <v>OK</v>
      </c>
      <c r="FL393" s="233"/>
      <c r="FM393" s="297"/>
      <c r="FN393" s="235" t="str">
        <f t="shared" si="584"/>
        <v xml:space="preserve">     </v>
      </c>
      <c r="FO393" s="174" t="str">
        <f t="shared" si="615"/>
        <v>NG</v>
      </c>
      <c r="FP393" s="297"/>
      <c r="FQ393" s="276" t="str">
        <f>IF(OR(FM$8="判定対象外",FP$8="判定対象外",FP393="-"),"-",IF(FM393=FP393,"OK","NG"))</f>
        <v>OK</v>
      </c>
      <c r="FR393" s="233"/>
      <c r="FS393" s="297"/>
      <c r="FT393" s="235" t="str">
        <f t="shared" si="585"/>
        <v xml:space="preserve">     </v>
      </c>
      <c r="FU393" s="174" t="str">
        <f t="shared" si="616"/>
        <v>NG</v>
      </c>
      <c r="FV393" s="297"/>
      <c r="FW393" s="276" t="str">
        <f>IF(OR(FS$8="判定対象外",FV$8="判定対象外",FV393="-"),"-",IF(FS393=FV393,"OK","NG"))</f>
        <v>OK</v>
      </c>
      <c r="FX393" s="233"/>
      <c r="FY393" s="297"/>
      <c r="FZ393" s="235" t="str">
        <f t="shared" si="586"/>
        <v xml:space="preserve">     </v>
      </c>
      <c r="GA393" s="174" t="str">
        <f t="shared" si="617"/>
        <v>NG</v>
      </c>
      <c r="GB393" s="297"/>
      <c r="GC393" s="276" t="str">
        <f>IF(OR(FY$8="判定対象外",GB$8="判定対象外",GB393="-"),"-",IF(FY393=GB393,"OK","NG"))</f>
        <v>OK</v>
      </c>
    </row>
    <row r="394" spans="1:185" s="237" customFormat="1" ht="51.75" customHeight="1">
      <c r="B394" s="216">
        <f t="shared" si="587"/>
        <v>387</v>
      </c>
      <c r="C394" s="220"/>
      <c r="D394" s="220"/>
      <c r="E394" s="220"/>
      <c r="F394" s="240" t="s">
        <v>350</v>
      </c>
      <c r="G394" s="241"/>
      <c r="H394" s="242"/>
      <c r="I394" s="225"/>
      <c r="J394" s="225"/>
      <c r="K394" s="226"/>
      <c r="L394" s="226"/>
      <c r="M394" s="227" t="s">
        <v>351</v>
      </c>
      <c r="N394" s="228"/>
      <c r="O394" s="229"/>
      <c r="P394" s="45">
        <f t="shared" si="591"/>
        <v>359</v>
      </c>
      <c r="Q394" s="230">
        <v>64</v>
      </c>
      <c r="R394" s="41" t="str">
        <f t="shared" si="592"/>
        <v>NX</v>
      </c>
      <c r="S394" s="185" t="s">
        <v>251</v>
      </c>
      <c r="T394" s="231"/>
      <c r="U394" s="41" t="s">
        <v>80</v>
      </c>
      <c r="V394" s="229" t="s">
        <v>252</v>
      </c>
      <c r="W394" s="232">
        <v>3</v>
      </c>
      <c r="X394" s="194" t="s">
        <v>253</v>
      </c>
      <c r="Y394" s="194">
        <v>1</v>
      </c>
      <c r="Z394" s="194">
        <v>64</v>
      </c>
      <c r="AA394" s="225" t="s">
        <v>101</v>
      </c>
      <c r="AB394" s="225" t="s">
        <v>57</v>
      </c>
      <c r="AC394" s="243" t="s">
        <v>252</v>
      </c>
      <c r="AD394" s="233"/>
      <c r="AE394" s="297"/>
      <c r="AF394" s="235" t="str">
        <f t="shared" si="562"/>
        <v xml:space="preserve">                                                                </v>
      </c>
      <c r="AG394" s="174" t="str">
        <f t="shared" si="601"/>
        <v>NG</v>
      </c>
      <c r="AH394" s="297"/>
      <c r="AI394" s="276" t="str">
        <f>IF(OR(AE$8="判定対象外",AH$8="判定対象外",AH394="-"),"-",IF(AE394=AH394,"OK","NG"))</f>
        <v>OK</v>
      </c>
      <c r="AJ394" s="233"/>
      <c r="AK394" s="269"/>
      <c r="AL394" s="235" t="str">
        <f t="shared" si="559"/>
        <v xml:space="preserve">                                                                </v>
      </c>
      <c r="AM394" s="174" t="str">
        <f t="shared" si="588"/>
        <v>NG</v>
      </c>
      <c r="AN394" s="269"/>
      <c r="AO394" s="276" t="str">
        <f>IF(OR(AK$8="判定対象外",AN$8="判定対象外",AN394="-"),"-",IF(AK394=AN394,"OK","NG"))</f>
        <v>OK</v>
      </c>
      <c r="AP394" s="233"/>
      <c r="AQ394" s="297"/>
      <c r="AR394" s="235" t="str">
        <f t="shared" si="563"/>
        <v xml:space="preserve">                                                                </v>
      </c>
      <c r="AS394" s="174" t="str">
        <f t="shared" si="602"/>
        <v>NG</v>
      </c>
      <c r="AT394" s="297"/>
      <c r="AU394" s="276" t="str">
        <f>IF(OR(AQ$8="判定対象外",AT$8="判定対象外",AT394="-"),"-",IF(AQ394=AT394,"OK","NG"))</f>
        <v>OK</v>
      </c>
      <c r="AV394" s="233"/>
      <c r="AW394" s="297"/>
      <c r="AX394" s="235" t="str">
        <f t="shared" si="564"/>
        <v xml:space="preserve">                                                                </v>
      </c>
      <c r="AY394" s="174" t="str">
        <f t="shared" si="603"/>
        <v>NG</v>
      </c>
      <c r="AZ394" s="297"/>
      <c r="BA394" s="276" t="str">
        <f>IF(OR(AW$8="判定対象外",AZ$8="判定対象外",AZ394="-"),"-",IF(AW394=AZ394,"OK","NG"))</f>
        <v>OK</v>
      </c>
      <c r="BB394" s="233"/>
      <c r="BC394" s="297"/>
      <c r="BD394" s="235" t="str">
        <f t="shared" si="565"/>
        <v xml:space="preserve">                                                                </v>
      </c>
      <c r="BE394" s="174" t="str">
        <f t="shared" si="604"/>
        <v>NG</v>
      </c>
      <c r="BF394" s="297"/>
      <c r="BG394" s="276" t="str">
        <f>IF(OR(BC$8="判定対象外",BF$8="判定対象外",BF394="-"),"-",IF(BC394=BF394,"OK","NG"))</f>
        <v>OK</v>
      </c>
      <c r="BH394" s="233"/>
      <c r="BI394" s="297"/>
      <c r="BJ394" s="235" t="str">
        <f t="shared" si="566"/>
        <v xml:space="preserve">                                                                </v>
      </c>
      <c r="BK394" s="174" t="str">
        <f t="shared" si="605"/>
        <v>NG</v>
      </c>
      <c r="BL394" s="297"/>
      <c r="BM394" s="276" t="str">
        <f>IF(OR(BI$8="判定対象外",BL$8="判定対象外",BL394="-"),"-",IF(BI394=BL394,"OK","NG"))</f>
        <v>OK</v>
      </c>
      <c r="BN394" s="233"/>
      <c r="BO394" s="297"/>
      <c r="BP394" s="235" t="str">
        <f t="shared" si="567"/>
        <v xml:space="preserve">                                                                </v>
      </c>
      <c r="BQ394" s="174" t="str">
        <f t="shared" si="606"/>
        <v>NG</v>
      </c>
      <c r="BR394" s="297"/>
      <c r="BS394" s="276" t="str">
        <f>IF(OR(BO$8="判定対象外",BR$8="判定対象外",BR394="-"),"-",IF(BO394=BR394,"OK","NG"))</f>
        <v>OK</v>
      </c>
      <c r="BT394" s="233"/>
      <c r="BU394" s="297"/>
      <c r="BV394" s="235" t="str">
        <f t="shared" si="568"/>
        <v xml:space="preserve">                                                                </v>
      </c>
      <c r="BW394" s="174" t="str">
        <f t="shared" si="607"/>
        <v>NG</v>
      </c>
      <c r="BX394" s="297"/>
      <c r="BY394" s="276" t="str">
        <f>IF(OR(BU$8="判定対象外",BX$8="判定対象外",BX394="-"),"-",IF(BU394=BX394,"OK","NG"))</f>
        <v>OK</v>
      </c>
      <c r="BZ394" s="233"/>
      <c r="CA394" s="297"/>
      <c r="CB394" s="235" t="str">
        <f t="shared" si="569"/>
        <v xml:space="preserve">                                                                </v>
      </c>
      <c r="CC394" s="174" t="str">
        <f t="shared" si="608"/>
        <v>NG</v>
      </c>
      <c r="CD394" s="297"/>
      <c r="CE394" s="276" t="str">
        <f>IF(OR(CA$8="判定対象外",CD$8="判定対象外",CD394="-"),"-",IF(CA394=CD394,"OK","NG"))</f>
        <v>OK</v>
      </c>
      <c r="CF394" s="233"/>
      <c r="CG394" s="297"/>
      <c r="CH394" s="235" t="str">
        <f t="shared" si="570"/>
        <v xml:space="preserve">                                                                </v>
      </c>
      <c r="CI394" s="174" t="str">
        <f t="shared" si="609"/>
        <v>NG</v>
      </c>
      <c r="CJ394" s="297"/>
      <c r="CK394" s="276" t="str">
        <f>IF(OR(CG$8="判定対象外",CJ$8="判定対象外",CJ394="-"),"-",IF(CG394=CJ394,"OK","NG"))</f>
        <v>OK</v>
      </c>
      <c r="CL394" s="233"/>
      <c r="CM394" s="297"/>
      <c r="CN394" s="235" t="str">
        <f t="shared" si="571"/>
        <v xml:space="preserve">                                                                </v>
      </c>
      <c r="CO394" s="174" t="str">
        <f t="shared" si="610"/>
        <v>NG</v>
      </c>
      <c r="CP394" s="297"/>
      <c r="CQ394" s="276" t="str">
        <f>IF(OR(CM$8="判定対象外",CP$8="判定対象外",CP394="-"),"-",IF(CM394=CP394,"OK","NG"))</f>
        <v>OK</v>
      </c>
      <c r="CR394" s="233"/>
      <c r="CS394" s="297"/>
      <c r="CT394" s="235" t="str">
        <f t="shared" si="572"/>
        <v xml:space="preserve">                                                                </v>
      </c>
      <c r="CU394" s="174" t="str">
        <f t="shared" si="611"/>
        <v>NG</v>
      </c>
      <c r="CV394" s="297"/>
      <c r="CW394" s="276" t="str">
        <f>IF(OR(CS$8="判定対象外",CV$8="判定対象外",CV394="-"),"-",IF(CS394=CV394,"OK","NG"))</f>
        <v>OK</v>
      </c>
      <c r="CX394" s="233"/>
      <c r="CY394" s="297"/>
      <c r="CZ394" s="235" t="str">
        <f t="shared" si="573"/>
        <v xml:space="preserve">                                                                </v>
      </c>
      <c r="DA394" s="174" t="str">
        <f t="shared" si="612"/>
        <v>NG</v>
      </c>
      <c r="DB394" s="297"/>
      <c r="DC394" s="276" t="str">
        <f>IF(OR(CY$8="判定対象外",DB$8="判定対象外",DB394="-"),"-",IF(CY394=DB394,"OK","NG"))</f>
        <v>OK</v>
      </c>
      <c r="DD394" s="233"/>
      <c r="DE394" s="297"/>
      <c r="DF394" s="235" t="str">
        <f t="shared" si="574"/>
        <v xml:space="preserve">                                                                </v>
      </c>
      <c r="DG394" s="174" t="str">
        <f t="shared" si="613"/>
        <v>NG</v>
      </c>
      <c r="DH394" s="297"/>
      <c r="DI394" s="276" t="str">
        <f>IF(OR(DE$8="判定対象外",DH$8="判定対象外",DH394="-"),"-",IF(DE394=DH394,"OK","NG"))</f>
        <v>OK</v>
      </c>
      <c r="DJ394" s="233"/>
      <c r="DK394" s="297"/>
      <c r="DL394" s="235" t="str">
        <f t="shared" si="575"/>
        <v xml:space="preserve">                                                                </v>
      </c>
      <c r="DM394" s="174" t="str">
        <f t="shared" si="614"/>
        <v>NG</v>
      </c>
      <c r="DN394" s="297"/>
      <c r="DO394" s="276" t="str">
        <f>IF(OR(DK$8="判定対象外",DN$8="判定対象外",DN394="-"),"-",IF(DK394=DN394,"OK","NG"))</f>
        <v>OK</v>
      </c>
      <c r="DP394" s="233"/>
      <c r="DQ394" s="297"/>
      <c r="DR394" s="235" t="str">
        <f t="shared" si="576"/>
        <v xml:space="preserve">                                                                </v>
      </c>
      <c r="DS394" s="174" t="str">
        <f t="shared" si="593"/>
        <v>NG</v>
      </c>
      <c r="DT394" s="297"/>
      <c r="DU394" s="276" t="str">
        <f>IF(OR(DQ$8="判定対象外",DT$8="判定対象外",DT394="-"),"-",IF(DQ394=DT394,"OK","NG"))</f>
        <v>OK</v>
      </c>
      <c r="DV394" s="233"/>
      <c r="DW394" s="297"/>
      <c r="DX394" s="235" t="str">
        <f t="shared" si="577"/>
        <v xml:space="preserve">                                                                </v>
      </c>
      <c r="DY394" s="174" t="str">
        <f t="shared" si="594"/>
        <v>NG</v>
      </c>
      <c r="DZ394" s="297"/>
      <c r="EA394" s="276" t="str">
        <f>IF(OR(DW$8="判定対象外",DZ$8="判定対象外",DZ394="-"),"-",IF(DW394=DZ394,"OK","NG"))</f>
        <v>OK</v>
      </c>
      <c r="EB394" s="233"/>
      <c r="EC394" s="297"/>
      <c r="ED394" s="235" t="str">
        <f t="shared" si="578"/>
        <v xml:space="preserve">                                                                </v>
      </c>
      <c r="EE394" s="174" t="str">
        <f t="shared" si="595"/>
        <v>NG</v>
      </c>
      <c r="EF394" s="297"/>
      <c r="EG394" s="276" t="str">
        <f>IF(OR(EC$8="判定対象外",EF$8="判定対象外",EF394="-"),"-",IF(EC394=EF394,"OK","NG"))</f>
        <v>OK</v>
      </c>
      <c r="EH394" s="233"/>
      <c r="EI394" s="297"/>
      <c r="EJ394" s="235" t="str">
        <f t="shared" si="579"/>
        <v xml:space="preserve">                                                                </v>
      </c>
      <c r="EK394" s="174" t="str">
        <f t="shared" si="596"/>
        <v>NG</v>
      </c>
      <c r="EL394" s="297"/>
      <c r="EM394" s="276" t="str">
        <f>IF(OR(EI$8="判定対象外",EL$8="判定対象外",EL394="-"),"-",IF(EI394=EL394,"OK","NG"))</f>
        <v>OK</v>
      </c>
      <c r="EN394" s="233"/>
      <c r="EO394" s="297"/>
      <c r="EP394" s="235" t="str">
        <f t="shared" si="580"/>
        <v xml:space="preserve">                                                                </v>
      </c>
      <c r="EQ394" s="174" t="str">
        <f t="shared" si="597"/>
        <v>NG</v>
      </c>
      <c r="ER394" s="297"/>
      <c r="ES394" s="276" t="str">
        <f>IF(OR(EO$8="判定対象外",ER$8="判定対象外",ER394="-"),"-",IF(EO394=ER394,"OK","NG"))</f>
        <v>OK</v>
      </c>
      <c r="ET394" s="233"/>
      <c r="EU394" s="297"/>
      <c r="EV394" s="235" t="str">
        <f t="shared" si="581"/>
        <v xml:space="preserve">                                                                </v>
      </c>
      <c r="EW394" s="174" t="str">
        <f t="shared" si="598"/>
        <v>NG</v>
      </c>
      <c r="EX394" s="297"/>
      <c r="EY394" s="276" t="str">
        <f>IF(OR(EU$8="判定対象外",EX$8="判定対象外",EX394="-"),"-",IF(EU394=EX394,"OK","NG"))</f>
        <v>OK</v>
      </c>
      <c r="EZ394" s="233"/>
      <c r="FA394" s="297"/>
      <c r="FB394" s="235" t="str">
        <f t="shared" si="582"/>
        <v xml:space="preserve">                                                                </v>
      </c>
      <c r="FC394" s="174" t="str">
        <f t="shared" si="599"/>
        <v>NG</v>
      </c>
      <c r="FD394" s="297"/>
      <c r="FE394" s="276" t="str">
        <f>IF(OR(FA$8="判定対象外",FD$8="判定対象外",FD394="-"),"-",IF(FA394=FD394,"OK","NG"))</f>
        <v>OK</v>
      </c>
      <c r="FF394" s="233"/>
      <c r="FG394" s="297"/>
      <c r="FH394" s="235" t="str">
        <f t="shared" si="583"/>
        <v xml:space="preserve">                                                                </v>
      </c>
      <c r="FI394" s="174" t="str">
        <f t="shared" si="600"/>
        <v>NG</v>
      </c>
      <c r="FJ394" s="297"/>
      <c r="FK394" s="276" t="str">
        <f>IF(OR(FG$8="判定対象外",FJ$8="判定対象外",FJ394="-"),"-",IF(FG394=FJ394,"OK","NG"))</f>
        <v>OK</v>
      </c>
      <c r="FL394" s="233"/>
      <c r="FM394" s="297"/>
      <c r="FN394" s="235" t="str">
        <f t="shared" si="584"/>
        <v xml:space="preserve">                                                                </v>
      </c>
      <c r="FO394" s="174" t="str">
        <f t="shared" si="615"/>
        <v>NG</v>
      </c>
      <c r="FP394" s="297"/>
      <c r="FQ394" s="276" t="str">
        <f>IF(OR(FM$8="判定対象外",FP$8="判定対象外",FP394="-"),"-",IF(FM394=FP394,"OK","NG"))</f>
        <v>OK</v>
      </c>
      <c r="FR394" s="233"/>
      <c r="FS394" s="297"/>
      <c r="FT394" s="235" t="str">
        <f t="shared" si="585"/>
        <v xml:space="preserve">                                                                </v>
      </c>
      <c r="FU394" s="174" t="str">
        <f t="shared" si="616"/>
        <v>NG</v>
      </c>
      <c r="FV394" s="297"/>
      <c r="FW394" s="276" t="str">
        <f>IF(OR(FS$8="判定対象外",FV$8="判定対象外",FV394="-"),"-",IF(FS394=FV394,"OK","NG"))</f>
        <v>OK</v>
      </c>
      <c r="FX394" s="233"/>
      <c r="FY394" s="297"/>
      <c r="FZ394" s="235" t="str">
        <f t="shared" si="586"/>
        <v xml:space="preserve">                                                                </v>
      </c>
      <c r="GA394" s="174" t="str">
        <f t="shared" si="617"/>
        <v>NG</v>
      </c>
      <c r="GB394" s="297"/>
      <c r="GC394" s="276" t="str">
        <f>IF(OR(FY$8="判定対象外",GB$8="判定対象外",GB394="-"),"-",IF(FY394=GB394,"OK","NG"))</f>
        <v>OK</v>
      </c>
    </row>
    <row r="395" spans="1:185" s="237" customFormat="1" ht="92.25" customHeight="1">
      <c r="B395" s="216">
        <f t="shared" si="587"/>
        <v>388</v>
      </c>
      <c r="C395" s="220"/>
      <c r="D395" s="220"/>
      <c r="E395" s="220"/>
      <c r="F395" s="238" t="s">
        <v>352</v>
      </c>
      <c r="G395" s="168"/>
      <c r="H395" s="239"/>
      <c r="I395" s="225"/>
      <c r="J395" s="225"/>
      <c r="K395" s="226"/>
      <c r="L395" s="226"/>
      <c r="M395" s="279" t="s">
        <v>353</v>
      </c>
      <c r="N395" s="228"/>
      <c r="O395" s="229"/>
      <c r="P395" s="45">
        <f t="shared" si="591"/>
        <v>360</v>
      </c>
      <c r="Q395" s="230">
        <v>7</v>
      </c>
      <c r="R395" s="41" t="s">
        <v>81</v>
      </c>
      <c r="S395" s="185" t="s">
        <v>254</v>
      </c>
      <c r="T395" s="231"/>
      <c r="U395" s="41" t="s">
        <v>80</v>
      </c>
      <c r="V395" s="229"/>
      <c r="W395" s="232">
        <v>3</v>
      </c>
      <c r="X395" s="194" t="s">
        <v>255</v>
      </c>
      <c r="Y395" s="194">
        <v>7</v>
      </c>
      <c r="Z395" s="194">
        <v>7</v>
      </c>
      <c r="AA395" s="225" t="s">
        <v>81</v>
      </c>
      <c r="AB395" s="225" t="s">
        <v>57</v>
      </c>
      <c r="AC395" s="243"/>
      <c r="AD395" s="233"/>
      <c r="AE395" s="268"/>
      <c r="AF395" s="235" t="str">
        <f t="shared" si="562"/>
        <v xml:space="preserve">       </v>
      </c>
      <c r="AG395" s="174" t="str">
        <f t="shared" si="601"/>
        <v>NG</v>
      </c>
      <c r="AH395" s="268"/>
      <c r="AI395" s="276" t="str">
        <f>IF(OR(AE$8="判定対象外",AH$8="判定対象外",AH395="-"),"-",IF(AE395=AH395,"OK","NG"))</f>
        <v>OK</v>
      </c>
      <c r="AJ395" s="233"/>
      <c r="AK395" s="234"/>
      <c r="AL395" s="235" t="str">
        <f t="shared" si="559"/>
        <v xml:space="preserve">       </v>
      </c>
      <c r="AM395" s="174" t="str">
        <f t="shared" si="588"/>
        <v>NG</v>
      </c>
      <c r="AN395" s="268"/>
      <c r="AO395" s="276" t="str">
        <f>IF(OR(AK$8="判定対象外",AN$8="判定対象外",AN395="-"),"-",IF(AK395=AN395,"OK","NG"))</f>
        <v>OK</v>
      </c>
      <c r="AP395" s="233"/>
      <c r="AQ395" s="268"/>
      <c r="AR395" s="235" t="str">
        <f t="shared" si="563"/>
        <v xml:space="preserve">       </v>
      </c>
      <c r="AS395" s="174" t="str">
        <f t="shared" si="602"/>
        <v>NG</v>
      </c>
      <c r="AT395" s="268"/>
      <c r="AU395" s="276" t="str">
        <f>IF(OR(AQ$8="判定対象外",AT$8="判定対象外",AT395="-"),"-",IF(AQ395=AT395,"OK","NG"))</f>
        <v>OK</v>
      </c>
      <c r="AV395" s="233"/>
      <c r="AW395" s="268"/>
      <c r="AX395" s="235" t="str">
        <f t="shared" si="564"/>
        <v xml:space="preserve">       </v>
      </c>
      <c r="AY395" s="174" t="str">
        <f t="shared" si="603"/>
        <v>NG</v>
      </c>
      <c r="AZ395" s="268"/>
      <c r="BA395" s="276" t="str">
        <f>IF(OR(AW$8="判定対象外",AZ$8="判定対象外",AZ395="-"),"-",IF(AW395=AZ395,"OK","NG"))</f>
        <v>OK</v>
      </c>
      <c r="BB395" s="233"/>
      <c r="BC395" s="268"/>
      <c r="BD395" s="235" t="str">
        <f t="shared" si="565"/>
        <v xml:space="preserve">       </v>
      </c>
      <c r="BE395" s="174" t="str">
        <f t="shared" si="604"/>
        <v>NG</v>
      </c>
      <c r="BF395" s="268"/>
      <c r="BG395" s="276" t="str">
        <f>IF(OR(BC$8="判定対象外",BF$8="判定対象外",BF395="-"),"-",IF(BC395=BF395,"OK","NG"))</f>
        <v>OK</v>
      </c>
      <c r="BH395" s="233"/>
      <c r="BI395" s="268"/>
      <c r="BJ395" s="235" t="str">
        <f t="shared" si="566"/>
        <v xml:space="preserve">       </v>
      </c>
      <c r="BK395" s="174" t="str">
        <f t="shared" si="605"/>
        <v>NG</v>
      </c>
      <c r="BL395" s="268"/>
      <c r="BM395" s="276" t="str">
        <f>IF(OR(BI$8="判定対象外",BL$8="判定対象外",BL395="-"),"-",IF(BI395=BL395,"OK","NG"))</f>
        <v>OK</v>
      </c>
      <c r="BN395" s="233"/>
      <c r="BO395" s="268"/>
      <c r="BP395" s="235" t="str">
        <f t="shared" si="567"/>
        <v xml:space="preserve">       </v>
      </c>
      <c r="BQ395" s="174" t="str">
        <f t="shared" si="606"/>
        <v>NG</v>
      </c>
      <c r="BR395" s="268"/>
      <c r="BS395" s="276" t="str">
        <f>IF(OR(BO$8="判定対象外",BR$8="判定対象外",BR395="-"),"-",IF(BO395=BR395,"OK","NG"))</f>
        <v>OK</v>
      </c>
      <c r="BT395" s="233"/>
      <c r="BU395" s="268"/>
      <c r="BV395" s="235" t="str">
        <f t="shared" si="568"/>
        <v xml:space="preserve">       </v>
      </c>
      <c r="BW395" s="174" t="str">
        <f t="shared" si="607"/>
        <v>NG</v>
      </c>
      <c r="BX395" s="268"/>
      <c r="BY395" s="276" t="str">
        <f>IF(OR(BU$8="判定対象外",BX$8="判定対象外",BX395="-"),"-",IF(BU395=BX395,"OK","NG"))</f>
        <v>OK</v>
      </c>
      <c r="BZ395" s="233"/>
      <c r="CA395" s="268"/>
      <c r="CB395" s="235" t="str">
        <f t="shared" si="569"/>
        <v xml:space="preserve">       </v>
      </c>
      <c r="CC395" s="174" t="str">
        <f t="shared" si="608"/>
        <v>NG</v>
      </c>
      <c r="CD395" s="268"/>
      <c r="CE395" s="276" t="str">
        <f>IF(OR(CA$8="判定対象外",CD$8="判定対象外",CD395="-"),"-",IF(CA395=CD395,"OK","NG"))</f>
        <v>OK</v>
      </c>
      <c r="CF395" s="233"/>
      <c r="CG395" s="268"/>
      <c r="CH395" s="235" t="str">
        <f t="shared" si="570"/>
        <v xml:space="preserve">       </v>
      </c>
      <c r="CI395" s="174" t="str">
        <f t="shared" si="609"/>
        <v>NG</v>
      </c>
      <c r="CJ395" s="268"/>
      <c r="CK395" s="276" t="str">
        <f>IF(OR(CG$8="判定対象外",CJ$8="判定対象外",CJ395="-"),"-",IF(CG395=CJ395,"OK","NG"))</f>
        <v>OK</v>
      </c>
      <c r="CL395" s="233"/>
      <c r="CM395" s="268"/>
      <c r="CN395" s="235" t="str">
        <f t="shared" si="571"/>
        <v xml:space="preserve">       </v>
      </c>
      <c r="CO395" s="174" t="str">
        <f t="shared" si="610"/>
        <v>NG</v>
      </c>
      <c r="CP395" s="268"/>
      <c r="CQ395" s="276" t="str">
        <f>IF(OR(CM$8="判定対象外",CP$8="判定対象外",CP395="-"),"-",IF(CM395=CP395,"OK","NG"))</f>
        <v>OK</v>
      </c>
      <c r="CR395" s="233"/>
      <c r="CS395" s="268"/>
      <c r="CT395" s="235" t="str">
        <f t="shared" si="572"/>
        <v xml:space="preserve">       </v>
      </c>
      <c r="CU395" s="174" t="str">
        <f t="shared" si="611"/>
        <v>NG</v>
      </c>
      <c r="CV395" s="268"/>
      <c r="CW395" s="276" t="str">
        <f>IF(OR(CS$8="判定対象外",CV$8="判定対象外",CV395="-"),"-",IF(CS395=CV395,"OK","NG"))</f>
        <v>OK</v>
      </c>
      <c r="CX395" s="233"/>
      <c r="CY395" s="268"/>
      <c r="CZ395" s="235" t="str">
        <f t="shared" si="573"/>
        <v xml:space="preserve">       </v>
      </c>
      <c r="DA395" s="174" t="str">
        <f t="shared" si="612"/>
        <v>NG</v>
      </c>
      <c r="DB395" s="268"/>
      <c r="DC395" s="276" t="str">
        <f>IF(OR(CY$8="判定対象外",DB$8="判定対象外",DB395="-"),"-",IF(CY395=DB395,"OK","NG"))</f>
        <v>OK</v>
      </c>
      <c r="DD395" s="233"/>
      <c r="DE395" s="268"/>
      <c r="DF395" s="235" t="str">
        <f t="shared" si="574"/>
        <v xml:space="preserve">       </v>
      </c>
      <c r="DG395" s="174" t="str">
        <f t="shared" si="613"/>
        <v>NG</v>
      </c>
      <c r="DH395" s="268"/>
      <c r="DI395" s="276" t="str">
        <f>IF(OR(DE$8="判定対象外",DH$8="判定対象外",DH395="-"),"-",IF(DE395=DH395,"OK","NG"))</f>
        <v>OK</v>
      </c>
      <c r="DJ395" s="233"/>
      <c r="DK395" s="268"/>
      <c r="DL395" s="235" t="str">
        <f t="shared" si="575"/>
        <v xml:space="preserve">       </v>
      </c>
      <c r="DM395" s="174" t="str">
        <f t="shared" si="614"/>
        <v>NG</v>
      </c>
      <c r="DN395" s="268"/>
      <c r="DO395" s="276" t="str">
        <f>IF(OR(DK$8="判定対象外",DN$8="判定対象外",DN395="-"),"-",IF(DK395=DN395,"OK","NG"))</f>
        <v>OK</v>
      </c>
      <c r="DP395" s="233"/>
      <c r="DQ395" s="268"/>
      <c r="DR395" s="235" t="str">
        <f t="shared" si="576"/>
        <v xml:space="preserve">       </v>
      </c>
      <c r="DS395" s="174" t="str">
        <f t="shared" si="593"/>
        <v>NG</v>
      </c>
      <c r="DT395" s="268"/>
      <c r="DU395" s="276" t="str">
        <f>IF(OR(DQ$8="判定対象外",DT$8="判定対象外",DT395="-"),"-",IF(DQ395=DT395,"OK","NG"))</f>
        <v>OK</v>
      </c>
      <c r="DV395" s="233"/>
      <c r="DW395" s="268"/>
      <c r="DX395" s="235" t="str">
        <f t="shared" si="577"/>
        <v xml:space="preserve">       </v>
      </c>
      <c r="DY395" s="174" t="str">
        <f t="shared" si="594"/>
        <v>NG</v>
      </c>
      <c r="DZ395" s="268"/>
      <c r="EA395" s="276" t="str">
        <f>IF(OR(DW$8="判定対象外",DZ$8="判定対象外",DZ395="-"),"-",IF(DW395=DZ395,"OK","NG"))</f>
        <v>OK</v>
      </c>
      <c r="EB395" s="233"/>
      <c r="EC395" s="268"/>
      <c r="ED395" s="235" t="str">
        <f t="shared" si="578"/>
        <v xml:space="preserve">       </v>
      </c>
      <c r="EE395" s="174" t="str">
        <f t="shared" si="595"/>
        <v>NG</v>
      </c>
      <c r="EF395" s="268"/>
      <c r="EG395" s="276" t="str">
        <f>IF(OR(EC$8="判定対象外",EF$8="判定対象外",EF395="-"),"-",IF(EC395=EF395,"OK","NG"))</f>
        <v>OK</v>
      </c>
      <c r="EH395" s="233"/>
      <c r="EI395" s="268"/>
      <c r="EJ395" s="235" t="str">
        <f t="shared" si="579"/>
        <v xml:space="preserve">       </v>
      </c>
      <c r="EK395" s="174" t="str">
        <f t="shared" si="596"/>
        <v>NG</v>
      </c>
      <c r="EL395" s="268"/>
      <c r="EM395" s="276" t="str">
        <f>IF(OR(EI$8="判定対象外",EL$8="判定対象外",EL395="-"),"-",IF(EI395=EL395,"OK","NG"))</f>
        <v>OK</v>
      </c>
      <c r="EN395" s="233"/>
      <c r="EO395" s="268"/>
      <c r="EP395" s="235" t="str">
        <f t="shared" si="580"/>
        <v xml:space="preserve">       </v>
      </c>
      <c r="EQ395" s="174" t="str">
        <f t="shared" si="597"/>
        <v>NG</v>
      </c>
      <c r="ER395" s="268"/>
      <c r="ES395" s="276" t="str">
        <f>IF(OR(EO$8="判定対象外",ER$8="判定対象外",ER395="-"),"-",IF(EO395=ER395,"OK","NG"))</f>
        <v>OK</v>
      </c>
      <c r="ET395" s="233"/>
      <c r="EU395" s="268"/>
      <c r="EV395" s="235" t="str">
        <f t="shared" si="581"/>
        <v xml:space="preserve">       </v>
      </c>
      <c r="EW395" s="174" t="str">
        <f t="shared" si="598"/>
        <v>NG</v>
      </c>
      <c r="EX395" s="268"/>
      <c r="EY395" s="276" t="str">
        <f>IF(OR(EU$8="判定対象外",EX$8="判定対象外",EX395="-"),"-",IF(EU395=EX395,"OK","NG"))</f>
        <v>OK</v>
      </c>
      <c r="EZ395" s="233"/>
      <c r="FA395" s="268"/>
      <c r="FB395" s="235" t="str">
        <f t="shared" si="582"/>
        <v xml:space="preserve">       </v>
      </c>
      <c r="FC395" s="174" t="str">
        <f t="shared" si="599"/>
        <v>NG</v>
      </c>
      <c r="FD395" s="268"/>
      <c r="FE395" s="276" t="str">
        <f>IF(OR(FA$8="判定対象外",FD$8="判定対象外",FD395="-"),"-",IF(FA395=FD395,"OK","NG"))</f>
        <v>OK</v>
      </c>
      <c r="FF395" s="233"/>
      <c r="FG395" s="268"/>
      <c r="FH395" s="235" t="str">
        <f t="shared" si="583"/>
        <v xml:space="preserve">       </v>
      </c>
      <c r="FI395" s="174" t="str">
        <f t="shared" si="600"/>
        <v>NG</v>
      </c>
      <c r="FJ395" s="268"/>
      <c r="FK395" s="276" t="str">
        <f>IF(OR(FG$8="判定対象外",FJ$8="判定対象外",FJ395="-"),"-",IF(FG395=FJ395,"OK","NG"))</f>
        <v>OK</v>
      </c>
      <c r="FL395" s="233"/>
      <c r="FM395" s="268"/>
      <c r="FN395" s="235" t="str">
        <f t="shared" si="584"/>
        <v xml:space="preserve">       </v>
      </c>
      <c r="FO395" s="174" t="str">
        <f t="shared" si="615"/>
        <v>NG</v>
      </c>
      <c r="FP395" s="268"/>
      <c r="FQ395" s="276" t="str">
        <f>IF(OR(FM$8="判定対象外",FP$8="判定対象外",FP395="-"),"-",IF(FM395=FP395,"OK","NG"))</f>
        <v>OK</v>
      </c>
      <c r="FR395" s="233"/>
      <c r="FS395" s="268"/>
      <c r="FT395" s="235" t="str">
        <f t="shared" si="585"/>
        <v xml:space="preserve">       </v>
      </c>
      <c r="FU395" s="174" t="str">
        <f t="shared" si="616"/>
        <v>NG</v>
      </c>
      <c r="FV395" s="268"/>
      <c r="FW395" s="276" t="str">
        <f>IF(OR(FS$8="判定対象外",FV$8="判定対象外",FV395="-"),"-",IF(FS395=FV395,"OK","NG"))</f>
        <v>OK</v>
      </c>
      <c r="FX395" s="233"/>
      <c r="FY395" s="268"/>
      <c r="FZ395" s="235" t="str">
        <f t="shared" si="586"/>
        <v xml:space="preserve">       </v>
      </c>
      <c r="GA395" s="174" t="str">
        <f t="shared" si="617"/>
        <v>NG</v>
      </c>
      <c r="GB395" s="268"/>
      <c r="GC395" s="276" t="str">
        <f>IF(OR(FY$8="判定対象外",GB$8="判定対象外",GB395="-"),"-",IF(FY395=GB395,"OK","NG"))</f>
        <v>OK</v>
      </c>
    </row>
    <row r="396" spans="1:185" s="237" customFormat="1" ht="127.9" thickBot="1">
      <c r="A396" s="244"/>
      <c r="B396" s="286">
        <f t="shared" si="587"/>
        <v>389</v>
      </c>
      <c r="C396" s="245"/>
      <c r="D396" s="245"/>
      <c r="E396" s="245"/>
      <c r="F396" s="287" t="s">
        <v>354</v>
      </c>
      <c r="G396" s="288"/>
      <c r="H396" s="289"/>
      <c r="I396" s="290"/>
      <c r="J396" s="290"/>
      <c r="K396" s="290"/>
      <c r="L396" s="290"/>
      <c r="M396" s="291" t="s">
        <v>355</v>
      </c>
      <c r="N396" s="280"/>
      <c r="O396" s="284"/>
      <c r="P396" s="71">
        <f t="shared" si="591"/>
        <v>361</v>
      </c>
      <c r="Q396" s="74">
        <v>1</v>
      </c>
      <c r="R396" s="73">
        <v>9</v>
      </c>
      <c r="S396" s="74" t="s">
        <v>256</v>
      </c>
      <c r="T396" s="74"/>
      <c r="U396" s="73" t="s">
        <v>80</v>
      </c>
      <c r="V396" s="246"/>
      <c r="W396" s="76" t="str">
        <f>IF(C396&lt;&gt;"","0",IF(D396&lt;&gt;"","1",IF(E396&lt;&gt;"","2",IF(F396&lt;&gt;"","3",IF(G396&lt;&gt;"","4",IF(H396&lt;&gt;"","5"))))))</f>
        <v>3</v>
      </c>
      <c r="X396" s="77" t="s">
        <v>258</v>
      </c>
      <c r="Y396" s="77">
        <v>1</v>
      </c>
      <c r="Z396" s="77">
        <v>1</v>
      </c>
      <c r="AA396" s="247">
        <v>9</v>
      </c>
      <c r="AB396" s="68" t="s">
        <v>80</v>
      </c>
      <c r="AC396" s="248"/>
      <c r="AD396" s="249"/>
      <c r="AE396" s="300"/>
      <c r="AF396" s="253" t="str">
        <f t="shared" si="562"/>
        <v xml:space="preserve"> </v>
      </c>
      <c r="AG396" s="177" t="str">
        <f t="shared" si="601"/>
        <v>NG</v>
      </c>
      <c r="AH396" s="300"/>
      <c r="AI396" s="270" t="str">
        <f>IF(OR(AE$8="判定対象外",AH$8="判定対象外",AH396="-"),"-",IF(AE396=AH396,"OK","NG"))</f>
        <v>OK</v>
      </c>
      <c r="AJ396" s="249"/>
      <c r="AK396" s="250"/>
      <c r="AL396" s="253" t="str">
        <f t="shared" si="559"/>
        <v xml:space="preserve"> </v>
      </c>
      <c r="AM396" s="177" t="str">
        <f t="shared" si="588"/>
        <v>NG</v>
      </c>
      <c r="AN396" s="250"/>
      <c r="AO396" s="270" t="str">
        <f>IF(OR(AK$8="判定対象外",AN$8="判定対象外",AN396="-"),"-",IF(AK396=AN396,"OK","NG"))</f>
        <v>OK</v>
      </c>
      <c r="AP396" s="249"/>
      <c r="AQ396" s="300"/>
      <c r="AR396" s="253" t="str">
        <f t="shared" si="563"/>
        <v xml:space="preserve"> </v>
      </c>
      <c r="AS396" s="177" t="str">
        <f t="shared" si="602"/>
        <v>NG</v>
      </c>
      <c r="AT396" s="300"/>
      <c r="AU396" s="270" t="str">
        <f>IF(OR(AQ$8="判定対象外",AT$8="判定対象外",AT396="-"),"-",IF(AQ396=AT396,"OK","NG"))</f>
        <v>OK</v>
      </c>
      <c r="AV396" s="249"/>
      <c r="AW396" s="300"/>
      <c r="AX396" s="253" t="str">
        <f t="shared" si="564"/>
        <v xml:space="preserve"> </v>
      </c>
      <c r="AY396" s="177" t="str">
        <f t="shared" si="603"/>
        <v>NG</v>
      </c>
      <c r="AZ396" s="300"/>
      <c r="BA396" s="270" t="str">
        <f>IF(OR(AW$8="判定対象外",AZ$8="判定対象外",AZ396="-"),"-",IF(AW396=AZ396,"OK","NG"))</f>
        <v>OK</v>
      </c>
      <c r="BB396" s="249"/>
      <c r="BC396" s="300"/>
      <c r="BD396" s="253" t="str">
        <f t="shared" si="565"/>
        <v xml:space="preserve"> </v>
      </c>
      <c r="BE396" s="177" t="str">
        <f t="shared" si="604"/>
        <v>NG</v>
      </c>
      <c r="BF396" s="300"/>
      <c r="BG396" s="270" t="str">
        <f>IF(OR(BC$8="判定対象外",BF$8="判定対象外",BF396="-"),"-",IF(BC396=BF396,"OK","NG"))</f>
        <v>OK</v>
      </c>
      <c r="BH396" s="249"/>
      <c r="BI396" s="300"/>
      <c r="BJ396" s="253" t="str">
        <f t="shared" si="566"/>
        <v xml:space="preserve"> </v>
      </c>
      <c r="BK396" s="177" t="str">
        <f t="shared" si="605"/>
        <v>NG</v>
      </c>
      <c r="BL396" s="300"/>
      <c r="BM396" s="270" t="str">
        <f>IF(OR(BI$8="判定対象外",BL$8="判定対象外",BL396="-"),"-",IF(BI396=BL396,"OK","NG"))</f>
        <v>OK</v>
      </c>
      <c r="BN396" s="249"/>
      <c r="BO396" s="300"/>
      <c r="BP396" s="253" t="str">
        <f t="shared" si="567"/>
        <v xml:space="preserve"> </v>
      </c>
      <c r="BQ396" s="177" t="str">
        <f t="shared" si="606"/>
        <v>NG</v>
      </c>
      <c r="BR396" s="300"/>
      <c r="BS396" s="270" t="str">
        <f>IF(OR(BO$8="判定対象外",BR$8="判定対象外",BR396="-"),"-",IF(BO396=BR396,"OK","NG"))</f>
        <v>OK</v>
      </c>
      <c r="BT396" s="249"/>
      <c r="BU396" s="300"/>
      <c r="BV396" s="253" t="str">
        <f t="shared" si="568"/>
        <v xml:space="preserve"> </v>
      </c>
      <c r="BW396" s="177" t="str">
        <f t="shared" si="607"/>
        <v>NG</v>
      </c>
      <c r="BX396" s="300"/>
      <c r="BY396" s="270" t="str">
        <f>IF(OR(BU$8="判定対象外",BX$8="判定対象外",BX396="-"),"-",IF(BU396=BX396,"OK","NG"))</f>
        <v>OK</v>
      </c>
      <c r="BZ396" s="249"/>
      <c r="CA396" s="300"/>
      <c r="CB396" s="253" t="str">
        <f t="shared" si="569"/>
        <v xml:space="preserve"> </v>
      </c>
      <c r="CC396" s="177" t="str">
        <f t="shared" si="608"/>
        <v>NG</v>
      </c>
      <c r="CD396" s="300"/>
      <c r="CE396" s="270" t="str">
        <f>IF(OR(CA$8="判定対象外",CD$8="判定対象外",CD396="-"),"-",IF(CA396=CD396,"OK","NG"))</f>
        <v>OK</v>
      </c>
      <c r="CF396" s="249"/>
      <c r="CG396" s="300"/>
      <c r="CH396" s="253" t="str">
        <f t="shared" si="570"/>
        <v xml:space="preserve"> </v>
      </c>
      <c r="CI396" s="177" t="str">
        <f t="shared" si="609"/>
        <v>NG</v>
      </c>
      <c r="CJ396" s="300"/>
      <c r="CK396" s="270" t="str">
        <f>IF(OR(CG$8="判定対象外",CJ$8="判定対象外",CJ396="-"),"-",IF(CG396=CJ396,"OK","NG"))</f>
        <v>OK</v>
      </c>
      <c r="CL396" s="249"/>
      <c r="CM396" s="300"/>
      <c r="CN396" s="253" t="str">
        <f t="shared" si="571"/>
        <v xml:space="preserve"> </v>
      </c>
      <c r="CO396" s="177" t="str">
        <f t="shared" si="610"/>
        <v>NG</v>
      </c>
      <c r="CP396" s="300"/>
      <c r="CQ396" s="270" t="str">
        <f>IF(OR(CM$8="判定対象外",CP$8="判定対象外",CP396="-"),"-",IF(CM396=CP396,"OK","NG"))</f>
        <v>OK</v>
      </c>
      <c r="CR396" s="249"/>
      <c r="CS396" s="300"/>
      <c r="CT396" s="253" t="str">
        <f t="shared" si="572"/>
        <v xml:space="preserve"> </v>
      </c>
      <c r="CU396" s="177" t="str">
        <f t="shared" si="611"/>
        <v>NG</v>
      </c>
      <c r="CV396" s="300"/>
      <c r="CW396" s="270" t="str">
        <f>IF(OR(CS$8="判定対象外",CV$8="判定対象外",CV396="-"),"-",IF(CS396=CV396,"OK","NG"))</f>
        <v>OK</v>
      </c>
      <c r="CX396" s="249"/>
      <c r="CY396" s="300"/>
      <c r="CZ396" s="253" t="str">
        <f t="shared" si="573"/>
        <v xml:space="preserve"> </v>
      </c>
      <c r="DA396" s="177" t="str">
        <f t="shared" si="612"/>
        <v>NG</v>
      </c>
      <c r="DB396" s="300"/>
      <c r="DC396" s="270" t="str">
        <f>IF(OR(CY$8="判定対象外",DB$8="判定対象外",DB396="-"),"-",IF(CY396=DB396,"OK","NG"))</f>
        <v>OK</v>
      </c>
      <c r="DD396" s="249"/>
      <c r="DE396" s="300"/>
      <c r="DF396" s="253" t="str">
        <f t="shared" si="574"/>
        <v xml:space="preserve"> </v>
      </c>
      <c r="DG396" s="177" t="str">
        <f t="shared" si="613"/>
        <v>NG</v>
      </c>
      <c r="DH396" s="300"/>
      <c r="DI396" s="270" t="str">
        <f>IF(OR(DE$8="判定対象外",DH$8="判定対象外",DH396="-"),"-",IF(DE396=DH396,"OK","NG"))</f>
        <v>OK</v>
      </c>
      <c r="DJ396" s="249"/>
      <c r="DK396" s="300"/>
      <c r="DL396" s="253" t="str">
        <f t="shared" si="575"/>
        <v xml:space="preserve"> </v>
      </c>
      <c r="DM396" s="177" t="str">
        <f t="shared" si="614"/>
        <v>NG</v>
      </c>
      <c r="DN396" s="300"/>
      <c r="DO396" s="270" t="str">
        <f>IF(OR(DK$8="判定対象外",DN$8="判定対象外",DN396="-"),"-",IF(DK396=DN396,"OK","NG"))</f>
        <v>OK</v>
      </c>
      <c r="DP396" s="249"/>
      <c r="DQ396" s="300"/>
      <c r="DR396" s="253" t="str">
        <f t="shared" si="576"/>
        <v xml:space="preserve"> </v>
      </c>
      <c r="DS396" s="177" t="str">
        <f t="shared" si="593"/>
        <v>NG</v>
      </c>
      <c r="DT396" s="300"/>
      <c r="DU396" s="270" t="str">
        <f>IF(OR(DQ$8="判定対象外",DT$8="判定対象外",DT396="-"),"-",IF(DQ396=DT396,"OK","NG"))</f>
        <v>OK</v>
      </c>
      <c r="DV396" s="249"/>
      <c r="DW396" s="300"/>
      <c r="DX396" s="253" t="str">
        <f t="shared" si="577"/>
        <v xml:space="preserve"> </v>
      </c>
      <c r="DY396" s="177" t="str">
        <f t="shared" si="594"/>
        <v>NG</v>
      </c>
      <c r="DZ396" s="300"/>
      <c r="EA396" s="270" t="str">
        <f>IF(OR(DW$8="判定対象外",DZ$8="判定対象外",DZ396="-"),"-",IF(DW396=DZ396,"OK","NG"))</f>
        <v>OK</v>
      </c>
      <c r="EB396" s="249"/>
      <c r="EC396" s="300"/>
      <c r="ED396" s="253" t="str">
        <f t="shared" si="578"/>
        <v xml:space="preserve"> </v>
      </c>
      <c r="EE396" s="177" t="str">
        <f t="shared" si="595"/>
        <v>NG</v>
      </c>
      <c r="EF396" s="300"/>
      <c r="EG396" s="270" t="str">
        <f>IF(OR(EC$8="判定対象外",EF$8="判定対象外",EF396="-"),"-",IF(EC396=EF396,"OK","NG"))</f>
        <v>OK</v>
      </c>
      <c r="EH396" s="249"/>
      <c r="EI396" s="300"/>
      <c r="EJ396" s="253" t="str">
        <f t="shared" si="579"/>
        <v xml:space="preserve"> </v>
      </c>
      <c r="EK396" s="177" t="str">
        <f t="shared" si="596"/>
        <v>NG</v>
      </c>
      <c r="EL396" s="300"/>
      <c r="EM396" s="270" t="str">
        <f>IF(OR(EI$8="判定対象外",EL$8="判定対象外",EL396="-"),"-",IF(EI396=EL396,"OK","NG"))</f>
        <v>OK</v>
      </c>
      <c r="EN396" s="249"/>
      <c r="EO396" s="300"/>
      <c r="EP396" s="253" t="str">
        <f t="shared" si="580"/>
        <v xml:space="preserve"> </v>
      </c>
      <c r="EQ396" s="177" t="str">
        <f t="shared" si="597"/>
        <v>NG</v>
      </c>
      <c r="ER396" s="300"/>
      <c r="ES396" s="270" t="str">
        <f>IF(OR(EO$8="判定対象外",ER$8="判定対象外",ER396="-"),"-",IF(EO396=ER396,"OK","NG"))</f>
        <v>OK</v>
      </c>
      <c r="ET396" s="249"/>
      <c r="EU396" s="300"/>
      <c r="EV396" s="253" t="str">
        <f t="shared" si="581"/>
        <v xml:space="preserve"> </v>
      </c>
      <c r="EW396" s="177" t="str">
        <f t="shared" si="598"/>
        <v>NG</v>
      </c>
      <c r="EX396" s="300"/>
      <c r="EY396" s="270" t="str">
        <f>IF(OR(EU$8="判定対象外",EX$8="判定対象外",EX396="-"),"-",IF(EU396=EX396,"OK","NG"))</f>
        <v>OK</v>
      </c>
      <c r="EZ396" s="249"/>
      <c r="FA396" s="300"/>
      <c r="FB396" s="253" t="str">
        <f t="shared" si="582"/>
        <v xml:space="preserve"> </v>
      </c>
      <c r="FC396" s="177" t="str">
        <f t="shared" si="599"/>
        <v>NG</v>
      </c>
      <c r="FD396" s="300"/>
      <c r="FE396" s="270" t="str">
        <f>IF(OR(FA$8="判定対象外",FD$8="判定対象外",FD396="-"),"-",IF(FA396=FD396,"OK","NG"))</f>
        <v>OK</v>
      </c>
      <c r="FF396" s="249"/>
      <c r="FG396" s="300"/>
      <c r="FH396" s="253" t="str">
        <f t="shared" si="583"/>
        <v xml:space="preserve"> </v>
      </c>
      <c r="FI396" s="177" t="str">
        <f t="shared" si="600"/>
        <v>NG</v>
      </c>
      <c r="FJ396" s="300"/>
      <c r="FK396" s="270" t="str">
        <f>IF(OR(FG$8="判定対象外",FJ$8="判定対象外",FJ396="-"),"-",IF(FG396=FJ396,"OK","NG"))</f>
        <v>OK</v>
      </c>
      <c r="FL396" s="249"/>
      <c r="FM396" s="300"/>
      <c r="FN396" s="253" t="str">
        <f t="shared" si="584"/>
        <v xml:space="preserve"> </v>
      </c>
      <c r="FO396" s="177" t="str">
        <f t="shared" si="615"/>
        <v>NG</v>
      </c>
      <c r="FP396" s="300"/>
      <c r="FQ396" s="270" t="str">
        <f>IF(OR(FM$8="判定対象外",FP$8="判定対象外",FP396="-"),"-",IF(FM396=FP396,"OK","NG"))</f>
        <v>OK</v>
      </c>
      <c r="FR396" s="249"/>
      <c r="FS396" s="300"/>
      <c r="FT396" s="253" t="str">
        <f t="shared" si="585"/>
        <v xml:space="preserve"> </v>
      </c>
      <c r="FU396" s="177" t="str">
        <f t="shared" si="616"/>
        <v>NG</v>
      </c>
      <c r="FV396" s="300"/>
      <c r="FW396" s="270" t="str">
        <f>IF(OR(FS$8="判定対象外",FV$8="判定対象外",FV396="-"),"-",IF(FS396=FV396,"OK","NG"))</f>
        <v>OK</v>
      </c>
      <c r="FX396" s="249"/>
      <c r="FY396" s="300"/>
      <c r="FZ396" s="253" t="str">
        <f t="shared" si="586"/>
        <v xml:space="preserve"> </v>
      </c>
      <c r="GA396" s="177" t="str">
        <f t="shared" si="617"/>
        <v>NG</v>
      </c>
      <c r="GB396" s="300"/>
      <c r="GC396" s="270" t="str">
        <f>IF(OR(FY$8="判定対象外",GB$8="判定対象外",GB396="-"),"-",IF(FY396=GB396,"OK","NG"))</f>
        <v>OK</v>
      </c>
    </row>
    <row r="397" spans="1:185" s="52" customFormat="1" ht="18.75" customHeight="1" thickTop="1">
      <c r="B397" s="48">
        <f t="shared" si="587"/>
        <v>390</v>
      </c>
      <c r="C397" s="37"/>
      <c r="D397" s="37"/>
      <c r="E397" s="26" t="s">
        <v>315</v>
      </c>
      <c r="F397" s="254"/>
      <c r="G397" s="254"/>
      <c r="H397" s="28"/>
      <c r="I397" s="42" t="s">
        <v>1</v>
      </c>
      <c r="J397" s="42" t="s">
        <v>316</v>
      </c>
      <c r="K397" s="42"/>
      <c r="L397" s="42"/>
      <c r="M397" s="47" t="s">
        <v>317</v>
      </c>
      <c r="N397" s="281"/>
      <c r="O397" s="282"/>
      <c r="P397" s="20"/>
      <c r="Q397" s="21"/>
      <c r="R397" s="16"/>
      <c r="S397" s="283"/>
      <c r="T397" s="281"/>
      <c r="U397" s="16"/>
      <c r="V397" s="207"/>
      <c r="W397" s="22" t="str">
        <f>IF(C397&lt;&gt;"","0",IF(D397&lt;&gt;"","1",IF(E397&lt;&gt;"","2",IF(F397&lt;&gt;"","3",IF(G397&lt;&gt;"","4",IF(H397&lt;&gt;"","5"))))))</f>
        <v>2</v>
      </c>
      <c r="X397" s="47" t="s">
        <v>187</v>
      </c>
      <c r="Y397" s="47"/>
      <c r="Z397" s="47"/>
      <c r="AA397" s="42"/>
      <c r="AB397" s="42" t="s">
        <v>80</v>
      </c>
      <c r="AC397" s="251"/>
      <c r="AD397" s="160"/>
      <c r="AE397" s="141"/>
      <c r="AF397" s="203" t="str">
        <f t="shared" si="562"/>
        <v/>
      </c>
      <c r="AG397" s="174" t="str">
        <f t="shared" si="601"/>
        <v>OK</v>
      </c>
      <c r="AH397" s="141"/>
      <c r="AI397" s="276" t="s">
        <v>71</v>
      </c>
      <c r="AJ397" s="160"/>
      <c r="AK397" s="141"/>
      <c r="AL397" s="203" t="str">
        <f t="shared" si="559"/>
        <v/>
      </c>
      <c r="AM397" s="174" t="str">
        <f t="shared" si="588"/>
        <v>OK</v>
      </c>
      <c r="AN397" s="141"/>
      <c r="AO397" s="276" t="s">
        <v>71</v>
      </c>
      <c r="AP397" s="160"/>
      <c r="AQ397" s="141"/>
      <c r="AR397" s="203" t="str">
        <f t="shared" si="563"/>
        <v/>
      </c>
      <c r="AS397" s="174" t="str">
        <f t="shared" si="602"/>
        <v>OK</v>
      </c>
      <c r="AT397" s="141"/>
      <c r="AU397" s="276" t="s">
        <v>71</v>
      </c>
      <c r="AV397" s="160"/>
      <c r="AW397" s="141"/>
      <c r="AX397" s="203" t="str">
        <f t="shared" si="564"/>
        <v/>
      </c>
      <c r="AY397" s="174" t="str">
        <f t="shared" si="603"/>
        <v>OK</v>
      </c>
      <c r="AZ397" s="141"/>
      <c r="BA397" s="276" t="s">
        <v>71</v>
      </c>
      <c r="BB397" s="160"/>
      <c r="BC397" s="141"/>
      <c r="BD397" s="203" t="str">
        <f t="shared" si="565"/>
        <v/>
      </c>
      <c r="BE397" s="174" t="str">
        <f t="shared" si="604"/>
        <v>OK</v>
      </c>
      <c r="BF397" s="141"/>
      <c r="BG397" s="276" t="s">
        <v>71</v>
      </c>
      <c r="BH397" s="160"/>
      <c r="BI397" s="141"/>
      <c r="BJ397" s="203" t="str">
        <f t="shared" si="566"/>
        <v/>
      </c>
      <c r="BK397" s="174" t="str">
        <f t="shared" si="605"/>
        <v>OK</v>
      </c>
      <c r="BL397" s="141"/>
      <c r="BM397" s="276" t="s">
        <v>71</v>
      </c>
      <c r="BN397" s="160"/>
      <c r="BO397" s="141"/>
      <c r="BP397" s="203" t="str">
        <f t="shared" si="567"/>
        <v/>
      </c>
      <c r="BQ397" s="174" t="str">
        <f t="shared" si="606"/>
        <v>OK</v>
      </c>
      <c r="BR397" s="141"/>
      <c r="BS397" s="276" t="s">
        <v>71</v>
      </c>
      <c r="BT397" s="160"/>
      <c r="BU397" s="141"/>
      <c r="BV397" s="203" t="str">
        <f t="shared" si="568"/>
        <v/>
      </c>
      <c r="BW397" s="174" t="str">
        <f t="shared" si="607"/>
        <v>OK</v>
      </c>
      <c r="BX397" s="141"/>
      <c r="BY397" s="276" t="s">
        <v>71</v>
      </c>
      <c r="BZ397" s="160"/>
      <c r="CA397" s="141"/>
      <c r="CB397" s="203" t="str">
        <f t="shared" si="569"/>
        <v/>
      </c>
      <c r="CC397" s="174" t="str">
        <f t="shared" si="608"/>
        <v>OK</v>
      </c>
      <c r="CD397" s="141"/>
      <c r="CE397" s="276" t="s">
        <v>71</v>
      </c>
      <c r="CF397" s="160"/>
      <c r="CG397" s="141"/>
      <c r="CH397" s="203" t="str">
        <f t="shared" si="570"/>
        <v/>
      </c>
      <c r="CI397" s="174" t="str">
        <f t="shared" si="609"/>
        <v>OK</v>
      </c>
      <c r="CJ397" s="141"/>
      <c r="CK397" s="276" t="s">
        <v>71</v>
      </c>
      <c r="CL397" s="160"/>
      <c r="CM397" s="141"/>
      <c r="CN397" s="203" t="str">
        <f t="shared" si="571"/>
        <v/>
      </c>
      <c r="CO397" s="174" t="str">
        <f t="shared" si="610"/>
        <v>OK</v>
      </c>
      <c r="CP397" s="141"/>
      <c r="CQ397" s="276" t="s">
        <v>71</v>
      </c>
      <c r="CR397" s="160"/>
      <c r="CS397" s="141"/>
      <c r="CT397" s="203" t="str">
        <f t="shared" si="572"/>
        <v/>
      </c>
      <c r="CU397" s="174" t="str">
        <f t="shared" si="611"/>
        <v>OK</v>
      </c>
      <c r="CV397" s="141"/>
      <c r="CW397" s="276" t="s">
        <v>71</v>
      </c>
      <c r="CX397" s="160"/>
      <c r="CY397" s="141"/>
      <c r="CZ397" s="203" t="str">
        <f t="shared" si="573"/>
        <v/>
      </c>
      <c r="DA397" s="174" t="str">
        <f t="shared" si="612"/>
        <v>OK</v>
      </c>
      <c r="DB397" s="141"/>
      <c r="DC397" s="276" t="s">
        <v>71</v>
      </c>
      <c r="DD397" s="160"/>
      <c r="DE397" s="141"/>
      <c r="DF397" s="203" t="str">
        <f t="shared" si="574"/>
        <v/>
      </c>
      <c r="DG397" s="174" t="str">
        <f t="shared" si="613"/>
        <v>OK</v>
      </c>
      <c r="DH397" s="141"/>
      <c r="DI397" s="276" t="s">
        <v>71</v>
      </c>
      <c r="DJ397" s="160"/>
      <c r="DK397" s="141"/>
      <c r="DL397" s="203" t="str">
        <f t="shared" si="575"/>
        <v/>
      </c>
      <c r="DM397" s="174" t="str">
        <f t="shared" si="614"/>
        <v>OK</v>
      </c>
      <c r="DN397" s="141"/>
      <c r="DO397" s="276" t="s">
        <v>71</v>
      </c>
      <c r="DP397" s="160"/>
      <c r="DQ397" s="141"/>
      <c r="DR397" s="203" t="str">
        <f t="shared" si="576"/>
        <v/>
      </c>
      <c r="DS397" s="174" t="str">
        <f t="shared" si="593"/>
        <v>OK</v>
      </c>
      <c r="DT397" s="141"/>
      <c r="DU397" s="276" t="s">
        <v>71</v>
      </c>
      <c r="DV397" s="160"/>
      <c r="DW397" s="141"/>
      <c r="DX397" s="203" t="str">
        <f t="shared" si="577"/>
        <v/>
      </c>
      <c r="DY397" s="174" t="str">
        <f t="shared" si="594"/>
        <v>OK</v>
      </c>
      <c r="DZ397" s="141"/>
      <c r="EA397" s="276" t="s">
        <v>71</v>
      </c>
      <c r="EB397" s="160"/>
      <c r="EC397" s="141"/>
      <c r="ED397" s="203" t="str">
        <f t="shared" si="578"/>
        <v/>
      </c>
      <c r="EE397" s="174" t="str">
        <f t="shared" si="595"/>
        <v>OK</v>
      </c>
      <c r="EF397" s="141"/>
      <c r="EG397" s="276" t="s">
        <v>71</v>
      </c>
      <c r="EH397" s="160"/>
      <c r="EI397" s="141"/>
      <c r="EJ397" s="203" t="str">
        <f t="shared" si="579"/>
        <v/>
      </c>
      <c r="EK397" s="174" t="str">
        <f t="shared" si="596"/>
        <v>OK</v>
      </c>
      <c r="EL397" s="141"/>
      <c r="EM397" s="276" t="s">
        <v>71</v>
      </c>
      <c r="EN397" s="160"/>
      <c r="EO397" s="141"/>
      <c r="EP397" s="203" t="str">
        <f t="shared" si="580"/>
        <v/>
      </c>
      <c r="EQ397" s="174" t="str">
        <f t="shared" si="597"/>
        <v>OK</v>
      </c>
      <c r="ER397" s="141"/>
      <c r="ES397" s="276" t="s">
        <v>71</v>
      </c>
      <c r="ET397" s="160"/>
      <c r="EU397" s="141"/>
      <c r="EV397" s="203" t="str">
        <f t="shared" si="581"/>
        <v/>
      </c>
      <c r="EW397" s="174" t="str">
        <f t="shared" si="598"/>
        <v>OK</v>
      </c>
      <c r="EX397" s="141"/>
      <c r="EY397" s="276" t="s">
        <v>71</v>
      </c>
      <c r="EZ397" s="160"/>
      <c r="FA397" s="141"/>
      <c r="FB397" s="203" t="str">
        <f t="shared" si="582"/>
        <v/>
      </c>
      <c r="FC397" s="174" t="str">
        <f t="shared" si="599"/>
        <v>OK</v>
      </c>
      <c r="FD397" s="141"/>
      <c r="FE397" s="276" t="s">
        <v>71</v>
      </c>
      <c r="FF397" s="160"/>
      <c r="FG397" s="141"/>
      <c r="FH397" s="203" t="str">
        <f t="shared" si="583"/>
        <v/>
      </c>
      <c r="FI397" s="174" t="str">
        <f t="shared" si="600"/>
        <v>OK</v>
      </c>
      <c r="FJ397" s="141"/>
      <c r="FK397" s="276" t="s">
        <v>71</v>
      </c>
      <c r="FL397" s="160"/>
      <c r="FM397" s="141"/>
      <c r="FN397" s="203" t="str">
        <f t="shared" si="584"/>
        <v/>
      </c>
      <c r="FO397" s="174" t="str">
        <f t="shared" si="615"/>
        <v>OK</v>
      </c>
      <c r="FP397" s="141"/>
      <c r="FQ397" s="276" t="s">
        <v>71</v>
      </c>
      <c r="FR397" s="160"/>
      <c r="FS397" s="141"/>
      <c r="FT397" s="203" t="str">
        <f t="shared" si="585"/>
        <v/>
      </c>
      <c r="FU397" s="174" t="str">
        <f t="shared" si="616"/>
        <v>OK</v>
      </c>
      <c r="FV397" s="141"/>
      <c r="FW397" s="276" t="s">
        <v>71</v>
      </c>
      <c r="FX397" s="160"/>
      <c r="FY397" s="141"/>
      <c r="FZ397" s="203" t="str">
        <f t="shared" si="586"/>
        <v/>
      </c>
      <c r="GA397" s="174" t="str">
        <f t="shared" si="617"/>
        <v>OK</v>
      </c>
      <c r="GB397" s="141"/>
      <c r="GC397" s="276" t="s">
        <v>71</v>
      </c>
    </row>
    <row r="398" spans="1:185" s="52" customFormat="1" ht="63.75">
      <c r="B398" s="48">
        <f t="shared" si="587"/>
        <v>391</v>
      </c>
      <c r="C398" s="187"/>
      <c r="D398" s="37"/>
      <c r="E398" s="37"/>
      <c r="F398" s="188" t="s">
        <v>318</v>
      </c>
      <c r="G398" s="39"/>
      <c r="H398" s="40"/>
      <c r="I398" s="57"/>
      <c r="J398" s="57"/>
      <c r="K398" s="57"/>
      <c r="L398" s="42"/>
      <c r="M398" s="58" t="s">
        <v>319</v>
      </c>
      <c r="N398" s="47"/>
      <c r="O398" s="143"/>
      <c r="P398" s="45">
        <f>P396+1</f>
        <v>362</v>
      </c>
      <c r="Q398" s="200">
        <v>2</v>
      </c>
      <c r="R398" s="41" t="str">
        <f t="shared" ref="R398:R404" si="618">IF(AA398="M","NX",AA398)</f>
        <v>X</v>
      </c>
      <c r="S398" s="185" t="s">
        <v>99</v>
      </c>
      <c r="T398" s="43"/>
      <c r="U398" s="41" t="s">
        <v>80</v>
      </c>
      <c r="V398" s="212" t="s">
        <v>188</v>
      </c>
      <c r="W398" s="22" t="str">
        <f>IF(C398&lt;&gt;"","0",IF(D398&lt;&gt;"","1",IF(E398&lt;&gt;"","2",IF(F398&lt;&gt;"","3",IF(G398&lt;&gt;"","4",IF(H398&lt;&gt;"","5"))))))</f>
        <v>3</v>
      </c>
      <c r="X398" s="62" t="s">
        <v>189</v>
      </c>
      <c r="Y398" s="201">
        <v>2</v>
      </c>
      <c r="Z398" s="201">
        <v>2</v>
      </c>
      <c r="AA398" s="202" t="s">
        <v>163</v>
      </c>
      <c r="AB398" s="202" t="s">
        <v>57</v>
      </c>
      <c r="AC398" s="166"/>
      <c r="AD398" s="160"/>
      <c r="AE398" s="162"/>
      <c r="AF398" s="167" t="str">
        <f t="shared" si="562"/>
        <v xml:space="preserve">  </v>
      </c>
      <c r="AG398" s="174" t="str">
        <f t="shared" si="601"/>
        <v>NG</v>
      </c>
      <c r="AH398" s="162"/>
      <c r="AI398" s="276" t="str">
        <f>IF(OR(AE$8="判定対象外",AH$8="判定対象外",AH398="-"),"-",IF(AE398=AH398,"OK","NG"))</f>
        <v>OK</v>
      </c>
      <c r="AJ398" s="160"/>
      <c r="AK398" s="162"/>
      <c r="AL398" s="167" t="str">
        <f t="shared" ref="AL398:AL456" si="619">IF(AN398="-","-",AN398&amp;REPT(IF($R398="N","　",IF($R398="9","0"," ")),$Z398-LENB(AN398)))</f>
        <v xml:space="preserve">  </v>
      </c>
      <c r="AM398" s="174" t="str">
        <f t="shared" si="588"/>
        <v>NG</v>
      </c>
      <c r="AN398" s="162"/>
      <c r="AO398" s="276" t="str">
        <f>IF(OR(AK$8="判定対象外",AN$8="判定対象外",AN398="-"),"-",IF(AK398=AN398,"OK","NG"))</f>
        <v>OK</v>
      </c>
      <c r="AP398" s="160"/>
      <c r="AQ398" s="162"/>
      <c r="AR398" s="167" t="str">
        <f t="shared" si="563"/>
        <v xml:space="preserve">  </v>
      </c>
      <c r="AS398" s="174" t="str">
        <f t="shared" si="602"/>
        <v>NG</v>
      </c>
      <c r="AT398" s="162"/>
      <c r="AU398" s="276" t="str">
        <f>IF(OR(AQ$8="判定対象外",AT$8="判定対象外",AT398="-"),"-",IF(AQ398=AT398,"OK","NG"))</f>
        <v>OK</v>
      </c>
      <c r="AV398" s="160"/>
      <c r="AW398" s="162"/>
      <c r="AX398" s="167" t="str">
        <f t="shared" si="564"/>
        <v xml:space="preserve">  </v>
      </c>
      <c r="AY398" s="174" t="str">
        <f t="shared" si="603"/>
        <v>NG</v>
      </c>
      <c r="AZ398" s="162"/>
      <c r="BA398" s="276" t="str">
        <f>IF(OR(AW$8="判定対象外",AZ$8="判定対象外",AZ398="-"),"-",IF(AW398=AZ398,"OK","NG"))</f>
        <v>OK</v>
      </c>
      <c r="BB398" s="160"/>
      <c r="BC398" s="162"/>
      <c r="BD398" s="167" t="str">
        <f t="shared" si="565"/>
        <v xml:space="preserve">  </v>
      </c>
      <c r="BE398" s="174" t="str">
        <f t="shared" si="604"/>
        <v>NG</v>
      </c>
      <c r="BF398" s="162"/>
      <c r="BG398" s="276" t="str">
        <f>IF(OR(BC$8="判定対象外",BF$8="判定対象外",BF398="-"),"-",IF(BC398=BF398,"OK","NG"))</f>
        <v>OK</v>
      </c>
      <c r="BH398" s="160"/>
      <c r="BI398" s="162"/>
      <c r="BJ398" s="167" t="str">
        <f t="shared" si="566"/>
        <v xml:space="preserve">  </v>
      </c>
      <c r="BK398" s="174" t="str">
        <f t="shared" si="605"/>
        <v>NG</v>
      </c>
      <c r="BL398" s="162"/>
      <c r="BM398" s="276" t="str">
        <f>IF(OR(BI$8="判定対象外",BL$8="判定対象外",BL398="-"),"-",IF(BI398=BL398,"OK","NG"))</f>
        <v>OK</v>
      </c>
      <c r="BN398" s="160"/>
      <c r="BO398" s="162"/>
      <c r="BP398" s="167" t="str">
        <f t="shared" si="567"/>
        <v xml:space="preserve">  </v>
      </c>
      <c r="BQ398" s="174" t="str">
        <f t="shared" si="606"/>
        <v>NG</v>
      </c>
      <c r="BR398" s="162"/>
      <c r="BS398" s="276" t="str">
        <f>IF(OR(BO$8="判定対象外",BR$8="判定対象外",BR398="-"),"-",IF(BO398=BR398,"OK","NG"))</f>
        <v>OK</v>
      </c>
      <c r="BT398" s="160"/>
      <c r="BU398" s="162"/>
      <c r="BV398" s="167" t="str">
        <f t="shared" si="568"/>
        <v xml:space="preserve">  </v>
      </c>
      <c r="BW398" s="174" t="str">
        <f t="shared" si="607"/>
        <v>NG</v>
      </c>
      <c r="BX398" s="162"/>
      <c r="BY398" s="276" t="str">
        <f>IF(OR(BU$8="判定対象外",BX$8="判定対象外",BX398="-"),"-",IF(BU398=BX398,"OK","NG"))</f>
        <v>OK</v>
      </c>
      <c r="BZ398" s="160"/>
      <c r="CA398" s="162"/>
      <c r="CB398" s="167" t="str">
        <f t="shared" si="569"/>
        <v xml:space="preserve">  </v>
      </c>
      <c r="CC398" s="174" t="str">
        <f t="shared" si="608"/>
        <v>NG</v>
      </c>
      <c r="CD398" s="162"/>
      <c r="CE398" s="276" t="str">
        <f>IF(OR(CA$8="判定対象外",CD$8="判定対象外",CD398="-"),"-",IF(CA398=CD398,"OK","NG"))</f>
        <v>OK</v>
      </c>
      <c r="CF398" s="160"/>
      <c r="CG398" s="162"/>
      <c r="CH398" s="167" t="str">
        <f t="shared" si="570"/>
        <v xml:space="preserve">  </v>
      </c>
      <c r="CI398" s="174" t="str">
        <f t="shared" si="609"/>
        <v>NG</v>
      </c>
      <c r="CJ398" s="162"/>
      <c r="CK398" s="276" t="str">
        <f>IF(OR(CG$8="判定対象外",CJ$8="判定対象外",CJ398="-"),"-",IF(CG398=CJ398,"OK","NG"))</f>
        <v>OK</v>
      </c>
      <c r="CL398" s="160"/>
      <c r="CM398" s="162"/>
      <c r="CN398" s="167" t="str">
        <f t="shared" si="571"/>
        <v xml:space="preserve">  </v>
      </c>
      <c r="CO398" s="174" t="str">
        <f t="shared" si="610"/>
        <v>NG</v>
      </c>
      <c r="CP398" s="162"/>
      <c r="CQ398" s="276" t="str">
        <f>IF(OR(CM$8="判定対象外",CP$8="判定対象外",CP398="-"),"-",IF(CM398=CP398,"OK","NG"))</f>
        <v>OK</v>
      </c>
      <c r="CR398" s="160"/>
      <c r="CS398" s="162"/>
      <c r="CT398" s="167" t="str">
        <f t="shared" si="572"/>
        <v xml:space="preserve">  </v>
      </c>
      <c r="CU398" s="174" t="str">
        <f t="shared" si="611"/>
        <v>NG</v>
      </c>
      <c r="CV398" s="162"/>
      <c r="CW398" s="276" t="str">
        <f>IF(OR(CS$8="判定対象外",CV$8="判定対象外",CV398="-"),"-",IF(CS398=CV398,"OK","NG"))</f>
        <v>OK</v>
      </c>
      <c r="CX398" s="160"/>
      <c r="CY398" s="162"/>
      <c r="CZ398" s="167" t="str">
        <f t="shared" si="573"/>
        <v xml:space="preserve">  </v>
      </c>
      <c r="DA398" s="174" t="str">
        <f t="shared" si="612"/>
        <v>NG</v>
      </c>
      <c r="DB398" s="162"/>
      <c r="DC398" s="276" t="str">
        <f>IF(OR(CY$8="判定対象外",DB$8="判定対象外",DB398="-"),"-",IF(CY398=DB398,"OK","NG"))</f>
        <v>OK</v>
      </c>
      <c r="DD398" s="160"/>
      <c r="DE398" s="162"/>
      <c r="DF398" s="167" t="str">
        <f t="shared" si="574"/>
        <v xml:space="preserve">  </v>
      </c>
      <c r="DG398" s="174" t="str">
        <f t="shared" si="613"/>
        <v>NG</v>
      </c>
      <c r="DH398" s="162"/>
      <c r="DI398" s="276" t="str">
        <f>IF(OR(DE$8="判定対象外",DH$8="判定対象外",DH398="-"),"-",IF(DE398=DH398,"OK","NG"))</f>
        <v>OK</v>
      </c>
      <c r="DJ398" s="160"/>
      <c r="DK398" s="162"/>
      <c r="DL398" s="167" t="str">
        <f t="shared" si="575"/>
        <v xml:space="preserve">  </v>
      </c>
      <c r="DM398" s="174" t="str">
        <f t="shared" si="614"/>
        <v>NG</v>
      </c>
      <c r="DN398" s="162"/>
      <c r="DO398" s="276" t="str">
        <f>IF(OR(DK$8="判定対象外",DN$8="判定対象外",DN398="-"),"-",IF(DK398=DN398,"OK","NG"))</f>
        <v>OK</v>
      </c>
      <c r="DP398" s="160"/>
      <c r="DQ398" s="162"/>
      <c r="DR398" s="167" t="str">
        <f t="shared" si="576"/>
        <v xml:space="preserve">  </v>
      </c>
      <c r="DS398" s="174" t="str">
        <f t="shared" si="593"/>
        <v>NG</v>
      </c>
      <c r="DT398" s="162"/>
      <c r="DU398" s="276" t="str">
        <f>IF(OR(DQ$8="判定対象外",DT$8="判定対象外",DT398="-"),"-",IF(DQ398=DT398,"OK","NG"))</f>
        <v>OK</v>
      </c>
      <c r="DV398" s="160"/>
      <c r="DW398" s="162"/>
      <c r="DX398" s="167" t="str">
        <f t="shared" si="577"/>
        <v xml:space="preserve">  </v>
      </c>
      <c r="DY398" s="174" t="str">
        <f t="shared" si="594"/>
        <v>NG</v>
      </c>
      <c r="DZ398" s="162"/>
      <c r="EA398" s="276" t="str">
        <f>IF(OR(DW$8="判定対象外",DZ$8="判定対象外",DZ398="-"),"-",IF(DW398=DZ398,"OK","NG"))</f>
        <v>OK</v>
      </c>
      <c r="EB398" s="160"/>
      <c r="EC398" s="162"/>
      <c r="ED398" s="167" t="str">
        <f t="shared" si="578"/>
        <v xml:space="preserve">  </v>
      </c>
      <c r="EE398" s="174" t="str">
        <f t="shared" si="595"/>
        <v>NG</v>
      </c>
      <c r="EF398" s="162"/>
      <c r="EG398" s="276" t="str">
        <f>IF(OR(EC$8="判定対象外",EF$8="判定対象外",EF398="-"),"-",IF(EC398=EF398,"OK","NG"))</f>
        <v>OK</v>
      </c>
      <c r="EH398" s="160"/>
      <c r="EI398" s="162"/>
      <c r="EJ398" s="167" t="str">
        <f t="shared" si="579"/>
        <v xml:space="preserve">  </v>
      </c>
      <c r="EK398" s="174" t="str">
        <f t="shared" si="596"/>
        <v>NG</v>
      </c>
      <c r="EL398" s="162"/>
      <c r="EM398" s="276" t="str">
        <f>IF(OR(EI$8="判定対象外",EL$8="判定対象外",EL398="-"),"-",IF(EI398=EL398,"OK","NG"))</f>
        <v>OK</v>
      </c>
      <c r="EN398" s="160"/>
      <c r="EO398" s="162"/>
      <c r="EP398" s="167" t="str">
        <f t="shared" si="580"/>
        <v xml:space="preserve">  </v>
      </c>
      <c r="EQ398" s="174" t="str">
        <f t="shared" si="597"/>
        <v>NG</v>
      </c>
      <c r="ER398" s="162"/>
      <c r="ES398" s="276" t="str">
        <f>IF(OR(EO$8="判定対象外",ER$8="判定対象外",ER398="-"),"-",IF(EO398=ER398,"OK","NG"))</f>
        <v>OK</v>
      </c>
      <c r="ET398" s="160"/>
      <c r="EU398" s="162"/>
      <c r="EV398" s="167" t="str">
        <f t="shared" si="581"/>
        <v xml:space="preserve">  </v>
      </c>
      <c r="EW398" s="174" t="str">
        <f t="shared" si="598"/>
        <v>NG</v>
      </c>
      <c r="EX398" s="162"/>
      <c r="EY398" s="276" t="str">
        <f>IF(OR(EU$8="判定対象外",EX$8="判定対象外",EX398="-"),"-",IF(EU398=EX398,"OK","NG"))</f>
        <v>OK</v>
      </c>
      <c r="EZ398" s="160"/>
      <c r="FA398" s="162"/>
      <c r="FB398" s="167" t="str">
        <f t="shared" si="582"/>
        <v xml:space="preserve">  </v>
      </c>
      <c r="FC398" s="174" t="str">
        <f t="shared" si="599"/>
        <v>NG</v>
      </c>
      <c r="FD398" s="162"/>
      <c r="FE398" s="276" t="str">
        <f>IF(OR(FA$8="判定対象外",FD$8="判定対象外",FD398="-"),"-",IF(FA398=FD398,"OK","NG"))</f>
        <v>OK</v>
      </c>
      <c r="FF398" s="160"/>
      <c r="FG398" s="162"/>
      <c r="FH398" s="167" t="str">
        <f t="shared" si="583"/>
        <v xml:space="preserve">  </v>
      </c>
      <c r="FI398" s="174" t="str">
        <f t="shared" si="600"/>
        <v>NG</v>
      </c>
      <c r="FJ398" s="162"/>
      <c r="FK398" s="276" t="str">
        <f>IF(OR(FG$8="判定対象外",FJ$8="判定対象外",FJ398="-"),"-",IF(FG398=FJ398,"OK","NG"))</f>
        <v>OK</v>
      </c>
      <c r="FL398" s="160"/>
      <c r="FM398" s="162"/>
      <c r="FN398" s="167" t="str">
        <f t="shared" si="584"/>
        <v xml:space="preserve">  </v>
      </c>
      <c r="FO398" s="174" t="str">
        <f t="shared" si="615"/>
        <v>NG</v>
      </c>
      <c r="FP398" s="162"/>
      <c r="FQ398" s="276" t="str">
        <f>IF(OR(FM$8="判定対象外",FP$8="判定対象外",FP398="-"),"-",IF(FM398=FP398,"OK","NG"))</f>
        <v>OK</v>
      </c>
      <c r="FR398" s="160"/>
      <c r="FS398" s="162"/>
      <c r="FT398" s="167" t="str">
        <f t="shared" si="585"/>
        <v xml:space="preserve">  </v>
      </c>
      <c r="FU398" s="174" t="str">
        <f t="shared" si="616"/>
        <v>NG</v>
      </c>
      <c r="FV398" s="162"/>
      <c r="FW398" s="276" t="str">
        <f>IF(OR(FS$8="判定対象外",FV$8="判定対象外",FV398="-"),"-",IF(FS398=FV398,"OK","NG"))</f>
        <v>OK</v>
      </c>
      <c r="FX398" s="160"/>
      <c r="FY398" s="162"/>
      <c r="FZ398" s="167" t="str">
        <f t="shared" si="586"/>
        <v xml:space="preserve">  </v>
      </c>
      <c r="GA398" s="174" t="str">
        <f t="shared" si="617"/>
        <v>NG</v>
      </c>
      <c r="GB398" s="162"/>
      <c r="GC398" s="276" t="str">
        <f>IF(OR(FY$8="判定対象外",GB$8="判定対象外",GB398="-"),"-",IF(FY398=GB398,"OK","NG"))</f>
        <v>OK</v>
      </c>
    </row>
    <row r="399" spans="1:185" s="52" customFormat="1" ht="344.25">
      <c r="B399" s="48">
        <f t="shared" si="587"/>
        <v>392</v>
      </c>
      <c r="C399" s="37"/>
      <c r="D399" s="37"/>
      <c r="E399" s="37"/>
      <c r="F399" s="188" t="s">
        <v>320</v>
      </c>
      <c r="G399" s="39"/>
      <c r="H399" s="40"/>
      <c r="I399" s="42"/>
      <c r="J399" s="42" t="s">
        <v>316</v>
      </c>
      <c r="K399" s="42"/>
      <c r="L399" s="42"/>
      <c r="M399" s="189" t="s">
        <v>321</v>
      </c>
      <c r="N399" s="63"/>
      <c r="O399" s="143"/>
      <c r="P399" s="45">
        <f>P398+1</f>
        <v>363</v>
      </c>
      <c r="Q399" s="46">
        <v>2</v>
      </c>
      <c r="R399" s="41" t="str">
        <f t="shared" si="618"/>
        <v>X</v>
      </c>
      <c r="S399" s="185" t="s">
        <v>100</v>
      </c>
      <c r="T399" s="43"/>
      <c r="U399" s="41" t="s">
        <v>80</v>
      </c>
      <c r="V399" s="44"/>
      <c r="W399" s="22">
        <v>3</v>
      </c>
      <c r="X399" s="47" t="s">
        <v>162</v>
      </c>
      <c r="Y399" s="47">
        <v>2</v>
      </c>
      <c r="Z399" s="47">
        <v>2</v>
      </c>
      <c r="AA399" s="42" t="s">
        <v>163</v>
      </c>
      <c r="AB399" s="42" t="s">
        <v>57</v>
      </c>
      <c r="AC399" s="166"/>
      <c r="AD399" s="160"/>
      <c r="AE399" s="162"/>
      <c r="AF399" s="167" t="str">
        <f t="shared" si="562"/>
        <v xml:space="preserve">  </v>
      </c>
      <c r="AG399" s="174" t="str">
        <f t="shared" si="601"/>
        <v>NG</v>
      </c>
      <c r="AH399" s="162"/>
      <c r="AI399" s="276" t="str">
        <f>IF(OR(AE$8="判定対象外",AH$8="判定対象外",AH399="-"),"-",IF(AE399=AH399,"OK","NG"))</f>
        <v>OK</v>
      </c>
      <c r="AJ399" s="160"/>
      <c r="AK399" s="162"/>
      <c r="AL399" s="167" t="str">
        <f t="shared" si="619"/>
        <v xml:space="preserve">  </v>
      </c>
      <c r="AM399" s="174" t="str">
        <f t="shared" si="588"/>
        <v>NG</v>
      </c>
      <c r="AN399" s="162"/>
      <c r="AO399" s="276" t="str">
        <f>IF(OR(AK$8="判定対象外",AN$8="判定対象外",AN399="-"),"-",IF(AK399=AN399,"OK","NG"))</f>
        <v>OK</v>
      </c>
      <c r="AP399" s="160"/>
      <c r="AQ399" s="162"/>
      <c r="AR399" s="167" t="str">
        <f t="shared" si="563"/>
        <v xml:space="preserve">  </v>
      </c>
      <c r="AS399" s="174" t="str">
        <f t="shared" si="602"/>
        <v>NG</v>
      </c>
      <c r="AT399" s="162"/>
      <c r="AU399" s="276" t="str">
        <f>IF(OR(AQ$8="判定対象外",AT$8="判定対象外",AT399="-"),"-",IF(AQ399=AT399,"OK","NG"))</f>
        <v>OK</v>
      </c>
      <c r="AV399" s="160"/>
      <c r="AW399" s="162"/>
      <c r="AX399" s="167" t="str">
        <f t="shared" si="564"/>
        <v xml:space="preserve">  </v>
      </c>
      <c r="AY399" s="174" t="str">
        <f t="shared" si="603"/>
        <v>NG</v>
      </c>
      <c r="AZ399" s="162"/>
      <c r="BA399" s="276" t="str">
        <f>IF(OR(AW$8="判定対象外",AZ$8="判定対象外",AZ399="-"),"-",IF(AW399=AZ399,"OK","NG"))</f>
        <v>OK</v>
      </c>
      <c r="BB399" s="160"/>
      <c r="BC399" s="162"/>
      <c r="BD399" s="167" t="str">
        <f t="shared" si="565"/>
        <v xml:space="preserve">  </v>
      </c>
      <c r="BE399" s="174" t="str">
        <f t="shared" si="604"/>
        <v>NG</v>
      </c>
      <c r="BF399" s="162"/>
      <c r="BG399" s="276" t="str">
        <f>IF(OR(BC$8="判定対象外",BF$8="判定対象外",BF399="-"),"-",IF(BC399=BF399,"OK","NG"))</f>
        <v>OK</v>
      </c>
      <c r="BH399" s="160"/>
      <c r="BI399" s="162"/>
      <c r="BJ399" s="167" t="str">
        <f t="shared" si="566"/>
        <v xml:space="preserve">  </v>
      </c>
      <c r="BK399" s="174" t="str">
        <f t="shared" si="605"/>
        <v>NG</v>
      </c>
      <c r="BL399" s="162"/>
      <c r="BM399" s="276" t="str">
        <f>IF(OR(BI$8="判定対象外",BL$8="判定対象外",BL399="-"),"-",IF(BI399=BL399,"OK","NG"))</f>
        <v>OK</v>
      </c>
      <c r="BN399" s="160"/>
      <c r="BO399" s="162"/>
      <c r="BP399" s="167" t="str">
        <f t="shared" si="567"/>
        <v xml:space="preserve">  </v>
      </c>
      <c r="BQ399" s="174" t="str">
        <f t="shared" si="606"/>
        <v>NG</v>
      </c>
      <c r="BR399" s="162"/>
      <c r="BS399" s="276" t="str">
        <f>IF(OR(BO$8="判定対象外",BR$8="判定対象外",BR399="-"),"-",IF(BO399=BR399,"OK","NG"))</f>
        <v>OK</v>
      </c>
      <c r="BT399" s="160"/>
      <c r="BU399" s="162"/>
      <c r="BV399" s="167" t="str">
        <f t="shared" si="568"/>
        <v xml:space="preserve">  </v>
      </c>
      <c r="BW399" s="174" t="str">
        <f t="shared" si="607"/>
        <v>NG</v>
      </c>
      <c r="BX399" s="162"/>
      <c r="BY399" s="276" t="str">
        <f>IF(OR(BU$8="判定対象外",BX$8="判定対象外",BX399="-"),"-",IF(BU399=BX399,"OK","NG"))</f>
        <v>OK</v>
      </c>
      <c r="BZ399" s="160"/>
      <c r="CA399" s="162"/>
      <c r="CB399" s="167" t="str">
        <f t="shared" si="569"/>
        <v xml:space="preserve">  </v>
      </c>
      <c r="CC399" s="174" t="str">
        <f t="shared" si="608"/>
        <v>NG</v>
      </c>
      <c r="CD399" s="162"/>
      <c r="CE399" s="276" t="str">
        <f>IF(OR(CA$8="判定対象外",CD$8="判定対象外",CD399="-"),"-",IF(CA399=CD399,"OK","NG"))</f>
        <v>OK</v>
      </c>
      <c r="CF399" s="160"/>
      <c r="CG399" s="162"/>
      <c r="CH399" s="167" t="str">
        <f t="shared" si="570"/>
        <v xml:space="preserve">  </v>
      </c>
      <c r="CI399" s="174" t="str">
        <f t="shared" si="609"/>
        <v>NG</v>
      </c>
      <c r="CJ399" s="162"/>
      <c r="CK399" s="276" t="str">
        <f>IF(OR(CG$8="判定対象外",CJ$8="判定対象外",CJ399="-"),"-",IF(CG399=CJ399,"OK","NG"))</f>
        <v>OK</v>
      </c>
      <c r="CL399" s="160"/>
      <c r="CM399" s="162"/>
      <c r="CN399" s="167" t="str">
        <f t="shared" si="571"/>
        <v xml:space="preserve">  </v>
      </c>
      <c r="CO399" s="174" t="str">
        <f t="shared" si="610"/>
        <v>NG</v>
      </c>
      <c r="CP399" s="162"/>
      <c r="CQ399" s="276" t="str">
        <f>IF(OR(CM$8="判定対象外",CP$8="判定対象外",CP399="-"),"-",IF(CM399=CP399,"OK","NG"))</f>
        <v>OK</v>
      </c>
      <c r="CR399" s="160"/>
      <c r="CS399" s="162"/>
      <c r="CT399" s="167" t="str">
        <f t="shared" si="572"/>
        <v xml:space="preserve">  </v>
      </c>
      <c r="CU399" s="174" t="str">
        <f t="shared" si="611"/>
        <v>NG</v>
      </c>
      <c r="CV399" s="162"/>
      <c r="CW399" s="276" t="str">
        <f>IF(OR(CS$8="判定対象外",CV$8="判定対象外",CV399="-"),"-",IF(CS399=CV399,"OK","NG"))</f>
        <v>OK</v>
      </c>
      <c r="CX399" s="160"/>
      <c r="CY399" s="162"/>
      <c r="CZ399" s="167" t="str">
        <f t="shared" si="573"/>
        <v xml:space="preserve">  </v>
      </c>
      <c r="DA399" s="174" t="str">
        <f t="shared" si="612"/>
        <v>NG</v>
      </c>
      <c r="DB399" s="162"/>
      <c r="DC399" s="276" t="str">
        <f>IF(OR(CY$8="判定対象外",DB$8="判定対象外",DB399="-"),"-",IF(CY399=DB399,"OK","NG"))</f>
        <v>OK</v>
      </c>
      <c r="DD399" s="160"/>
      <c r="DE399" s="162"/>
      <c r="DF399" s="167" t="str">
        <f t="shared" si="574"/>
        <v xml:space="preserve">  </v>
      </c>
      <c r="DG399" s="174" t="str">
        <f t="shared" si="613"/>
        <v>NG</v>
      </c>
      <c r="DH399" s="162"/>
      <c r="DI399" s="276" t="str">
        <f>IF(OR(DE$8="判定対象外",DH$8="判定対象外",DH399="-"),"-",IF(DE399=DH399,"OK","NG"))</f>
        <v>OK</v>
      </c>
      <c r="DJ399" s="160"/>
      <c r="DK399" s="162"/>
      <c r="DL399" s="167" t="str">
        <f t="shared" si="575"/>
        <v xml:space="preserve">  </v>
      </c>
      <c r="DM399" s="174" t="str">
        <f t="shared" si="614"/>
        <v>NG</v>
      </c>
      <c r="DN399" s="162"/>
      <c r="DO399" s="276" t="str">
        <f>IF(OR(DK$8="判定対象外",DN$8="判定対象外",DN399="-"),"-",IF(DK399=DN399,"OK","NG"))</f>
        <v>OK</v>
      </c>
      <c r="DP399" s="160"/>
      <c r="DQ399" s="162"/>
      <c r="DR399" s="167" t="str">
        <f t="shared" si="576"/>
        <v xml:space="preserve">  </v>
      </c>
      <c r="DS399" s="174" t="str">
        <f t="shared" si="593"/>
        <v>NG</v>
      </c>
      <c r="DT399" s="162"/>
      <c r="DU399" s="276" t="str">
        <f>IF(OR(DQ$8="判定対象外",DT$8="判定対象外",DT399="-"),"-",IF(DQ399=DT399,"OK","NG"))</f>
        <v>OK</v>
      </c>
      <c r="DV399" s="160"/>
      <c r="DW399" s="162"/>
      <c r="DX399" s="167" t="str">
        <f t="shared" si="577"/>
        <v xml:space="preserve">  </v>
      </c>
      <c r="DY399" s="174" t="str">
        <f t="shared" si="594"/>
        <v>NG</v>
      </c>
      <c r="DZ399" s="162"/>
      <c r="EA399" s="276" t="str">
        <f>IF(OR(DW$8="判定対象外",DZ$8="判定対象外",DZ399="-"),"-",IF(DW399=DZ399,"OK","NG"))</f>
        <v>OK</v>
      </c>
      <c r="EB399" s="160"/>
      <c r="EC399" s="162"/>
      <c r="ED399" s="167" t="str">
        <f t="shared" si="578"/>
        <v xml:space="preserve">  </v>
      </c>
      <c r="EE399" s="174" t="str">
        <f t="shared" si="595"/>
        <v>NG</v>
      </c>
      <c r="EF399" s="162"/>
      <c r="EG399" s="276" t="str">
        <f>IF(OR(EC$8="判定対象外",EF$8="判定対象外",EF399="-"),"-",IF(EC399=EF399,"OK","NG"))</f>
        <v>OK</v>
      </c>
      <c r="EH399" s="160"/>
      <c r="EI399" s="162"/>
      <c r="EJ399" s="167" t="str">
        <f t="shared" si="579"/>
        <v xml:space="preserve">  </v>
      </c>
      <c r="EK399" s="174" t="str">
        <f t="shared" si="596"/>
        <v>NG</v>
      </c>
      <c r="EL399" s="162"/>
      <c r="EM399" s="276" t="str">
        <f>IF(OR(EI$8="判定対象外",EL$8="判定対象外",EL399="-"),"-",IF(EI399=EL399,"OK","NG"))</f>
        <v>OK</v>
      </c>
      <c r="EN399" s="160"/>
      <c r="EO399" s="162"/>
      <c r="EP399" s="167" t="str">
        <f t="shared" si="580"/>
        <v xml:space="preserve">  </v>
      </c>
      <c r="EQ399" s="174" t="str">
        <f t="shared" si="597"/>
        <v>NG</v>
      </c>
      <c r="ER399" s="162"/>
      <c r="ES399" s="276" t="str">
        <f>IF(OR(EO$8="判定対象外",ER$8="判定対象外",ER399="-"),"-",IF(EO399=ER399,"OK","NG"))</f>
        <v>OK</v>
      </c>
      <c r="ET399" s="160"/>
      <c r="EU399" s="162"/>
      <c r="EV399" s="167" t="str">
        <f t="shared" si="581"/>
        <v xml:space="preserve">  </v>
      </c>
      <c r="EW399" s="174" t="str">
        <f t="shared" si="598"/>
        <v>NG</v>
      </c>
      <c r="EX399" s="162"/>
      <c r="EY399" s="276" t="str">
        <f>IF(OR(EU$8="判定対象外",EX$8="判定対象外",EX399="-"),"-",IF(EU399=EX399,"OK","NG"))</f>
        <v>OK</v>
      </c>
      <c r="EZ399" s="160"/>
      <c r="FA399" s="162"/>
      <c r="FB399" s="167" t="str">
        <f t="shared" si="582"/>
        <v xml:space="preserve">  </v>
      </c>
      <c r="FC399" s="174" t="str">
        <f t="shared" si="599"/>
        <v>NG</v>
      </c>
      <c r="FD399" s="162"/>
      <c r="FE399" s="276" t="str">
        <f>IF(OR(FA$8="判定対象外",FD$8="判定対象外",FD399="-"),"-",IF(FA399=FD399,"OK","NG"))</f>
        <v>OK</v>
      </c>
      <c r="FF399" s="160"/>
      <c r="FG399" s="162"/>
      <c r="FH399" s="167" t="str">
        <f t="shared" si="583"/>
        <v xml:space="preserve">  </v>
      </c>
      <c r="FI399" s="174" t="str">
        <f t="shared" si="600"/>
        <v>NG</v>
      </c>
      <c r="FJ399" s="162"/>
      <c r="FK399" s="276" t="str">
        <f>IF(OR(FG$8="判定対象外",FJ$8="判定対象外",FJ399="-"),"-",IF(FG399=FJ399,"OK","NG"))</f>
        <v>OK</v>
      </c>
      <c r="FL399" s="160"/>
      <c r="FM399" s="162"/>
      <c r="FN399" s="167" t="str">
        <f t="shared" si="584"/>
        <v xml:space="preserve">  </v>
      </c>
      <c r="FO399" s="174" t="str">
        <f t="shared" si="615"/>
        <v>NG</v>
      </c>
      <c r="FP399" s="162"/>
      <c r="FQ399" s="276" t="str">
        <f>IF(OR(FM$8="判定対象外",FP$8="判定対象外",FP399="-"),"-",IF(FM399=FP399,"OK","NG"))</f>
        <v>OK</v>
      </c>
      <c r="FR399" s="160"/>
      <c r="FS399" s="162"/>
      <c r="FT399" s="167" t="str">
        <f t="shared" si="585"/>
        <v xml:space="preserve">  </v>
      </c>
      <c r="FU399" s="174" t="str">
        <f t="shared" si="616"/>
        <v>NG</v>
      </c>
      <c r="FV399" s="162"/>
      <c r="FW399" s="276" t="str">
        <f>IF(OR(FS$8="判定対象外",FV$8="判定対象外",FV399="-"),"-",IF(FS399=FV399,"OK","NG"))</f>
        <v>OK</v>
      </c>
      <c r="FX399" s="160"/>
      <c r="FY399" s="162"/>
      <c r="FZ399" s="167" t="str">
        <f t="shared" si="586"/>
        <v xml:space="preserve">  </v>
      </c>
      <c r="GA399" s="174" t="str">
        <f t="shared" si="617"/>
        <v>NG</v>
      </c>
      <c r="GB399" s="162"/>
      <c r="GC399" s="276" t="str">
        <f>IF(OR(FY$8="判定対象外",GB$8="判定対象外",GB399="-"),"-",IF(FY399=GB399,"OK","NG"))</f>
        <v>OK</v>
      </c>
    </row>
    <row r="400" spans="1:185" s="52" customFormat="1">
      <c r="B400" s="48">
        <f t="shared" si="587"/>
        <v>393</v>
      </c>
      <c r="C400" s="37"/>
      <c r="D400" s="37"/>
      <c r="E400" s="37"/>
      <c r="F400" s="49" t="s">
        <v>322</v>
      </c>
      <c r="G400" s="39"/>
      <c r="H400" s="40"/>
      <c r="I400" s="42"/>
      <c r="J400" s="42"/>
      <c r="K400" s="42"/>
      <c r="L400" s="42"/>
      <c r="M400" s="213" t="s">
        <v>323</v>
      </c>
      <c r="N400" s="63"/>
      <c r="O400" s="143"/>
      <c r="P400" s="45">
        <f t="shared" ref="P400:P426" si="620">P399+1</f>
        <v>364</v>
      </c>
      <c r="Q400" s="46">
        <v>2</v>
      </c>
      <c r="R400" s="41" t="str">
        <f t="shared" si="618"/>
        <v>X</v>
      </c>
      <c r="S400" s="185" t="s">
        <v>190</v>
      </c>
      <c r="T400" s="43"/>
      <c r="U400" s="41" t="s">
        <v>80</v>
      </c>
      <c r="V400" s="44"/>
      <c r="W400" s="22">
        <v>3</v>
      </c>
      <c r="X400" s="47" t="s">
        <v>191</v>
      </c>
      <c r="Y400" s="47">
        <v>2</v>
      </c>
      <c r="Z400" s="47">
        <v>2</v>
      </c>
      <c r="AA400" s="42" t="s">
        <v>163</v>
      </c>
      <c r="AB400" s="42" t="s">
        <v>57</v>
      </c>
      <c r="AC400" s="166"/>
      <c r="AD400" s="160"/>
      <c r="AE400" s="141"/>
      <c r="AF400" s="203" t="str">
        <f t="shared" si="562"/>
        <v xml:space="preserve">  </v>
      </c>
      <c r="AG400" s="174" t="str">
        <f t="shared" si="601"/>
        <v>NG</v>
      </c>
      <c r="AH400" s="141"/>
      <c r="AI400" s="172" t="s">
        <v>71</v>
      </c>
      <c r="AJ400" s="160"/>
      <c r="AK400" s="141"/>
      <c r="AL400" s="203" t="str">
        <f t="shared" si="619"/>
        <v xml:space="preserve">  </v>
      </c>
      <c r="AM400" s="174" t="str">
        <f t="shared" si="588"/>
        <v>NG</v>
      </c>
      <c r="AN400" s="141"/>
      <c r="AO400" s="172" t="s">
        <v>71</v>
      </c>
      <c r="AP400" s="160"/>
      <c r="AQ400" s="141"/>
      <c r="AR400" s="203" t="str">
        <f t="shared" si="563"/>
        <v xml:space="preserve">  </v>
      </c>
      <c r="AS400" s="174" t="str">
        <f t="shared" si="602"/>
        <v>NG</v>
      </c>
      <c r="AT400" s="141"/>
      <c r="AU400" s="172" t="s">
        <v>71</v>
      </c>
      <c r="AV400" s="160"/>
      <c r="AW400" s="141"/>
      <c r="AX400" s="203" t="str">
        <f t="shared" si="564"/>
        <v xml:space="preserve">  </v>
      </c>
      <c r="AY400" s="174" t="str">
        <f t="shared" si="603"/>
        <v>NG</v>
      </c>
      <c r="AZ400" s="141"/>
      <c r="BA400" s="172" t="s">
        <v>71</v>
      </c>
      <c r="BB400" s="160"/>
      <c r="BC400" s="141"/>
      <c r="BD400" s="203" t="str">
        <f t="shared" si="565"/>
        <v xml:space="preserve">  </v>
      </c>
      <c r="BE400" s="174" t="str">
        <f t="shared" si="604"/>
        <v>NG</v>
      </c>
      <c r="BF400" s="141"/>
      <c r="BG400" s="172" t="s">
        <v>71</v>
      </c>
      <c r="BH400" s="160"/>
      <c r="BI400" s="141"/>
      <c r="BJ400" s="203" t="str">
        <f t="shared" si="566"/>
        <v xml:space="preserve">  </v>
      </c>
      <c r="BK400" s="174" t="str">
        <f t="shared" si="605"/>
        <v>NG</v>
      </c>
      <c r="BL400" s="141"/>
      <c r="BM400" s="172" t="s">
        <v>71</v>
      </c>
      <c r="BN400" s="160"/>
      <c r="BO400" s="141"/>
      <c r="BP400" s="203" t="str">
        <f t="shared" si="567"/>
        <v xml:space="preserve">  </v>
      </c>
      <c r="BQ400" s="174" t="str">
        <f t="shared" si="606"/>
        <v>NG</v>
      </c>
      <c r="BR400" s="141"/>
      <c r="BS400" s="172" t="s">
        <v>71</v>
      </c>
      <c r="BT400" s="160"/>
      <c r="BU400" s="141"/>
      <c r="BV400" s="203" t="str">
        <f t="shared" si="568"/>
        <v xml:space="preserve">  </v>
      </c>
      <c r="BW400" s="174" t="str">
        <f t="shared" si="607"/>
        <v>NG</v>
      </c>
      <c r="BX400" s="141"/>
      <c r="BY400" s="172" t="s">
        <v>71</v>
      </c>
      <c r="BZ400" s="160"/>
      <c r="CA400" s="141"/>
      <c r="CB400" s="203" t="str">
        <f t="shared" si="569"/>
        <v xml:space="preserve">  </v>
      </c>
      <c r="CC400" s="174" t="str">
        <f t="shared" si="608"/>
        <v>NG</v>
      </c>
      <c r="CD400" s="141"/>
      <c r="CE400" s="172" t="s">
        <v>71</v>
      </c>
      <c r="CF400" s="160"/>
      <c r="CG400" s="141"/>
      <c r="CH400" s="203" t="str">
        <f t="shared" si="570"/>
        <v xml:space="preserve">  </v>
      </c>
      <c r="CI400" s="174" t="str">
        <f t="shared" si="609"/>
        <v>NG</v>
      </c>
      <c r="CJ400" s="141"/>
      <c r="CK400" s="172" t="s">
        <v>71</v>
      </c>
      <c r="CL400" s="160"/>
      <c r="CM400" s="141"/>
      <c r="CN400" s="203" t="str">
        <f t="shared" si="571"/>
        <v xml:space="preserve">  </v>
      </c>
      <c r="CO400" s="174" t="str">
        <f t="shared" si="610"/>
        <v>NG</v>
      </c>
      <c r="CP400" s="141"/>
      <c r="CQ400" s="172" t="s">
        <v>71</v>
      </c>
      <c r="CR400" s="160"/>
      <c r="CS400" s="141"/>
      <c r="CT400" s="203" t="str">
        <f t="shared" si="572"/>
        <v xml:space="preserve">  </v>
      </c>
      <c r="CU400" s="174" t="str">
        <f t="shared" si="611"/>
        <v>NG</v>
      </c>
      <c r="CV400" s="141"/>
      <c r="CW400" s="172" t="s">
        <v>71</v>
      </c>
      <c r="CX400" s="160"/>
      <c r="CY400" s="141"/>
      <c r="CZ400" s="203" t="str">
        <f t="shared" si="573"/>
        <v xml:space="preserve">  </v>
      </c>
      <c r="DA400" s="174" t="str">
        <f t="shared" si="612"/>
        <v>NG</v>
      </c>
      <c r="DB400" s="141"/>
      <c r="DC400" s="172" t="s">
        <v>71</v>
      </c>
      <c r="DD400" s="160"/>
      <c r="DE400" s="141"/>
      <c r="DF400" s="203" t="str">
        <f t="shared" si="574"/>
        <v xml:space="preserve">  </v>
      </c>
      <c r="DG400" s="174" t="str">
        <f t="shared" si="613"/>
        <v>NG</v>
      </c>
      <c r="DH400" s="141"/>
      <c r="DI400" s="172" t="s">
        <v>71</v>
      </c>
      <c r="DJ400" s="160"/>
      <c r="DK400" s="141"/>
      <c r="DL400" s="203" t="str">
        <f t="shared" si="575"/>
        <v xml:space="preserve">  </v>
      </c>
      <c r="DM400" s="174" t="str">
        <f t="shared" si="614"/>
        <v>NG</v>
      </c>
      <c r="DN400" s="141"/>
      <c r="DO400" s="172" t="s">
        <v>71</v>
      </c>
      <c r="DP400" s="160"/>
      <c r="DQ400" s="141"/>
      <c r="DR400" s="203" t="str">
        <f t="shared" si="576"/>
        <v xml:space="preserve">  </v>
      </c>
      <c r="DS400" s="174" t="str">
        <f t="shared" si="593"/>
        <v>NG</v>
      </c>
      <c r="DT400" s="141"/>
      <c r="DU400" s="172" t="s">
        <v>71</v>
      </c>
      <c r="DV400" s="160"/>
      <c r="DW400" s="141"/>
      <c r="DX400" s="203" t="str">
        <f t="shared" si="577"/>
        <v xml:space="preserve">  </v>
      </c>
      <c r="DY400" s="174" t="str">
        <f t="shared" si="594"/>
        <v>NG</v>
      </c>
      <c r="DZ400" s="141"/>
      <c r="EA400" s="172" t="s">
        <v>71</v>
      </c>
      <c r="EB400" s="160"/>
      <c r="EC400" s="141"/>
      <c r="ED400" s="203" t="str">
        <f t="shared" si="578"/>
        <v xml:space="preserve">  </v>
      </c>
      <c r="EE400" s="174" t="str">
        <f t="shared" si="595"/>
        <v>NG</v>
      </c>
      <c r="EF400" s="141"/>
      <c r="EG400" s="172" t="s">
        <v>71</v>
      </c>
      <c r="EH400" s="160"/>
      <c r="EI400" s="141"/>
      <c r="EJ400" s="203" t="str">
        <f t="shared" si="579"/>
        <v xml:space="preserve">  </v>
      </c>
      <c r="EK400" s="174" t="str">
        <f t="shared" si="596"/>
        <v>NG</v>
      </c>
      <c r="EL400" s="141"/>
      <c r="EM400" s="172" t="s">
        <v>71</v>
      </c>
      <c r="EN400" s="160"/>
      <c r="EO400" s="141"/>
      <c r="EP400" s="203" t="str">
        <f t="shared" si="580"/>
        <v xml:space="preserve">  </v>
      </c>
      <c r="EQ400" s="174" t="str">
        <f t="shared" si="597"/>
        <v>NG</v>
      </c>
      <c r="ER400" s="141"/>
      <c r="ES400" s="172" t="s">
        <v>71</v>
      </c>
      <c r="ET400" s="160"/>
      <c r="EU400" s="141"/>
      <c r="EV400" s="203" t="str">
        <f t="shared" si="581"/>
        <v xml:space="preserve">  </v>
      </c>
      <c r="EW400" s="174" t="str">
        <f t="shared" si="598"/>
        <v>NG</v>
      </c>
      <c r="EX400" s="141"/>
      <c r="EY400" s="172" t="s">
        <v>71</v>
      </c>
      <c r="EZ400" s="160"/>
      <c r="FA400" s="141"/>
      <c r="FB400" s="203" t="str">
        <f t="shared" si="582"/>
        <v xml:space="preserve">  </v>
      </c>
      <c r="FC400" s="174" t="str">
        <f t="shared" si="599"/>
        <v>NG</v>
      </c>
      <c r="FD400" s="141"/>
      <c r="FE400" s="172" t="s">
        <v>71</v>
      </c>
      <c r="FF400" s="160"/>
      <c r="FG400" s="141"/>
      <c r="FH400" s="203" t="str">
        <f t="shared" si="583"/>
        <v xml:space="preserve">  </v>
      </c>
      <c r="FI400" s="174" t="str">
        <f t="shared" si="600"/>
        <v>NG</v>
      </c>
      <c r="FJ400" s="141"/>
      <c r="FK400" s="172" t="s">
        <v>71</v>
      </c>
      <c r="FL400" s="160"/>
      <c r="FM400" s="141"/>
      <c r="FN400" s="203" t="str">
        <f t="shared" si="584"/>
        <v xml:space="preserve">  </v>
      </c>
      <c r="FO400" s="174" t="str">
        <f t="shared" si="615"/>
        <v>NG</v>
      </c>
      <c r="FP400" s="141"/>
      <c r="FQ400" s="172" t="s">
        <v>71</v>
      </c>
      <c r="FR400" s="160"/>
      <c r="FS400" s="141"/>
      <c r="FT400" s="203" t="str">
        <f t="shared" si="585"/>
        <v xml:space="preserve">  </v>
      </c>
      <c r="FU400" s="174" t="str">
        <f t="shared" si="616"/>
        <v>NG</v>
      </c>
      <c r="FV400" s="141"/>
      <c r="FW400" s="172" t="s">
        <v>71</v>
      </c>
      <c r="FX400" s="160"/>
      <c r="FY400" s="141"/>
      <c r="FZ400" s="203" t="str">
        <f t="shared" si="586"/>
        <v xml:space="preserve">  </v>
      </c>
      <c r="GA400" s="174" t="str">
        <f t="shared" si="617"/>
        <v>NG</v>
      </c>
      <c r="GB400" s="141"/>
      <c r="GC400" s="172" t="s">
        <v>71</v>
      </c>
    </row>
    <row r="401" spans="2:185" s="52" customFormat="1">
      <c r="B401" s="48">
        <f t="shared" si="587"/>
        <v>394</v>
      </c>
      <c r="C401" s="37"/>
      <c r="D401" s="37"/>
      <c r="E401" s="37"/>
      <c r="F401" s="49" t="s">
        <v>192</v>
      </c>
      <c r="G401" s="39"/>
      <c r="H401" s="40"/>
      <c r="I401" s="42"/>
      <c r="J401" s="42" t="s">
        <v>316</v>
      </c>
      <c r="K401" s="42"/>
      <c r="L401" s="42"/>
      <c r="M401" s="47" t="s">
        <v>324</v>
      </c>
      <c r="N401" s="47"/>
      <c r="O401" s="143"/>
      <c r="P401" s="45">
        <f t="shared" si="620"/>
        <v>365</v>
      </c>
      <c r="Q401" s="46">
        <v>255</v>
      </c>
      <c r="R401" s="41" t="str">
        <f t="shared" si="618"/>
        <v>NX</v>
      </c>
      <c r="S401" s="185" t="s">
        <v>193</v>
      </c>
      <c r="T401" s="43"/>
      <c r="U401" s="41" t="s">
        <v>80</v>
      </c>
      <c r="V401" s="44"/>
      <c r="W401" s="22">
        <v>3</v>
      </c>
      <c r="X401" s="47" t="s">
        <v>194</v>
      </c>
      <c r="Y401" s="47">
        <v>1</v>
      </c>
      <c r="Z401" s="47">
        <v>255</v>
      </c>
      <c r="AA401" s="42" t="s">
        <v>195</v>
      </c>
      <c r="AB401" s="42" t="s">
        <v>57</v>
      </c>
      <c r="AC401" s="166"/>
      <c r="AD401" s="160"/>
      <c r="AE401" s="162"/>
      <c r="AF401" s="204" t="str">
        <f t="shared" si="562"/>
        <v xml:space="preserve">                                                                                                                                                                                                                                                               </v>
      </c>
      <c r="AG401" s="174" t="str">
        <f t="shared" si="601"/>
        <v>NG</v>
      </c>
      <c r="AH401" s="162"/>
      <c r="AI401" s="276" t="str">
        <f>IF(OR(AE$8="判定対象外",AH$8="判定対象外",AH401="-"),"-",IF(AE401=AH401,"OK","NG"))</f>
        <v>OK</v>
      </c>
      <c r="AJ401" s="160"/>
      <c r="AK401" s="162"/>
      <c r="AL401" s="204" t="str">
        <f t="shared" si="619"/>
        <v xml:space="preserve">                                                                                                                                                                                                                                                               </v>
      </c>
      <c r="AM401" s="174" t="str">
        <f t="shared" si="588"/>
        <v>NG</v>
      </c>
      <c r="AN401" s="162"/>
      <c r="AO401" s="276" t="str">
        <f>IF(OR(AK$8="判定対象外",AN$8="判定対象外",AN401="-"),"-",IF(AK401=AN401,"OK","NG"))</f>
        <v>OK</v>
      </c>
      <c r="AP401" s="160"/>
      <c r="AQ401" s="162"/>
      <c r="AR401" s="204" t="str">
        <f t="shared" si="563"/>
        <v xml:space="preserve">                                                                                                                                                                                                                                                               </v>
      </c>
      <c r="AS401" s="174" t="str">
        <f t="shared" si="602"/>
        <v>NG</v>
      </c>
      <c r="AT401" s="162"/>
      <c r="AU401" s="276" t="str">
        <f>IF(OR(AQ$8="判定対象外",AT$8="判定対象外",AT401="-"),"-",IF(AQ401=AT401,"OK","NG"))</f>
        <v>OK</v>
      </c>
      <c r="AV401" s="160"/>
      <c r="AW401" s="162"/>
      <c r="AX401" s="204" t="str">
        <f t="shared" si="564"/>
        <v xml:space="preserve">                                                                                                                                                                                                                                                               </v>
      </c>
      <c r="AY401" s="174" t="str">
        <f t="shared" si="603"/>
        <v>NG</v>
      </c>
      <c r="AZ401" s="162"/>
      <c r="BA401" s="276" t="str">
        <f>IF(OR(AW$8="判定対象外",AZ$8="判定対象外",AZ401="-"),"-",IF(AW401=AZ401,"OK","NG"))</f>
        <v>OK</v>
      </c>
      <c r="BB401" s="160"/>
      <c r="BC401" s="162"/>
      <c r="BD401" s="204" t="str">
        <f t="shared" si="565"/>
        <v xml:space="preserve">                                                                                                                                                                                                                                                               </v>
      </c>
      <c r="BE401" s="174" t="str">
        <f t="shared" si="604"/>
        <v>NG</v>
      </c>
      <c r="BF401" s="162"/>
      <c r="BG401" s="276" t="str">
        <f>IF(OR(BC$8="判定対象外",BF$8="判定対象外",BF401="-"),"-",IF(BC401=BF401,"OK","NG"))</f>
        <v>OK</v>
      </c>
      <c r="BH401" s="160"/>
      <c r="BI401" s="162"/>
      <c r="BJ401" s="204" t="str">
        <f t="shared" si="566"/>
        <v xml:space="preserve">                                                                                                                                                                                                                                                               </v>
      </c>
      <c r="BK401" s="174" t="str">
        <f t="shared" si="605"/>
        <v>NG</v>
      </c>
      <c r="BL401" s="162"/>
      <c r="BM401" s="276" t="str">
        <f>IF(OR(BI$8="判定対象外",BL$8="判定対象外",BL401="-"),"-",IF(BI401=BL401,"OK","NG"))</f>
        <v>OK</v>
      </c>
      <c r="BN401" s="160"/>
      <c r="BO401" s="162"/>
      <c r="BP401" s="204" t="str">
        <f t="shared" si="567"/>
        <v xml:space="preserve">                                                                                                                                                                                                                                                               </v>
      </c>
      <c r="BQ401" s="174" t="str">
        <f t="shared" si="606"/>
        <v>NG</v>
      </c>
      <c r="BR401" s="162"/>
      <c r="BS401" s="276" t="str">
        <f>IF(OR(BO$8="判定対象外",BR$8="判定対象外",BR401="-"),"-",IF(BO401=BR401,"OK","NG"))</f>
        <v>OK</v>
      </c>
      <c r="BT401" s="160"/>
      <c r="BU401" s="162"/>
      <c r="BV401" s="204" t="str">
        <f t="shared" si="568"/>
        <v xml:space="preserve">                                                                                                                                                                                                                                                               </v>
      </c>
      <c r="BW401" s="174" t="str">
        <f t="shared" si="607"/>
        <v>NG</v>
      </c>
      <c r="BX401" s="162"/>
      <c r="BY401" s="276" t="str">
        <f>IF(OR(BU$8="判定対象外",BX$8="判定対象外",BX401="-"),"-",IF(BU401=BX401,"OK","NG"))</f>
        <v>OK</v>
      </c>
      <c r="BZ401" s="160"/>
      <c r="CA401" s="162"/>
      <c r="CB401" s="204" t="str">
        <f t="shared" si="569"/>
        <v xml:space="preserve">                                                                                                                                                                                                                                                               </v>
      </c>
      <c r="CC401" s="174" t="str">
        <f t="shared" si="608"/>
        <v>NG</v>
      </c>
      <c r="CD401" s="162"/>
      <c r="CE401" s="276" t="str">
        <f>IF(OR(CA$8="判定対象外",CD$8="判定対象外",CD401="-"),"-",IF(CA401=CD401,"OK","NG"))</f>
        <v>OK</v>
      </c>
      <c r="CF401" s="160"/>
      <c r="CG401" s="162"/>
      <c r="CH401" s="204" t="str">
        <f t="shared" si="570"/>
        <v xml:space="preserve">                                                                                                                                                                                                                                                               </v>
      </c>
      <c r="CI401" s="174" t="str">
        <f t="shared" si="609"/>
        <v>NG</v>
      </c>
      <c r="CJ401" s="162"/>
      <c r="CK401" s="276" t="str">
        <f>IF(OR(CG$8="判定対象外",CJ$8="判定対象外",CJ401="-"),"-",IF(CG401=CJ401,"OK","NG"))</f>
        <v>OK</v>
      </c>
      <c r="CL401" s="160"/>
      <c r="CM401" s="162"/>
      <c r="CN401" s="204" t="str">
        <f t="shared" si="571"/>
        <v xml:space="preserve">                                                                                                                                                                                                                                                               </v>
      </c>
      <c r="CO401" s="174" t="str">
        <f t="shared" si="610"/>
        <v>NG</v>
      </c>
      <c r="CP401" s="162"/>
      <c r="CQ401" s="276" t="str">
        <f>IF(OR(CM$8="判定対象外",CP$8="判定対象外",CP401="-"),"-",IF(CM401=CP401,"OK","NG"))</f>
        <v>OK</v>
      </c>
      <c r="CR401" s="160"/>
      <c r="CS401" s="162"/>
      <c r="CT401" s="204" t="str">
        <f t="shared" si="572"/>
        <v xml:space="preserve">                                                                                                                                                                                                                                                               </v>
      </c>
      <c r="CU401" s="174" t="str">
        <f t="shared" si="611"/>
        <v>NG</v>
      </c>
      <c r="CV401" s="162"/>
      <c r="CW401" s="276" t="str">
        <f>IF(OR(CS$8="判定対象外",CV$8="判定対象外",CV401="-"),"-",IF(CS401=CV401,"OK","NG"))</f>
        <v>OK</v>
      </c>
      <c r="CX401" s="160"/>
      <c r="CY401" s="162"/>
      <c r="CZ401" s="204" t="str">
        <f t="shared" si="573"/>
        <v xml:space="preserve">                                                                                                                                                                                                                                                               </v>
      </c>
      <c r="DA401" s="174" t="str">
        <f t="shared" si="612"/>
        <v>NG</v>
      </c>
      <c r="DB401" s="162"/>
      <c r="DC401" s="276" t="str">
        <f>IF(OR(CY$8="判定対象外",DB$8="判定対象外",DB401="-"),"-",IF(CY401=DB401,"OK","NG"))</f>
        <v>OK</v>
      </c>
      <c r="DD401" s="160"/>
      <c r="DE401" s="162"/>
      <c r="DF401" s="204" t="str">
        <f t="shared" si="574"/>
        <v xml:space="preserve">                                                                                                                                                                                                                                                               </v>
      </c>
      <c r="DG401" s="174" t="str">
        <f t="shared" si="613"/>
        <v>NG</v>
      </c>
      <c r="DH401" s="162"/>
      <c r="DI401" s="276" t="str">
        <f>IF(OR(DE$8="判定対象外",DH$8="判定対象外",DH401="-"),"-",IF(DE401=DH401,"OK","NG"))</f>
        <v>OK</v>
      </c>
      <c r="DJ401" s="160"/>
      <c r="DK401" s="162"/>
      <c r="DL401" s="204" t="str">
        <f t="shared" si="575"/>
        <v xml:space="preserve">                                                                                                                                                                                                                                                               </v>
      </c>
      <c r="DM401" s="174" t="str">
        <f t="shared" si="614"/>
        <v>NG</v>
      </c>
      <c r="DN401" s="162"/>
      <c r="DO401" s="276" t="str">
        <f>IF(OR(DK$8="判定対象外",DN$8="判定対象外",DN401="-"),"-",IF(DK401=DN401,"OK","NG"))</f>
        <v>OK</v>
      </c>
      <c r="DP401" s="160"/>
      <c r="DQ401" s="162"/>
      <c r="DR401" s="204" t="str">
        <f t="shared" si="576"/>
        <v xml:space="preserve">                                                                                                                                                                                                                                                               </v>
      </c>
      <c r="DS401" s="174" t="str">
        <f t="shared" si="593"/>
        <v>NG</v>
      </c>
      <c r="DT401" s="162"/>
      <c r="DU401" s="276" t="str">
        <f>IF(OR(DQ$8="判定対象外",DT$8="判定対象外",DT401="-"),"-",IF(DQ401=DT401,"OK","NG"))</f>
        <v>OK</v>
      </c>
      <c r="DV401" s="160"/>
      <c r="DW401" s="162"/>
      <c r="DX401" s="204" t="str">
        <f t="shared" si="577"/>
        <v xml:space="preserve">                                                                                                                                                                                                                                                               </v>
      </c>
      <c r="DY401" s="174" t="str">
        <f t="shared" si="594"/>
        <v>NG</v>
      </c>
      <c r="DZ401" s="162"/>
      <c r="EA401" s="276" t="str">
        <f>IF(OR(DW$8="判定対象外",DZ$8="判定対象外",DZ401="-"),"-",IF(DW401=DZ401,"OK","NG"))</f>
        <v>OK</v>
      </c>
      <c r="EB401" s="160"/>
      <c r="EC401" s="162"/>
      <c r="ED401" s="204" t="str">
        <f t="shared" si="578"/>
        <v xml:space="preserve">                                                                                                                                                                                                                                                               </v>
      </c>
      <c r="EE401" s="174" t="str">
        <f t="shared" si="595"/>
        <v>NG</v>
      </c>
      <c r="EF401" s="162"/>
      <c r="EG401" s="276" t="str">
        <f>IF(OR(EC$8="判定対象外",EF$8="判定対象外",EF401="-"),"-",IF(EC401=EF401,"OK","NG"))</f>
        <v>OK</v>
      </c>
      <c r="EH401" s="160"/>
      <c r="EI401" s="162"/>
      <c r="EJ401" s="204" t="str">
        <f t="shared" si="579"/>
        <v xml:space="preserve">                                                                                                                                                                                                                                                               </v>
      </c>
      <c r="EK401" s="174" t="str">
        <f t="shared" si="596"/>
        <v>NG</v>
      </c>
      <c r="EL401" s="162"/>
      <c r="EM401" s="276" t="str">
        <f>IF(OR(EI$8="判定対象外",EL$8="判定対象外",EL401="-"),"-",IF(EI401=EL401,"OK","NG"))</f>
        <v>OK</v>
      </c>
      <c r="EN401" s="160"/>
      <c r="EO401" s="162"/>
      <c r="EP401" s="204" t="str">
        <f t="shared" si="580"/>
        <v xml:space="preserve">                                                                                                                                                                                                                                                               </v>
      </c>
      <c r="EQ401" s="174" t="str">
        <f t="shared" si="597"/>
        <v>NG</v>
      </c>
      <c r="ER401" s="162"/>
      <c r="ES401" s="276" t="str">
        <f>IF(OR(EO$8="判定対象外",ER$8="判定対象外",ER401="-"),"-",IF(EO401=ER401,"OK","NG"))</f>
        <v>OK</v>
      </c>
      <c r="ET401" s="160"/>
      <c r="EU401" s="162"/>
      <c r="EV401" s="204" t="str">
        <f t="shared" si="581"/>
        <v xml:space="preserve">                                                                                                                                                                                                                                                               </v>
      </c>
      <c r="EW401" s="174" t="str">
        <f t="shared" si="598"/>
        <v>NG</v>
      </c>
      <c r="EX401" s="162"/>
      <c r="EY401" s="276" t="str">
        <f>IF(OR(EU$8="判定対象外",EX$8="判定対象外",EX401="-"),"-",IF(EU401=EX401,"OK","NG"))</f>
        <v>OK</v>
      </c>
      <c r="EZ401" s="160"/>
      <c r="FA401" s="162"/>
      <c r="FB401" s="204" t="str">
        <f t="shared" si="582"/>
        <v xml:space="preserve">                                                                                                                                                                                                                                                               </v>
      </c>
      <c r="FC401" s="174" t="str">
        <f t="shared" si="599"/>
        <v>NG</v>
      </c>
      <c r="FD401" s="162"/>
      <c r="FE401" s="276" t="str">
        <f>IF(OR(FA$8="判定対象外",FD$8="判定対象外",FD401="-"),"-",IF(FA401=FD401,"OK","NG"))</f>
        <v>OK</v>
      </c>
      <c r="FF401" s="160"/>
      <c r="FG401" s="162"/>
      <c r="FH401" s="204" t="str">
        <f t="shared" si="583"/>
        <v xml:space="preserve">                                                                                                                                                                                                                                                               </v>
      </c>
      <c r="FI401" s="174" t="str">
        <f t="shared" si="600"/>
        <v>NG</v>
      </c>
      <c r="FJ401" s="162"/>
      <c r="FK401" s="276" t="str">
        <f>IF(OR(FG$8="判定対象外",FJ$8="判定対象外",FJ401="-"),"-",IF(FG401=FJ401,"OK","NG"))</f>
        <v>OK</v>
      </c>
      <c r="FL401" s="160"/>
      <c r="FM401" s="162"/>
      <c r="FN401" s="204" t="str">
        <f t="shared" si="584"/>
        <v xml:space="preserve">                                                                                                                                                                                                                                                               </v>
      </c>
      <c r="FO401" s="174" t="str">
        <f t="shared" si="615"/>
        <v>NG</v>
      </c>
      <c r="FP401" s="162"/>
      <c r="FQ401" s="276" t="str">
        <f>IF(OR(FM$8="判定対象外",FP$8="判定対象外",FP401="-"),"-",IF(FM401=FP401,"OK","NG"))</f>
        <v>OK</v>
      </c>
      <c r="FR401" s="160"/>
      <c r="FS401" s="162"/>
      <c r="FT401" s="204" t="str">
        <f t="shared" si="585"/>
        <v xml:space="preserve">                                                                                                                                                                                                                                                               </v>
      </c>
      <c r="FU401" s="174" t="str">
        <f t="shared" si="616"/>
        <v>NG</v>
      </c>
      <c r="FV401" s="162"/>
      <c r="FW401" s="276" t="str">
        <f>IF(OR(FS$8="判定対象外",FV$8="判定対象外",FV401="-"),"-",IF(FS401=FV401,"OK","NG"))</f>
        <v>OK</v>
      </c>
      <c r="FX401" s="160"/>
      <c r="FY401" s="162"/>
      <c r="FZ401" s="204" t="str">
        <f t="shared" si="586"/>
        <v xml:space="preserve">                                                                                                                                                                                                                                                               </v>
      </c>
      <c r="GA401" s="174" t="str">
        <f t="shared" si="617"/>
        <v>NG</v>
      </c>
      <c r="GB401" s="162"/>
      <c r="GC401" s="276" t="str">
        <f>IF(OR(FY$8="判定対象外",GB$8="判定対象外",GB401="-"),"-",IF(FY401=GB401,"OK","NG"))</f>
        <v>OK</v>
      </c>
    </row>
    <row r="402" spans="2:185" s="52" customFormat="1">
      <c r="B402" s="53">
        <f t="shared" si="587"/>
        <v>395</v>
      </c>
      <c r="C402" s="37"/>
      <c r="D402" s="37"/>
      <c r="E402" s="37"/>
      <c r="F402" s="54" t="s">
        <v>325</v>
      </c>
      <c r="G402" s="54"/>
      <c r="H402" s="55"/>
      <c r="I402" s="57"/>
      <c r="J402" s="57"/>
      <c r="K402" s="57"/>
      <c r="L402" s="57"/>
      <c r="M402" s="58" t="s">
        <v>326</v>
      </c>
      <c r="N402" s="62"/>
      <c r="O402" s="150"/>
      <c r="P402" s="45">
        <f t="shared" si="620"/>
        <v>366</v>
      </c>
      <c r="Q402" s="60">
        <v>256</v>
      </c>
      <c r="R402" s="41" t="str">
        <f t="shared" si="618"/>
        <v>NX</v>
      </c>
      <c r="S402" s="185" t="s">
        <v>196</v>
      </c>
      <c r="T402" s="43"/>
      <c r="U402" s="41" t="s">
        <v>80</v>
      </c>
      <c r="V402" s="44"/>
      <c r="W402" s="61">
        <v>3</v>
      </c>
      <c r="X402" s="62" t="s">
        <v>197</v>
      </c>
      <c r="Y402" s="62">
        <v>1</v>
      </c>
      <c r="Z402" s="62">
        <v>256</v>
      </c>
      <c r="AA402" s="57" t="s">
        <v>101</v>
      </c>
      <c r="AB402" s="57" t="s">
        <v>80</v>
      </c>
      <c r="AC402" s="214"/>
      <c r="AD402" s="160"/>
      <c r="AE402" s="141"/>
      <c r="AF402" s="203" t="str">
        <f t="shared" si="562"/>
        <v xml:space="preserve">                                                                                                                                                                                                                                                                </v>
      </c>
      <c r="AG402" s="174" t="str">
        <f t="shared" si="601"/>
        <v>NG</v>
      </c>
      <c r="AH402" s="141"/>
      <c r="AI402" s="172" t="s">
        <v>71</v>
      </c>
      <c r="AJ402" s="160"/>
      <c r="AK402" s="141"/>
      <c r="AL402" s="203" t="str">
        <f t="shared" si="619"/>
        <v xml:space="preserve">                                                                                                                                                                                                                                                                </v>
      </c>
      <c r="AM402" s="174" t="str">
        <f t="shared" si="588"/>
        <v>NG</v>
      </c>
      <c r="AN402" s="141"/>
      <c r="AO402" s="172" t="s">
        <v>71</v>
      </c>
      <c r="AP402" s="160"/>
      <c r="AQ402" s="141"/>
      <c r="AR402" s="203" t="str">
        <f t="shared" si="563"/>
        <v xml:space="preserve">                                                                                                                                                                                                                                                                </v>
      </c>
      <c r="AS402" s="174" t="str">
        <f t="shared" si="602"/>
        <v>NG</v>
      </c>
      <c r="AT402" s="141"/>
      <c r="AU402" s="172" t="s">
        <v>71</v>
      </c>
      <c r="AV402" s="160"/>
      <c r="AW402" s="141"/>
      <c r="AX402" s="203" t="str">
        <f t="shared" si="564"/>
        <v xml:space="preserve">                                                                                                                                                                                                                                                                </v>
      </c>
      <c r="AY402" s="174" t="str">
        <f t="shared" si="603"/>
        <v>NG</v>
      </c>
      <c r="AZ402" s="141"/>
      <c r="BA402" s="172" t="s">
        <v>71</v>
      </c>
      <c r="BB402" s="160"/>
      <c r="BC402" s="141"/>
      <c r="BD402" s="203" t="str">
        <f t="shared" si="565"/>
        <v xml:space="preserve">                                                                                                                                                                                                                                                                </v>
      </c>
      <c r="BE402" s="174" t="str">
        <f t="shared" si="604"/>
        <v>NG</v>
      </c>
      <c r="BF402" s="141"/>
      <c r="BG402" s="172" t="s">
        <v>71</v>
      </c>
      <c r="BH402" s="160"/>
      <c r="BI402" s="141"/>
      <c r="BJ402" s="203" t="str">
        <f t="shared" si="566"/>
        <v xml:space="preserve">                                                                                                                                                                                                                                                                </v>
      </c>
      <c r="BK402" s="174" t="str">
        <f t="shared" si="605"/>
        <v>NG</v>
      </c>
      <c r="BL402" s="141"/>
      <c r="BM402" s="172" t="s">
        <v>71</v>
      </c>
      <c r="BN402" s="160"/>
      <c r="BO402" s="141"/>
      <c r="BP402" s="203" t="str">
        <f t="shared" si="567"/>
        <v xml:space="preserve">                                                                                                                                                                                                                                                                </v>
      </c>
      <c r="BQ402" s="174" t="str">
        <f t="shared" si="606"/>
        <v>NG</v>
      </c>
      <c r="BR402" s="141"/>
      <c r="BS402" s="172" t="s">
        <v>71</v>
      </c>
      <c r="BT402" s="160"/>
      <c r="BU402" s="141"/>
      <c r="BV402" s="203" t="str">
        <f t="shared" si="568"/>
        <v xml:space="preserve">                                                                                                                                                                                                                                                                </v>
      </c>
      <c r="BW402" s="174" t="str">
        <f t="shared" si="607"/>
        <v>NG</v>
      </c>
      <c r="BX402" s="141"/>
      <c r="BY402" s="172" t="s">
        <v>71</v>
      </c>
      <c r="BZ402" s="160"/>
      <c r="CA402" s="141"/>
      <c r="CB402" s="203" t="str">
        <f t="shared" si="569"/>
        <v xml:space="preserve">                                                                                                                                                                                                                                                                </v>
      </c>
      <c r="CC402" s="174" t="str">
        <f t="shared" si="608"/>
        <v>NG</v>
      </c>
      <c r="CD402" s="141"/>
      <c r="CE402" s="172" t="s">
        <v>71</v>
      </c>
      <c r="CF402" s="160"/>
      <c r="CG402" s="141"/>
      <c r="CH402" s="203" t="str">
        <f t="shared" si="570"/>
        <v xml:space="preserve">                                                                                                                                                                                                                                                                </v>
      </c>
      <c r="CI402" s="174" t="str">
        <f t="shared" si="609"/>
        <v>NG</v>
      </c>
      <c r="CJ402" s="141"/>
      <c r="CK402" s="172" t="s">
        <v>71</v>
      </c>
      <c r="CL402" s="160"/>
      <c r="CM402" s="141"/>
      <c r="CN402" s="203" t="str">
        <f t="shared" si="571"/>
        <v xml:space="preserve">                                                                                                                                                                                                                                                                </v>
      </c>
      <c r="CO402" s="174" t="str">
        <f t="shared" si="610"/>
        <v>NG</v>
      </c>
      <c r="CP402" s="141"/>
      <c r="CQ402" s="172" t="s">
        <v>71</v>
      </c>
      <c r="CR402" s="160"/>
      <c r="CS402" s="141"/>
      <c r="CT402" s="203" t="str">
        <f t="shared" si="572"/>
        <v xml:space="preserve">                                                                                                                                                                                                                                                                </v>
      </c>
      <c r="CU402" s="174" t="str">
        <f t="shared" si="611"/>
        <v>NG</v>
      </c>
      <c r="CV402" s="141"/>
      <c r="CW402" s="172" t="s">
        <v>71</v>
      </c>
      <c r="CX402" s="160"/>
      <c r="CY402" s="141"/>
      <c r="CZ402" s="203" t="str">
        <f t="shared" si="573"/>
        <v xml:space="preserve">                                                                                                                                                                                                                                                                </v>
      </c>
      <c r="DA402" s="174" t="str">
        <f t="shared" si="612"/>
        <v>NG</v>
      </c>
      <c r="DB402" s="141"/>
      <c r="DC402" s="172" t="s">
        <v>71</v>
      </c>
      <c r="DD402" s="160"/>
      <c r="DE402" s="141"/>
      <c r="DF402" s="203" t="str">
        <f t="shared" si="574"/>
        <v xml:space="preserve">                                                                                                                                                                                                                                                                </v>
      </c>
      <c r="DG402" s="174" t="str">
        <f t="shared" si="613"/>
        <v>NG</v>
      </c>
      <c r="DH402" s="141"/>
      <c r="DI402" s="172" t="s">
        <v>71</v>
      </c>
      <c r="DJ402" s="160"/>
      <c r="DK402" s="141"/>
      <c r="DL402" s="203" t="str">
        <f t="shared" si="575"/>
        <v xml:space="preserve">                                                                                                                                                                                                                                                                </v>
      </c>
      <c r="DM402" s="174" t="str">
        <f t="shared" si="614"/>
        <v>NG</v>
      </c>
      <c r="DN402" s="141"/>
      <c r="DO402" s="172" t="s">
        <v>71</v>
      </c>
      <c r="DP402" s="160"/>
      <c r="DQ402" s="141"/>
      <c r="DR402" s="203" t="str">
        <f t="shared" si="576"/>
        <v xml:space="preserve">                                                                                                                                                                                                                                                                </v>
      </c>
      <c r="DS402" s="174" t="str">
        <f t="shared" si="593"/>
        <v>NG</v>
      </c>
      <c r="DT402" s="141"/>
      <c r="DU402" s="172" t="s">
        <v>71</v>
      </c>
      <c r="DV402" s="160"/>
      <c r="DW402" s="141"/>
      <c r="DX402" s="203" t="str">
        <f t="shared" si="577"/>
        <v xml:space="preserve">                                                                                                                                                                                                                                                                </v>
      </c>
      <c r="DY402" s="174" t="str">
        <f t="shared" si="594"/>
        <v>NG</v>
      </c>
      <c r="DZ402" s="141"/>
      <c r="EA402" s="172" t="s">
        <v>71</v>
      </c>
      <c r="EB402" s="160"/>
      <c r="EC402" s="141"/>
      <c r="ED402" s="203" t="str">
        <f t="shared" si="578"/>
        <v xml:space="preserve">                                                                                                                                                                                                                                                                </v>
      </c>
      <c r="EE402" s="174" t="str">
        <f t="shared" si="595"/>
        <v>NG</v>
      </c>
      <c r="EF402" s="141"/>
      <c r="EG402" s="172" t="s">
        <v>71</v>
      </c>
      <c r="EH402" s="160"/>
      <c r="EI402" s="141"/>
      <c r="EJ402" s="203" t="str">
        <f t="shared" si="579"/>
        <v xml:space="preserve">                                                                                                                                                                                                                                                                </v>
      </c>
      <c r="EK402" s="174" t="str">
        <f t="shared" si="596"/>
        <v>NG</v>
      </c>
      <c r="EL402" s="141"/>
      <c r="EM402" s="172" t="s">
        <v>71</v>
      </c>
      <c r="EN402" s="160"/>
      <c r="EO402" s="141"/>
      <c r="EP402" s="203" t="str">
        <f t="shared" si="580"/>
        <v xml:space="preserve">                                                                                                                                                                                                                                                                </v>
      </c>
      <c r="EQ402" s="174" t="str">
        <f t="shared" si="597"/>
        <v>NG</v>
      </c>
      <c r="ER402" s="141"/>
      <c r="ES402" s="172" t="s">
        <v>71</v>
      </c>
      <c r="ET402" s="160"/>
      <c r="EU402" s="141"/>
      <c r="EV402" s="203" t="str">
        <f t="shared" si="581"/>
        <v xml:space="preserve">                                                                                                                                                                                                                                                                </v>
      </c>
      <c r="EW402" s="174" t="str">
        <f t="shared" si="598"/>
        <v>NG</v>
      </c>
      <c r="EX402" s="141"/>
      <c r="EY402" s="172" t="s">
        <v>71</v>
      </c>
      <c r="EZ402" s="160"/>
      <c r="FA402" s="141"/>
      <c r="FB402" s="203" t="str">
        <f t="shared" si="582"/>
        <v xml:space="preserve">                                                                                                                                                                                                                                                                </v>
      </c>
      <c r="FC402" s="174" t="str">
        <f t="shared" si="599"/>
        <v>NG</v>
      </c>
      <c r="FD402" s="141"/>
      <c r="FE402" s="172" t="s">
        <v>71</v>
      </c>
      <c r="FF402" s="160"/>
      <c r="FG402" s="141"/>
      <c r="FH402" s="203" t="str">
        <f t="shared" si="583"/>
        <v xml:space="preserve">                                                                                                                                                                                                                                                                </v>
      </c>
      <c r="FI402" s="174" t="str">
        <f t="shared" si="600"/>
        <v>NG</v>
      </c>
      <c r="FJ402" s="141"/>
      <c r="FK402" s="172" t="s">
        <v>71</v>
      </c>
      <c r="FL402" s="160"/>
      <c r="FM402" s="141"/>
      <c r="FN402" s="203" t="str">
        <f t="shared" si="584"/>
        <v xml:space="preserve">                                                                                                                                                                                                                                                                </v>
      </c>
      <c r="FO402" s="174" t="str">
        <f t="shared" si="615"/>
        <v>NG</v>
      </c>
      <c r="FP402" s="141"/>
      <c r="FQ402" s="172" t="s">
        <v>71</v>
      </c>
      <c r="FR402" s="160"/>
      <c r="FS402" s="141"/>
      <c r="FT402" s="203" t="str">
        <f t="shared" si="585"/>
        <v xml:space="preserve">                                                                                                                                                                                                                                                                </v>
      </c>
      <c r="FU402" s="174" t="str">
        <f t="shared" si="616"/>
        <v>NG</v>
      </c>
      <c r="FV402" s="141"/>
      <c r="FW402" s="172" t="s">
        <v>71</v>
      </c>
      <c r="FX402" s="160"/>
      <c r="FY402" s="141"/>
      <c r="FZ402" s="203" t="str">
        <f t="shared" si="586"/>
        <v xml:space="preserve">                                                                                                                                                                                                                                                                </v>
      </c>
      <c r="GA402" s="174" t="str">
        <f t="shared" si="617"/>
        <v>NG</v>
      </c>
      <c r="GB402" s="141"/>
      <c r="GC402" s="172" t="s">
        <v>71</v>
      </c>
    </row>
    <row r="403" spans="2:185" s="52" customFormat="1" ht="63.75">
      <c r="B403" s="48">
        <f t="shared" si="587"/>
        <v>396</v>
      </c>
      <c r="C403" s="37"/>
      <c r="D403" s="37"/>
      <c r="E403" s="37"/>
      <c r="F403" s="49" t="s">
        <v>198</v>
      </c>
      <c r="G403" s="39"/>
      <c r="H403" s="40"/>
      <c r="I403" s="42"/>
      <c r="J403" s="42"/>
      <c r="K403" s="42"/>
      <c r="L403" s="42"/>
      <c r="M403" s="63" t="s">
        <v>327</v>
      </c>
      <c r="N403" s="47"/>
      <c r="O403" s="143"/>
      <c r="P403" s="45">
        <f t="shared" si="620"/>
        <v>367</v>
      </c>
      <c r="Q403" s="46">
        <v>256</v>
      </c>
      <c r="R403" s="41" t="str">
        <f t="shared" si="618"/>
        <v>NX</v>
      </c>
      <c r="S403" s="185" t="s">
        <v>199</v>
      </c>
      <c r="T403" s="43"/>
      <c r="U403" s="41" t="s">
        <v>80</v>
      </c>
      <c r="V403" s="44"/>
      <c r="W403" s="22">
        <v>3</v>
      </c>
      <c r="X403" s="47" t="s">
        <v>200</v>
      </c>
      <c r="Y403" s="47">
        <v>1</v>
      </c>
      <c r="Z403" s="47">
        <v>256</v>
      </c>
      <c r="AA403" s="42" t="s">
        <v>195</v>
      </c>
      <c r="AB403" s="42" t="s">
        <v>80</v>
      </c>
      <c r="AC403" s="166"/>
      <c r="AD403" s="160"/>
      <c r="AE403" s="162"/>
      <c r="AF403" s="167" t="str">
        <f t="shared" si="562"/>
        <v xml:space="preserve">                                                                                                                                                                                                                                                                </v>
      </c>
      <c r="AG403" s="174" t="str">
        <f t="shared" si="601"/>
        <v>NG</v>
      </c>
      <c r="AH403" s="162"/>
      <c r="AI403" s="172" t="s">
        <v>71</v>
      </c>
      <c r="AJ403" s="160"/>
      <c r="AK403" s="162"/>
      <c r="AL403" s="167" t="str">
        <f t="shared" si="619"/>
        <v xml:space="preserve">                                                                                                                                                                                                                                                                </v>
      </c>
      <c r="AM403" s="174" t="str">
        <f t="shared" si="588"/>
        <v>NG</v>
      </c>
      <c r="AN403" s="162"/>
      <c r="AO403" s="172" t="s">
        <v>71</v>
      </c>
      <c r="AP403" s="160"/>
      <c r="AQ403" s="162"/>
      <c r="AR403" s="167" t="str">
        <f t="shared" si="563"/>
        <v xml:space="preserve">                                                                                                                                                                                                                                                                </v>
      </c>
      <c r="AS403" s="174" t="str">
        <f t="shared" si="602"/>
        <v>NG</v>
      </c>
      <c r="AT403" s="162"/>
      <c r="AU403" s="172" t="s">
        <v>71</v>
      </c>
      <c r="AV403" s="160"/>
      <c r="AW403" s="162"/>
      <c r="AX403" s="167" t="str">
        <f t="shared" si="564"/>
        <v xml:space="preserve">                                                                                                                                                                                                                                                                </v>
      </c>
      <c r="AY403" s="174" t="str">
        <f t="shared" si="603"/>
        <v>NG</v>
      </c>
      <c r="AZ403" s="162"/>
      <c r="BA403" s="172" t="s">
        <v>71</v>
      </c>
      <c r="BB403" s="160"/>
      <c r="BC403" s="162"/>
      <c r="BD403" s="167" t="str">
        <f t="shared" si="565"/>
        <v xml:space="preserve">                                                                                                                                                                                                                                                                </v>
      </c>
      <c r="BE403" s="174" t="str">
        <f t="shared" si="604"/>
        <v>NG</v>
      </c>
      <c r="BF403" s="162"/>
      <c r="BG403" s="172" t="s">
        <v>71</v>
      </c>
      <c r="BH403" s="160"/>
      <c r="BI403" s="162"/>
      <c r="BJ403" s="167" t="str">
        <f t="shared" si="566"/>
        <v xml:space="preserve">                                                                                                                                                                                                                                                                </v>
      </c>
      <c r="BK403" s="174" t="str">
        <f t="shared" si="605"/>
        <v>NG</v>
      </c>
      <c r="BL403" s="162"/>
      <c r="BM403" s="172" t="s">
        <v>71</v>
      </c>
      <c r="BN403" s="160"/>
      <c r="BO403" s="162"/>
      <c r="BP403" s="167" t="str">
        <f t="shared" si="567"/>
        <v xml:space="preserve">                                                                                                                                                                                                                                                                </v>
      </c>
      <c r="BQ403" s="174" t="str">
        <f t="shared" si="606"/>
        <v>NG</v>
      </c>
      <c r="BR403" s="162"/>
      <c r="BS403" s="172" t="s">
        <v>71</v>
      </c>
      <c r="BT403" s="160"/>
      <c r="BU403" s="162"/>
      <c r="BV403" s="167" t="str">
        <f t="shared" si="568"/>
        <v xml:space="preserve">                                                                                                                                                                                                                                                                </v>
      </c>
      <c r="BW403" s="174" t="str">
        <f t="shared" si="607"/>
        <v>NG</v>
      </c>
      <c r="BX403" s="162"/>
      <c r="BY403" s="172" t="s">
        <v>71</v>
      </c>
      <c r="BZ403" s="160"/>
      <c r="CA403" s="162"/>
      <c r="CB403" s="167" t="str">
        <f t="shared" si="569"/>
        <v xml:space="preserve">                                                                                                                                                                                                                                                                </v>
      </c>
      <c r="CC403" s="174" t="str">
        <f t="shared" si="608"/>
        <v>NG</v>
      </c>
      <c r="CD403" s="162"/>
      <c r="CE403" s="172" t="s">
        <v>71</v>
      </c>
      <c r="CF403" s="160"/>
      <c r="CG403" s="162"/>
      <c r="CH403" s="167" t="str">
        <f t="shared" si="570"/>
        <v xml:space="preserve">                                                                                                                                                                                                                                                                </v>
      </c>
      <c r="CI403" s="174" t="str">
        <f t="shared" si="609"/>
        <v>NG</v>
      </c>
      <c r="CJ403" s="162"/>
      <c r="CK403" s="172" t="s">
        <v>71</v>
      </c>
      <c r="CL403" s="160"/>
      <c r="CM403" s="162"/>
      <c r="CN403" s="167" t="str">
        <f t="shared" si="571"/>
        <v xml:space="preserve">                                                                                                                                                                                                                                                                </v>
      </c>
      <c r="CO403" s="174" t="str">
        <f t="shared" si="610"/>
        <v>NG</v>
      </c>
      <c r="CP403" s="162"/>
      <c r="CQ403" s="172" t="s">
        <v>71</v>
      </c>
      <c r="CR403" s="160"/>
      <c r="CS403" s="162"/>
      <c r="CT403" s="167" t="str">
        <f t="shared" si="572"/>
        <v xml:space="preserve">                                                                                                                                                                                                                                                                </v>
      </c>
      <c r="CU403" s="174" t="str">
        <f t="shared" si="611"/>
        <v>NG</v>
      </c>
      <c r="CV403" s="162"/>
      <c r="CW403" s="172" t="s">
        <v>71</v>
      </c>
      <c r="CX403" s="160"/>
      <c r="CY403" s="162"/>
      <c r="CZ403" s="167" t="str">
        <f t="shared" si="573"/>
        <v xml:space="preserve">                                                                                                                                                                                                                                                                </v>
      </c>
      <c r="DA403" s="174" t="str">
        <f t="shared" si="612"/>
        <v>NG</v>
      </c>
      <c r="DB403" s="162"/>
      <c r="DC403" s="172" t="s">
        <v>71</v>
      </c>
      <c r="DD403" s="160"/>
      <c r="DE403" s="162"/>
      <c r="DF403" s="167" t="str">
        <f t="shared" si="574"/>
        <v xml:space="preserve">                                                                                                                                                                                                                                                                </v>
      </c>
      <c r="DG403" s="174" t="str">
        <f t="shared" si="613"/>
        <v>NG</v>
      </c>
      <c r="DH403" s="162"/>
      <c r="DI403" s="172" t="s">
        <v>71</v>
      </c>
      <c r="DJ403" s="160"/>
      <c r="DK403" s="162"/>
      <c r="DL403" s="167" t="str">
        <f t="shared" si="575"/>
        <v xml:space="preserve">                                                                                                                                                                                                                                                                </v>
      </c>
      <c r="DM403" s="174" t="str">
        <f t="shared" si="614"/>
        <v>NG</v>
      </c>
      <c r="DN403" s="162"/>
      <c r="DO403" s="172" t="s">
        <v>71</v>
      </c>
      <c r="DP403" s="160"/>
      <c r="DQ403" s="162"/>
      <c r="DR403" s="167" t="str">
        <f t="shared" si="576"/>
        <v xml:space="preserve">                                                                                                                                                                                                                                                                </v>
      </c>
      <c r="DS403" s="174" t="str">
        <f t="shared" si="593"/>
        <v>NG</v>
      </c>
      <c r="DT403" s="162"/>
      <c r="DU403" s="172" t="s">
        <v>71</v>
      </c>
      <c r="DV403" s="160"/>
      <c r="DW403" s="162"/>
      <c r="DX403" s="167" t="str">
        <f t="shared" si="577"/>
        <v xml:space="preserve">                                                                                                                                                                                                                                                                </v>
      </c>
      <c r="DY403" s="174" t="str">
        <f t="shared" si="594"/>
        <v>NG</v>
      </c>
      <c r="DZ403" s="162"/>
      <c r="EA403" s="172" t="s">
        <v>71</v>
      </c>
      <c r="EB403" s="160"/>
      <c r="EC403" s="162"/>
      <c r="ED403" s="167" t="str">
        <f t="shared" si="578"/>
        <v xml:space="preserve">                                                                                                                                                                                                                                                                </v>
      </c>
      <c r="EE403" s="174" t="str">
        <f t="shared" si="595"/>
        <v>NG</v>
      </c>
      <c r="EF403" s="162"/>
      <c r="EG403" s="172" t="s">
        <v>71</v>
      </c>
      <c r="EH403" s="160"/>
      <c r="EI403" s="162"/>
      <c r="EJ403" s="167" t="str">
        <f t="shared" si="579"/>
        <v xml:space="preserve">                                                                                                                                                                                                                                                                </v>
      </c>
      <c r="EK403" s="174" t="str">
        <f t="shared" si="596"/>
        <v>NG</v>
      </c>
      <c r="EL403" s="162"/>
      <c r="EM403" s="172" t="s">
        <v>71</v>
      </c>
      <c r="EN403" s="160"/>
      <c r="EO403" s="162"/>
      <c r="EP403" s="167" t="str">
        <f t="shared" si="580"/>
        <v xml:space="preserve">                                                                                                                                                                                                                                                                </v>
      </c>
      <c r="EQ403" s="174" t="str">
        <f t="shared" si="597"/>
        <v>NG</v>
      </c>
      <c r="ER403" s="162"/>
      <c r="ES403" s="172" t="s">
        <v>71</v>
      </c>
      <c r="ET403" s="160"/>
      <c r="EU403" s="162"/>
      <c r="EV403" s="167" t="str">
        <f t="shared" si="581"/>
        <v xml:space="preserve">                                                                                                                                                                                                                                                                </v>
      </c>
      <c r="EW403" s="174" t="str">
        <f t="shared" si="598"/>
        <v>NG</v>
      </c>
      <c r="EX403" s="162"/>
      <c r="EY403" s="172" t="s">
        <v>71</v>
      </c>
      <c r="EZ403" s="160"/>
      <c r="FA403" s="162"/>
      <c r="FB403" s="167" t="str">
        <f t="shared" si="582"/>
        <v xml:space="preserve">                                                                                                                                                                                                                                                                </v>
      </c>
      <c r="FC403" s="174" t="str">
        <f t="shared" si="599"/>
        <v>NG</v>
      </c>
      <c r="FD403" s="162"/>
      <c r="FE403" s="172" t="s">
        <v>71</v>
      </c>
      <c r="FF403" s="160"/>
      <c r="FG403" s="162"/>
      <c r="FH403" s="167" t="str">
        <f t="shared" si="583"/>
        <v xml:space="preserve">                                                                                                                                                                                                                                                                </v>
      </c>
      <c r="FI403" s="174" t="str">
        <f t="shared" si="600"/>
        <v>NG</v>
      </c>
      <c r="FJ403" s="162"/>
      <c r="FK403" s="172" t="s">
        <v>71</v>
      </c>
      <c r="FL403" s="160"/>
      <c r="FM403" s="162"/>
      <c r="FN403" s="167" t="str">
        <f t="shared" si="584"/>
        <v xml:space="preserve">                                                                                                                                                                                                                                                                </v>
      </c>
      <c r="FO403" s="174" t="str">
        <f t="shared" si="615"/>
        <v>NG</v>
      </c>
      <c r="FP403" s="162"/>
      <c r="FQ403" s="172" t="s">
        <v>71</v>
      </c>
      <c r="FR403" s="160"/>
      <c r="FS403" s="162"/>
      <c r="FT403" s="167" t="str">
        <f t="shared" si="585"/>
        <v xml:space="preserve">                                                                                                                                                                                                                                                                </v>
      </c>
      <c r="FU403" s="174" t="str">
        <f t="shared" si="616"/>
        <v>NG</v>
      </c>
      <c r="FV403" s="162"/>
      <c r="FW403" s="172" t="s">
        <v>71</v>
      </c>
      <c r="FX403" s="160"/>
      <c r="FY403" s="162"/>
      <c r="FZ403" s="167" t="str">
        <f t="shared" si="586"/>
        <v xml:space="preserve">                                                                                                                                                                                                                                                                </v>
      </c>
      <c r="GA403" s="174" t="str">
        <f t="shared" si="617"/>
        <v>NG</v>
      </c>
      <c r="GB403" s="162"/>
      <c r="GC403" s="172" t="s">
        <v>71</v>
      </c>
    </row>
    <row r="404" spans="2:185" s="52" customFormat="1" ht="63.75">
      <c r="B404" s="48">
        <f t="shared" si="587"/>
        <v>397</v>
      </c>
      <c r="C404" s="37"/>
      <c r="D404" s="37"/>
      <c r="E404" s="37"/>
      <c r="F404" s="49" t="s">
        <v>201</v>
      </c>
      <c r="G404" s="39"/>
      <c r="H404" s="40"/>
      <c r="I404" s="42"/>
      <c r="J404" s="42"/>
      <c r="K404" s="42"/>
      <c r="L404" s="42"/>
      <c r="M404" s="63" t="s">
        <v>328</v>
      </c>
      <c r="N404" s="47"/>
      <c r="O404" s="143"/>
      <c r="P404" s="45">
        <f t="shared" si="620"/>
        <v>368</v>
      </c>
      <c r="Q404" s="46">
        <v>256</v>
      </c>
      <c r="R404" s="41" t="str">
        <f t="shared" si="618"/>
        <v>NX</v>
      </c>
      <c r="S404" s="185" t="s">
        <v>202</v>
      </c>
      <c r="T404" s="43"/>
      <c r="U404" s="41" t="s">
        <v>80</v>
      </c>
      <c r="V404" s="44"/>
      <c r="W404" s="22">
        <v>3</v>
      </c>
      <c r="X404" s="47" t="s">
        <v>203</v>
      </c>
      <c r="Y404" s="47">
        <v>1</v>
      </c>
      <c r="Z404" s="47">
        <v>256</v>
      </c>
      <c r="AA404" s="42" t="s">
        <v>195</v>
      </c>
      <c r="AB404" s="42" t="s">
        <v>80</v>
      </c>
      <c r="AC404" s="166"/>
      <c r="AD404" s="160"/>
      <c r="AE404" s="162"/>
      <c r="AF404" s="167" t="str">
        <f t="shared" si="562"/>
        <v xml:space="preserve">                                                                                                                                                                                                                                                                </v>
      </c>
      <c r="AG404" s="174" t="str">
        <f t="shared" si="601"/>
        <v>NG</v>
      </c>
      <c r="AH404" s="162"/>
      <c r="AI404" s="172" t="s">
        <v>71</v>
      </c>
      <c r="AJ404" s="160"/>
      <c r="AK404" s="162"/>
      <c r="AL404" s="167" t="str">
        <f t="shared" si="619"/>
        <v xml:space="preserve">                                                                                                                                                                                                                                                                </v>
      </c>
      <c r="AM404" s="174" t="str">
        <f t="shared" si="588"/>
        <v>NG</v>
      </c>
      <c r="AN404" s="162"/>
      <c r="AO404" s="172" t="s">
        <v>71</v>
      </c>
      <c r="AP404" s="160"/>
      <c r="AQ404" s="162"/>
      <c r="AR404" s="167" t="str">
        <f t="shared" si="563"/>
        <v xml:space="preserve">                                                                                                                                                                                                                                                                </v>
      </c>
      <c r="AS404" s="174" t="str">
        <f t="shared" si="602"/>
        <v>NG</v>
      </c>
      <c r="AT404" s="162"/>
      <c r="AU404" s="172" t="s">
        <v>71</v>
      </c>
      <c r="AV404" s="160"/>
      <c r="AW404" s="162"/>
      <c r="AX404" s="167" t="str">
        <f t="shared" si="564"/>
        <v xml:space="preserve">                                                                                                                                                                                                                                                                </v>
      </c>
      <c r="AY404" s="174" t="str">
        <f t="shared" si="603"/>
        <v>NG</v>
      </c>
      <c r="AZ404" s="162"/>
      <c r="BA404" s="172" t="s">
        <v>71</v>
      </c>
      <c r="BB404" s="160"/>
      <c r="BC404" s="162"/>
      <c r="BD404" s="167" t="str">
        <f t="shared" si="565"/>
        <v xml:space="preserve">                                                                                                                                                                                                                                                                </v>
      </c>
      <c r="BE404" s="174" t="str">
        <f t="shared" si="604"/>
        <v>NG</v>
      </c>
      <c r="BF404" s="162"/>
      <c r="BG404" s="172" t="s">
        <v>71</v>
      </c>
      <c r="BH404" s="160"/>
      <c r="BI404" s="162"/>
      <c r="BJ404" s="167" t="str">
        <f t="shared" si="566"/>
        <v xml:space="preserve">                                                                                                                                                                                                                                                                </v>
      </c>
      <c r="BK404" s="174" t="str">
        <f t="shared" si="605"/>
        <v>NG</v>
      </c>
      <c r="BL404" s="162"/>
      <c r="BM404" s="172" t="s">
        <v>71</v>
      </c>
      <c r="BN404" s="160"/>
      <c r="BO404" s="162"/>
      <c r="BP404" s="167" t="str">
        <f t="shared" si="567"/>
        <v xml:space="preserve">                                                                                                                                                                                                                                                                </v>
      </c>
      <c r="BQ404" s="174" t="str">
        <f t="shared" si="606"/>
        <v>NG</v>
      </c>
      <c r="BR404" s="162"/>
      <c r="BS404" s="172" t="s">
        <v>71</v>
      </c>
      <c r="BT404" s="160"/>
      <c r="BU404" s="162"/>
      <c r="BV404" s="167" t="str">
        <f t="shared" si="568"/>
        <v xml:space="preserve">                                                                                                                                                                                                                                                                </v>
      </c>
      <c r="BW404" s="174" t="str">
        <f t="shared" si="607"/>
        <v>NG</v>
      </c>
      <c r="BX404" s="162"/>
      <c r="BY404" s="172" t="s">
        <v>71</v>
      </c>
      <c r="BZ404" s="160"/>
      <c r="CA404" s="162"/>
      <c r="CB404" s="167" t="str">
        <f t="shared" si="569"/>
        <v xml:space="preserve">                                                                                                                                                                                                                                                                </v>
      </c>
      <c r="CC404" s="174" t="str">
        <f t="shared" si="608"/>
        <v>NG</v>
      </c>
      <c r="CD404" s="162"/>
      <c r="CE404" s="172" t="s">
        <v>71</v>
      </c>
      <c r="CF404" s="160"/>
      <c r="CG404" s="162"/>
      <c r="CH404" s="167" t="str">
        <f t="shared" si="570"/>
        <v xml:space="preserve">                                                                                                                                                                                                                                                                </v>
      </c>
      <c r="CI404" s="174" t="str">
        <f t="shared" si="609"/>
        <v>NG</v>
      </c>
      <c r="CJ404" s="162"/>
      <c r="CK404" s="172" t="s">
        <v>71</v>
      </c>
      <c r="CL404" s="160"/>
      <c r="CM404" s="162"/>
      <c r="CN404" s="167" t="str">
        <f t="shared" si="571"/>
        <v xml:space="preserve">                                                                                                                                                                                                                                                                </v>
      </c>
      <c r="CO404" s="174" t="str">
        <f t="shared" si="610"/>
        <v>NG</v>
      </c>
      <c r="CP404" s="162"/>
      <c r="CQ404" s="172" t="s">
        <v>71</v>
      </c>
      <c r="CR404" s="160"/>
      <c r="CS404" s="162"/>
      <c r="CT404" s="167" t="str">
        <f t="shared" si="572"/>
        <v xml:space="preserve">                                                                                                                                                                                                                                                                </v>
      </c>
      <c r="CU404" s="174" t="str">
        <f t="shared" si="611"/>
        <v>NG</v>
      </c>
      <c r="CV404" s="162"/>
      <c r="CW404" s="172" t="s">
        <v>71</v>
      </c>
      <c r="CX404" s="160"/>
      <c r="CY404" s="162"/>
      <c r="CZ404" s="167" t="str">
        <f t="shared" si="573"/>
        <v xml:space="preserve">                                                                                                                                                                                                                                                                </v>
      </c>
      <c r="DA404" s="174" t="str">
        <f t="shared" si="612"/>
        <v>NG</v>
      </c>
      <c r="DB404" s="162"/>
      <c r="DC404" s="172" t="s">
        <v>71</v>
      </c>
      <c r="DD404" s="160"/>
      <c r="DE404" s="162"/>
      <c r="DF404" s="167" t="str">
        <f t="shared" si="574"/>
        <v xml:space="preserve">                                                                                                                                                                                                                                                                </v>
      </c>
      <c r="DG404" s="174" t="str">
        <f t="shared" si="613"/>
        <v>NG</v>
      </c>
      <c r="DH404" s="162"/>
      <c r="DI404" s="172" t="s">
        <v>71</v>
      </c>
      <c r="DJ404" s="160"/>
      <c r="DK404" s="162"/>
      <c r="DL404" s="167" t="str">
        <f t="shared" si="575"/>
        <v xml:space="preserve">                                                                                                                                                                                                                                                                </v>
      </c>
      <c r="DM404" s="174" t="str">
        <f t="shared" si="614"/>
        <v>NG</v>
      </c>
      <c r="DN404" s="162"/>
      <c r="DO404" s="172" t="s">
        <v>71</v>
      </c>
      <c r="DP404" s="160"/>
      <c r="DQ404" s="162"/>
      <c r="DR404" s="167" t="str">
        <f t="shared" si="576"/>
        <v xml:space="preserve">                                                                                                                                                                                                                                                                </v>
      </c>
      <c r="DS404" s="174" t="str">
        <f t="shared" si="593"/>
        <v>NG</v>
      </c>
      <c r="DT404" s="162"/>
      <c r="DU404" s="172" t="s">
        <v>71</v>
      </c>
      <c r="DV404" s="160"/>
      <c r="DW404" s="162"/>
      <c r="DX404" s="167" t="str">
        <f t="shared" si="577"/>
        <v xml:space="preserve">                                                                                                                                                                                                                                                                </v>
      </c>
      <c r="DY404" s="174" t="str">
        <f t="shared" si="594"/>
        <v>NG</v>
      </c>
      <c r="DZ404" s="162"/>
      <c r="EA404" s="172" t="s">
        <v>71</v>
      </c>
      <c r="EB404" s="160"/>
      <c r="EC404" s="162"/>
      <c r="ED404" s="167" t="str">
        <f t="shared" si="578"/>
        <v xml:space="preserve">                                                                                                                                                                                                                                                                </v>
      </c>
      <c r="EE404" s="174" t="str">
        <f t="shared" si="595"/>
        <v>NG</v>
      </c>
      <c r="EF404" s="162"/>
      <c r="EG404" s="172" t="s">
        <v>71</v>
      </c>
      <c r="EH404" s="160"/>
      <c r="EI404" s="162"/>
      <c r="EJ404" s="167" t="str">
        <f t="shared" si="579"/>
        <v xml:space="preserve">                                                                                                                                                                                                                                                                </v>
      </c>
      <c r="EK404" s="174" t="str">
        <f t="shared" si="596"/>
        <v>NG</v>
      </c>
      <c r="EL404" s="162"/>
      <c r="EM404" s="172" t="s">
        <v>71</v>
      </c>
      <c r="EN404" s="160"/>
      <c r="EO404" s="162"/>
      <c r="EP404" s="167" t="str">
        <f t="shared" si="580"/>
        <v xml:space="preserve">                                                                                                                                                                                                                                                                </v>
      </c>
      <c r="EQ404" s="174" t="str">
        <f t="shared" si="597"/>
        <v>NG</v>
      </c>
      <c r="ER404" s="162"/>
      <c r="ES404" s="172" t="s">
        <v>71</v>
      </c>
      <c r="ET404" s="160"/>
      <c r="EU404" s="162"/>
      <c r="EV404" s="167" t="str">
        <f t="shared" si="581"/>
        <v xml:space="preserve">                                                                                                                                                                                                                                                                </v>
      </c>
      <c r="EW404" s="174" t="str">
        <f t="shared" si="598"/>
        <v>NG</v>
      </c>
      <c r="EX404" s="162"/>
      <c r="EY404" s="172" t="s">
        <v>71</v>
      </c>
      <c r="EZ404" s="160"/>
      <c r="FA404" s="162"/>
      <c r="FB404" s="167" t="str">
        <f t="shared" si="582"/>
        <v xml:space="preserve">                                                                                                                                                                                                                                                                </v>
      </c>
      <c r="FC404" s="174" t="str">
        <f t="shared" si="599"/>
        <v>NG</v>
      </c>
      <c r="FD404" s="162"/>
      <c r="FE404" s="172" t="s">
        <v>71</v>
      </c>
      <c r="FF404" s="160"/>
      <c r="FG404" s="162"/>
      <c r="FH404" s="167" t="str">
        <f t="shared" si="583"/>
        <v xml:space="preserve">                                                                                                                                                                                                                                                                </v>
      </c>
      <c r="FI404" s="174" t="str">
        <f t="shared" si="600"/>
        <v>NG</v>
      </c>
      <c r="FJ404" s="162"/>
      <c r="FK404" s="172" t="s">
        <v>71</v>
      </c>
      <c r="FL404" s="160"/>
      <c r="FM404" s="162"/>
      <c r="FN404" s="167" t="str">
        <f t="shared" si="584"/>
        <v xml:space="preserve">                                                                                                                                                                                                                                                                </v>
      </c>
      <c r="FO404" s="174" t="str">
        <f t="shared" si="615"/>
        <v>NG</v>
      </c>
      <c r="FP404" s="162"/>
      <c r="FQ404" s="172" t="s">
        <v>71</v>
      </c>
      <c r="FR404" s="160"/>
      <c r="FS404" s="162"/>
      <c r="FT404" s="167" t="str">
        <f t="shared" si="585"/>
        <v xml:space="preserve">                                                                                                                                                                                                                                                                </v>
      </c>
      <c r="FU404" s="174" t="str">
        <f t="shared" si="616"/>
        <v>NG</v>
      </c>
      <c r="FV404" s="162"/>
      <c r="FW404" s="172" t="s">
        <v>71</v>
      </c>
      <c r="FX404" s="160"/>
      <c r="FY404" s="162"/>
      <c r="FZ404" s="167" t="str">
        <f t="shared" si="586"/>
        <v xml:space="preserve">                                                                                                                                                                                                                                                                </v>
      </c>
      <c r="GA404" s="174" t="str">
        <f t="shared" si="617"/>
        <v>NG</v>
      </c>
      <c r="GB404" s="162"/>
      <c r="GC404" s="172" t="s">
        <v>71</v>
      </c>
    </row>
    <row r="405" spans="2:185" s="52" customFormat="1" ht="69" customHeight="1">
      <c r="B405" s="53">
        <f t="shared" si="587"/>
        <v>398</v>
      </c>
      <c r="C405" s="37"/>
      <c r="D405" s="37"/>
      <c r="E405" s="37"/>
      <c r="F405" s="188" t="s">
        <v>329</v>
      </c>
      <c r="G405" s="39"/>
      <c r="H405" s="40"/>
      <c r="I405" s="42"/>
      <c r="J405" s="42" t="s">
        <v>316</v>
      </c>
      <c r="K405" s="42"/>
      <c r="L405" s="42"/>
      <c r="M405" s="63" t="s">
        <v>330</v>
      </c>
      <c r="N405" s="47"/>
      <c r="O405" s="143"/>
      <c r="P405" s="45">
        <f t="shared" si="620"/>
        <v>369</v>
      </c>
      <c r="Q405" s="46">
        <v>1</v>
      </c>
      <c r="R405" s="41" t="s">
        <v>81</v>
      </c>
      <c r="S405" s="185" t="s">
        <v>204</v>
      </c>
      <c r="T405" s="43"/>
      <c r="U405" s="41" t="s">
        <v>80</v>
      </c>
      <c r="V405" s="44"/>
      <c r="W405" s="22">
        <v>3</v>
      </c>
      <c r="X405" s="47" t="s">
        <v>205</v>
      </c>
      <c r="Y405" s="47">
        <v>1</v>
      </c>
      <c r="Z405" s="47">
        <v>1</v>
      </c>
      <c r="AA405" s="42">
        <v>9</v>
      </c>
      <c r="AB405" s="42" t="s">
        <v>57</v>
      </c>
      <c r="AC405" s="166"/>
      <c r="AD405" s="160"/>
      <c r="AE405" s="162"/>
      <c r="AF405" s="203" t="str">
        <f t="shared" ref="AF405:AF456" si="621">IF(AH405="-","-",AH405&amp;REPT(IF($R405="N","　",IF($R405="9","0"," ")),$Z405-LENB(AH405)))</f>
        <v xml:space="preserve"> </v>
      </c>
      <c r="AG405" s="174" t="str">
        <f t="shared" si="601"/>
        <v>NG</v>
      </c>
      <c r="AH405" s="162"/>
      <c r="AI405" s="276" t="str">
        <f>IF(OR(AE$8="判定対象外",AH$8="判定対象外",AH405="-"),"-",IF(AE405=AH405,"OK","NG"))</f>
        <v>OK</v>
      </c>
      <c r="AJ405" s="160"/>
      <c r="AK405" s="162"/>
      <c r="AL405" s="203" t="str">
        <f t="shared" si="619"/>
        <v xml:space="preserve"> </v>
      </c>
      <c r="AM405" s="174" t="str">
        <f t="shared" si="588"/>
        <v>NG</v>
      </c>
      <c r="AN405" s="162"/>
      <c r="AO405" s="276" t="str">
        <f>IF(OR(AK$8="判定対象外",AN$8="判定対象外",AN405="-"),"-",IF(AK405=AN405,"OK","NG"))</f>
        <v>OK</v>
      </c>
      <c r="AP405" s="160"/>
      <c r="AQ405" s="162"/>
      <c r="AR405" s="203" t="str">
        <f t="shared" ref="AR405:AR456" si="622">IF(AT405="-","-",AT405&amp;REPT(IF($R405="N","　",IF($R405="9","0"," ")),$Z405-LENB(AT405)))</f>
        <v xml:space="preserve"> </v>
      </c>
      <c r="AS405" s="174" t="str">
        <f t="shared" si="602"/>
        <v>NG</v>
      </c>
      <c r="AT405" s="162"/>
      <c r="AU405" s="276" t="str">
        <f>IF(OR(AQ$8="判定対象外",AT$8="判定対象外",AT405="-"),"-",IF(AQ405=AT405,"OK","NG"))</f>
        <v>OK</v>
      </c>
      <c r="AV405" s="160"/>
      <c r="AW405" s="162"/>
      <c r="AX405" s="203" t="str">
        <f t="shared" ref="AX405:AX456" si="623">IF(AZ405="-","-",AZ405&amp;REPT(IF($R405="N","　",IF($R405="9","0"," ")),$Z405-LENB(AZ405)))</f>
        <v xml:space="preserve"> </v>
      </c>
      <c r="AY405" s="174" t="str">
        <f t="shared" si="603"/>
        <v>NG</v>
      </c>
      <c r="AZ405" s="162"/>
      <c r="BA405" s="276" t="str">
        <f>IF(OR(AW$8="判定対象外",AZ$8="判定対象外",AZ405="-"),"-",IF(AW405=AZ405,"OK","NG"))</f>
        <v>OK</v>
      </c>
      <c r="BB405" s="160"/>
      <c r="BC405" s="162"/>
      <c r="BD405" s="203" t="str">
        <f t="shared" ref="BD405:BD456" si="624">IF(BF405="-","-",BF405&amp;REPT(IF($R405="N","　",IF($R405="9","0"," ")),$Z405-LENB(BF405)))</f>
        <v xml:space="preserve"> </v>
      </c>
      <c r="BE405" s="174" t="str">
        <f t="shared" si="604"/>
        <v>NG</v>
      </c>
      <c r="BF405" s="162"/>
      <c r="BG405" s="276" t="str">
        <f>IF(OR(BC$8="判定対象外",BF$8="判定対象外",BF405="-"),"-",IF(BC405=BF405,"OK","NG"))</f>
        <v>OK</v>
      </c>
      <c r="BH405" s="160"/>
      <c r="BI405" s="162"/>
      <c r="BJ405" s="203" t="str">
        <f t="shared" ref="BJ405:BJ456" si="625">IF(BL405="-","-",BL405&amp;REPT(IF($R405="N","　",IF($R405="9","0"," ")),$Z405-LENB(BL405)))</f>
        <v xml:space="preserve"> </v>
      </c>
      <c r="BK405" s="174" t="str">
        <f t="shared" si="605"/>
        <v>NG</v>
      </c>
      <c r="BL405" s="162"/>
      <c r="BM405" s="276" t="str">
        <f>IF(OR(BI$8="判定対象外",BL$8="判定対象外",BL405="-"),"-",IF(BI405=BL405,"OK","NG"))</f>
        <v>OK</v>
      </c>
      <c r="BN405" s="160"/>
      <c r="BO405" s="162"/>
      <c r="BP405" s="203" t="str">
        <f t="shared" ref="BP405:BP456" si="626">IF(BR405="-","-",BR405&amp;REPT(IF($R405="N","　",IF($R405="9","0"," ")),$Z405-LENB(BR405)))</f>
        <v xml:space="preserve"> </v>
      </c>
      <c r="BQ405" s="174" t="str">
        <f t="shared" si="606"/>
        <v>NG</v>
      </c>
      <c r="BR405" s="162"/>
      <c r="BS405" s="276" t="str">
        <f>IF(OR(BO$8="判定対象外",BR$8="判定対象外",BR405="-"),"-",IF(BO405=BR405,"OK","NG"))</f>
        <v>OK</v>
      </c>
      <c r="BT405" s="160"/>
      <c r="BU405" s="162"/>
      <c r="BV405" s="203" t="str">
        <f t="shared" ref="BV405:BV456" si="627">IF(BX405="-","-",BX405&amp;REPT(IF($R405="N","　",IF($R405="9","0"," ")),$Z405-LENB(BX405)))</f>
        <v xml:space="preserve"> </v>
      </c>
      <c r="BW405" s="174" t="str">
        <f t="shared" si="607"/>
        <v>NG</v>
      </c>
      <c r="BX405" s="162"/>
      <c r="BY405" s="276" t="str">
        <f>IF(OR(BU$8="判定対象外",BX$8="判定対象外",BX405="-"),"-",IF(BU405=BX405,"OK","NG"))</f>
        <v>OK</v>
      </c>
      <c r="BZ405" s="160"/>
      <c r="CA405" s="162"/>
      <c r="CB405" s="203" t="str">
        <f t="shared" ref="CB405:CB456" si="628">IF(CD405="-","-",CD405&amp;REPT(IF($R405="N","　",IF($R405="9","0"," ")),$Z405-LENB(CD405)))</f>
        <v xml:space="preserve"> </v>
      </c>
      <c r="CC405" s="174" t="str">
        <f t="shared" si="608"/>
        <v>NG</v>
      </c>
      <c r="CD405" s="162"/>
      <c r="CE405" s="276" t="str">
        <f>IF(OR(CA$8="判定対象外",CD$8="判定対象外",CD405="-"),"-",IF(CA405=CD405,"OK","NG"))</f>
        <v>OK</v>
      </c>
      <c r="CF405" s="160"/>
      <c r="CG405" s="162"/>
      <c r="CH405" s="203" t="str">
        <f t="shared" ref="CH405:CH456" si="629">IF(CJ405="-","-",CJ405&amp;REPT(IF($R405="N","　",IF($R405="9","0"," ")),$Z405-LENB(CJ405)))</f>
        <v xml:space="preserve"> </v>
      </c>
      <c r="CI405" s="174" t="str">
        <f t="shared" si="609"/>
        <v>NG</v>
      </c>
      <c r="CJ405" s="162"/>
      <c r="CK405" s="276" t="str">
        <f>IF(OR(CG$8="判定対象外",CJ$8="判定対象外",CJ405="-"),"-",IF(CG405=CJ405,"OK","NG"))</f>
        <v>OK</v>
      </c>
      <c r="CL405" s="160"/>
      <c r="CM405" s="162"/>
      <c r="CN405" s="203" t="str">
        <f t="shared" ref="CN405:CN456" si="630">IF(CP405="-","-",CP405&amp;REPT(IF($R405="N","　",IF($R405="9","0"," ")),$Z405-LENB(CP405)))</f>
        <v xml:space="preserve"> </v>
      </c>
      <c r="CO405" s="174" t="str">
        <f t="shared" si="610"/>
        <v>NG</v>
      </c>
      <c r="CP405" s="162"/>
      <c r="CQ405" s="276" t="str">
        <f>IF(OR(CM$8="判定対象外",CP$8="判定対象外",CP405="-"),"-",IF(CM405=CP405,"OK","NG"))</f>
        <v>OK</v>
      </c>
      <c r="CR405" s="160"/>
      <c r="CS405" s="162"/>
      <c r="CT405" s="203" t="str">
        <f t="shared" ref="CT405:CT456" si="631">IF(CV405="-","-",CV405&amp;REPT(IF($R405="N","　",IF($R405="9","0"," ")),$Z405-LENB(CV405)))</f>
        <v xml:space="preserve"> </v>
      </c>
      <c r="CU405" s="174" t="str">
        <f t="shared" si="611"/>
        <v>NG</v>
      </c>
      <c r="CV405" s="162"/>
      <c r="CW405" s="276" t="str">
        <f>IF(OR(CS$8="判定対象外",CV$8="判定対象外",CV405="-"),"-",IF(CS405=CV405,"OK","NG"))</f>
        <v>OK</v>
      </c>
      <c r="CX405" s="160"/>
      <c r="CY405" s="162"/>
      <c r="CZ405" s="203" t="str">
        <f t="shared" ref="CZ405:CZ456" si="632">IF(DB405="-","-",DB405&amp;REPT(IF($R405="N","　",IF($R405="9","0"," ")),$Z405-LENB(DB405)))</f>
        <v xml:space="preserve"> </v>
      </c>
      <c r="DA405" s="174" t="str">
        <f t="shared" si="612"/>
        <v>NG</v>
      </c>
      <c r="DB405" s="162"/>
      <c r="DC405" s="276" t="str">
        <f>IF(OR(CY$8="判定対象外",DB$8="判定対象外",DB405="-"),"-",IF(CY405=DB405,"OK","NG"))</f>
        <v>OK</v>
      </c>
      <c r="DD405" s="160"/>
      <c r="DE405" s="162"/>
      <c r="DF405" s="203" t="str">
        <f t="shared" ref="DF405:DF456" si="633">IF(DH405="-","-",DH405&amp;REPT(IF($R405="N","　",IF($R405="9","0"," ")),$Z405-LENB(DH405)))</f>
        <v xml:space="preserve"> </v>
      </c>
      <c r="DG405" s="174" t="str">
        <f t="shared" si="613"/>
        <v>NG</v>
      </c>
      <c r="DH405" s="162"/>
      <c r="DI405" s="276" t="str">
        <f>IF(OR(DE$8="判定対象外",DH$8="判定対象外",DH405="-"),"-",IF(DE405=DH405,"OK","NG"))</f>
        <v>OK</v>
      </c>
      <c r="DJ405" s="160"/>
      <c r="DK405" s="162"/>
      <c r="DL405" s="203" t="str">
        <f t="shared" ref="DL405:DL456" si="634">IF(DN405="-","-",DN405&amp;REPT(IF($R405="N","　",IF($R405="9","0"," ")),$Z405-LENB(DN405)))</f>
        <v xml:space="preserve"> </v>
      </c>
      <c r="DM405" s="174" t="str">
        <f t="shared" si="614"/>
        <v>NG</v>
      </c>
      <c r="DN405" s="162"/>
      <c r="DO405" s="276" t="str">
        <f>IF(OR(DK$8="判定対象外",DN$8="判定対象外",DN405="-"),"-",IF(DK405=DN405,"OK","NG"))</f>
        <v>OK</v>
      </c>
      <c r="DP405" s="160"/>
      <c r="DQ405" s="162"/>
      <c r="DR405" s="203" t="str">
        <f t="shared" ref="DR405:DR456" si="635">IF(DT405="-","-",DT405&amp;REPT(IF($R405="N","　",IF($R405="9","0"," ")),$Z405-LENB(DT405)))</f>
        <v xml:space="preserve"> </v>
      </c>
      <c r="DS405" s="174" t="str">
        <f t="shared" si="593"/>
        <v>NG</v>
      </c>
      <c r="DT405" s="162"/>
      <c r="DU405" s="276" t="str">
        <f>IF(OR(DQ$8="判定対象外",DT$8="判定対象外",DT405="-"),"-",IF(DQ405=DT405,"OK","NG"))</f>
        <v>OK</v>
      </c>
      <c r="DV405" s="160"/>
      <c r="DW405" s="162"/>
      <c r="DX405" s="203" t="str">
        <f t="shared" ref="DX405:DX456" si="636">IF(DZ405="-","-",DZ405&amp;REPT(IF($R405="N","　",IF($R405="9","0"," ")),$Z405-LENB(DZ405)))</f>
        <v xml:space="preserve"> </v>
      </c>
      <c r="DY405" s="174" t="str">
        <f t="shared" si="594"/>
        <v>NG</v>
      </c>
      <c r="DZ405" s="162"/>
      <c r="EA405" s="276" t="str">
        <f>IF(OR(DW$8="判定対象外",DZ$8="判定対象外",DZ405="-"),"-",IF(DW405=DZ405,"OK","NG"))</f>
        <v>OK</v>
      </c>
      <c r="EB405" s="160"/>
      <c r="EC405" s="162"/>
      <c r="ED405" s="203" t="str">
        <f t="shared" ref="ED405:ED456" si="637">IF(EF405="-","-",EF405&amp;REPT(IF($R405="N","　",IF($R405="9","0"," ")),$Z405-LENB(EF405)))</f>
        <v xml:space="preserve"> </v>
      </c>
      <c r="EE405" s="174" t="str">
        <f t="shared" si="595"/>
        <v>NG</v>
      </c>
      <c r="EF405" s="162"/>
      <c r="EG405" s="276" t="str">
        <f>IF(OR(EC$8="判定対象外",EF$8="判定対象外",EF405="-"),"-",IF(EC405=EF405,"OK","NG"))</f>
        <v>OK</v>
      </c>
      <c r="EH405" s="160"/>
      <c r="EI405" s="162"/>
      <c r="EJ405" s="203" t="str">
        <f t="shared" ref="EJ405:EJ456" si="638">IF(EL405="-","-",EL405&amp;REPT(IF($R405="N","　",IF($R405="9","0"," ")),$Z405-LENB(EL405)))</f>
        <v xml:space="preserve"> </v>
      </c>
      <c r="EK405" s="174" t="str">
        <f t="shared" si="596"/>
        <v>NG</v>
      </c>
      <c r="EL405" s="162"/>
      <c r="EM405" s="276" t="str">
        <f>IF(OR(EI$8="判定対象外",EL$8="判定対象外",EL405="-"),"-",IF(EI405=EL405,"OK","NG"))</f>
        <v>OK</v>
      </c>
      <c r="EN405" s="160"/>
      <c r="EO405" s="162"/>
      <c r="EP405" s="203" t="str">
        <f t="shared" ref="EP405:EP456" si="639">IF(ER405="-","-",ER405&amp;REPT(IF($R405="N","　",IF($R405="9","0"," ")),$Z405-LENB(ER405)))</f>
        <v xml:space="preserve"> </v>
      </c>
      <c r="EQ405" s="174" t="str">
        <f t="shared" si="597"/>
        <v>NG</v>
      </c>
      <c r="ER405" s="162"/>
      <c r="ES405" s="276" t="str">
        <f>IF(OR(EO$8="判定対象外",ER$8="判定対象外",ER405="-"),"-",IF(EO405=ER405,"OK","NG"))</f>
        <v>OK</v>
      </c>
      <c r="ET405" s="160"/>
      <c r="EU405" s="162"/>
      <c r="EV405" s="203" t="str">
        <f t="shared" ref="EV405:EV456" si="640">IF(EX405="-","-",EX405&amp;REPT(IF($R405="N","　",IF($R405="9","0"," ")),$Z405-LENB(EX405)))</f>
        <v xml:space="preserve"> </v>
      </c>
      <c r="EW405" s="174" t="str">
        <f t="shared" si="598"/>
        <v>NG</v>
      </c>
      <c r="EX405" s="162"/>
      <c r="EY405" s="276" t="str">
        <f>IF(OR(EU$8="判定対象外",EX$8="判定対象外",EX405="-"),"-",IF(EU405=EX405,"OK","NG"))</f>
        <v>OK</v>
      </c>
      <c r="EZ405" s="160"/>
      <c r="FA405" s="162"/>
      <c r="FB405" s="203" t="str">
        <f t="shared" ref="FB405:FB456" si="641">IF(FD405="-","-",FD405&amp;REPT(IF($R405="N","　",IF($R405="9","0"," ")),$Z405-LENB(FD405)))</f>
        <v xml:space="preserve"> </v>
      </c>
      <c r="FC405" s="174" t="str">
        <f t="shared" si="599"/>
        <v>NG</v>
      </c>
      <c r="FD405" s="162"/>
      <c r="FE405" s="276" t="str">
        <f>IF(OR(FA$8="判定対象外",FD$8="判定対象外",FD405="-"),"-",IF(FA405=FD405,"OK","NG"))</f>
        <v>OK</v>
      </c>
      <c r="FF405" s="160"/>
      <c r="FG405" s="162"/>
      <c r="FH405" s="203" t="str">
        <f t="shared" ref="FH405:FH456" si="642">IF(FJ405="-","-",FJ405&amp;REPT(IF($R405="N","　",IF($R405="9","0"," ")),$Z405-LENB(FJ405)))</f>
        <v xml:space="preserve"> </v>
      </c>
      <c r="FI405" s="174" t="str">
        <f t="shared" si="600"/>
        <v>NG</v>
      </c>
      <c r="FJ405" s="162"/>
      <c r="FK405" s="276" t="str">
        <f>IF(OR(FG$8="判定対象外",FJ$8="判定対象外",FJ405="-"),"-",IF(FG405=FJ405,"OK","NG"))</f>
        <v>OK</v>
      </c>
      <c r="FL405" s="160"/>
      <c r="FM405" s="162"/>
      <c r="FN405" s="203" t="str">
        <f t="shared" ref="FN405:FN456" si="643">IF(FP405="-","-",FP405&amp;REPT(IF($R405="N","　",IF($R405="9","0"," ")),$Z405-LENB(FP405)))</f>
        <v xml:space="preserve"> </v>
      </c>
      <c r="FO405" s="174" t="str">
        <f t="shared" si="615"/>
        <v>NG</v>
      </c>
      <c r="FP405" s="162"/>
      <c r="FQ405" s="276" t="str">
        <f>IF(OR(FM$8="判定対象外",FP$8="判定対象外",FP405="-"),"-",IF(FM405=FP405,"OK","NG"))</f>
        <v>OK</v>
      </c>
      <c r="FR405" s="160"/>
      <c r="FS405" s="162"/>
      <c r="FT405" s="203" t="str">
        <f t="shared" ref="FT405:FT456" si="644">IF(FV405="-","-",FV405&amp;REPT(IF($R405="N","　",IF($R405="9","0"," ")),$Z405-LENB(FV405)))</f>
        <v xml:space="preserve"> </v>
      </c>
      <c r="FU405" s="174" t="str">
        <f t="shared" si="616"/>
        <v>NG</v>
      </c>
      <c r="FV405" s="162"/>
      <c r="FW405" s="276" t="str">
        <f>IF(OR(FS$8="判定対象外",FV$8="判定対象外",FV405="-"),"-",IF(FS405=FV405,"OK","NG"))</f>
        <v>OK</v>
      </c>
      <c r="FX405" s="160"/>
      <c r="FY405" s="162"/>
      <c r="FZ405" s="203" t="str">
        <f t="shared" ref="FZ405:FZ456" si="645">IF(GB405="-","-",GB405&amp;REPT(IF($R405="N","　",IF($R405="9","0"," ")),$Z405-LENB(GB405)))</f>
        <v xml:space="preserve"> </v>
      </c>
      <c r="GA405" s="174" t="str">
        <f t="shared" si="617"/>
        <v>NG</v>
      </c>
      <c r="GB405" s="162"/>
      <c r="GC405" s="276" t="str">
        <f>IF(OR(FY$8="判定対象外",GB$8="判定対象外",GB405="-"),"-",IF(FY405=GB405,"OK","NG"))</f>
        <v>OK</v>
      </c>
    </row>
    <row r="406" spans="2:185" s="52" customFormat="1" ht="114.75">
      <c r="B406" s="48">
        <f t="shared" si="587"/>
        <v>399</v>
      </c>
      <c r="C406" s="37"/>
      <c r="D406" s="37"/>
      <c r="E406" s="37"/>
      <c r="F406" s="49" t="s">
        <v>206</v>
      </c>
      <c r="G406" s="39"/>
      <c r="H406" s="40"/>
      <c r="I406" s="42"/>
      <c r="J406" s="42"/>
      <c r="K406" s="42"/>
      <c r="L406" s="42"/>
      <c r="M406" s="163" t="s">
        <v>331</v>
      </c>
      <c r="N406" s="47"/>
      <c r="O406" s="143"/>
      <c r="P406" s="45">
        <f t="shared" si="620"/>
        <v>370</v>
      </c>
      <c r="Q406" s="46">
        <v>1</v>
      </c>
      <c r="R406" s="41" t="s">
        <v>81</v>
      </c>
      <c r="S406" s="185" t="s">
        <v>207</v>
      </c>
      <c r="T406" s="43"/>
      <c r="U406" s="41" t="s">
        <v>80</v>
      </c>
      <c r="V406" s="44"/>
      <c r="W406" s="22">
        <v>3</v>
      </c>
      <c r="X406" s="47" t="s">
        <v>98</v>
      </c>
      <c r="Y406" s="47">
        <v>1</v>
      </c>
      <c r="Z406" s="47">
        <v>1</v>
      </c>
      <c r="AA406" s="42">
        <v>9</v>
      </c>
      <c r="AB406" s="42" t="s">
        <v>57</v>
      </c>
      <c r="AC406" s="215"/>
      <c r="AD406" s="160"/>
      <c r="AE406" s="162"/>
      <c r="AF406" s="203" t="str">
        <f t="shared" si="621"/>
        <v xml:space="preserve"> </v>
      </c>
      <c r="AG406" s="174" t="str">
        <f t="shared" si="601"/>
        <v>NG</v>
      </c>
      <c r="AH406" s="162"/>
      <c r="AI406" s="172" t="s">
        <v>71</v>
      </c>
      <c r="AJ406" s="160"/>
      <c r="AK406" s="162"/>
      <c r="AL406" s="203" t="str">
        <f t="shared" si="619"/>
        <v xml:space="preserve"> </v>
      </c>
      <c r="AM406" s="174" t="str">
        <f t="shared" si="588"/>
        <v>NG</v>
      </c>
      <c r="AN406" s="162"/>
      <c r="AO406" s="172" t="s">
        <v>71</v>
      </c>
      <c r="AP406" s="160"/>
      <c r="AQ406" s="162"/>
      <c r="AR406" s="203" t="str">
        <f t="shared" si="622"/>
        <v xml:space="preserve"> </v>
      </c>
      <c r="AS406" s="174" t="str">
        <f t="shared" si="602"/>
        <v>NG</v>
      </c>
      <c r="AT406" s="162"/>
      <c r="AU406" s="172" t="s">
        <v>71</v>
      </c>
      <c r="AV406" s="160"/>
      <c r="AW406" s="162"/>
      <c r="AX406" s="203" t="str">
        <f t="shared" si="623"/>
        <v xml:space="preserve"> </v>
      </c>
      <c r="AY406" s="174" t="str">
        <f t="shared" si="603"/>
        <v>NG</v>
      </c>
      <c r="AZ406" s="162"/>
      <c r="BA406" s="172" t="s">
        <v>71</v>
      </c>
      <c r="BB406" s="160"/>
      <c r="BC406" s="162"/>
      <c r="BD406" s="203" t="str">
        <f t="shared" si="624"/>
        <v xml:space="preserve"> </v>
      </c>
      <c r="BE406" s="174" t="str">
        <f t="shared" si="604"/>
        <v>NG</v>
      </c>
      <c r="BF406" s="162"/>
      <c r="BG406" s="172" t="s">
        <v>71</v>
      </c>
      <c r="BH406" s="160"/>
      <c r="BI406" s="162"/>
      <c r="BJ406" s="203" t="str">
        <f t="shared" si="625"/>
        <v xml:space="preserve"> </v>
      </c>
      <c r="BK406" s="174" t="str">
        <f t="shared" si="605"/>
        <v>NG</v>
      </c>
      <c r="BL406" s="162"/>
      <c r="BM406" s="172" t="s">
        <v>71</v>
      </c>
      <c r="BN406" s="160"/>
      <c r="BO406" s="162"/>
      <c r="BP406" s="203" t="str">
        <f t="shared" si="626"/>
        <v xml:space="preserve"> </v>
      </c>
      <c r="BQ406" s="174" t="str">
        <f t="shared" si="606"/>
        <v>NG</v>
      </c>
      <c r="BR406" s="162"/>
      <c r="BS406" s="172" t="s">
        <v>71</v>
      </c>
      <c r="BT406" s="160"/>
      <c r="BU406" s="162"/>
      <c r="BV406" s="203" t="str">
        <f t="shared" si="627"/>
        <v xml:space="preserve"> </v>
      </c>
      <c r="BW406" s="174" t="str">
        <f t="shared" si="607"/>
        <v>NG</v>
      </c>
      <c r="BX406" s="162"/>
      <c r="BY406" s="172" t="s">
        <v>71</v>
      </c>
      <c r="BZ406" s="160"/>
      <c r="CA406" s="162"/>
      <c r="CB406" s="203" t="str">
        <f t="shared" si="628"/>
        <v xml:space="preserve"> </v>
      </c>
      <c r="CC406" s="174" t="str">
        <f t="shared" si="608"/>
        <v>NG</v>
      </c>
      <c r="CD406" s="162"/>
      <c r="CE406" s="172" t="s">
        <v>71</v>
      </c>
      <c r="CF406" s="160"/>
      <c r="CG406" s="162"/>
      <c r="CH406" s="203" t="str">
        <f t="shared" si="629"/>
        <v xml:space="preserve"> </v>
      </c>
      <c r="CI406" s="174" t="str">
        <f t="shared" si="609"/>
        <v>NG</v>
      </c>
      <c r="CJ406" s="162"/>
      <c r="CK406" s="172" t="s">
        <v>71</v>
      </c>
      <c r="CL406" s="160"/>
      <c r="CM406" s="162"/>
      <c r="CN406" s="203" t="str">
        <f t="shared" si="630"/>
        <v xml:space="preserve"> </v>
      </c>
      <c r="CO406" s="174" t="str">
        <f t="shared" si="610"/>
        <v>NG</v>
      </c>
      <c r="CP406" s="162"/>
      <c r="CQ406" s="172" t="s">
        <v>71</v>
      </c>
      <c r="CR406" s="160"/>
      <c r="CS406" s="162"/>
      <c r="CT406" s="203" t="str">
        <f t="shared" si="631"/>
        <v xml:space="preserve"> </v>
      </c>
      <c r="CU406" s="174" t="str">
        <f t="shared" si="611"/>
        <v>NG</v>
      </c>
      <c r="CV406" s="162"/>
      <c r="CW406" s="172" t="s">
        <v>71</v>
      </c>
      <c r="CX406" s="160"/>
      <c r="CY406" s="162"/>
      <c r="CZ406" s="203" t="str">
        <f t="shared" si="632"/>
        <v xml:space="preserve"> </v>
      </c>
      <c r="DA406" s="174" t="str">
        <f t="shared" si="612"/>
        <v>NG</v>
      </c>
      <c r="DB406" s="162"/>
      <c r="DC406" s="172" t="s">
        <v>71</v>
      </c>
      <c r="DD406" s="160"/>
      <c r="DE406" s="162"/>
      <c r="DF406" s="203" t="str">
        <f t="shared" si="633"/>
        <v xml:space="preserve"> </v>
      </c>
      <c r="DG406" s="174" t="str">
        <f t="shared" si="613"/>
        <v>NG</v>
      </c>
      <c r="DH406" s="162"/>
      <c r="DI406" s="172" t="s">
        <v>71</v>
      </c>
      <c r="DJ406" s="160"/>
      <c r="DK406" s="162"/>
      <c r="DL406" s="203" t="str">
        <f t="shared" si="634"/>
        <v xml:space="preserve"> </v>
      </c>
      <c r="DM406" s="174" t="str">
        <f t="shared" si="614"/>
        <v>NG</v>
      </c>
      <c r="DN406" s="162"/>
      <c r="DO406" s="172" t="s">
        <v>71</v>
      </c>
      <c r="DP406" s="160"/>
      <c r="DQ406" s="162"/>
      <c r="DR406" s="203" t="str">
        <f t="shared" si="635"/>
        <v xml:space="preserve"> </v>
      </c>
      <c r="DS406" s="174" t="str">
        <f t="shared" si="593"/>
        <v>NG</v>
      </c>
      <c r="DT406" s="162"/>
      <c r="DU406" s="172" t="s">
        <v>71</v>
      </c>
      <c r="DV406" s="160"/>
      <c r="DW406" s="162"/>
      <c r="DX406" s="203" t="str">
        <f t="shared" si="636"/>
        <v xml:space="preserve"> </v>
      </c>
      <c r="DY406" s="174" t="str">
        <f t="shared" si="594"/>
        <v>NG</v>
      </c>
      <c r="DZ406" s="162"/>
      <c r="EA406" s="172" t="s">
        <v>71</v>
      </c>
      <c r="EB406" s="160"/>
      <c r="EC406" s="162"/>
      <c r="ED406" s="203" t="str">
        <f t="shared" si="637"/>
        <v xml:space="preserve"> </v>
      </c>
      <c r="EE406" s="174" t="str">
        <f t="shared" si="595"/>
        <v>NG</v>
      </c>
      <c r="EF406" s="162"/>
      <c r="EG406" s="172" t="s">
        <v>71</v>
      </c>
      <c r="EH406" s="160"/>
      <c r="EI406" s="162"/>
      <c r="EJ406" s="203" t="str">
        <f t="shared" si="638"/>
        <v xml:space="preserve"> </v>
      </c>
      <c r="EK406" s="174" t="str">
        <f t="shared" si="596"/>
        <v>NG</v>
      </c>
      <c r="EL406" s="162"/>
      <c r="EM406" s="172" t="s">
        <v>71</v>
      </c>
      <c r="EN406" s="160"/>
      <c r="EO406" s="162"/>
      <c r="EP406" s="203" t="str">
        <f t="shared" si="639"/>
        <v xml:space="preserve"> </v>
      </c>
      <c r="EQ406" s="174" t="str">
        <f t="shared" si="597"/>
        <v>NG</v>
      </c>
      <c r="ER406" s="162"/>
      <c r="ES406" s="172" t="s">
        <v>71</v>
      </c>
      <c r="ET406" s="160"/>
      <c r="EU406" s="162"/>
      <c r="EV406" s="203" t="str">
        <f t="shared" si="640"/>
        <v xml:space="preserve"> </v>
      </c>
      <c r="EW406" s="174" t="str">
        <f t="shared" si="598"/>
        <v>NG</v>
      </c>
      <c r="EX406" s="162"/>
      <c r="EY406" s="172" t="s">
        <v>71</v>
      </c>
      <c r="EZ406" s="160"/>
      <c r="FA406" s="162"/>
      <c r="FB406" s="203" t="str">
        <f t="shared" si="641"/>
        <v xml:space="preserve"> </v>
      </c>
      <c r="FC406" s="174" t="str">
        <f t="shared" si="599"/>
        <v>NG</v>
      </c>
      <c r="FD406" s="162"/>
      <c r="FE406" s="172" t="s">
        <v>71</v>
      </c>
      <c r="FF406" s="160"/>
      <c r="FG406" s="162"/>
      <c r="FH406" s="203" t="str">
        <f t="shared" si="642"/>
        <v xml:space="preserve"> </v>
      </c>
      <c r="FI406" s="174" t="str">
        <f t="shared" si="600"/>
        <v>NG</v>
      </c>
      <c r="FJ406" s="162"/>
      <c r="FK406" s="172" t="s">
        <v>71</v>
      </c>
      <c r="FL406" s="160"/>
      <c r="FM406" s="162"/>
      <c r="FN406" s="203" t="str">
        <f t="shared" si="643"/>
        <v xml:space="preserve"> </v>
      </c>
      <c r="FO406" s="174" t="str">
        <f t="shared" si="615"/>
        <v>NG</v>
      </c>
      <c r="FP406" s="162"/>
      <c r="FQ406" s="172" t="s">
        <v>71</v>
      </c>
      <c r="FR406" s="160"/>
      <c r="FS406" s="162"/>
      <c r="FT406" s="203" t="str">
        <f t="shared" si="644"/>
        <v xml:space="preserve"> </v>
      </c>
      <c r="FU406" s="174" t="str">
        <f t="shared" si="616"/>
        <v>NG</v>
      </c>
      <c r="FV406" s="162"/>
      <c r="FW406" s="172" t="s">
        <v>71</v>
      </c>
      <c r="FX406" s="160"/>
      <c r="FY406" s="162"/>
      <c r="FZ406" s="203" t="str">
        <f t="shared" si="645"/>
        <v xml:space="preserve"> </v>
      </c>
      <c r="GA406" s="174" t="str">
        <f t="shared" si="617"/>
        <v>NG</v>
      </c>
      <c r="GB406" s="162"/>
      <c r="GC406" s="172" t="s">
        <v>71</v>
      </c>
    </row>
    <row r="407" spans="2:185" s="52" customFormat="1" ht="126.75" customHeight="1">
      <c r="B407" s="216">
        <f t="shared" ref="B407:B456" si="646">ROW()-7</f>
        <v>400</v>
      </c>
      <c r="C407" s="37"/>
      <c r="D407" s="37"/>
      <c r="E407" s="37"/>
      <c r="F407" s="188" t="s">
        <v>332</v>
      </c>
      <c r="G407" s="39"/>
      <c r="H407" s="40"/>
      <c r="I407" s="42"/>
      <c r="J407" s="42"/>
      <c r="K407" s="42"/>
      <c r="L407" s="42"/>
      <c r="M407" s="63" t="s">
        <v>333</v>
      </c>
      <c r="N407" s="47"/>
      <c r="O407" s="143"/>
      <c r="P407" s="45">
        <f t="shared" si="620"/>
        <v>371</v>
      </c>
      <c r="Q407" s="46">
        <v>1</v>
      </c>
      <c r="R407" s="41" t="str">
        <f t="shared" ref="R407:R424" si="647">IF(AA407="M","NX",AA407)</f>
        <v>X</v>
      </c>
      <c r="S407" s="185" t="s">
        <v>208</v>
      </c>
      <c r="T407" s="43"/>
      <c r="U407" s="41" t="s">
        <v>80</v>
      </c>
      <c r="V407" s="44"/>
      <c r="W407" s="22">
        <v>3</v>
      </c>
      <c r="X407" s="47" t="s">
        <v>209</v>
      </c>
      <c r="Y407" s="47">
        <v>1</v>
      </c>
      <c r="Z407" s="47">
        <v>1</v>
      </c>
      <c r="AA407" s="42" t="s">
        <v>81</v>
      </c>
      <c r="AB407" s="42" t="s">
        <v>80</v>
      </c>
      <c r="AC407" s="166"/>
      <c r="AD407" s="160"/>
      <c r="AE407" s="162"/>
      <c r="AF407" s="203" t="str">
        <f t="shared" si="621"/>
        <v xml:space="preserve"> </v>
      </c>
      <c r="AG407" s="174" t="str">
        <f t="shared" si="601"/>
        <v>NG</v>
      </c>
      <c r="AH407" s="162"/>
      <c r="AI407" s="276" t="str">
        <f>IF(OR(AE$8="判定対象外",AH$8="判定対象外",AH407="-"),"-",IF(AE407=AH407,"OK","NG"))</f>
        <v>OK</v>
      </c>
      <c r="AJ407" s="160"/>
      <c r="AK407" s="162"/>
      <c r="AL407" s="203" t="str">
        <f t="shared" si="619"/>
        <v xml:space="preserve"> </v>
      </c>
      <c r="AM407" s="174" t="str">
        <f t="shared" ref="AM407:AM456" si="648">IF(OR(AK$8="判定対象外",AL$8="判定対象外",AL407="-"),"-",IF(AK407=AL407,"OK","NG"))</f>
        <v>NG</v>
      </c>
      <c r="AN407" s="162"/>
      <c r="AO407" s="276" t="str">
        <f>IF(OR(AK$8="判定対象外",AN$8="判定対象外",AN407="-"),"-",IF(AK407=AN407,"OK","NG"))</f>
        <v>OK</v>
      </c>
      <c r="AP407" s="160"/>
      <c r="AQ407" s="162"/>
      <c r="AR407" s="203" t="str">
        <f t="shared" si="622"/>
        <v xml:space="preserve"> </v>
      </c>
      <c r="AS407" s="174" t="str">
        <f t="shared" si="602"/>
        <v>NG</v>
      </c>
      <c r="AT407" s="162"/>
      <c r="AU407" s="276" t="str">
        <f>IF(OR(AQ$8="判定対象外",AT$8="判定対象外",AT407="-"),"-",IF(AQ407=AT407,"OK","NG"))</f>
        <v>OK</v>
      </c>
      <c r="AV407" s="160"/>
      <c r="AW407" s="162"/>
      <c r="AX407" s="203" t="str">
        <f t="shared" si="623"/>
        <v xml:space="preserve"> </v>
      </c>
      <c r="AY407" s="174" t="str">
        <f t="shared" si="603"/>
        <v>NG</v>
      </c>
      <c r="AZ407" s="162"/>
      <c r="BA407" s="276" t="str">
        <f>IF(OR(AW$8="判定対象外",AZ$8="判定対象外",AZ407="-"),"-",IF(AW407=AZ407,"OK","NG"))</f>
        <v>OK</v>
      </c>
      <c r="BB407" s="160"/>
      <c r="BC407" s="162"/>
      <c r="BD407" s="203" t="str">
        <f t="shared" si="624"/>
        <v xml:space="preserve"> </v>
      </c>
      <c r="BE407" s="174" t="str">
        <f t="shared" si="604"/>
        <v>NG</v>
      </c>
      <c r="BF407" s="162"/>
      <c r="BG407" s="276" t="str">
        <f>IF(OR(BC$8="判定対象外",BF$8="判定対象外",BF407="-"),"-",IF(BC407=BF407,"OK","NG"))</f>
        <v>OK</v>
      </c>
      <c r="BH407" s="160"/>
      <c r="BI407" s="162"/>
      <c r="BJ407" s="203" t="str">
        <f t="shared" si="625"/>
        <v xml:space="preserve"> </v>
      </c>
      <c r="BK407" s="174" t="str">
        <f t="shared" si="605"/>
        <v>NG</v>
      </c>
      <c r="BL407" s="162"/>
      <c r="BM407" s="276" t="str">
        <f>IF(OR(BI$8="判定対象外",BL$8="判定対象外",BL407="-"),"-",IF(BI407=BL407,"OK","NG"))</f>
        <v>OK</v>
      </c>
      <c r="BN407" s="160"/>
      <c r="BO407" s="162"/>
      <c r="BP407" s="203" t="str">
        <f t="shared" si="626"/>
        <v xml:space="preserve"> </v>
      </c>
      <c r="BQ407" s="174" t="str">
        <f t="shared" si="606"/>
        <v>NG</v>
      </c>
      <c r="BR407" s="162"/>
      <c r="BS407" s="276" t="str">
        <f>IF(OR(BO$8="判定対象外",BR$8="判定対象外",BR407="-"),"-",IF(BO407=BR407,"OK","NG"))</f>
        <v>OK</v>
      </c>
      <c r="BT407" s="160"/>
      <c r="BU407" s="162"/>
      <c r="BV407" s="203" t="str">
        <f t="shared" si="627"/>
        <v xml:space="preserve"> </v>
      </c>
      <c r="BW407" s="174" t="str">
        <f t="shared" si="607"/>
        <v>NG</v>
      </c>
      <c r="BX407" s="162"/>
      <c r="BY407" s="276" t="str">
        <f>IF(OR(BU$8="判定対象外",BX$8="判定対象外",BX407="-"),"-",IF(BU407=BX407,"OK","NG"))</f>
        <v>OK</v>
      </c>
      <c r="BZ407" s="160"/>
      <c r="CA407" s="162"/>
      <c r="CB407" s="203" t="str">
        <f t="shared" si="628"/>
        <v xml:space="preserve"> </v>
      </c>
      <c r="CC407" s="174" t="str">
        <f t="shared" si="608"/>
        <v>NG</v>
      </c>
      <c r="CD407" s="162"/>
      <c r="CE407" s="276" t="str">
        <f>IF(OR(CA$8="判定対象外",CD$8="判定対象外",CD407="-"),"-",IF(CA407=CD407,"OK","NG"))</f>
        <v>OK</v>
      </c>
      <c r="CF407" s="160"/>
      <c r="CG407" s="162"/>
      <c r="CH407" s="203" t="str">
        <f t="shared" si="629"/>
        <v xml:space="preserve"> </v>
      </c>
      <c r="CI407" s="174" t="str">
        <f t="shared" si="609"/>
        <v>NG</v>
      </c>
      <c r="CJ407" s="162"/>
      <c r="CK407" s="276" t="str">
        <f>IF(OR(CG$8="判定対象外",CJ$8="判定対象外",CJ407="-"),"-",IF(CG407=CJ407,"OK","NG"))</f>
        <v>OK</v>
      </c>
      <c r="CL407" s="160"/>
      <c r="CM407" s="162"/>
      <c r="CN407" s="203" t="str">
        <f t="shared" si="630"/>
        <v xml:space="preserve"> </v>
      </c>
      <c r="CO407" s="174" t="str">
        <f t="shared" si="610"/>
        <v>NG</v>
      </c>
      <c r="CP407" s="162"/>
      <c r="CQ407" s="276" t="str">
        <f>IF(OR(CM$8="判定対象外",CP$8="判定対象外",CP407="-"),"-",IF(CM407=CP407,"OK","NG"))</f>
        <v>OK</v>
      </c>
      <c r="CR407" s="160"/>
      <c r="CS407" s="162"/>
      <c r="CT407" s="203" t="str">
        <f t="shared" si="631"/>
        <v xml:space="preserve"> </v>
      </c>
      <c r="CU407" s="174" t="str">
        <f t="shared" si="611"/>
        <v>NG</v>
      </c>
      <c r="CV407" s="162"/>
      <c r="CW407" s="276" t="str">
        <f>IF(OR(CS$8="判定対象外",CV$8="判定対象外",CV407="-"),"-",IF(CS407=CV407,"OK","NG"))</f>
        <v>OK</v>
      </c>
      <c r="CX407" s="160"/>
      <c r="CY407" s="162"/>
      <c r="CZ407" s="203" t="str">
        <f t="shared" si="632"/>
        <v xml:space="preserve"> </v>
      </c>
      <c r="DA407" s="174" t="str">
        <f t="shared" si="612"/>
        <v>NG</v>
      </c>
      <c r="DB407" s="162"/>
      <c r="DC407" s="276" t="str">
        <f>IF(OR(CY$8="判定対象外",DB$8="判定対象外",DB407="-"),"-",IF(CY407=DB407,"OK","NG"))</f>
        <v>OK</v>
      </c>
      <c r="DD407" s="160"/>
      <c r="DE407" s="162"/>
      <c r="DF407" s="203" t="str">
        <f t="shared" si="633"/>
        <v xml:space="preserve"> </v>
      </c>
      <c r="DG407" s="174" t="str">
        <f t="shared" si="613"/>
        <v>NG</v>
      </c>
      <c r="DH407" s="162"/>
      <c r="DI407" s="276" t="str">
        <f>IF(OR(DE$8="判定対象外",DH$8="判定対象外",DH407="-"),"-",IF(DE407=DH407,"OK","NG"))</f>
        <v>OK</v>
      </c>
      <c r="DJ407" s="160"/>
      <c r="DK407" s="162"/>
      <c r="DL407" s="203" t="str">
        <f t="shared" si="634"/>
        <v xml:space="preserve"> </v>
      </c>
      <c r="DM407" s="174" t="str">
        <f t="shared" si="614"/>
        <v>NG</v>
      </c>
      <c r="DN407" s="162"/>
      <c r="DO407" s="276" t="str">
        <f>IF(OR(DK$8="判定対象外",DN$8="判定対象外",DN407="-"),"-",IF(DK407=DN407,"OK","NG"))</f>
        <v>OK</v>
      </c>
      <c r="DP407" s="160"/>
      <c r="DQ407" s="162"/>
      <c r="DR407" s="203" t="str">
        <f t="shared" si="635"/>
        <v xml:space="preserve"> </v>
      </c>
      <c r="DS407" s="174" t="str">
        <f t="shared" si="593"/>
        <v>NG</v>
      </c>
      <c r="DT407" s="162"/>
      <c r="DU407" s="276" t="str">
        <f>IF(OR(DQ$8="判定対象外",DT$8="判定対象外",DT407="-"),"-",IF(DQ407=DT407,"OK","NG"))</f>
        <v>OK</v>
      </c>
      <c r="DV407" s="160"/>
      <c r="DW407" s="162"/>
      <c r="DX407" s="203" t="str">
        <f t="shared" si="636"/>
        <v xml:space="preserve"> </v>
      </c>
      <c r="DY407" s="174" t="str">
        <f t="shared" si="594"/>
        <v>NG</v>
      </c>
      <c r="DZ407" s="162"/>
      <c r="EA407" s="276" t="str">
        <f>IF(OR(DW$8="判定対象外",DZ$8="判定対象外",DZ407="-"),"-",IF(DW407=DZ407,"OK","NG"))</f>
        <v>OK</v>
      </c>
      <c r="EB407" s="160"/>
      <c r="EC407" s="162"/>
      <c r="ED407" s="203" t="str">
        <f t="shared" si="637"/>
        <v xml:space="preserve"> </v>
      </c>
      <c r="EE407" s="174" t="str">
        <f t="shared" si="595"/>
        <v>NG</v>
      </c>
      <c r="EF407" s="162"/>
      <c r="EG407" s="276" t="str">
        <f>IF(OR(EC$8="判定対象外",EF$8="判定対象外",EF407="-"),"-",IF(EC407=EF407,"OK","NG"))</f>
        <v>OK</v>
      </c>
      <c r="EH407" s="160"/>
      <c r="EI407" s="162"/>
      <c r="EJ407" s="203" t="str">
        <f t="shared" si="638"/>
        <v xml:space="preserve"> </v>
      </c>
      <c r="EK407" s="174" t="str">
        <f t="shared" si="596"/>
        <v>NG</v>
      </c>
      <c r="EL407" s="162"/>
      <c r="EM407" s="276" t="str">
        <f>IF(OR(EI$8="判定対象外",EL$8="判定対象外",EL407="-"),"-",IF(EI407=EL407,"OK","NG"))</f>
        <v>OK</v>
      </c>
      <c r="EN407" s="160"/>
      <c r="EO407" s="162"/>
      <c r="EP407" s="203" t="str">
        <f t="shared" si="639"/>
        <v xml:space="preserve"> </v>
      </c>
      <c r="EQ407" s="174" t="str">
        <f t="shared" si="597"/>
        <v>NG</v>
      </c>
      <c r="ER407" s="162"/>
      <c r="ES407" s="276" t="str">
        <f>IF(OR(EO$8="判定対象外",ER$8="判定対象外",ER407="-"),"-",IF(EO407=ER407,"OK","NG"))</f>
        <v>OK</v>
      </c>
      <c r="ET407" s="160"/>
      <c r="EU407" s="162"/>
      <c r="EV407" s="203" t="str">
        <f t="shared" si="640"/>
        <v xml:space="preserve"> </v>
      </c>
      <c r="EW407" s="174" t="str">
        <f t="shared" si="598"/>
        <v>NG</v>
      </c>
      <c r="EX407" s="162"/>
      <c r="EY407" s="276" t="str">
        <f>IF(OR(EU$8="判定対象外",EX$8="判定対象外",EX407="-"),"-",IF(EU407=EX407,"OK","NG"))</f>
        <v>OK</v>
      </c>
      <c r="EZ407" s="160"/>
      <c r="FA407" s="162"/>
      <c r="FB407" s="203" t="str">
        <f t="shared" si="641"/>
        <v xml:space="preserve"> </v>
      </c>
      <c r="FC407" s="174" t="str">
        <f t="shared" si="599"/>
        <v>NG</v>
      </c>
      <c r="FD407" s="162"/>
      <c r="FE407" s="276" t="str">
        <f>IF(OR(FA$8="判定対象外",FD$8="判定対象外",FD407="-"),"-",IF(FA407=FD407,"OK","NG"))</f>
        <v>OK</v>
      </c>
      <c r="FF407" s="160"/>
      <c r="FG407" s="162"/>
      <c r="FH407" s="203" t="str">
        <f t="shared" si="642"/>
        <v xml:space="preserve"> </v>
      </c>
      <c r="FI407" s="174" t="str">
        <f t="shared" si="600"/>
        <v>NG</v>
      </c>
      <c r="FJ407" s="162"/>
      <c r="FK407" s="276" t="str">
        <f>IF(OR(FG$8="判定対象外",FJ$8="判定対象外",FJ407="-"),"-",IF(FG407=FJ407,"OK","NG"))</f>
        <v>OK</v>
      </c>
      <c r="FL407" s="160"/>
      <c r="FM407" s="162"/>
      <c r="FN407" s="203" t="str">
        <f t="shared" si="643"/>
        <v xml:space="preserve"> </v>
      </c>
      <c r="FO407" s="174" t="str">
        <f t="shared" si="615"/>
        <v>NG</v>
      </c>
      <c r="FP407" s="162"/>
      <c r="FQ407" s="276" t="str">
        <f>IF(OR(FM$8="判定対象外",FP$8="判定対象外",FP407="-"),"-",IF(FM407=FP407,"OK","NG"))</f>
        <v>OK</v>
      </c>
      <c r="FR407" s="160"/>
      <c r="FS407" s="162"/>
      <c r="FT407" s="203" t="str">
        <f t="shared" si="644"/>
        <v xml:space="preserve"> </v>
      </c>
      <c r="FU407" s="174" t="str">
        <f t="shared" si="616"/>
        <v>NG</v>
      </c>
      <c r="FV407" s="162"/>
      <c r="FW407" s="276" t="str">
        <f>IF(OR(FS$8="判定対象外",FV$8="判定対象外",FV407="-"),"-",IF(FS407=FV407,"OK","NG"))</f>
        <v>OK</v>
      </c>
      <c r="FX407" s="160"/>
      <c r="FY407" s="162"/>
      <c r="FZ407" s="203" t="str">
        <f t="shared" si="645"/>
        <v xml:space="preserve"> </v>
      </c>
      <c r="GA407" s="174" t="str">
        <f t="shared" si="617"/>
        <v>NG</v>
      </c>
      <c r="GB407" s="162"/>
      <c r="GC407" s="276" t="str">
        <f>IF(OR(FY$8="判定対象外",GB$8="判定対象外",GB407="-"),"-",IF(FY407=GB407,"OK","NG"))</f>
        <v>OK</v>
      </c>
    </row>
    <row r="408" spans="2:185" s="52" customFormat="1">
      <c r="B408" s="216">
        <f t="shared" si="646"/>
        <v>401</v>
      </c>
      <c r="C408" s="37"/>
      <c r="D408" s="37"/>
      <c r="E408" s="37"/>
      <c r="F408" s="49" t="s">
        <v>210</v>
      </c>
      <c r="G408" s="39"/>
      <c r="H408" s="40"/>
      <c r="I408" s="42"/>
      <c r="J408" s="42"/>
      <c r="K408" s="42"/>
      <c r="L408" s="42"/>
      <c r="M408" s="163" t="s">
        <v>334</v>
      </c>
      <c r="N408" s="47"/>
      <c r="O408" s="143"/>
      <c r="P408" s="45">
        <f t="shared" si="620"/>
        <v>372</v>
      </c>
      <c r="Q408" s="46">
        <v>400</v>
      </c>
      <c r="R408" s="41" t="str">
        <f t="shared" si="647"/>
        <v>NX</v>
      </c>
      <c r="S408" s="185" t="s">
        <v>211</v>
      </c>
      <c r="T408" s="43"/>
      <c r="U408" s="41" t="s">
        <v>80</v>
      </c>
      <c r="V408" s="44"/>
      <c r="W408" s="22">
        <v>3</v>
      </c>
      <c r="X408" s="47" t="s">
        <v>212</v>
      </c>
      <c r="Y408" s="47">
        <v>1</v>
      </c>
      <c r="Z408" s="47">
        <v>400</v>
      </c>
      <c r="AA408" s="42" t="s">
        <v>195</v>
      </c>
      <c r="AB408" s="42" t="s">
        <v>80</v>
      </c>
      <c r="AC408" s="166"/>
      <c r="AD408" s="160"/>
      <c r="AE408" s="162"/>
      <c r="AF408" s="175" t="str">
        <f t="shared" si="621"/>
        <v xml:space="preserve">                                                                                                                                                                                                                                                                                                                                                                                                                </v>
      </c>
      <c r="AG408" s="174" t="str">
        <f t="shared" si="601"/>
        <v>NG</v>
      </c>
      <c r="AH408" s="162"/>
      <c r="AI408" s="276" t="str">
        <f>IF(OR(AE$8="判定対象外",AH$8="判定対象外",AH408="-"),"-",IF(AE408=AH408,"OK","NG"))</f>
        <v>OK</v>
      </c>
      <c r="AJ408" s="160"/>
      <c r="AK408" s="162"/>
      <c r="AL408" s="175" t="str">
        <f t="shared" si="619"/>
        <v xml:space="preserve">                                                                                                                                                                                                                                                                                                                                                                                                                </v>
      </c>
      <c r="AM408" s="174" t="str">
        <f t="shared" si="648"/>
        <v>NG</v>
      </c>
      <c r="AN408" s="162"/>
      <c r="AO408" s="276" t="str">
        <f>IF(OR(AK$8="判定対象外",AN$8="判定対象外",AN408="-"),"-",IF(AK408=AN408,"OK","NG"))</f>
        <v>OK</v>
      </c>
      <c r="AP408" s="160"/>
      <c r="AQ408" s="162"/>
      <c r="AR408" s="175" t="str">
        <f t="shared" si="622"/>
        <v xml:space="preserve">                                                                                                                                                                                                                                                                                                                                                                                                                </v>
      </c>
      <c r="AS408" s="174" t="str">
        <f t="shared" si="602"/>
        <v>NG</v>
      </c>
      <c r="AT408" s="162"/>
      <c r="AU408" s="276" t="str">
        <f>IF(OR(AQ$8="判定対象外",AT$8="判定対象外",AT408="-"),"-",IF(AQ408=AT408,"OK","NG"))</f>
        <v>OK</v>
      </c>
      <c r="AV408" s="160"/>
      <c r="AW408" s="162"/>
      <c r="AX408" s="175" t="str">
        <f t="shared" si="623"/>
        <v xml:space="preserve">                                                                                                                                                                                                                                                                                                                                                                                                                </v>
      </c>
      <c r="AY408" s="174" t="str">
        <f t="shared" si="603"/>
        <v>NG</v>
      </c>
      <c r="AZ408" s="162"/>
      <c r="BA408" s="276" t="str">
        <f>IF(OR(AW$8="判定対象外",AZ$8="判定対象外",AZ408="-"),"-",IF(AW408=AZ408,"OK","NG"))</f>
        <v>OK</v>
      </c>
      <c r="BB408" s="160"/>
      <c r="BC408" s="162"/>
      <c r="BD408" s="175" t="str">
        <f t="shared" si="624"/>
        <v xml:space="preserve">                                                                                                                                                                                                                                                                                                                                                                                                                </v>
      </c>
      <c r="BE408" s="174" t="str">
        <f t="shared" si="604"/>
        <v>NG</v>
      </c>
      <c r="BF408" s="162"/>
      <c r="BG408" s="276" t="str">
        <f>IF(OR(BC$8="判定対象外",BF$8="判定対象外",BF408="-"),"-",IF(BC408=BF408,"OK","NG"))</f>
        <v>OK</v>
      </c>
      <c r="BH408" s="160"/>
      <c r="BI408" s="162"/>
      <c r="BJ408" s="175" t="str">
        <f t="shared" si="625"/>
        <v xml:space="preserve">                                                                                                                                                                                                                                                                                                                                                                                                                </v>
      </c>
      <c r="BK408" s="174" t="str">
        <f t="shared" si="605"/>
        <v>NG</v>
      </c>
      <c r="BL408" s="162"/>
      <c r="BM408" s="276" t="str">
        <f>IF(OR(BI$8="判定対象外",BL$8="判定対象外",BL408="-"),"-",IF(BI408=BL408,"OK","NG"))</f>
        <v>OK</v>
      </c>
      <c r="BN408" s="160"/>
      <c r="BO408" s="162"/>
      <c r="BP408" s="175" t="str">
        <f t="shared" si="626"/>
        <v xml:space="preserve">                                                                                                                                                                                                                                                                                                                                                                                                                </v>
      </c>
      <c r="BQ408" s="174" t="str">
        <f t="shared" si="606"/>
        <v>NG</v>
      </c>
      <c r="BR408" s="162"/>
      <c r="BS408" s="276" t="str">
        <f>IF(OR(BO$8="判定対象外",BR$8="判定対象外",BR408="-"),"-",IF(BO408=BR408,"OK","NG"))</f>
        <v>OK</v>
      </c>
      <c r="BT408" s="160"/>
      <c r="BU408" s="162"/>
      <c r="BV408" s="175" t="str">
        <f t="shared" si="627"/>
        <v xml:space="preserve">                                                                                                                                                                                                                                                                                                                                                                                                                </v>
      </c>
      <c r="BW408" s="174" t="str">
        <f t="shared" si="607"/>
        <v>NG</v>
      </c>
      <c r="BX408" s="162"/>
      <c r="BY408" s="276" t="str">
        <f>IF(OR(BU$8="判定対象外",BX$8="判定対象外",BX408="-"),"-",IF(BU408=BX408,"OK","NG"))</f>
        <v>OK</v>
      </c>
      <c r="BZ408" s="160"/>
      <c r="CA408" s="162"/>
      <c r="CB408" s="175" t="str">
        <f t="shared" si="628"/>
        <v xml:space="preserve">                                                                                                                                                                                                                                                                                                                                                                                                                </v>
      </c>
      <c r="CC408" s="174" t="str">
        <f t="shared" si="608"/>
        <v>NG</v>
      </c>
      <c r="CD408" s="162"/>
      <c r="CE408" s="276" t="str">
        <f>IF(OR(CA$8="判定対象外",CD$8="判定対象外",CD408="-"),"-",IF(CA408=CD408,"OK","NG"))</f>
        <v>OK</v>
      </c>
      <c r="CF408" s="160"/>
      <c r="CG408" s="162"/>
      <c r="CH408" s="175" t="str">
        <f t="shared" si="629"/>
        <v xml:space="preserve">                                                                                                                                                                                                                                                                                                                                                                                                                </v>
      </c>
      <c r="CI408" s="174" t="str">
        <f t="shared" si="609"/>
        <v>NG</v>
      </c>
      <c r="CJ408" s="162"/>
      <c r="CK408" s="276" t="str">
        <f>IF(OR(CG$8="判定対象外",CJ$8="判定対象外",CJ408="-"),"-",IF(CG408=CJ408,"OK","NG"))</f>
        <v>OK</v>
      </c>
      <c r="CL408" s="160"/>
      <c r="CM408" s="162"/>
      <c r="CN408" s="175" t="str">
        <f t="shared" si="630"/>
        <v xml:space="preserve">                                                                                                                                                                                                                                                                                                                                                                                                                </v>
      </c>
      <c r="CO408" s="174" t="str">
        <f t="shared" si="610"/>
        <v>NG</v>
      </c>
      <c r="CP408" s="162"/>
      <c r="CQ408" s="276" t="str">
        <f>IF(OR(CM$8="判定対象外",CP$8="判定対象外",CP408="-"),"-",IF(CM408=CP408,"OK","NG"))</f>
        <v>OK</v>
      </c>
      <c r="CR408" s="160"/>
      <c r="CS408" s="162"/>
      <c r="CT408" s="175" t="str">
        <f t="shared" si="631"/>
        <v xml:space="preserve">                                                                                                                                                                                                                                                                                                                                                                                                                </v>
      </c>
      <c r="CU408" s="174" t="str">
        <f t="shared" si="611"/>
        <v>NG</v>
      </c>
      <c r="CV408" s="162"/>
      <c r="CW408" s="276" t="str">
        <f>IF(OR(CS$8="判定対象外",CV$8="判定対象外",CV408="-"),"-",IF(CS408=CV408,"OK","NG"))</f>
        <v>OK</v>
      </c>
      <c r="CX408" s="160"/>
      <c r="CY408" s="162"/>
      <c r="CZ408" s="175" t="str">
        <f t="shared" si="632"/>
        <v xml:space="preserve">                                                                                                                                                                                                                                                                                                                                                                                                                </v>
      </c>
      <c r="DA408" s="174" t="str">
        <f t="shared" si="612"/>
        <v>NG</v>
      </c>
      <c r="DB408" s="162"/>
      <c r="DC408" s="276" t="str">
        <f>IF(OR(CY$8="判定対象外",DB$8="判定対象外",DB408="-"),"-",IF(CY408=DB408,"OK","NG"))</f>
        <v>OK</v>
      </c>
      <c r="DD408" s="160"/>
      <c r="DE408" s="162"/>
      <c r="DF408" s="175" t="str">
        <f t="shared" si="633"/>
        <v xml:space="preserve">                                                                                                                                                                                                                                                                                                                                                                                                                </v>
      </c>
      <c r="DG408" s="174" t="str">
        <f t="shared" si="613"/>
        <v>NG</v>
      </c>
      <c r="DH408" s="162"/>
      <c r="DI408" s="276" t="str">
        <f>IF(OR(DE$8="判定対象外",DH$8="判定対象外",DH408="-"),"-",IF(DE408=DH408,"OK","NG"))</f>
        <v>OK</v>
      </c>
      <c r="DJ408" s="160"/>
      <c r="DK408" s="162"/>
      <c r="DL408" s="175" t="str">
        <f t="shared" si="634"/>
        <v xml:space="preserve">                                                                                                                                                                                                                                                                                                                                                                                                                </v>
      </c>
      <c r="DM408" s="174" t="str">
        <f t="shared" si="614"/>
        <v>NG</v>
      </c>
      <c r="DN408" s="162"/>
      <c r="DO408" s="276" t="str">
        <f>IF(OR(DK$8="判定対象外",DN$8="判定対象外",DN408="-"),"-",IF(DK408=DN408,"OK","NG"))</f>
        <v>OK</v>
      </c>
      <c r="DP408" s="160"/>
      <c r="DQ408" s="162"/>
      <c r="DR408" s="175" t="str">
        <f t="shared" si="635"/>
        <v xml:space="preserve">                                                                                                                                                                                                                                                                                                                                                                                                                </v>
      </c>
      <c r="DS408" s="174" t="str">
        <f t="shared" si="593"/>
        <v>NG</v>
      </c>
      <c r="DT408" s="162"/>
      <c r="DU408" s="276" t="str">
        <f>IF(OR(DQ$8="判定対象外",DT$8="判定対象外",DT408="-"),"-",IF(DQ408=DT408,"OK","NG"))</f>
        <v>OK</v>
      </c>
      <c r="DV408" s="160"/>
      <c r="DW408" s="162"/>
      <c r="DX408" s="175" t="str">
        <f t="shared" si="636"/>
        <v xml:space="preserve">                                                                                                                                                                                                                                                                                                                                                                                                                </v>
      </c>
      <c r="DY408" s="174" t="str">
        <f t="shared" si="594"/>
        <v>NG</v>
      </c>
      <c r="DZ408" s="162"/>
      <c r="EA408" s="276" t="str">
        <f>IF(OR(DW$8="判定対象外",DZ$8="判定対象外",DZ408="-"),"-",IF(DW408=DZ408,"OK","NG"))</f>
        <v>OK</v>
      </c>
      <c r="EB408" s="160"/>
      <c r="EC408" s="162"/>
      <c r="ED408" s="175" t="str">
        <f t="shared" si="637"/>
        <v xml:space="preserve">                                                                                                                                                                                                                                                                                                                                                                                                                </v>
      </c>
      <c r="EE408" s="174" t="str">
        <f t="shared" si="595"/>
        <v>NG</v>
      </c>
      <c r="EF408" s="162"/>
      <c r="EG408" s="276" t="str">
        <f>IF(OR(EC$8="判定対象外",EF$8="判定対象外",EF408="-"),"-",IF(EC408=EF408,"OK","NG"))</f>
        <v>OK</v>
      </c>
      <c r="EH408" s="160"/>
      <c r="EI408" s="162"/>
      <c r="EJ408" s="175" t="str">
        <f t="shared" si="638"/>
        <v xml:space="preserve">                                                                                                                                                                                                                                                                                                                                                                                                                </v>
      </c>
      <c r="EK408" s="174" t="str">
        <f t="shared" si="596"/>
        <v>NG</v>
      </c>
      <c r="EL408" s="162"/>
      <c r="EM408" s="276" t="str">
        <f>IF(OR(EI$8="判定対象外",EL$8="判定対象外",EL408="-"),"-",IF(EI408=EL408,"OK","NG"))</f>
        <v>OK</v>
      </c>
      <c r="EN408" s="160"/>
      <c r="EO408" s="162"/>
      <c r="EP408" s="175" t="str">
        <f t="shared" si="639"/>
        <v xml:space="preserve">                                                                                                                                                                                                                                                                                                                                                                                                                </v>
      </c>
      <c r="EQ408" s="174" t="str">
        <f t="shared" si="597"/>
        <v>NG</v>
      </c>
      <c r="ER408" s="162"/>
      <c r="ES408" s="276" t="str">
        <f>IF(OR(EO$8="判定対象外",ER$8="判定対象外",ER408="-"),"-",IF(EO408=ER408,"OK","NG"))</f>
        <v>OK</v>
      </c>
      <c r="ET408" s="160"/>
      <c r="EU408" s="162"/>
      <c r="EV408" s="175" t="str">
        <f t="shared" si="640"/>
        <v xml:space="preserve">                                                                                                                                                                                                                                                                                                                                                                                                                </v>
      </c>
      <c r="EW408" s="174" t="str">
        <f t="shared" si="598"/>
        <v>NG</v>
      </c>
      <c r="EX408" s="162"/>
      <c r="EY408" s="276" t="str">
        <f>IF(OR(EU$8="判定対象外",EX$8="判定対象外",EX408="-"),"-",IF(EU408=EX408,"OK","NG"))</f>
        <v>OK</v>
      </c>
      <c r="EZ408" s="160"/>
      <c r="FA408" s="162"/>
      <c r="FB408" s="175" t="str">
        <f t="shared" si="641"/>
        <v xml:space="preserve">                                                                                                                                                                                                                                                                                                                                                                                                                </v>
      </c>
      <c r="FC408" s="174" t="str">
        <f t="shared" si="599"/>
        <v>NG</v>
      </c>
      <c r="FD408" s="162"/>
      <c r="FE408" s="276" t="str">
        <f>IF(OR(FA$8="判定対象外",FD$8="判定対象外",FD408="-"),"-",IF(FA408=FD408,"OK","NG"))</f>
        <v>OK</v>
      </c>
      <c r="FF408" s="160"/>
      <c r="FG408" s="162"/>
      <c r="FH408" s="175" t="str">
        <f t="shared" si="642"/>
        <v xml:space="preserve">                                                                                                                                                                                                                                                                                                                                                                                                                </v>
      </c>
      <c r="FI408" s="174" t="str">
        <f t="shared" si="600"/>
        <v>NG</v>
      </c>
      <c r="FJ408" s="162"/>
      <c r="FK408" s="276" t="str">
        <f>IF(OR(FG$8="判定対象外",FJ$8="判定対象外",FJ408="-"),"-",IF(FG408=FJ408,"OK","NG"))</f>
        <v>OK</v>
      </c>
      <c r="FL408" s="160"/>
      <c r="FM408" s="162"/>
      <c r="FN408" s="175" t="str">
        <f t="shared" si="643"/>
        <v xml:space="preserve">                                                                                                                                                                                                                                                                                                                                                                                                                </v>
      </c>
      <c r="FO408" s="174" t="str">
        <f t="shared" si="615"/>
        <v>NG</v>
      </c>
      <c r="FP408" s="162"/>
      <c r="FQ408" s="276" t="str">
        <f>IF(OR(FM$8="判定対象外",FP$8="判定対象外",FP408="-"),"-",IF(FM408=FP408,"OK","NG"))</f>
        <v>OK</v>
      </c>
      <c r="FR408" s="160"/>
      <c r="FS408" s="162"/>
      <c r="FT408" s="175" t="str">
        <f t="shared" si="644"/>
        <v xml:space="preserve">                                                                                                                                                                                                                                                                                                                                                                                                                </v>
      </c>
      <c r="FU408" s="174" t="str">
        <f t="shared" si="616"/>
        <v>NG</v>
      </c>
      <c r="FV408" s="162"/>
      <c r="FW408" s="276" t="str">
        <f>IF(OR(FS$8="判定対象外",FV$8="判定対象外",FV408="-"),"-",IF(FS408=FV408,"OK","NG"))</f>
        <v>OK</v>
      </c>
      <c r="FX408" s="160"/>
      <c r="FY408" s="162"/>
      <c r="FZ408" s="175" t="str">
        <f t="shared" si="645"/>
        <v xml:space="preserve">                                                                                                                                                                                                                                                                                                                                                                                                                </v>
      </c>
      <c r="GA408" s="174" t="str">
        <f t="shared" si="617"/>
        <v>NG</v>
      </c>
      <c r="GB408" s="162"/>
      <c r="GC408" s="276" t="str">
        <f>IF(OR(FY$8="判定対象外",GB$8="判定対象外",GB408="-"),"-",IF(FY408=GB408,"OK","NG"))</f>
        <v>OK</v>
      </c>
    </row>
    <row r="409" spans="2:185" s="52" customFormat="1" ht="63.75">
      <c r="B409" s="216">
        <f t="shared" si="646"/>
        <v>402</v>
      </c>
      <c r="C409" s="37"/>
      <c r="D409" s="37"/>
      <c r="E409" s="37"/>
      <c r="F409" s="49" t="s">
        <v>213</v>
      </c>
      <c r="G409" s="39"/>
      <c r="H409" s="40"/>
      <c r="I409" s="42"/>
      <c r="J409" s="42"/>
      <c r="K409" s="42"/>
      <c r="L409" s="42"/>
      <c r="M409" s="163" t="s">
        <v>335</v>
      </c>
      <c r="N409" s="47"/>
      <c r="O409" s="143"/>
      <c r="P409" s="45">
        <f t="shared" si="620"/>
        <v>373</v>
      </c>
      <c r="Q409" s="46">
        <v>400</v>
      </c>
      <c r="R409" s="41" t="str">
        <f t="shared" si="647"/>
        <v>NX</v>
      </c>
      <c r="S409" s="185" t="s">
        <v>214</v>
      </c>
      <c r="T409" s="43"/>
      <c r="U409" s="41" t="s">
        <v>80</v>
      </c>
      <c r="V409" s="44"/>
      <c r="W409" s="22">
        <v>3</v>
      </c>
      <c r="X409" s="47" t="s">
        <v>215</v>
      </c>
      <c r="Y409" s="47">
        <v>1</v>
      </c>
      <c r="Z409" s="47">
        <v>400</v>
      </c>
      <c r="AA409" s="42" t="s">
        <v>195</v>
      </c>
      <c r="AB409" s="42" t="s">
        <v>80</v>
      </c>
      <c r="AC409" s="166"/>
      <c r="AD409" s="160"/>
      <c r="AE409" s="162"/>
      <c r="AF409" s="146" t="str">
        <f t="shared" si="621"/>
        <v xml:space="preserve">                                                                                                                                                                                                                                                                                                                                                                                                                </v>
      </c>
      <c r="AG409" s="174" t="str">
        <f t="shared" si="601"/>
        <v>NG</v>
      </c>
      <c r="AH409" s="162"/>
      <c r="AI409" s="172" t="s">
        <v>71</v>
      </c>
      <c r="AJ409" s="160"/>
      <c r="AK409" s="162"/>
      <c r="AL409" s="146" t="str">
        <f t="shared" si="619"/>
        <v xml:space="preserve">                                                                                                                                                                                                                                                                                                                                                                                                                </v>
      </c>
      <c r="AM409" s="174" t="str">
        <f t="shared" si="648"/>
        <v>NG</v>
      </c>
      <c r="AN409" s="162"/>
      <c r="AO409" s="172" t="s">
        <v>71</v>
      </c>
      <c r="AP409" s="160"/>
      <c r="AQ409" s="162"/>
      <c r="AR409" s="146" t="str">
        <f t="shared" si="622"/>
        <v xml:space="preserve">                                                                                                                                                                                                                                                                                                                                                                                                                </v>
      </c>
      <c r="AS409" s="174" t="str">
        <f t="shared" si="602"/>
        <v>NG</v>
      </c>
      <c r="AT409" s="162"/>
      <c r="AU409" s="172" t="s">
        <v>71</v>
      </c>
      <c r="AV409" s="160"/>
      <c r="AW409" s="162"/>
      <c r="AX409" s="146" t="str">
        <f t="shared" si="623"/>
        <v xml:space="preserve">                                                                                                                                                                                                                                                                                                                                                                                                                </v>
      </c>
      <c r="AY409" s="174" t="str">
        <f t="shared" si="603"/>
        <v>NG</v>
      </c>
      <c r="AZ409" s="162"/>
      <c r="BA409" s="172" t="s">
        <v>71</v>
      </c>
      <c r="BB409" s="160"/>
      <c r="BC409" s="162"/>
      <c r="BD409" s="146" t="str">
        <f t="shared" si="624"/>
        <v xml:space="preserve">                                                                                                                                                                                                                                                                                                                                                                                                                </v>
      </c>
      <c r="BE409" s="174" t="str">
        <f t="shared" si="604"/>
        <v>NG</v>
      </c>
      <c r="BF409" s="162"/>
      <c r="BG409" s="172" t="s">
        <v>71</v>
      </c>
      <c r="BH409" s="160"/>
      <c r="BI409" s="162"/>
      <c r="BJ409" s="146" t="str">
        <f t="shared" si="625"/>
        <v xml:space="preserve">                                                                                                                                                                                                                                                                                                                                                                                                                </v>
      </c>
      <c r="BK409" s="174" t="str">
        <f t="shared" si="605"/>
        <v>NG</v>
      </c>
      <c r="BL409" s="162"/>
      <c r="BM409" s="172" t="s">
        <v>71</v>
      </c>
      <c r="BN409" s="160"/>
      <c r="BO409" s="162"/>
      <c r="BP409" s="146" t="str">
        <f t="shared" si="626"/>
        <v xml:space="preserve">                                                                                                                                                                                                                                                                                                                                                                                                                </v>
      </c>
      <c r="BQ409" s="174" t="str">
        <f t="shared" si="606"/>
        <v>NG</v>
      </c>
      <c r="BR409" s="162"/>
      <c r="BS409" s="172" t="s">
        <v>71</v>
      </c>
      <c r="BT409" s="160"/>
      <c r="BU409" s="162"/>
      <c r="BV409" s="146" t="str">
        <f t="shared" si="627"/>
        <v xml:space="preserve">                                                                                                                                                                                                                                                                                                                                                                                                                </v>
      </c>
      <c r="BW409" s="174" t="str">
        <f t="shared" si="607"/>
        <v>NG</v>
      </c>
      <c r="BX409" s="162"/>
      <c r="BY409" s="172" t="s">
        <v>71</v>
      </c>
      <c r="BZ409" s="160"/>
      <c r="CA409" s="162"/>
      <c r="CB409" s="146" t="str">
        <f t="shared" si="628"/>
        <v xml:space="preserve">                                                                                                                                                                                                                                                                                                                                                                                                                </v>
      </c>
      <c r="CC409" s="174" t="str">
        <f t="shared" si="608"/>
        <v>NG</v>
      </c>
      <c r="CD409" s="162"/>
      <c r="CE409" s="172" t="s">
        <v>71</v>
      </c>
      <c r="CF409" s="160"/>
      <c r="CG409" s="162"/>
      <c r="CH409" s="146" t="str">
        <f t="shared" si="629"/>
        <v xml:space="preserve">                                                                                                                                                                                                                                                                                                                                                                                                                </v>
      </c>
      <c r="CI409" s="174" t="str">
        <f t="shared" si="609"/>
        <v>NG</v>
      </c>
      <c r="CJ409" s="162"/>
      <c r="CK409" s="172" t="s">
        <v>71</v>
      </c>
      <c r="CL409" s="160"/>
      <c r="CM409" s="162"/>
      <c r="CN409" s="146" t="str">
        <f t="shared" si="630"/>
        <v xml:space="preserve">                                                                                                                                                                                                                                                                                                                                                                                                                </v>
      </c>
      <c r="CO409" s="174" t="str">
        <f t="shared" si="610"/>
        <v>NG</v>
      </c>
      <c r="CP409" s="162"/>
      <c r="CQ409" s="172" t="s">
        <v>71</v>
      </c>
      <c r="CR409" s="160"/>
      <c r="CS409" s="162"/>
      <c r="CT409" s="146" t="str">
        <f t="shared" si="631"/>
        <v xml:space="preserve">                                                                                                                                                                                                                                                                                                                                                                                                                </v>
      </c>
      <c r="CU409" s="174" t="str">
        <f t="shared" si="611"/>
        <v>NG</v>
      </c>
      <c r="CV409" s="162"/>
      <c r="CW409" s="172" t="s">
        <v>71</v>
      </c>
      <c r="CX409" s="160"/>
      <c r="CY409" s="162"/>
      <c r="CZ409" s="146" t="str">
        <f t="shared" si="632"/>
        <v xml:space="preserve">                                                                                                                                                                                                                                                                                                                                                                                                                </v>
      </c>
      <c r="DA409" s="174" t="str">
        <f t="shared" si="612"/>
        <v>NG</v>
      </c>
      <c r="DB409" s="162"/>
      <c r="DC409" s="172" t="s">
        <v>71</v>
      </c>
      <c r="DD409" s="160"/>
      <c r="DE409" s="162"/>
      <c r="DF409" s="146" t="str">
        <f t="shared" si="633"/>
        <v xml:space="preserve">                                                                                                                                                                                                                                                                                                                                                                                                                </v>
      </c>
      <c r="DG409" s="174" t="str">
        <f t="shared" si="613"/>
        <v>NG</v>
      </c>
      <c r="DH409" s="162"/>
      <c r="DI409" s="172" t="s">
        <v>71</v>
      </c>
      <c r="DJ409" s="160"/>
      <c r="DK409" s="162"/>
      <c r="DL409" s="146" t="str">
        <f t="shared" si="634"/>
        <v xml:space="preserve">                                                                                                                                                                                                                                                                                                                                                                                                                </v>
      </c>
      <c r="DM409" s="174" t="str">
        <f t="shared" si="614"/>
        <v>NG</v>
      </c>
      <c r="DN409" s="162"/>
      <c r="DO409" s="172" t="s">
        <v>71</v>
      </c>
      <c r="DP409" s="160"/>
      <c r="DQ409" s="162"/>
      <c r="DR409" s="146" t="str">
        <f t="shared" si="635"/>
        <v xml:space="preserve">                                                                                                                                                                                                                                                                                                                                                                                                                </v>
      </c>
      <c r="DS409" s="174" t="str">
        <f t="shared" si="593"/>
        <v>NG</v>
      </c>
      <c r="DT409" s="162"/>
      <c r="DU409" s="172" t="s">
        <v>71</v>
      </c>
      <c r="DV409" s="160"/>
      <c r="DW409" s="162"/>
      <c r="DX409" s="146" t="str">
        <f t="shared" si="636"/>
        <v xml:space="preserve">                                                                                                                                                                                                                                                                                                                                                                                                                </v>
      </c>
      <c r="DY409" s="174" t="str">
        <f t="shared" si="594"/>
        <v>NG</v>
      </c>
      <c r="DZ409" s="162"/>
      <c r="EA409" s="172" t="s">
        <v>71</v>
      </c>
      <c r="EB409" s="160"/>
      <c r="EC409" s="162"/>
      <c r="ED409" s="146" t="str">
        <f t="shared" si="637"/>
        <v xml:space="preserve">                                                                                                                                                                                                                                                                                                                                                                                                                </v>
      </c>
      <c r="EE409" s="174" t="str">
        <f t="shared" si="595"/>
        <v>NG</v>
      </c>
      <c r="EF409" s="162"/>
      <c r="EG409" s="172" t="s">
        <v>71</v>
      </c>
      <c r="EH409" s="160"/>
      <c r="EI409" s="162"/>
      <c r="EJ409" s="146" t="str">
        <f t="shared" si="638"/>
        <v xml:space="preserve">                                                                                                                                                                                                                                                                                                                                                                                                                </v>
      </c>
      <c r="EK409" s="174" t="str">
        <f t="shared" si="596"/>
        <v>NG</v>
      </c>
      <c r="EL409" s="162"/>
      <c r="EM409" s="172" t="s">
        <v>71</v>
      </c>
      <c r="EN409" s="160"/>
      <c r="EO409" s="162"/>
      <c r="EP409" s="146" t="str">
        <f t="shared" si="639"/>
        <v xml:space="preserve">                                                                                                                                                                                                                                                                                                                                                                                                                </v>
      </c>
      <c r="EQ409" s="174" t="str">
        <f t="shared" si="597"/>
        <v>NG</v>
      </c>
      <c r="ER409" s="162"/>
      <c r="ES409" s="172" t="s">
        <v>71</v>
      </c>
      <c r="ET409" s="160"/>
      <c r="EU409" s="162"/>
      <c r="EV409" s="146" t="str">
        <f t="shared" si="640"/>
        <v xml:space="preserve">                                                                                                                                                                                                                                                                                                                                                                                                                </v>
      </c>
      <c r="EW409" s="174" t="str">
        <f t="shared" si="598"/>
        <v>NG</v>
      </c>
      <c r="EX409" s="162"/>
      <c r="EY409" s="172" t="s">
        <v>71</v>
      </c>
      <c r="EZ409" s="160"/>
      <c r="FA409" s="162"/>
      <c r="FB409" s="146" t="str">
        <f t="shared" si="641"/>
        <v xml:space="preserve">                                                                                                                                                                                                                                                                                                                                                                                                                </v>
      </c>
      <c r="FC409" s="174" t="str">
        <f t="shared" si="599"/>
        <v>NG</v>
      </c>
      <c r="FD409" s="162"/>
      <c r="FE409" s="172" t="s">
        <v>71</v>
      </c>
      <c r="FF409" s="160"/>
      <c r="FG409" s="162"/>
      <c r="FH409" s="146" t="str">
        <f t="shared" si="642"/>
        <v xml:space="preserve">                                                                                                                                                                                                                                                                                                                                                                                                                </v>
      </c>
      <c r="FI409" s="174" t="str">
        <f t="shared" si="600"/>
        <v>NG</v>
      </c>
      <c r="FJ409" s="162"/>
      <c r="FK409" s="172" t="s">
        <v>71</v>
      </c>
      <c r="FL409" s="160"/>
      <c r="FM409" s="162"/>
      <c r="FN409" s="146" t="str">
        <f t="shared" si="643"/>
        <v xml:space="preserve">                                                                                                                                                                                                                                                                                                                                                                                                                </v>
      </c>
      <c r="FO409" s="174" t="str">
        <f t="shared" si="615"/>
        <v>NG</v>
      </c>
      <c r="FP409" s="162"/>
      <c r="FQ409" s="172" t="s">
        <v>71</v>
      </c>
      <c r="FR409" s="160"/>
      <c r="FS409" s="162"/>
      <c r="FT409" s="146" t="str">
        <f t="shared" si="644"/>
        <v xml:space="preserve">                                                                                                                                                                                                                                                                                                                                                                                                                </v>
      </c>
      <c r="FU409" s="174" t="str">
        <f t="shared" si="616"/>
        <v>NG</v>
      </c>
      <c r="FV409" s="162"/>
      <c r="FW409" s="172" t="s">
        <v>71</v>
      </c>
      <c r="FX409" s="160"/>
      <c r="FY409" s="162"/>
      <c r="FZ409" s="146" t="str">
        <f t="shared" si="645"/>
        <v xml:space="preserve">                                                                                                                                                                                                                                                                                                                                                                                                                </v>
      </c>
      <c r="GA409" s="174" t="str">
        <f t="shared" si="617"/>
        <v>NG</v>
      </c>
      <c r="GB409" s="162"/>
      <c r="GC409" s="172" t="s">
        <v>71</v>
      </c>
    </row>
    <row r="410" spans="2:185" s="52" customFormat="1">
      <c r="B410" s="216">
        <f t="shared" si="646"/>
        <v>403</v>
      </c>
      <c r="C410" s="37"/>
      <c r="D410" s="37"/>
      <c r="E410" s="37"/>
      <c r="F410" s="49" t="s">
        <v>216</v>
      </c>
      <c r="G410" s="39"/>
      <c r="H410" s="40"/>
      <c r="I410" s="42"/>
      <c r="J410" s="42"/>
      <c r="K410" s="42"/>
      <c r="L410" s="42"/>
      <c r="M410" s="63" t="s">
        <v>336</v>
      </c>
      <c r="N410" s="47"/>
      <c r="O410" s="143"/>
      <c r="P410" s="45">
        <f t="shared" si="620"/>
        <v>374</v>
      </c>
      <c r="Q410" s="46">
        <v>400</v>
      </c>
      <c r="R410" s="41" t="str">
        <f t="shared" si="647"/>
        <v>NX</v>
      </c>
      <c r="S410" s="185" t="s">
        <v>217</v>
      </c>
      <c r="T410" s="43"/>
      <c r="U410" s="41" t="s">
        <v>80</v>
      </c>
      <c r="V410" s="44"/>
      <c r="W410" s="22">
        <v>3</v>
      </c>
      <c r="X410" s="47" t="s">
        <v>218</v>
      </c>
      <c r="Y410" s="47">
        <v>1</v>
      </c>
      <c r="Z410" s="47">
        <v>400</v>
      </c>
      <c r="AA410" s="42" t="s">
        <v>195</v>
      </c>
      <c r="AB410" s="42" t="s">
        <v>80</v>
      </c>
      <c r="AC410" s="166"/>
      <c r="AD410" s="160"/>
      <c r="AE410" s="141"/>
      <c r="AF410" s="146" t="str">
        <f t="shared" si="621"/>
        <v xml:space="preserve">                                                                                                                                                                                                                                                                                                                                                                                                                </v>
      </c>
      <c r="AG410" s="174" t="str">
        <f t="shared" si="601"/>
        <v>NG</v>
      </c>
      <c r="AH410" s="141"/>
      <c r="AI410" s="172" t="s">
        <v>71</v>
      </c>
      <c r="AJ410" s="160"/>
      <c r="AK410" s="141"/>
      <c r="AL410" s="146" t="str">
        <f t="shared" si="619"/>
        <v xml:space="preserve">                                                                                                                                                                                                                                                                                                                                                                                                                </v>
      </c>
      <c r="AM410" s="174" t="str">
        <f t="shared" si="648"/>
        <v>NG</v>
      </c>
      <c r="AN410" s="141"/>
      <c r="AO410" s="172" t="s">
        <v>71</v>
      </c>
      <c r="AP410" s="160"/>
      <c r="AQ410" s="141"/>
      <c r="AR410" s="146" t="str">
        <f t="shared" si="622"/>
        <v xml:space="preserve">                                                                                                                                                                                                                                                                                                                                                                                                                </v>
      </c>
      <c r="AS410" s="174" t="str">
        <f t="shared" si="602"/>
        <v>NG</v>
      </c>
      <c r="AT410" s="141"/>
      <c r="AU410" s="172" t="s">
        <v>71</v>
      </c>
      <c r="AV410" s="160"/>
      <c r="AW410" s="141"/>
      <c r="AX410" s="146" t="str">
        <f t="shared" si="623"/>
        <v xml:space="preserve">                                                                                                                                                                                                                                                                                                                                                                                                                </v>
      </c>
      <c r="AY410" s="174" t="str">
        <f t="shared" si="603"/>
        <v>NG</v>
      </c>
      <c r="AZ410" s="141"/>
      <c r="BA410" s="172" t="s">
        <v>71</v>
      </c>
      <c r="BB410" s="160"/>
      <c r="BC410" s="141"/>
      <c r="BD410" s="146" t="str">
        <f t="shared" si="624"/>
        <v xml:space="preserve">                                                                                                                                                                                                                                                                                                                                                                                                                </v>
      </c>
      <c r="BE410" s="174" t="str">
        <f t="shared" si="604"/>
        <v>NG</v>
      </c>
      <c r="BF410" s="141"/>
      <c r="BG410" s="172" t="s">
        <v>71</v>
      </c>
      <c r="BH410" s="160"/>
      <c r="BI410" s="141"/>
      <c r="BJ410" s="146" t="str">
        <f t="shared" si="625"/>
        <v xml:space="preserve">                                                                                                                                                                                                                                                                                                                                                                                                                </v>
      </c>
      <c r="BK410" s="174" t="str">
        <f t="shared" si="605"/>
        <v>NG</v>
      </c>
      <c r="BL410" s="141"/>
      <c r="BM410" s="172" t="s">
        <v>71</v>
      </c>
      <c r="BN410" s="160"/>
      <c r="BO410" s="141"/>
      <c r="BP410" s="146" t="str">
        <f t="shared" si="626"/>
        <v xml:space="preserve">                                                                                                                                                                                                                                                                                                                                                                                                                </v>
      </c>
      <c r="BQ410" s="174" t="str">
        <f t="shared" si="606"/>
        <v>NG</v>
      </c>
      <c r="BR410" s="141"/>
      <c r="BS410" s="172" t="s">
        <v>71</v>
      </c>
      <c r="BT410" s="160"/>
      <c r="BU410" s="141"/>
      <c r="BV410" s="146" t="str">
        <f t="shared" si="627"/>
        <v xml:space="preserve">                                                                                                                                                                                                                                                                                                                                                                                                                </v>
      </c>
      <c r="BW410" s="174" t="str">
        <f t="shared" si="607"/>
        <v>NG</v>
      </c>
      <c r="BX410" s="141"/>
      <c r="BY410" s="172" t="s">
        <v>71</v>
      </c>
      <c r="BZ410" s="160"/>
      <c r="CA410" s="141"/>
      <c r="CB410" s="146" t="str">
        <f t="shared" si="628"/>
        <v xml:space="preserve">                                                                                                                                                                                                                                                                                                                                                                                                                </v>
      </c>
      <c r="CC410" s="174" t="str">
        <f t="shared" si="608"/>
        <v>NG</v>
      </c>
      <c r="CD410" s="141"/>
      <c r="CE410" s="172" t="s">
        <v>71</v>
      </c>
      <c r="CF410" s="160"/>
      <c r="CG410" s="141"/>
      <c r="CH410" s="146" t="str">
        <f t="shared" si="629"/>
        <v xml:space="preserve">                                                                                                                                                                                                                                                                                                                                                                                                                </v>
      </c>
      <c r="CI410" s="174" t="str">
        <f t="shared" si="609"/>
        <v>NG</v>
      </c>
      <c r="CJ410" s="141"/>
      <c r="CK410" s="172" t="s">
        <v>71</v>
      </c>
      <c r="CL410" s="160"/>
      <c r="CM410" s="141"/>
      <c r="CN410" s="146" t="str">
        <f t="shared" si="630"/>
        <v xml:space="preserve">                                                                                                                                                                                                                                                                                                                                                                                                                </v>
      </c>
      <c r="CO410" s="174" t="str">
        <f t="shared" si="610"/>
        <v>NG</v>
      </c>
      <c r="CP410" s="141"/>
      <c r="CQ410" s="172" t="s">
        <v>71</v>
      </c>
      <c r="CR410" s="160"/>
      <c r="CS410" s="141"/>
      <c r="CT410" s="146" t="str">
        <f t="shared" si="631"/>
        <v xml:space="preserve">                                                                                                                                                                                                                                                                                                                                                                                                                </v>
      </c>
      <c r="CU410" s="174" t="str">
        <f t="shared" si="611"/>
        <v>NG</v>
      </c>
      <c r="CV410" s="141"/>
      <c r="CW410" s="172" t="s">
        <v>71</v>
      </c>
      <c r="CX410" s="160"/>
      <c r="CY410" s="141"/>
      <c r="CZ410" s="146" t="str">
        <f t="shared" si="632"/>
        <v xml:space="preserve">                                                                                                                                                                                                                                                                                                                                                                                                                </v>
      </c>
      <c r="DA410" s="174" t="str">
        <f t="shared" si="612"/>
        <v>NG</v>
      </c>
      <c r="DB410" s="141"/>
      <c r="DC410" s="172" t="s">
        <v>71</v>
      </c>
      <c r="DD410" s="160"/>
      <c r="DE410" s="141"/>
      <c r="DF410" s="146" t="str">
        <f t="shared" si="633"/>
        <v xml:space="preserve">                                                                                                                                                                                                                                                                                                                                                                                                                </v>
      </c>
      <c r="DG410" s="174" t="str">
        <f t="shared" si="613"/>
        <v>NG</v>
      </c>
      <c r="DH410" s="141"/>
      <c r="DI410" s="172" t="s">
        <v>71</v>
      </c>
      <c r="DJ410" s="160"/>
      <c r="DK410" s="141"/>
      <c r="DL410" s="146" t="str">
        <f t="shared" si="634"/>
        <v xml:space="preserve">                                                                                                                                                                                                                                                                                                                                                                                                                </v>
      </c>
      <c r="DM410" s="174" t="str">
        <f t="shared" si="614"/>
        <v>NG</v>
      </c>
      <c r="DN410" s="141"/>
      <c r="DO410" s="172" t="s">
        <v>71</v>
      </c>
      <c r="DP410" s="160"/>
      <c r="DQ410" s="141"/>
      <c r="DR410" s="146" t="str">
        <f t="shared" si="635"/>
        <v xml:space="preserve">                                                                                                                                                                                                                                                                                                                                                                                                                </v>
      </c>
      <c r="DS410" s="174" t="str">
        <f t="shared" si="593"/>
        <v>NG</v>
      </c>
      <c r="DT410" s="141"/>
      <c r="DU410" s="172" t="s">
        <v>71</v>
      </c>
      <c r="DV410" s="160"/>
      <c r="DW410" s="141"/>
      <c r="DX410" s="146" t="str">
        <f t="shared" si="636"/>
        <v xml:space="preserve">                                                                                                                                                                                                                                                                                                                                                                                                                </v>
      </c>
      <c r="DY410" s="174" t="str">
        <f t="shared" si="594"/>
        <v>NG</v>
      </c>
      <c r="DZ410" s="141"/>
      <c r="EA410" s="172" t="s">
        <v>71</v>
      </c>
      <c r="EB410" s="160"/>
      <c r="EC410" s="141"/>
      <c r="ED410" s="146" t="str">
        <f t="shared" si="637"/>
        <v xml:space="preserve">                                                                                                                                                                                                                                                                                                                                                                                                                </v>
      </c>
      <c r="EE410" s="174" t="str">
        <f t="shared" si="595"/>
        <v>NG</v>
      </c>
      <c r="EF410" s="141"/>
      <c r="EG410" s="172" t="s">
        <v>71</v>
      </c>
      <c r="EH410" s="160"/>
      <c r="EI410" s="141"/>
      <c r="EJ410" s="146" t="str">
        <f t="shared" si="638"/>
        <v xml:space="preserve">                                                                                                                                                                                                                                                                                                                                                                                                                </v>
      </c>
      <c r="EK410" s="174" t="str">
        <f t="shared" si="596"/>
        <v>NG</v>
      </c>
      <c r="EL410" s="141"/>
      <c r="EM410" s="172" t="s">
        <v>71</v>
      </c>
      <c r="EN410" s="160"/>
      <c r="EO410" s="141"/>
      <c r="EP410" s="146" t="str">
        <f t="shared" si="639"/>
        <v xml:space="preserve">                                                                                                                                                                                                                                                                                                                                                                                                                </v>
      </c>
      <c r="EQ410" s="174" t="str">
        <f t="shared" si="597"/>
        <v>NG</v>
      </c>
      <c r="ER410" s="141"/>
      <c r="ES410" s="172" t="s">
        <v>71</v>
      </c>
      <c r="ET410" s="160"/>
      <c r="EU410" s="141"/>
      <c r="EV410" s="146" t="str">
        <f t="shared" si="640"/>
        <v xml:space="preserve">                                                                                                                                                                                                                                                                                                                                                                                                                </v>
      </c>
      <c r="EW410" s="174" t="str">
        <f t="shared" si="598"/>
        <v>NG</v>
      </c>
      <c r="EX410" s="141"/>
      <c r="EY410" s="172" t="s">
        <v>71</v>
      </c>
      <c r="EZ410" s="160"/>
      <c r="FA410" s="141"/>
      <c r="FB410" s="146" t="str">
        <f t="shared" si="641"/>
        <v xml:space="preserve">                                                                                                                                                                                                                                                                                                                                                                                                                </v>
      </c>
      <c r="FC410" s="174" t="str">
        <f t="shared" si="599"/>
        <v>NG</v>
      </c>
      <c r="FD410" s="141"/>
      <c r="FE410" s="172" t="s">
        <v>71</v>
      </c>
      <c r="FF410" s="160"/>
      <c r="FG410" s="141"/>
      <c r="FH410" s="146" t="str">
        <f t="shared" si="642"/>
        <v xml:space="preserve">                                                                                                                                                                                                                                                                                                                                                                                                                </v>
      </c>
      <c r="FI410" s="174" t="str">
        <f t="shared" si="600"/>
        <v>NG</v>
      </c>
      <c r="FJ410" s="141"/>
      <c r="FK410" s="172" t="s">
        <v>71</v>
      </c>
      <c r="FL410" s="160"/>
      <c r="FM410" s="141"/>
      <c r="FN410" s="146" t="str">
        <f t="shared" si="643"/>
        <v xml:space="preserve">                                                                                                                                                                                                                                                                                                                                                                                                                </v>
      </c>
      <c r="FO410" s="174" t="str">
        <f t="shared" si="615"/>
        <v>NG</v>
      </c>
      <c r="FP410" s="141"/>
      <c r="FQ410" s="172" t="s">
        <v>71</v>
      </c>
      <c r="FR410" s="160"/>
      <c r="FS410" s="141"/>
      <c r="FT410" s="146" t="str">
        <f t="shared" si="644"/>
        <v xml:space="preserve">                                                                                                                                                                                                                                                                                                                                                                                                                </v>
      </c>
      <c r="FU410" s="174" t="str">
        <f t="shared" si="616"/>
        <v>NG</v>
      </c>
      <c r="FV410" s="141"/>
      <c r="FW410" s="172" t="s">
        <v>71</v>
      </c>
      <c r="FX410" s="160"/>
      <c r="FY410" s="141"/>
      <c r="FZ410" s="146" t="str">
        <f t="shared" si="645"/>
        <v xml:space="preserve">                                                                                                                                                                                                                                                                                                                                                                                                                </v>
      </c>
      <c r="GA410" s="174" t="str">
        <f t="shared" si="617"/>
        <v>NG</v>
      </c>
      <c r="GB410" s="141"/>
      <c r="GC410" s="172" t="s">
        <v>71</v>
      </c>
    </row>
    <row r="411" spans="2:185" s="52" customFormat="1" ht="76.5">
      <c r="B411" s="216">
        <f t="shared" si="646"/>
        <v>404</v>
      </c>
      <c r="C411" s="37"/>
      <c r="D411" s="37"/>
      <c r="E411" s="37"/>
      <c r="F411" s="49" t="s">
        <v>219</v>
      </c>
      <c r="G411" s="39"/>
      <c r="H411" s="40"/>
      <c r="I411" s="42"/>
      <c r="J411" s="42"/>
      <c r="K411" s="42"/>
      <c r="L411" s="42"/>
      <c r="M411" s="63" t="s">
        <v>337</v>
      </c>
      <c r="N411" s="47"/>
      <c r="O411" s="143"/>
      <c r="P411" s="45">
        <f t="shared" si="620"/>
        <v>375</v>
      </c>
      <c r="Q411" s="46">
        <v>400</v>
      </c>
      <c r="R411" s="41" t="str">
        <f t="shared" si="647"/>
        <v>NX</v>
      </c>
      <c r="S411" s="185" t="s">
        <v>220</v>
      </c>
      <c r="T411" s="43"/>
      <c r="U411" s="41" t="s">
        <v>80</v>
      </c>
      <c r="V411" s="44"/>
      <c r="W411" s="22">
        <v>3</v>
      </c>
      <c r="X411" s="47" t="s">
        <v>221</v>
      </c>
      <c r="Y411" s="47">
        <v>1</v>
      </c>
      <c r="Z411" s="47">
        <v>400</v>
      </c>
      <c r="AA411" s="42" t="s">
        <v>195</v>
      </c>
      <c r="AB411" s="42" t="s">
        <v>80</v>
      </c>
      <c r="AC411" s="166"/>
      <c r="AD411" s="160"/>
      <c r="AE411" s="141"/>
      <c r="AF411" s="146" t="str">
        <f t="shared" si="621"/>
        <v xml:space="preserve">                                                                                                                                                                                                                                                                                                                                                                                                                </v>
      </c>
      <c r="AG411" s="174" t="str">
        <f t="shared" si="601"/>
        <v>NG</v>
      </c>
      <c r="AH411" s="141"/>
      <c r="AI411" s="172" t="s">
        <v>71</v>
      </c>
      <c r="AJ411" s="160"/>
      <c r="AK411" s="141"/>
      <c r="AL411" s="146" t="str">
        <f t="shared" si="619"/>
        <v xml:space="preserve">                                                                                                                                                                                                                                                                                                                                                                                                                </v>
      </c>
      <c r="AM411" s="174" t="str">
        <f t="shared" si="648"/>
        <v>NG</v>
      </c>
      <c r="AN411" s="141"/>
      <c r="AO411" s="172" t="s">
        <v>71</v>
      </c>
      <c r="AP411" s="160"/>
      <c r="AQ411" s="141"/>
      <c r="AR411" s="146" t="str">
        <f t="shared" si="622"/>
        <v xml:space="preserve">                                                                                                                                                                                                                                                                                                                                                                                                                </v>
      </c>
      <c r="AS411" s="174" t="str">
        <f t="shared" si="602"/>
        <v>NG</v>
      </c>
      <c r="AT411" s="141"/>
      <c r="AU411" s="172" t="s">
        <v>71</v>
      </c>
      <c r="AV411" s="160"/>
      <c r="AW411" s="141"/>
      <c r="AX411" s="146" t="str">
        <f t="shared" si="623"/>
        <v xml:space="preserve">                                                                                                                                                                                                                                                                                                                                                                                                                </v>
      </c>
      <c r="AY411" s="174" t="str">
        <f t="shared" si="603"/>
        <v>NG</v>
      </c>
      <c r="AZ411" s="141"/>
      <c r="BA411" s="172" t="s">
        <v>71</v>
      </c>
      <c r="BB411" s="160"/>
      <c r="BC411" s="141"/>
      <c r="BD411" s="146" t="str">
        <f t="shared" si="624"/>
        <v xml:space="preserve">                                                                                                                                                                                                                                                                                                                                                                                                                </v>
      </c>
      <c r="BE411" s="174" t="str">
        <f t="shared" si="604"/>
        <v>NG</v>
      </c>
      <c r="BF411" s="141"/>
      <c r="BG411" s="172" t="s">
        <v>71</v>
      </c>
      <c r="BH411" s="160"/>
      <c r="BI411" s="141"/>
      <c r="BJ411" s="146" t="str">
        <f t="shared" si="625"/>
        <v xml:space="preserve">                                                                                                                                                                                                                                                                                                                                                                                                                </v>
      </c>
      <c r="BK411" s="174" t="str">
        <f t="shared" si="605"/>
        <v>NG</v>
      </c>
      <c r="BL411" s="141"/>
      <c r="BM411" s="172" t="s">
        <v>71</v>
      </c>
      <c r="BN411" s="160"/>
      <c r="BO411" s="141"/>
      <c r="BP411" s="146" t="str">
        <f t="shared" si="626"/>
        <v xml:space="preserve">                                                                                                                                                                                                                                                                                                                                                                                                                </v>
      </c>
      <c r="BQ411" s="174" t="str">
        <f t="shared" si="606"/>
        <v>NG</v>
      </c>
      <c r="BR411" s="141"/>
      <c r="BS411" s="172" t="s">
        <v>71</v>
      </c>
      <c r="BT411" s="160"/>
      <c r="BU411" s="141"/>
      <c r="BV411" s="146" t="str">
        <f t="shared" si="627"/>
        <v xml:space="preserve">                                                                                                                                                                                                                                                                                                                                                                                                                </v>
      </c>
      <c r="BW411" s="174" t="str">
        <f t="shared" si="607"/>
        <v>NG</v>
      </c>
      <c r="BX411" s="141"/>
      <c r="BY411" s="172" t="s">
        <v>71</v>
      </c>
      <c r="BZ411" s="160"/>
      <c r="CA411" s="141"/>
      <c r="CB411" s="146" t="str">
        <f t="shared" si="628"/>
        <v xml:space="preserve">                                                                                                                                                                                                                                                                                                                                                                                                                </v>
      </c>
      <c r="CC411" s="174" t="str">
        <f t="shared" si="608"/>
        <v>NG</v>
      </c>
      <c r="CD411" s="141"/>
      <c r="CE411" s="172" t="s">
        <v>71</v>
      </c>
      <c r="CF411" s="160"/>
      <c r="CG411" s="141"/>
      <c r="CH411" s="146" t="str">
        <f t="shared" si="629"/>
        <v xml:space="preserve">                                                                                                                                                                                                                                                                                                                                                                                                                </v>
      </c>
      <c r="CI411" s="174" t="str">
        <f t="shared" si="609"/>
        <v>NG</v>
      </c>
      <c r="CJ411" s="141"/>
      <c r="CK411" s="172" t="s">
        <v>71</v>
      </c>
      <c r="CL411" s="160"/>
      <c r="CM411" s="141"/>
      <c r="CN411" s="146" t="str">
        <f t="shared" si="630"/>
        <v xml:space="preserve">                                                                                                                                                                                                                                                                                                                                                                                                                </v>
      </c>
      <c r="CO411" s="174" t="str">
        <f t="shared" si="610"/>
        <v>NG</v>
      </c>
      <c r="CP411" s="141"/>
      <c r="CQ411" s="172" t="s">
        <v>71</v>
      </c>
      <c r="CR411" s="160"/>
      <c r="CS411" s="141"/>
      <c r="CT411" s="146" t="str">
        <f t="shared" si="631"/>
        <v xml:space="preserve">                                                                                                                                                                                                                                                                                                                                                                                                                </v>
      </c>
      <c r="CU411" s="174" t="str">
        <f t="shared" si="611"/>
        <v>NG</v>
      </c>
      <c r="CV411" s="141"/>
      <c r="CW411" s="172" t="s">
        <v>71</v>
      </c>
      <c r="CX411" s="160"/>
      <c r="CY411" s="141"/>
      <c r="CZ411" s="146" t="str">
        <f t="shared" si="632"/>
        <v xml:space="preserve">                                                                                                                                                                                                                                                                                                                                                                                                                </v>
      </c>
      <c r="DA411" s="174" t="str">
        <f t="shared" si="612"/>
        <v>NG</v>
      </c>
      <c r="DB411" s="141"/>
      <c r="DC411" s="172" t="s">
        <v>71</v>
      </c>
      <c r="DD411" s="160"/>
      <c r="DE411" s="141"/>
      <c r="DF411" s="146" t="str">
        <f t="shared" si="633"/>
        <v xml:space="preserve">                                                                                                                                                                                                                                                                                                                                                                                                                </v>
      </c>
      <c r="DG411" s="174" t="str">
        <f t="shared" si="613"/>
        <v>NG</v>
      </c>
      <c r="DH411" s="141"/>
      <c r="DI411" s="172" t="s">
        <v>71</v>
      </c>
      <c r="DJ411" s="160"/>
      <c r="DK411" s="141"/>
      <c r="DL411" s="146" t="str">
        <f t="shared" si="634"/>
        <v xml:space="preserve">                                                                                                                                                                                                                                                                                                                                                                                                                </v>
      </c>
      <c r="DM411" s="174" t="str">
        <f t="shared" si="614"/>
        <v>NG</v>
      </c>
      <c r="DN411" s="141"/>
      <c r="DO411" s="172" t="s">
        <v>71</v>
      </c>
      <c r="DP411" s="160"/>
      <c r="DQ411" s="141"/>
      <c r="DR411" s="146" t="str">
        <f t="shared" si="635"/>
        <v xml:space="preserve">                                                                                                                                                                                                                                                                                                                                                                                                                </v>
      </c>
      <c r="DS411" s="174" t="str">
        <f t="shared" si="593"/>
        <v>NG</v>
      </c>
      <c r="DT411" s="141"/>
      <c r="DU411" s="172" t="s">
        <v>71</v>
      </c>
      <c r="DV411" s="160"/>
      <c r="DW411" s="141"/>
      <c r="DX411" s="146" t="str">
        <f t="shared" si="636"/>
        <v xml:space="preserve">                                                                                                                                                                                                                                                                                                                                                                                                                </v>
      </c>
      <c r="DY411" s="174" t="str">
        <f t="shared" si="594"/>
        <v>NG</v>
      </c>
      <c r="DZ411" s="141"/>
      <c r="EA411" s="172" t="s">
        <v>71</v>
      </c>
      <c r="EB411" s="160"/>
      <c r="EC411" s="141"/>
      <c r="ED411" s="146" t="str">
        <f t="shared" si="637"/>
        <v xml:space="preserve">                                                                                                                                                                                                                                                                                                                                                                                                                </v>
      </c>
      <c r="EE411" s="174" t="str">
        <f t="shared" si="595"/>
        <v>NG</v>
      </c>
      <c r="EF411" s="141"/>
      <c r="EG411" s="172" t="s">
        <v>71</v>
      </c>
      <c r="EH411" s="160"/>
      <c r="EI411" s="141"/>
      <c r="EJ411" s="146" t="str">
        <f t="shared" si="638"/>
        <v xml:space="preserve">                                                                                                                                                                                                                                                                                                                                                                                                                </v>
      </c>
      <c r="EK411" s="174" t="str">
        <f t="shared" si="596"/>
        <v>NG</v>
      </c>
      <c r="EL411" s="141"/>
      <c r="EM411" s="172" t="s">
        <v>71</v>
      </c>
      <c r="EN411" s="160"/>
      <c r="EO411" s="141"/>
      <c r="EP411" s="146" t="str">
        <f t="shared" si="639"/>
        <v xml:space="preserve">                                                                                                                                                                                                                                                                                                                                                                                                                </v>
      </c>
      <c r="EQ411" s="174" t="str">
        <f t="shared" si="597"/>
        <v>NG</v>
      </c>
      <c r="ER411" s="141"/>
      <c r="ES411" s="172" t="s">
        <v>71</v>
      </c>
      <c r="ET411" s="160"/>
      <c r="EU411" s="141"/>
      <c r="EV411" s="146" t="str">
        <f t="shared" si="640"/>
        <v xml:space="preserve">                                                                                                                                                                                                                                                                                                                                                                                                                </v>
      </c>
      <c r="EW411" s="174" t="str">
        <f t="shared" si="598"/>
        <v>NG</v>
      </c>
      <c r="EX411" s="141"/>
      <c r="EY411" s="172" t="s">
        <v>71</v>
      </c>
      <c r="EZ411" s="160"/>
      <c r="FA411" s="141"/>
      <c r="FB411" s="146" t="str">
        <f t="shared" si="641"/>
        <v xml:space="preserve">                                                                                                                                                                                                                                                                                                                                                                                                                </v>
      </c>
      <c r="FC411" s="174" t="str">
        <f t="shared" si="599"/>
        <v>NG</v>
      </c>
      <c r="FD411" s="141"/>
      <c r="FE411" s="172" t="s">
        <v>71</v>
      </c>
      <c r="FF411" s="160"/>
      <c r="FG411" s="141"/>
      <c r="FH411" s="146" t="str">
        <f t="shared" si="642"/>
        <v xml:space="preserve">                                                                                                                                                                                                                                                                                                                                                                                                                </v>
      </c>
      <c r="FI411" s="174" t="str">
        <f t="shared" si="600"/>
        <v>NG</v>
      </c>
      <c r="FJ411" s="141"/>
      <c r="FK411" s="172" t="s">
        <v>71</v>
      </c>
      <c r="FL411" s="160"/>
      <c r="FM411" s="141"/>
      <c r="FN411" s="146" t="str">
        <f t="shared" si="643"/>
        <v xml:space="preserve">                                                                                                                                                                                                                                                                                                                                                                                                                </v>
      </c>
      <c r="FO411" s="174" t="str">
        <f t="shared" si="615"/>
        <v>NG</v>
      </c>
      <c r="FP411" s="141"/>
      <c r="FQ411" s="172" t="s">
        <v>71</v>
      </c>
      <c r="FR411" s="160"/>
      <c r="FS411" s="141"/>
      <c r="FT411" s="146" t="str">
        <f t="shared" si="644"/>
        <v xml:space="preserve">                                                                                                                                                                                                                                                                                                                                                                                                                </v>
      </c>
      <c r="FU411" s="174" t="str">
        <f t="shared" si="616"/>
        <v>NG</v>
      </c>
      <c r="FV411" s="141"/>
      <c r="FW411" s="172" t="s">
        <v>71</v>
      </c>
      <c r="FX411" s="160"/>
      <c r="FY411" s="141"/>
      <c r="FZ411" s="146" t="str">
        <f t="shared" si="645"/>
        <v xml:space="preserve">                                                                                                                                                                                                                                                                                                                                                                                                                </v>
      </c>
      <c r="GA411" s="174" t="str">
        <f t="shared" si="617"/>
        <v>NG</v>
      </c>
      <c r="GB411" s="141"/>
      <c r="GC411" s="172" t="s">
        <v>71</v>
      </c>
    </row>
    <row r="412" spans="2:185" s="52" customFormat="1">
      <c r="B412" s="216">
        <f t="shared" si="646"/>
        <v>405</v>
      </c>
      <c r="C412" s="37"/>
      <c r="D412" s="37"/>
      <c r="E412" s="37"/>
      <c r="F412" s="49" t="s">
        <v>222</v>
      </c>
      <c r="G412" s="39"/>
      <c r="H412" s="40"/>
      <c r="I412" s="42"/>
      <c r="J412" s="42"/>
      <c r="K412" s="42"/>
      <c r="L412" s="42"/>
      <c r="M412" s="63" t="s">
        <v>336</v>
      </c>
      <c r="N412" s="47"/>
      <c r="O412" s="143"/>
      <c r="P412" s="45">
        <f t="shared" si="620"/>
        <v>376</v>
      </c>
      <c r="Q412" s="46">
        <v>400</v>
      </c>
      <c r="R412" s="41" t="str">
        <f t="shared" si="647"/>
        <v>NX</v>
      </c>
      <c r="S412" s="185" t="s">
        <v>223</v>
      </c>
      <c r="T412" s="43"/>
      <c r="U412" s="41" t="s">
        <v>80</v>
      </c>
      <c r="V412" s="44"/>
      <c r="W412" s="22">
        <v>3</v>
      </c>
      <c r="X412" s="47" t="s">
        <v>224</v>
      </c>
      <c r="Y412" s="47">
        <v>1</v>
      </c>
      <c r="Z412" s="47">
        <v>400</v>
      </c>
      <c r="AA412" s="42" t="s">
        <v>195</v>
      </c>
      <c r="AB412" s="42" t="s">
        <v>80</v>
      </c>
      <c r="AC412" s="166"/>
      <c r="AD412" s="160"/>
      <c r="AE412" s="141"/>
      <c r="AF412" s="146" t="str">
        <f t="shared" si="621"/>
        <v xml:space="preserve">                                                                                                                                                                                                                                                                                                                                                                                                                </v>
      </c>
      <c r="AG412" s="174" t="str">
        <f t="shared" si="601"/>
        <v>NG</v>
      </c>
      <c r="AH412" s="141"/>
      <c r="AI412" s="172" t="s">
        <v>71</v>
      </c>
      <c r="AJ412" s="160"/>
      <c r="AK412" s="141"/>
      <c r="AL412" s="146" t="str">
        <f t="shared" si="619"/>
        <v xml:space="preserve">                                                                                                                                                                                                                                                                                                                                                                                                                </v>
      </c>
      <c r="AM412" s="174" t="str">
        <f t="shared" si="648"/>
        <v>NG</v>
      </c>
      <c r="AN412" s="141"/>
      <c r="AO412" s="172" t="s">
        <v>71</v>
      </c>
      <c r="AP412" s="160"/>
      <c r="AQ412" s="141"/>
      <c r="AR412" s="146" t="str">
        <f t="shared" si="622"/>
        <v xml:space="preserve">                                                                                                                                                                                                                                                                                                                                                                                                                </v>
      </c>
      <c r="AS412" s="174" t="str">
        <f t="shared" si="602"/>
        <v>NG</v>
      </c>
      <c r="AT412" s="141"/>
      <c r="AU412" s="172" t="s">
        <v>71</v>
      </c>
      <c r="AV412" s="160"/>
      <c r="AW412" s="141"/>
      <c r="AX412" s="146" t="str">
        <f t="shared" si="623"/>
        <v xml:space="preserve">                                                                                                                                                                                                                                                                                                                                                                                                                </v>
      </c>
      <c r="AY412" s="174" t="str">
        <f t="shared" si="603"/>
        <v>NG</v>
      </c>
      <c r="AZ412" s="141"/>
      <c r="BA412" s="172" t="s">
        <v>71</v>
      </c>
      <c r="BB412" s="160"/>
      <c r="BC412" s="141"/>
      <c r="BD412" s="146" t="str">
        <f t="shared" si="624"/>
        <v xml:space="preserve">                                                                                                                                                                                                                                                                                                                                                                                                                </v>
      </c>
      <c r="BE412" s="174" t="str">
        <f t="shared" si="604"/>
        <v>NG</v>
      </c>
      <c r="BF412" s="141"/>
      <c r="BG412" s="172" t="s">
        <v>71</v>
      </c>
      <c r="BH412" s="160"/>
      <c r="BI412" s="141"/>
      <c r="BJ412" s="146" t="str">
        <f t="shared" si="625"/>
        <v xml:space="preserve">                                                                                                                                                                                                                                                                                                                                                                                                                </v>
      </c>
      <c r="BK412" s="174" t="str">
        <f t="shared" si="605"/>
        <v>NG</v>
      </c>
      <c r="BL412" s="141"/>
      <c r="BM412" s="172" t="s">
        <v>71</v>
      </c>
      <c r="BN412" s="160"/>
      <c r="BO412" s="141"/>
      <c r="BP412" s="146" t="str">
        <f t="shared" si="626"/>
        <v xml:space="preserve">                                                                                                                                                                                                                                                                                                                                                                                                                </v>
      </c>
      <c r="BQ412" s="174" t="str">
        <f t="shared" si="606"/>
        <v>NG</v>
      </c>
      <c r="BR412" s="141"/>
      <c r="BS412" s="172" t="s">
        <v>71</v>
      </c>
      <c r="BT412" s="160"/>
      <c r="BU412" s="141"/>
      <c r="BV412" s="146" t="str">
        <f t="shared" si="627"/>
        <v xml:space="preserve">                                                                                                                                                                                                                                                                                                                                                                                                                </v>
      </c>
      <c r="BW412" s="174" t="str">
        <f t="shared" si="607"/>
        <v>NG</v>
      </c>
      <c r="BX412" s="141"/>
      <c r="BY412" s="172" t="s">
        <v>71</v>
      </c>
      <c r="BZ412" s="160"/>
      <c r="CA412" s="141"/>
      <c r="CB412" s="146" t="str">
        <f t="shared" si="628"/>
        <v xml:space="preserve">                                                                                                                                                                                                                                                                                                                                                                                                                </v>
      </c>
      <c r="CC412" s="174" t="str">
        <f t="shared" si="608"/>
        <v>NG</v>
      </c>
      <c r="CD412" s="141"/>
      <c r="CE412" s="172" t="s">
        <v>71</v>
      </c>
      <c r="CF412" s="160"/>
      <c r="CG412" s="141"/>
      <c r="CH412" s="146" t="str">
        <f t="shared" si="629"/>
        <v xml:space="preserve">                                                                                                                                                                                                                                                                                                                                                                                                                </v>
      </c>
      <c r="CI412" s="174" t="str">
        <f t="shared" si="609"/>
        <v>NG</v>
      </c>
      <c r="CJ412" s="141"/>
      <c r="CK412" s="172" t="s">
        <v>71</v>
      </c>
      <c r="CL412" s="160"/>
      <c r="CM412" s="141"/>
      <c r="CN412" s="146" t="str">
        <f t="shared" si="630"/>
        <v xml:space="preserve">                                                                                                                                                                                                                                                                                                                                                                                                                </v>
      </c>
      <c r="CO412" s="174" t="str">
        <f t="shared" si="610"/>
        <v>NG</v>
      </c>
      <c r="CP412" s="141"/>
      <c r="CQ412" s="172" t="s">
        <v>71</v>
      </c>
      <c r="CR412" s="160"/>
      <c r="CS412" s="141"/>
      <c r="CT412" s="146" t="str">
        <f t="shared" si="631"/>
        <v xml:space="preserve">                                                                                                                                                                                                                                                                                                                                                                                                                </v>
      </c>
      <c r="CU412" s="174" t="str">
        <f t="shared" si="611"/>
        <v>NG</v>
      </c>
      <c r="CV412" s="141"/>
      <c r="CW412" s="172" t="s">
        <v>71</v>
      </c>
      <c r="CX412" s="160"/>
      <c r="CY412" s="141"/>
      <c r="CZ412" s="146" t="str">
        <f t="shared" si="632"/>
        <v xml:space="preserve">                                                                                                                                                                                                                                                                                                                                                                                                                </v>
      </c>
      <c r="DA412" s="174" t="str">
        <f t="shared" si="612"/>
        <v>NG</v>
      </c>
      <c r="DB412" s="141"/>
      <c r="DC412" s="172" t="s">
        <v>71</v>
      </c>
      <c r="DD412" s="160"/>
      <c r="DE412" s="141"/>
      <c r="DF412" s="146" t="str">
        <f t="shared" si="633"/>
        <v xml:space="preserve">                                                                                                                                                                                                                                                                                                                                                                                                                </v>
      </c>
      <c r="DG412" s="174" t="str">
        <f t="shared" si="613"/>
        <v>NG</v>
      </c>
      <c r="DH412" s="141"/>
      <c r="DI412" s="172" t="s">
        <v>71</v>
      </c>
      <c r="DJ412" s="160"/>
      <c r="DK412" s="141"/>
      <c r="DL412" s="146" t="str">
        <f t="shared" si="634"/>
        <v xml:space="preserve">                                                                                                                                                                                                                                                                                                                                                                                                                </v>
      </c>
      <c r="DM412" s="174" t="str">
        <f t="shared" si="614"/>
        <v>NG</v>
      </c>
      <c r="DN412" s="141"/>
      <c r="DO412" s="172" t="s">
        <v>71</v>
      </c>
      <c r="DP412" s="160"/>
      <c r="DQ412" s="141"/>
      <c r="DR412" s="146" t="str">
        <f t="shared" si="635"/>
        <v xml:space="preserve">                                                                                                                                                                                                                                                                                                                                                                                                                </v>
      </c>
      <c r="DS412" s="174" t="str">
        <f t="shared" si="593"/>
        <v>NG</v>
      </c>
      <c r="DT412" s="141"/>
      <c r="DU412" s="172" t="s">
        <v>71</v>
      </c>
      <c r="DV412" s="160"/>
      <c r="DW412" s="141"/>
      <c r="DX412" s="146" t="str">
        <f t="shared" si="636"/>
        <v xml:space="preserve">                                                                                                                                                                                                                                                                                                                                                                                                                </v>
      </c>
      <c r="DY412" s="174" t="str">
        <f t="shared" si="594"/>
        <v>NG</v>
      </c>
      <c r="DZ412" s="141"/>
      <c r="EA412" s="172" t="s">
        <v>71</v>
      </c>
      <c r="EB412" s="160"/>
      <c r="EC412" s="141"/>
      <c r="ED412" s="146" t="str">
        <f t="shared" si="637"/>
        <v xml:space="preserve">                                                                                                                                                                                                                                                                                                                                                                                                                </v>
      </c>
      <c r="EE412" s="174" t="str">
        <f t="shared" si="595"/>
        <v>NG</v>
      </c>
      <c r="EF412" s="141"/>
      <c r="EG412" s="172" t="s">
        <v>71</v>
      </c>
      <c r="EH412" s="160"/>
      <c r="EI412" s="141"/>
      <c r="EJ412" s="146" t="str">
        <f t="shared" si="638"/>
        <v xml:space="preserve">                                                                                                                                                                                                                                                                                                                                                                                                                </v>
      </c>
      <c r="EK412" s="174" t="str">
        <f t="shared" si="596"/>
        <v>NG</v>
      </c>
      <c r="EL412" s="141"/>
      <c r="EM412" s="172" t="s">
        <v>71</v>
      </c>
      <c r="EN412" s="160"/>
      <c r="EO412" s="141"/>
      <c r="EP412" s="146" t="str">
        <f t="shared" si="639"/>
        <v xml:space="preserve">                                                                                                                                                                                                                                                                                                                                                                                                                </v>
      </c>
      <c r="EQ412" s="174" t="str">
        <f t="shared" si="597"/>
        <v>NG</v>
      </c>
      <c r="ER412" s="141"/>
      <c r="ES412" s="172" t="s">
        <v>71</v>
      </c>
      <c r="ET412" s="160"/>
      <c r="EU412" s="141"/>
      <c r="EV412" s="146" t="str">
        <f t="shared" si="640"/>
        <v xml:space="preserve">                                                                                                                                                                                                                                                                                                                                                                                                                </v>
      </c>
      <c r="EW412" s="174" t="str">
        <f t="shared" si="598"/>
        <v>NG</v>
      </c>
      <c r="EX412" s="141"/>
      <c r="EY412" s="172" t="s">
        <v>71</v>
      </c>
      <c r="EZ412" s="160"/>
      <c r="FA412" s="141"/>
      <c r="FB412" s="146" t="str">
        <f t="shared" si="641"/>
        <v xml:space="preserve">                                                                                                                                                                                                                                                                                                                                                                                                                </v>
      </c>
      <c r="FC412" s="174" t="str">
        <f t="shared" si="599"/>
        <v>NG</v>
      </c>
      <c r="FD412" s="141"/>
      <c r="FE412" s="172" t="s">
        <v>71</v>
      </c>
      <c r="FF412" s="160"/>
      <c r="FG412" s="141"/>
      <c r="FH412" s="146" t="str">
        <f t="shared" si="642"/>
        <v xml:space="preserve">                                                                                                                                                                                                                                                                                                                                                                                                                </v>
      </c>
      <c r="FI412" s="174" t="str">
        <f t="shared" si="600"/>
        <v>NG</v>
      </c>
      <c r="FJ412" s="141"/>
      <c r="FK412" s="172" t="s">
        <v>71</v>
      </c>
      <c r="FL412" s="160"/>
      <c r="FM412" s="141"/>
      <c r="FN412" s="146" t="str">
        <f t="shared" si="643"/>
        <v xml:space="preserve">                                                                                                                                                                                                                                                                                                                                                                                                                </v>
      </c>
      <c r="FO412" s="174" t="str">
        <f t="shared" si="615"/>
        <v>NG</v>
      </c>
      <c r="FP412" s="141"/>
      <c r="FQ412" s="172" t="s">
        <v>71</v>
      </c>
      <c r="FR412" s="160"/>
      <c r="FS412" s="141"/>
      <c r="FT412" s="146" t="str">
        <f t="shared" si="644"/>
        <v xml:space="preserve">                                                                                                                                                                                                                                                                                                                                                                                                                </v>
      </c>
      <c r="FU412" s="174" t="str">
        <f t="shared" si="616"/>
        <v>NG</v>
      </c>
      <c r="FV412" s="141"/>
      <c r="FW412" s="172" t="s">
        <v>71</v>
      </c>
      <c r="FX412" s="160"/>
      <c r="FY412" s="141"/>
      <c r="FZ412" s="146" t="str">
        <f t="shared" si="645"/>
        <v xml:space="preserve">                                                                                                                                                                                                                                                                                                                                                                                                                </v>
      </c>
      <c r="GA412" s="174" t="str">
        <f t="shared" si="617"/>
        <v>NG</v>
      </c>
      <c r="GB412" s="141"/>
      <c r="GC412" s="172" t="s">
        <v>71</v>
      </c>
    </row>
    <row r="413" spans="2:185" s="52" customFormat="1">
      <c r="B413" s="216">
        <f t="shared" si="646"/>
        <v>406</v>
      </c>
      <c r="C413" s="37"/>
      <c r="D413" s="37"/>
      <c r="E413" s="37"/>
      <c r="F413" s="49" t="s">
        <v>225</v>
      </c>
      <c r="G413" s="39"/>
      <c r="H413" s="40"/>
      <c r="I413" s="42"/>
      <c r="J413" s="42"/>
      <c r="K413" s="42"/>
      <c r="L413" s="42"/>
      <c r="M413" s="63" t="s">
        <v>336</v>
      </c>
      <c r="N413" s="47"/>
      <c r="O413" s="143"/>
      <c r="P413" s="45">
        <f t="shared" si="620"/>
        <v>377</v>
      </c>
      <c r="Q413" s="46">
        <v>400</v>
      </c>
      <c r="R413" s="41" t="str">
        <f t="shared" si="647"/>
        <v>NX</v>
      </c>
      <c r="S413" s="185" t="s">
        <v>226</v>
      </c>
      <c r="T413" s="43"/>
      <c r="U413" s="41" t="s">
        <v>80</v>
      </c>
      <c r="V413" s="44"/>
      <c r="W413" s="22">
        <v>3</v>
      </c>
      <c r="X413" s="47" t="s">
        <v>227</v>
      </c>
      <c r="Y413" s="47">
        <v>1</v>
      </c>
      <c r="Z413" s="47">
        <v>400</v>
      </c>
      <c r="AA413" s="42" t="s">
        <v>195</v>
      </c>
      <c r="AB413" s="42" t="s">
        <v>80</v>
      </c>
      <c r="AC413" s="166"/>
      <c r="AD413" s="160"/>
      <c r="AE413" s="141"/>
      <c r="AF413" s="146" t="str">
        <f t="shared" si="621"/>
        <v xml:space="preserve">                                                                                                                                                                                                                                                                                                                                                                                                                </v>
      </c>
      <c r="AG413" s="174" t="str">
        <f t="shared" si="601"/>
        <v>NG</v>
      </c>
      <c r="AH413" s="141"/>
      <c r="AI413" s="172" t="s">
        <v>71</v>
      </c>
      <c r="AJ413" s="160"/>
      <c r="AK413" s="141"/>
      <c r="AL413" s="146" t="str">
        <f t="shared" si="619"/>
        <v xml:space="preserve">                                                                                                                                                                                                                                                                                                                                                                                                                </v>
      </c>
      <c r="AM413" s="174" t="str">
        <f t="shared" si="648"/>
        <v>NG</v>
      </c>
      <c r="AN413" s="141"/>
      <c r="AO413" s="172" t="s">
        <v>71</v>
      </c>
      <c r="AP413" s="160"/>
      <c r="AQ413" s="141"/>
      <c r="AR413" s="146" t="str">
        <f t="shared" si="622"/>
        <v xml:space="preserve">                                                                                                                                                                                                                                                                                                                                                                                                                </v>
      </c>
      <c r="AS413" s="174" t="str">
        <f t="shared" si="602"/>
        <v>NG</v>
      </c>
      <c r="AT413" s="141"/>
      <c r="AU413" s="172" t="s">
        <v>71</v>
      </c>
      <c r="AV413" s="160"/>
      <c r="AW413" s="141"/>
      <c r="AX413" s="146" t="str">
        <f t="shared" si="623"/>
        <v xml:space="preserve">                                                                                                                                                                                                                                                                                                                                                                                                                </v>
      </c>
      <c r="AY413" s="174" t="str">
        <f t="shared" si="603"/>
        <v>NG</v>
      </c>
      <c r="AZ413" s="141"/>
      <c r="BA413" s="172" t="s">
        <v>71</v>
      </c>
      <c r="BB413" s="160"/>
      <c r="BC413" s="141"/>
      <c r="BD413" s="146" t="str">
        <f t="shared" si="624"/>
        <v xml:space="preserve">                                                                                                                                                                                                                                                                                                                                                                                                                </v>
      </c>
      <c r="BE413" s="174" t="str">
        <f t="shared" si="604"/>
        <v>NG</v>
      </c>
      <c r="BF413" s="141"/>
      <c r="BG413" s="172" t="s">
        <v>71</v>
      </c>
      <c r="BH413" s="160"/>
      <c r="BI413" s="141"/>
      <c r="BJ413" s="146" t="str">
        <f t="shared" si="625"/>
        <v xml:space="preserve">                                                                                                                                                                                                                                                                                                                                                                                                                </v>
      </c>
      <c r="BK413" s="174" t="str">
        <f t="shared" si="605"/>
        <v>NG</v>
      </c>
      <c r="BL413" s="141"/>
      <c r="BM413" s="172" t="s">
        <v>71</v>
      </c>
      <c r="BN413" s="160"/>
      <c r="BO413" s="141"/>
      <c r="BP413" s="146" t="str">
        <f t="shared" si="626"/>
        <v xml:space="preserve">                                                                                                                                                                                                                                                                                                                                                                                                                </v>
      </c>
      <c r="BQ413" s="174" t="str">
        <f t="shared" si="606"/>
        <v>NG</v>
      </c>
      <c r="BR413" s="141"/>
      <c r="BS413" s="172" t="s">
        <v>71</v>
      </c>
      <c r="BT413" s="160"/>
      <c r="BU413" s="141"/>
      <c r="BV413" s="146" t="str">
        <f t="shared" si="627"/>
        <v xml:space="preserve">                                                                                                                                                                                                                                                                                                                                                                                                                </v>
      </c>
      <c r="BW413" s="174" t="str">
        <f t="shared" si="607"/>
        <v>NG</v>
      </c>
      <c r="BX413" s="141"/>
      <c r="BY413" s="172" t="s">
        <v>71</v>
      </c>
      <c r="BZ413" s="160"/>
      <c r="CA413" s="141"/>
      <c r="CB413" s="146" t="str">
        <f t="shared" si="628"/>
        <v xml:space="preserve">                                                                                                                                                                                                                                                                                                                                                                                                                </v>
      </c>
      <c r="CC413" s="174" t="str">
        <f t="shared" si="608"/>
        <v>NG</v>
      </c>
      <c r="CD413" s="141"/>
      <c r="CE413" s="172" t="s">
        <v>71</v>
      </c>
      <c r="CF413" s="160"/>
      <c r="CG413" s="141"/>
      <c r="CH413" s="146" t="str">
        <f t="shared" si="629"/>
        <v xml:space="preserve">                                                                                                                                                                                                                                                                                                                                                                                                                </v>
      </c>
      <c r="CI413" s="174" t="str">
        <f t="shared" si="609"/>
        <v>NG</v>
      </c>
      <c r="CJ413" s="141"/>
      <c r="CK413" s="172" t="s">
        <v>71</v>
      </c>
      <c r="CL413" s="160"/>
      <c r="CM413" s="141"/>
      <c r="CN413" s="146" t="str">
        <f t="shared" si="630"/>
        <v xml:space="preserve">                                                                                                                                                                                                                                                                                                                                                                                                                </v>
      </c>
      <c r="CO413" s="174" t="str">
        <f t="shared" si="610"/>
        <v>NG</v>
      </c>
      <c r="CP413" s="141"/>
      <c r="CQ413" s="172" t="s">
        <v>71</v>
      </c>
      <c r="CR413" s="160"/>
      <c r="CS413" s="141"/>
      <c r="CT413" s="146" t="str">
        <f t="shared" si="631"/>
        <v xml:space="preserve">                                                                                                                                                                                                                                                                                                                                                                                                                </v>
      </c>
      <c r="CU413" s="174" t="str">
        <f t="shared" si="611"/>
        <v>NG</v>
      </c>
      <c r="CV413" s="141"/>
      <c r="CW413" s="172" t="s">
        <v>71</v>
      </c>
      <c r="CX413" s="160"/>
      <c r="CY413" s="141"/>
      <c r="CZ413" s="146" t="str">
        <f t="shared" si="632"/>
        <v xml:space="preserve">                                                                                                                                                                                                                                                                                                                                                                                                                </v>
      </c>
      <c r="DA413" s="174" t="str">
        <f t="shared" si="612"/>
        <v>NG</v>
      </c>
      <c r="DB413" s="141"/>
      <c r="DC413" s="172" t="s">
        <v>71</v>
      </c>
      <c r="DD413" s="160"/>
      <c r="DE413" s="141"/>
      <c r="DF413" s="146" t="str">
        <f t="shared" si="633"/>
        <v xml:space="preserve">                                                                                                                                                                                                                                                                                                                                                                                                                </v>
      </c>
      <c r="DG413" s="174" t="str">
        <f t="shared" si="613"/>
        <v>NG</v>
      </c>
      <c r="DH413" s="141"/>
      <c r="DI413" s="172" t="s">
        <v>71</v>
      </c>
      <c r="DJ413" s="160"/>
      <c r="DK413" s="141"/>
      <c r="DL413" s="146" t="str">
        <f t="shared" si="634"/>
        <v xml:space="preserve">                                                                                                                                                                                                                                                                                                                                                                                                                </v>
      </c>
      <c r="DM413" s="174" t="str">
        <f t="shared" si="614"/>
        <v>NG</v>
      </c>
      <c r="DN413" s="141"/>
      <c r="DO413" s="172" t="s">
        <v>71</v>
      </c>
      <c r="DP413" s="160"/>
      <c r="DQ413" s="141"/>
      <c r="DR413" s="146" t="str">
        <f t="shared" si="635"/>
        <v xml:space="preserve">                                                                                                                                                                                                                                                                                                                                                                                                                </v>
      </c>
      <c r="DS413" s="174" t="str">
        <f t="shared" si="593"/>
        <v>NG</v>
      </c>
      <c r="DT413" s="141"/>
      <c r="DU413" s="172" t="s">
        <v>71</v>
      </c>
      <c r="DV413" s="160"/>
      <c r="DW413" s="141"/>
      <c r="DX413" s="146" t="str">
        <f t="shared" si="636"/>
        <v xml:space="preserve">                                                                                                                                                                                                                                                                                                                                                                                                                </v>
      </c>
      <c r="DY413" s="174" t="str">
        <f t="shared" si="594"/>
        <v>NG</v>
      </c>
      <c r="DZ413" s="141"/>
      <c r="EA413" s="172" t="s">
        <v>71</v>
      </c>
      <c r="EB413" s="160"/>
      <c r="EC413" s="141"/>
      <c r="ED413" s="146" t="str">
        <f t="shared" si="637"/>
        <v xml:space="preserve">                                                                                                                                                                                                                                                                                                                                                                                                                </v>
      </c>
      <c r="EE413" s="174" t="str">
        <f t="shared" si="595"/>
        <v>NG</v>
      </c>
      <c r="EF413" s="141"/>
      <c r="EG413" s="172" t="s">
        <v>71</v>
      </c>
      <c r="EH413" s="160"/>
      <c r="EI413" s="141"/>
      <c r="EJ413" s="146" t="str">
        <f t="shared" si="638"/>
        <v xml:space="preserve">                                                                                                                                                                                                                                                                                                                                                                                                                </v>
      </c>
      <c r="EK413" s="174" t="str">
        <f t="shared" si="596"/>
        <v>NG</v>
      </c>
      <c r="EL413" s="141"/>
      <c r="EM413" s="172" t="s">
        <v>71</v>
      </c>
      <c r="EN413" s="160"/>
      <c r="EO413" s="141"/>
      <c r="EP413" s="146" t="str">
        <f t="shared" si="639"/>
        <v xml:space="preserve">                                                                                                                                                                                                                                                                                                                                                                                                                </v>
      </c>
      <c r="EQ413" s="174" t="str">
        <f t="shared" si="597"/>
        <v>NG</v>
      </c>
      <c r="ER413" s="141"/>
      <c r="ES413" s="172" t="s">
        <v>71</v>
      </c>
      <c r="ET413" s="160"/>
      <c r="EU413" s="141"/>
      <c r="EV413" s="146" t="str">
        <f t="shared" si="640"/>
        <v xml:space="preserve">                                                                                                                                                                                                                                                                                                                                                                                                                </v>
      </c>
      <c r="EW413" s="174" t="str">
        <f t="shared" si="598"/>
        <v>NG</v>
      </c>
      <c r="EX413" s="141"/>
      <c r="EY413" s="172" t="s">
        <v>71</v>
      </c>
      <c r="EZ413" s="160"/>
      <c r="FA413" s="141"/>
      <c r="FB413" s="146" t="str">
        <f t="shared" si="641"/>
        <v xml:space="preserve">                                                                                                                                                                                                                                                                                                                                                                                                                </v>
      </c>
      <c r="FC413" s="174" t="str">
        <f t="shared" si="599"/>
        <v>NG</v>
      </c>
      <c r="FD413" s="141"/>
      <c r="FE413" s="172" t="s">
        <v>71</v>
      </c>
      <c r="FF413" s="160"/>
      <c r="FG413" s="141"/>
      <c r="FH413" s="146" t="str">
        <f t="shared" si="642"/>
        <v xml:space="preserve">                                                                                                                                                                                                                                                                                                                                                                                                                </v>
      </c>
      <c r="FI413" s="174" t="str">
        <f t="shared" si="600"/>
        <v>NG</v>
      </c>
      <c r="FJ413" s="141"/>
      <c r="FK413" s="172" t="s">
        <v>71</v>
      </c>
      <c r="FL413" s="160"/>
      <c r="FM413" s="141"/>
      <c r="FN413" s="146" t="str">
        <f t="shared" si="643"/>
        <v xml:space="preserve">                                                                                                                                                                                                                                                                                                                                                                                                                </v>
      </c>
      <c r="FO413" s="174" t="str">
        <f t="shared" si="615"/>
        <v>NG</v>
      </c>
      <c r="FP413" s="141"/>
      <c r="FQ413" s="172" t="s">
        <v>71</v>
      </c>
      <c r="FR413" s="160"/>
      <c r="FS413" s="141"/>
      <c r="FT413" s="146" t="str">
        <f t="shared" si="644"/>
        <v xml:space="preserve">                                                                                                                                                                                                                                                                                                                                                                                                                </v>
      </c>
      <c r="FU413" s="174" t="str">
        <f t="shared" si="616"/>
        <v>NG</v>
      </c>
      <c r="FV413" s="141"/>
      <c r="FW413" s="172" t="s">
        <v>71</v>
      </c>
      <c r="FX413" s="160"/>
      <c r="FY413" s="141"/>
      <c r="FZ413" s="146" t="str">
        <f t="shared" si="645"/>
        <v xml:space="preserve">                                                                                                                                                                                                                                                                                                                                                                                                                </v>
      </c>
      <c r="GA413" s="174" t="str">
        <f t="shared" si="617"/>
        <v>NG</v>
      </c>
      <c r="GB413" s="141"/>
      <c r="GC413" s="172" t="s">
        <v>71</v>
      </c>
    </row>
    <row r="414" spans="2:185" s="52" customFormat="1" ht="89.25">
      <c r="B414" s="216">
        <f t="shared" si="646"/>
        <v>407</v>
      </c>
      <c r="C414" s="37"/>
      <c r="D414" s="37"/>
      <c r="E414" s="37"/>
      <c r="F414" s="49" t="s">
        <v>228</v>
      </c>
      <c r="G414" s="39"/>
      <c r="H414" s="40"/>
      <c r="I414" s="42"/>
      <c r="J414" s="42"/>
      <c r="K414" s="42"/>
      <c r="L414" s="42"/>
      <c r="M414" s="63" t="s">
        <v>338</v>
      </c>
      <c r="N414" s="47"/>
      <c r="O414" s="143"/>
      <c r="P414" s="45">
        <f t="shared" si="620"/>
        <v>378</v>
      </c>
      <c r="Q414" s="46">
        <v>1</v>
      </c>
      <c r="R414" s="41" t="str">
        <f t="shared" si="647"/>
        <v>X</v>
      </c>
      <c r="S414" s="185" t="s">
        <v>229</v>
      </c>
      <c r="T414" s="43"/>
      <c r="U414" s="41" t="s">
        <v>80</v>
      </c>
      <c r="V414" s="44"/>
      <c r="W414" s="22">
        <v>3</v>
      </c>
      <c r="X414" s="47" t="s">
        <v>230</v>
      </c>
      <c r="Y414" s="47">
        <v>1</v>
      </c>
      <c r="Z414" s="47">
        <v>1</v>
      </c>
      <c r="AA414" s="42" t="s">
        <v>163</v>
      </c>
      <c r="AB414" s="42" t="s">
        <v>57</v>
      </c>
      <c r="AC414" s="217"/>
      <c r="AD414" s="160"/>
      <c r="AE414" s="162"/>
      <c r="AF414" s="203" t="str">
        <f t="shared" si="621"/>
        <v xml:space="preserve"> </v>
      </c>
      <c r="AG414" s="174" t="str">
        <f t="shared" si="601"/>
        <v>NG</v>
      </c>
      <c r="AH414" s="162"/>
      <c r="AI414" s="172" t="s">
        <v>71</v>
      </c>
      <c r="AJ414" s="160"/>
      <c r="AK414" s="162"/>
      <c r="AL414" s="203" t="str">
        <f t="shared" si="619"/>
        <v xml:space="preserve"> </v>
      </c>
      <c r="AM414" s="174" t="str">
        <f t="shared" si="648"/>
        <v>NG</v>
      </c>
      <c r="AN414" s="162"/>
      <c r="AO414" s="172" t="s">
        <v>71</v>
      </c>
      <c r="AP414" s="160"/>
      <c r="AQ414" s="162"/>
      <c r="AR414" s="203" t="str">
        <f t="shared" si="622"/>
        <v xml:space="preserve"> </v>
      </c>
      <c r="AS414" s="174" t="str">
        <f t="shared" si="602"/>
        <v>NG</v>
      </c>
      <c r="AT414" s="162"/>
      <c r="AU414" s="172" t="s">
        <v>71</v>
      </c>
      <c r="AV414" s="160"/>
      <c r="AW414" s="162"/>
      <c r="AX414" s="203" t="str">
        <f t="shared" si="623"/>
        <v xml:space="preserve"> </v>
      </c>
      <c r="AY414" s="174" t="str">
        <f t="shared" si="603"/>
        <v>NG</v>
      </c>
      <c r="AZ414" s="162"/>
      <c r="BA414" s="172" t="s">
        <v>71</v>
      </c>
      <c r="BB414" s="160"/>
      <c r="BC414" s="162"/>
      <c r="BD414" s="203" t="str">
        <f t="shared" si="624"/>
        <v xml:space="preserve"> </v>
      </c>
      <c r="BE414" s="174" t="str">
        <f t="shared" si="604"/>
        <v>NG</v>
      </c>
      <c r="BF414" s="162"/>
      <c r="BG414" s="172" t="s">
        <v>71</v>
      </c>
      <c r="BH414" s="160"/>
      <c r="BI414" s="162"/>
      <c r="BJ414" s="203" t="str">
        <f t="shared" si="625"/>
        <v xml:space="preserve"> </v>
      </c>
      <c r="BK414" s="174" t="str">
        <f t="shared" si="605"/>
        <v>NG</v>
      </c>
      <c r="BL414" s="162"/>
      <c r="BM414" s="172" t="s">
        <v>71</v>
      </c>
      <c r="BN414" s="160"/>
      <c r="BO414" s="162"/>
      <c r="BP414" s="203" t="str">
        <f t="shared" si="626"/>
        <v xml:space="preserve"> </v>
      </c>
      <c r="BQ414" s="174" t="str">
        <f t="shared" si="606"/>
        <v>NG</v>
      </c>
      <c r="BR414" s="162"/>
      <c r="BS414" s="172" t="s">
        <v>71</v>
      </c>
      <c r="BT414" s="160"/>
      <c r="BU414" s="162"/>
      <c r="BV414" s="203" t="str">
        <f t="shared" si="627"/>
        <v xml:space="preserve"> </v>
      </c>
      <c r="BW414" s="174" t="str">
        <f t="shared" si="607"/>
        <v>NG</v>
      </c>
      <c r="BX414" s="162"/>
      <c r="BY414" s="172" t="s">
        <v>71</v>
      </c>
      <c r="BZ414" s="160"/>
      <c r="CA414" s="162"/>
      <c r="CB414" s="203" t="str">
        <f t="shared" si="628"/>
        <v xml:space="preserve"> </v>
      </c>
      <c r="CC414" s="174" t="str">
        <f t="shared" si="608"/>
        <v>NG</v>
      </c>
      <c r="CD414" s="162"/>
      <c r="CE414" s="172" t="s">
        <v>71</v>
      </c>
      <c r="CF414" s="160"/>
      <c r="CG414" s="162"/>
      <c r="CH414" s="203" t="str">
        <f t="shared" si="629"/>
        <v xml:space="preserve"> </v>
      </c>
      <c r="CI414" s="174" t="str">
        <f t="shared" si="609"/>
        <v>NG</v>
      </c>
      <c r="CJ414" s="162"/>
      <c r="CK414" s="172" t="s">
        <v>71</v>
      </c>
      <c r="CL414" s="160"/>
      <c r="CM414" s="162"/>
      <c r="CN414" s="203" t="str">
        <f t="shared" si="630"/>
        <v xml:space="preserve"> </v>
      </c>
      <c r="CO414" s="174" t="str">
        <f t="shared" si="610"/>
        <v>NG</v>
      </c>
      <c r="CP414" s="162"/>
      <c r="CQ414" s="172" t="s">
        <v>71</v>
      </c>
      <c r="CR414" s="160"/>
      <c r="CS414" s="162"/>
      <c r="CT414" s="203" t="str">
        <f t="shared" si="631"/>
        <v xml:space="preserve"> </v>
      </c>
      <c r="CU414" s="174" t="str">
        <f t="shared" si="611"/>
        <v>NG</v>
      </c>
      <c r="CV414" s="162"/>
      <c r="CW414" s="172" t="s">
        <v>71</v>
      </c>
      <c r="CX414" s="160"/>
      <c r="CY414" s="162"/>
      <c r="CZ414" s="203" t="str">
        <f t="shared" si="632"/>
        <v xml:space="preserve"> </v>
      </c>
      <c r="DA414" s="174" t="str">
        <f t="shared" si="612"/>
        <v>NG</v>
      </c>
      <c r="DB414" s="162"/>
      <c r="DC414" s="172" t="s">
        <v>71</v>
      </c>
      <c r="DD414" s="160"/>
      <c r="DE414" s="162"/>
      <c r="DF414" s="203" t="str">
        <f t="shared" si="633"/>
        <v xml:space="preserve"> </v>
      </c>
      <c r="DG414" s="174" t="str">
        <f t="shared" si="613"/>
        <v>NG</v>
      </c>
      <c r="DH414" s="162"/>
      <c r="DI414" s="172" t="s">
        <v>71</v>
      </c>
      <c r="DJ414" s="160"/>
      <c r="DK414" s="162"/>
      <c r="DL414" s="203" t="str">
        <f t="shared" si="634"/>
        <v xml:space="preserve"> </v>
      </c>
      <c r="DM414" s="174" t="str">
        <f t="shared" si="614"/>
        <v>NG</v>
      </c>
      <c r="DN414" s="162"/>
      <c r="DO414" s="172" t="s">
        <v>71</v>
      </c>
      <c r="DP414" s="160"/>
      <c r="DQ414" s="162"/>
      <c r="DR414" s="203" t="str">
        <f t="shared" si="635"/>
        <v xml:space="preserve"> </v>
      </c>
      <c r="DS414" s="174" t="str">
        <f t="shared" si="593"/>
        <v>NG</v>
      </c>
      <c r="DT414" s="162"/>
      <c r="DU414" s="172" t="s">
        <v>71</v>
      </c>
      <c r="DV414" s="160"/>
      <c r="DW414" s="162"/>
      <c r="DX414" s="203" t="str">
        <f t="shared" si="636"/>
        <v xml:space="preserve"> </v>
      </c>
      <c r="DY414" s="174" t="str">
        <f t="shared" si="594"/>
        <v>NG</v>
      </c>
      <c r="DZ414" s="162"/>
      <c r="EA414" s="172" t="s">
        <v>71</v>
      </c>
      <c r="EB414" s="160"/>
      <c r="EC414" s="162"/>
      <c r="ED414" s="203" t="str">
        <f t="shared" si="637"/>
        <v xml:space="preserve"> </v>
      </c>
      <c r="EE414" s="174" t="str">
        <f t="shared" si="595"/>
        <v>NG</v>
      </c>
      <c r="EF414" s="162"/>
      <c r="EG414" s="172" t="s">
        <v>71</v>
      </c>
      <c r="EH414" s="160"/>
      <c r="EI414" s="162"/>
      <c r="EJ414" s="203" t="str">
        <f t="shared" si="638"/>
        <v xml:space="preserve"> </v>
      </c>
      <c r="EK414" s="174" t="str">
        <f t="shared" si="596"/>
        <v>NG</v>
      </c>
      <c r="EL414" s="162"/>
      <c r="EM414" s="172" t="s">
        <v>71</v>
      </c>
      <c r="EN414" s="160"/>
      <c r="EO414" s="162"/>
      <c r="EP414" s="203" t="str">
        <f t="shared" si="639"/>
        <v xml:space="preserve"> </v>
      </c>
      <c r="EQ414" s="174" t="str">
        <f t="shared" si="597"/>
        <v>NG</v>
      </c>
      <c r="ER414" s="162"/>
      <c r="ES414" s="172" t="s">
        <v>71</v>
      </c>
      <c r="ET414" s="160"/>
      <c r="EU414" s="162"/>
      <c r="EV414" s="203" t="str">
        <f t="shared" si="640"/>
        <v xml:space="preserve"> </v>
      </c>
      <c r="EW414" s="174" t="str">
        <f t="shared" si="598"/>
        <v>NG</v>
      </c>
      <c r="EX414" s="162"/>
      <c r="EY414" s="172" t="s">
        <v>71</v>
      </c>
      <c r="EZ414" s="160"/>
      <c r="FA414" s="162"/>
      <c r="FB414" s="203" t="str">
        <f t="shared" si="641"/>
        <v xml:space="preserve"> </v>
      </c>
      <c r="FC414" s="174" t="str">
        <f t="shared" si="599"/>
        <v>NG</v>
      </c>
      <c r="FD414" s="162"/>
      <c r="FE414" s="172" t="s">
        <v>71</v>
      </c>
      <c r="FF414" s="160"/>
      <c r="FG414" s="162"/>
      <c r="FH414" s="203" t="str">
        <f t="shared" si="642"/>
        <v xml:space="preserve"> </v>
      </c>
      <c r="FI414" s="174" t="str">
        <f t="shared" si="600"/>
        <v>NG</v>
      </c>
      <c r="FJ414" s="162"/>
      <c r="FK414" s="172" t="s">
        <v>71</v>
      </c>
      <c r="FL414" s="160"/>
      <c r="FM414" s="162"/>
      <c r="FN414" s="203" t="str">
        <f t="shared" si="643"/>
        <v xml:space="preserve"> </v>
      </c>
      <c r="FO414" s="174" t="str">
        <f t="shared" si="615"/>
        <v>NG</v>
      </c>
      <c r="FP414" s="162"/>
      <c r="FQ414" s="172" t="s">
        <v>71</v>
      </c>
      <c r="FR414" s="160"/>
      <c r="FS414" s="162"/>
      <c r="FT414" s="203" t="str">
        <f t="shared" si="644"/>
        <v xml:space="preserve"> </v>
      </c>
      <c r="FU414" s="174" t="str">
        <f t="shared" si="616"/>
        <v>NG</v>
      </c>
      <c r="FV414" s="162"/>
      <c r="FW414" s="172" t="s">
        <v>71</v>
      </c>
      <c r="FX414" s="160"/>
      <c r="FY414" s="162"/>
      <c r="FZ414" s="203" t="str">
        <f t="shared" si="645"/>
        <v xml:space="preserve"> </v>
      </c>
      <c r="GA414" s="174" t="str">
        <f t="shared" si="617"/>
        <v>NG</v>
      </c>
      <c r="GB414" s="162"/>
      <c r="GC414" s="172" t="s">
        <v>71</v>
      </c>
    </row>
    <row r="415" spans="2:185" s="52" customFormat="1">
      <c r="B415" s="216">
        <f t="shared" si="646"/>
        <v>408</v>
      </c>
      <c r="C415" s="37"/>
      <c r="D415" s="37"/>
      <c r="E415" s="37"/>
      <c r="F415" s="49" t="s">
        <v>231</v>
      </c>
      <c r="G415" s="39"/>
      <c r="H415" s="40"/>
      <c r="I415" s="42"/>
      <c r="J415" s="42"/>
      <c r="K415" s="42"/>
      <c r="L415" s="42"/>
      <c r="M415" s="63"/>
      <c r="N415" s="47"/>
      <c r="O415" s="143"/>
      <c r="P415" s="45">
        <f t="shared" si="620"/>
        <v>379</v>
      </c>
      <c r="Q415" s="46">
        <v>128</v>
      </c>
      <c r="R415" s="41" t="str">
        <f t="shared" si="647"/>
        <v>X</v>
      </c>
      <c r="S415" s="185" t="s">
        <v>232</v>
      </c>
      <c r="T415" s="43"/>
      <c r="U415" s="41" t="s">
        <v>80</v>
      </c>
      <c r="V415" s="44"/>
      <c r="W415" s="22">
        <v>3</v>
      </c>
      <c r="X415" s="47" t="s">
        <v>233</v>
      </c>
      <c r="Y415" s="47">
        <v>1</v>
      </c>
      <c r="Z415" s="47">
        <v>128</v>
      </c>
      <c r="AA415" s="42" t="s">
        <v>163</v>
      </c>
      <c r="AB415" s="42" t="s">
        <v>57</v>
      </c>
      <c r="AC415" s="166"/>
      <c r="AD415" s="160"/>
      <c r="AE415" s="141"/>
      <c r="AF415" s="203" t="str">
        <f t="shared" si="621"/>
        <v xml:space="preserve">                                                                                                                                </v>
      </c>
      <c r="AG415" s="174" t="str">
        <f t="shared" si="601"/>
        <v>NG</v>
      </c>
      <c r="AH415" s="141"/>
      <c r="AI415" s="276" t="str">
        <f>IF(OR(AE$8="判定対象外",AH$8="判定対象外",AH415="-"),"-",IF(AE415=AH415,"OK","NG"))</f>
        <v>OK</v>
      </c>
      <c r="AJ415" s="160"/>
      <c r="AK415" s="141"/>
      <c r="AL415" s="203" t="str">
        <f t="shared" si="619"/>
        <v xml:space="preserve">                                                                                                                                </v>
      </c>
      <c r="AM415" s="174" t="str">
        <f t="shared" si="648"/>
        <v>NG</v>
      </c>
      <c r="AN415" s="141"/>
      <c r="AO415" s="276" t="str">
        <f>IF(OR(AK$8="判定対象外",AN$8="判定対象外",AN415="-"),"-",IF(AK415=AN415,"OK","NG"))</f>
        <v>OK</v>
      </c>
      <c r="AP415" s="160"/>
      <c r="AQ415" s="141"/>
      <c r="AR415" s="203" t="str">
        <f t="shared" si="622"/>
        <v xml:space="preserve">                                                                                                                                </v>
      </c>
      <c r="AS415" s="174" t="str">
        <f t="shared" si="602"/>
        <v>NG</v>
      </c>
      <c r="AT415" s="141"/>
      <c r="AU415" s="276" t="str">
        <f>IF(OR(AQ$8="判定対象外",AT$8="判定対象外",AT415="-"),"-",IF(AQ415=AT415,"OK","NG"))</f>
        <v>OK</v>
      </c>
      <c r="AV415" s="160"/>
      <c r="AW415" s="141"/>
      <c r="AX415" s="203" t="str">
        <f t="shared" si="623"/>
        <v xml:space="preserve">                                                                                                                                </v>
      </c>
      <c r="AY415" s="174" t="str">
        <f t="shared" si="603"/>
        <v>NG</v>
      </c>
      <c r="AZ415" s="141"/>
      <c r="BA415" s="276" t="str">
        <f>IF(OR(AW$8="判定対象外",AZ$8="判定対象外",AZ415="-"),"-",IF(AW415=AZ415,"OK","NG"))</f>
        <v>OK</v>
      </c>
      <c r="BB415" s="160"/>
      <c r="BC415" s="141"/>
      <c r="BD415" s="203" t="str">
        <f t="shared" si="624"/>
        <v xml:space="preserve">                                                                                                                                </v>
      </c>
      <c r="BE415" s="174" t="str">
        <f t="shared" si="604"/>
        <v>NG</v>
      </c>
      <c r="BF415" s="141"/>
      <c r="BG415" s="276" t="str">
        <f>IF(OR(BC$8="判定対象外",BF$8="判定対象外",BF415="-"),"-",IF(BC415=BF415,"OK","NG"))</f>
        <v>OK</v>
      </c>
      <c r="BH415" s="160"/>
      <c r="BI415" s="141"/>
      <c r="BJ415" s="203" t="str">
        <f t="shared" si="625"/>
        <v xml:space="preserve">                                                                                                                                </v>
      </c>
      <c r="BK415" s="174" t="str">
        <f t="shared" si="605"/>
        <v>NG</v>
      </c>
      <c r="BL415" s="141"/>
      <c r="BM415" s="276" t="str">
        <f>IF(OR(BI$8="判定対象外",BL$8="判定対象外",BL415="-"),"-",IF(BI415=BL415,"OK","NG"))</f>
        <v>OK</v>
      </c>
      <c r="BN415" s="160"/>
      <c r="BO415" s="141"/>
      <c r="BP415" s="203" t="str">
        <f t="shared" si="626"/>
        <v xml:space="preserve">                                                                                                                                </v>
      </c>
      <c r="BQ415" s="174" t="str">
        <f t="shared" si="606"/>
        <v>NG</v>
      </c>
      <c r="BR415" s="141"/>
      <c r="BS415" s="276" t="str">
        <f>IF(OR(BO$8="判定対象外",BR$8="判定対象外",BR415="-"),"-",IF(BO415=BR415,"OK","NG"))</f>
        <v>OK</v>
      </c>
      <c r="BT415" s="160"/>
      <c r="BU415" s="141"/>
      <c r="BV415" s="203" t="str">
        <f t="shared" si="627"/>
        <v xml:space="preserve">                                                                                                                                </v>
      </c>
      <c r="BW415" s="174" t="str">
        <f t="shared" si="607"/>
        <v>NG</v>
      </c>
      <c r="BX415" s="141"/>
      <c r="BY415" s="276" t="str">
        <f>IF(OR(BU$8="判定対象外",BX$8="判定対象外",BX415="-"),"-",IF(BU415=BX415,"OK","NG"))</f>
        <v>OK</v>
      </c>
      <c r="BZ415" s="160"/>
      <c r="CA415" s="141"/>
      <c r="CB415" s="203" t="str">
        <f t="shared" si="628"/>
        <v xml:space="preserve">                                                                                                                                </v>
      </c>
      <c r="CC415" s="174" t="str">
        <f t="shared" si="608"/>
        <v>NG</v>
      </c>
      <c r="CD415" s="141"/>
      <c r="CE415" s="276" t="str">
        <f>IF(OR(CA$8="判定対象外",CD$8="判定対象外",CD415="-"),"-",IF(CA415=CD415,"OK","NG"))</f>
        <v>OK</v>
      </c>
      <c r="CF415" s="160"/>
      <c r="CG415" s="141"/>
      <c r="CH415" s="203" t="str">
        <f t="shared" si="629"/>
        <v xml:space="preserve">                                                                                                                                </v>
      </c>
      <c r="CI415" s="174" t="str">
        <f t="shared" si="609"/>
        <v>NG</v>
      </c>
      <c r="CJ415" s="141"/>
      <c r="CK415" s="276" t="str">
        <f>IF(OR(CG$8="判定対象外",CJ$8="判定対象外",CJ415="-"),"-",IF(CG415=CJ415,"OK","NG"))</f>
        <v>OK</v>
      </c>
      <c r="CL415" s="160"/>
      <c r="CM415" s="141"/>
      <c r="CN415" s="203" t="str">
        <f t="shared" si="630"/>
        <v xml:space="preserve">                                                                                                                                </v>
      </c>
      <c r="CO415" s="174" t="str">
        <f t="shared" si="610"/>
        <v>NG</v>
      </c>
      <c r="CP415" s="141"/>
      <c r="CQ415" s="276" t="str">
        <f>IF(OR(CM$8="判定対象外",CP$8="判定対象外",CP415="-"),"-",IF(CM415=CP415,"OK","NG"))</f>
        <v>OK</v>
      </c>
      <c r="CR415" s="160"/>
      <c r="CS415" s="141"/>
      <c r="CT415" s="203" t="str">
        <f t="shared" si="631"/>
        <v xml:space="preserve">                                                                                                                                </v>
      </c>
      <c r="CU415" s="174" t="str">
        <f t="shared" si="611"/>
        <v>NG</v>
      </c>
      <c r="CV415" s="141"/>
      <c r="CW415" s="276" t="str">
        <f>IF(OR(CS$8="判定対象外",CV$8="判定対象外",CV415="-"),"-",IF(CS415=CV415,"OK","NG"))</f>
        <v>OK</v>
      </c>
      <c r="CX415" s="160"/>
      <c r="CY415" s="141"/>
      <c r="CZ415" s="203" t="str">
        <f t="shared" si="632"/>
        <v xml:space="preserve">                                                                                                                                </v>
      </c>
      <c r="DA415" s="174" t="str">
        <f t="shared" si="612"/>
        <v>NG</v>
      </c>
      <c r="DB415" s="141"/>
      <c r="DC415" s="276" t="str">
        <f>IF(OR(CY$8="判定対象外",DB$8="判定対象外",DB415="-"),"-",IF(CY415=DB415,"OK","NG"))</f>
        <v>OK</v>
      </c>
      <c r="DD415" s="160"/>
      <c r="DE415" s="141"/>
      <c r="DF415" s="203" t="str">
        <f t="shared" si="633"/>
        <v xml:space="preserve">                                                                                                                                </v>
      </c>
      <c r="DG415" s="174" t="str">
        <f t="shared" si="613"/>
        <v>NG</v>
      </c>
      <c r="DH415" s="141"/>
      <c r="DI415" s="276" t="str">
        <f>IF(OR(DE$8="判定対象外",DH$8="判定対象外",DH415="-"),"-",IF(DE415=DH415,"OK","NG"))</f>
        <v>OK</v>
      </c>
      <c r="DJ415" s="160"/>
      <c r="DK415" s="141"/>
      <c r="DL415" s="203" t="str">
        <f t="shared" si="634"/>
        <v xml:space="preserve">                                                                                                                                </v>
      </c>
      <c r="DM415" s="174" t="str">
        <f t="shared" si="614"/>
        <v>NG</v>
      </c>
      <c r="DN415" s="141"/>
      <c r="DO415" s="276" t="str">
        <f>IF(OR(DK$8="判定対象外",DN$8="判定対象外",DN415="-"),"-",IF(DK415=DN415,"OK","NG"))</f>
        <v>OK</v>
      </c>
      <c r="DP415" s="160"/>
      <c r="DQ415" s="141"/>
      <c r="DR415" s="203" t="str">
        <f t="shared" si="635"/>
        <v xml:space="preserve">                                                                                                                                </v>
      </c>
      <c r="DS415" s="174" t="str">
        <f t="shared" si="593"/>
        <v>NG</v>
      </c>
      <c r="DT415" s="141"/>
      <c r="DU415" s="276" t="str">
        <f>IF(OR(DQ$8="判定対象外",DT$8="判定対象外",DT415="-"),"-",IF(DQ415=DT415,"OK","NG"))</f>
        <v>OK</v>
      </c>
      <c r="DV415" s="160"/>
      <c r="DW415" s="141"/>
      <c r="DX415" s="203" t="str">
        <f t="shared" si="636"/>
        <v xml:space="preserve">                                                                                                                                </v>
      </c>
      <c r="DY415" s="174" t="str">
        <f t="shared" si="594"/>
        <v>NG</v>
      </c>
      <c r="DZ415" s="141"/>
      <c r="EA415" s="276" t="str">
        <f>IF(OR(DW$8="判定対象外",DZ$8="判定対象外",DZ415="-"),"-",IF(DW415=DZ415,"OK","NG"))</f>
        <v>OK</v>
      </c>
      <c r="EB415" s="160"/>
      <c r="EC415" s="141"/>
      <c r="ED415" s="203" t="str">
        <f t="shared" si="637"/>
        <v xml:space="preserve">                                                                                                                                </v>
      </c>
      <c r="EE415" s="174" t="str">
        <f t="shared" si="595"/>
        <v>NG</v>
      </c>
      <c r="EF415" s="141"/>
      <c r="EG415" s="276" t="str">
        <f>IF(OR(EC$8="判定対象外",EF$8="判定対象外",EF415="-"),"-",IF(EC415=EF415,"OK","NG"))</f>
        <v>OK</v>
      </c>
      <c r="EH415" s="160"/>
      <c r="EI415" s="141"/>
      <c r="EJ415" s="203" t="str">
        <f t="shared" si="638"/>
        <v xml:space="preserve">                                                                                                                                </v>
      </c>
      <c r="EK415" s="174" t="str">
        <f t="shared" si="596"/>
        <v>NG</v>
      </c>
      <c r="EL415" s="141"/>
      <c r="EM415" s="276" t="str">
        <f>IF(OR(EI$8="判定対象外",EL$8="判定対象外",EL415="-"),"-",IF(EI415=EL415,"OK","NG"))</f>
        <v>OK</v>
      </c>
      <c r="EN415" s="160"/>
      <c r="EO415" s="141"/>
      <c r="EP415" s="203" t="str">
        <f t="shared" si="639"/>
        <v xml:space="preserve">                                                                                                                                </v>
      </c>
      <c r="EQ415" s="174" t="str">
        <f t="shared" si="597"/>
        <v>NG</v>
      </c>
      <c r="ER415" s="141"/>
      <c r="ES415" s="276" t="str">
        <f>IF(OR(EO$8="判定対象外",ER$8="判定対象外",ER415="-"),"-",IF(EO415=ER415,"OK","NG"))</f>
        <v>OK</v>
      </c>
      <c r="ET415" s="160"/>
      <c r="EU415" s="141"/>
      <c r="EV415" s="203" t="str">
        <f t="shared" si="640"/>
        <v xml:space="preserve">                                                                                                                                </v>
      </c>
      <c r="EW415" s="174" t="str">
        <f t="shared" si="598"/>
        <v>NG</v>
      </c>
      <c r="EX415" s="141"/>
      <c r="EY415" s="276" t="str">
        <f>IF(OR(EU$8="判定対象外",EX$8="判定対象外",EX415="-"),"-",IF(EU415=EX415,"OK","NG"))</f>
        <v>OK</v>
      </c>
      <c r="EZ415" s="160"/>
      <c r="FA415" s="141"/>
      <c r="FB415" s="203" t="str">
        <f t="shared" si="641"/>
        <v xml:space="preserve">                                                                                                                                </v>
      </c>
      <c r="FC415" s="174" t="str">
        <f t="shared" si="599"/>
        <v>NG</v>
      </c>
      <c r="FD415" s="141"/>
      <c r="FE415" s="276" t="str">
        <f>IF(OR(FA$8="判定対象外",FD$8="判定対象外",FD415="-"),"-",IF(FA415=FD415,"OK","NG"))</f>
        <v>OK</v>
      </c>
      <c r="FF415" s="160"/>
      <c r="FG415" s="141"/>
      <c r="FH415" s="203" t="str">
        <f t="shared" si="642"/>
        <v xml:space="preserve">                                                                                                                                </v>
      </c>
      <c r="FI415" s="174" t="str">
        <f t="shared" si="600"/>
        <v>NG</v>
      </c>
      <c r="FJ415" s="141"/>
      <c r="FK415" s="276" t="str">
        <f>IF(OR(FG$8="判定対象外",FJ$8="判定対象外",FJ415="-"),"-",IF(FG415=FJ415,"OK","NG"))</f>
        <v>OK</v>
      </c>
      <c r="FL415" s="160"/>
      <c r="FM415" s="141"/>
      <c r="FN415" s="203" t="str">
        <f t="shared" si="643"/>
        <v xml:space="preserve">                                                                                                                                </v>
      </c>
      <c r="FO415" s="174" t="str">
        <f t="shared" si="615"/>
        <v>NG</v>
      </c>
      <c r="FP415" s="141"/>
      <c r="FQ415" s="276" t="str">
        <f>IF(OR(FM$8="判定対象外",FP$8="判定対象外",FP415="-"),"-",IF(FM415=FP415,"OK","NG"))</f>
        <v>OK</v>
      </c>
      <c r="FR415" s="160"/>
      <c r="FS415" s="141"/>
      <c r="FT415" s="203" t="str">
        <f t="shared" si="644"/>
        <v xml:space="preserve">                                                                                                                                </v>
      </c>
      <c r="FU415" s="174" t="str">
        <f t="shared" si="616"/>
        <v>NG</v>
      </c>
      <c r="FV415" s="141"/>
      <c r="FW415" s="276" t="str">
        <f>IF(OR(FS$8="判定対象外",FV$8="判定対象外",FV415="-"),"-",IF(FS415=FV415,"OK","NG"))</f>
        <v>OK</v>
      </c>
      <c r="FX415" s="160"/>
      <c r="FY415" s="141"/>
      <c r="FZ415" s="203" t="str">
        <f t="shared" si="645"/>
        <v xml:space="preserve">                                                                                                                                </v>
      </c>
      <c r="GA415" s="174" t="str">
        <f t="shared" si="617"/>
        <v>NG</v>
      </c>
      <c r="GB415" s="141"/>
      <c r="GC415" s="276" t="str">
        <f>IF(OR(FY$8="判定対象外",GB$8="判定対象外",GB415="-"),"-",IF(FY415=GB415,"OK","NG"))</f>
        <v>OK</v>
      </c>
    </row>
    <row r="416" spans="2:185" s="52" customFormat="1" ht="114.75">
      <c r="B416" s="216">
        <f t="shared" si="646"/>
        <v>409</v>
      </c>
      <c r="C416" s="37"/>
      <c r="D416" s="37"/>
      <c r="E416" s="37"/>
      <c r="F416" s="49" t="s">
        <v>339</v>
      </c>
      <c r="G416" s="39"/>
      <c r="H416" s="40"/>
      <c r="I416" s="42"/>
      <c r="J416" s="42"/>
      <c r="K416" s="42"/>
      <c r="L416" s="42"/>
      <c r="M416" s="63" t="s">
        <v>340</v>
      </c>
      <c r="N416" s="47"/>
      <c r="O416" s="143"/>
      <c r="P416" s="45">
        <f t="shared" si="620"/>
        <v>380</v>
      </c>
      <c r="Q416" s="46">
        <v>1</v>
      </c>
      <c r="R416" s="41" t="str">
        <f t="shared" si="647"/>
        <v>X</v>
      </c>
      <c r="S416" s="185" t="s">
        <v>234</v>
      </c>
      <c r="T416" s="43"/>
      <c r="U416" s="41" t="s">
        <v>80</v>
      </c>
      <c r="V416" s="44"/>
      <c r="W416" s="22">
        <v>3</v>
      </c>
      <c r="X416" s="47" t="s">
        <v>235</v>
      </c>
      <c r="Y416" s="47">
        <v>1</v>
      </c>
      <c r="Z416" s="47">
        <v>1</v>
      </c>
      <c r="AA416" s="42" t="s">
        <v>163</v>
      </c>
      <c r="AB416" s="42" t="s">
        <v>57</v>
      </c>
      <c r="AC416" s="217"/>
      <c r="AD416" s="160"/>
      <c r="AE416" s="162"/>
      <c r="AF416" s="203" t="str">
        <f t="shared" si="621"/>
        <v xml:space="preserve"> </v>
      </c>
      <c r="AG416" s="174" t="str">
        <f t="shared" si="601"/>
        <v>NG</v>
      </c>
      <c r="AH416" s="162"/>
      <c r="AI416" s="172" t="s">
        <v>71</v>
      </c>
      <c r="AJ416" s="160"/>
      <c r="AK416" s="162"/>
      <c r="AL416" s="203" t="str">
        <f t="shared" si="619"/>
        <v xml:space="preserve"> </v>
      </c>
      <c r="AM416" s="174" t="str">
        <f t="shared" si="648"/>
        <v>NG</v>
      </c>
      <c r="AN416" s="162"/>
      <c r="AO416" s="172" t="s">
        <v>71</v>
      </c>
      <c r="AP416" s="160"/>
      <c r="AQ416" s="162"/>
      <c r="AR416" s="203" t="str">
        <f t="shared" si="622"/>
        <v xml:space="preserve"> </v>
      </c>
      <c r="AS416" s="174" t="str">
        <f t="shared" si="602"/>
        <v>NG</v>
      </c>
      <c r="AT416" s="162"/>
      <c r="AU416" s="172" t="s">
        <v>71</v>
      </c>
      <c r="AV416" s="160"/>
      <c r="AW416" s="162"/>
      <c r="AX416" s="203" t="str">
        <f t="shared" si="623"/>
        <v xml:space="preserve"> </v>
      </c>
      <c r="AY416" s="174" t="str">
        <f t="shared" si="603"/>
        <v>NG</v>
      </c>
      <c r="AZ416" s="162"/>
      <c r="BA416" s="172" t="s">
        <v>71</v>
      </c>
      <c r="BB416" s="160"/>
      <c r="BC416" s="162"/>
      <c r="BD416" s="203" t="str">
        <f t="shared" si="624"/>
        <v xml:space="preserve"> </v>
      </c>
      <c r="BE416" s="174" t="str">
        <f t="shared" si="604"/>
        <v>NG</v>
      </c>
      <c r="BF416" s="162"/>
      <c r="BG416" s="172" t="s">
        <v>71</v>
      </c>
      <c r="BH416" s="160"/>
      <c r="BI416" s="162"/>
      <c r="BJ416" s="203" t="str">
        <f t="shared" si="625"/>
        <v xml:space="preserve"> </v>
      </c>
      <c r="BK416" s="174" t="str">
        <f t="shared" si="605"/>
        <v>NG</v>
      </c>
      <c r="BL416" s="162"/>
      <c r="BM416" s="172" t="s">
        <v>71</v>
      </c>
      <c r="BN416" s="160"/>
      <c r="BO416" s="162"/>
      <c r="BP416" s="203" t="str">
        <f t="shared" si="626"/>
        <v xml:space="preserve"> </v>
      </c>
      <c r="BQ416" s="174" t="str">
        <f t="shared" si="606"/>
        <v>NG</v>
      </c>
      <c r="BR416" s="162"/>
      <c r="BS416" s="172" t="s">
        <v>71</v>
      </c>
      <c r="BT416" s="160"/>
      <c r="BU416" s="162"/>
      <c r="BV416" s="203" t="str">
        <f t="shared" si="627"/>
        <v xml:space="preserve"> </v>
      </c>
      <c r="BW416" s="174" t="str">
        <f t="shared" si="607"/>
        <v>NG</v>
      </c>
      <c r="BX416" s="162"/>
      <c r="BY416" s="172" t="s">
        <v>71</v>
      </c>
      <c r="BZ416" s="160"/>
      <c r="CA416" s="162"/>
      <c r="CB416" s="203" t="str">
        <f t="shared" si="628"/>
        <v xml:space="preserve"> </v>
      </c>
      <c r="CC416" s="174" t="str">
        <f t="shared" si="608"/>
        <v>NG</v>
      </c>
      <c r="CD416" s="162"/>
      <c r="CE416" s="172" t="s">
        <v>71</v>
      </c>
      <c r="CF416" s="160"/>
      <c r="CG416" s="162"/>
      <c r="CH416" s="203" t="str">
        <f t="shared" si="629"/>
        <v xml:space="preserve"> </v>
      </c>
      <c r="CI416" s="174" t="str">
        <f t="shared" si="609"/>
        <v>NG</v>
      </c>
      <c r="CJ416" s="162"/>
      <c r="CK416" s="172" t="s">
        <v>71</v>
      </c>
      <c r="CL416" s="160"/>
      <c r="CM416" s="162"/>
      <c r="CN416" s="203" t="str">
        <f t="shared" si="630"/>
        <v xml:space="preserve"> </v>
      </c>
      <c r="CO416" s="174" t="str">
        <f t="shared" si="610"/>
        <v>NG</v>
      </c>
      <c r="CP416" s="162"/>
      <c r="CQ416" s="172" t="s">
        <v>71</v>
      </c>
      <c r="CR416" s="160"/>
      <c r="CS416" s="162"/>
      <c r="CT416" s="203" t="str">
        <f t="shared" si="631"/>
        <v xml:space="preserve"> </v>
      </c>
      <c r="CU416" s="174" t="str">
        <f t="shared" si="611"/>
        <v>NG</v>
      </c>
      <c r="CV416" s="162"/>
      <c r="CW416" s="172" t="s">
        <v>71</v>
      </c>
      <c r="CX416" s="160"/>
      <c r="CY416" s="162"/>
      <c r="CZ416" s="203" t="str">
        <f t="shared" si="632"/>
        <v xml:space="preserve"> </v>
      </c>
      <c r="DA416" s="174" t="str">
        <f t="shared" si="612"/>
        <v>NG</v>
      </c>
      <c r="DB416" s="162"/>
      <c r="DC416" s="172" t="s">
        <v>71</v>
      </c>
      <c r="DD416" s="160"/>
      <c r="DE416" s="162"/>
      <c r="DF416" s="203" t="str">
        <f t="shared" si="633"/>
        <v xml:space="preserve"> </v>
      </c>
      <c r="DG416" s="174" t="str">
        <f t="shared" si="613"/>
        <v>NG</v>
      </c>
      <c r="DH416" s="162"/>
      <c r="DI416" s="172" t="s">
        <v>71</v>
      </c>
      <c r="DJ416" s="160"/>
      <c r="DK416" s="162"/>
      <c r="DL416" s="203" t="str">
        <f t="shared" si="634"/>
        <v xml:space="preserve"> </v>
      </c>
      <c r="DM416" s="174" t="str">
        <f t="shared" si="614"/>
        <v>NG</v>
      </c>
      <c r="DN416" s="162"/>
      <c r="DO416" s="172" t="s">
        <v>71</v>
      </c>
      <c r="DP416" s="160"/>
      <c r="DQ416" s="162"/>
      <c r="DR416" s="203" t="str">
        <f t="shared" si="635"/>
        <v xml:space="preserve"> </v>
      </c>
      <c r="DS416" s="174" t="str">
        <f t="shared" si="593"/>
        <v>NG</v>
      </c>
      <c r="DT416" s="162"/>
      <c r="DU416" s="172" t="s">
        <v>71</v>
      </c>
      <c r="DV416" s="160"/>
      <c r="DW416" s="162"/>
      <c r="DX416" s="203" t="str">
        <f t="shared" si="636"/>
        <v xml:space="preserve"> </v>
      </c>
      <c r="DY416" s="174" t="str">
        <f t="shared" si="594"/>
        <v>NG</v>
      </c>
      <c r="DZ416" s="162"/>
      <c r="EA416" s="172" t="s">
        <v>71</v>
      </c>
      <c r="EB416" s="160"/>
      <c r="EC416" s="162"/>
      <c r="ED416" s="203" t="str">
        <f t="shared" si="637"/>
        <v xml:space="preserve"> </v>
      </c>
      <c r="EE416" s="174" t="str">
        <f t="shared" si="595"/>
        <v>NG</v>
      </c>
      <c r="EF416" s="162"/>
      <c r="EG416" s="172" t="s">
        <v>71</v>
      </c>
      <c r="EH416" s="160"/>
      <c r="EI416" s="162"/>
      <c r="EJ416" s="203" t="str">
        <f t="shared" si="638"/>
        <v xml:space="preserve"> </v>
      </c>
      <c r="EK416" s="174" t="str">
        <f t="shared" si="596"/>
        <v>NG</v>
      </c>
      <c r="EL416" s="162"/>
      <c r="EM416" s="172" t="s">
        <v>71</v>
      </c>
      <c r="EN416" s="160"/>
      <c r="EO416" s="162"/>
      <c r="EP416" s="203" t="str">
        <f t="shared" si="639"/>
        <v xml:space="preserve"> </v>
      </c>
      <c r="EQ416" s="174" t="str">
        <f t="shared" si="597"/>
        <v>NG</v>
      </c>
      <c r="ER416" s="162"/>
      <c r="ES416" s="172" t="s">
        <v>71</v>
      </c>
      <c r="ET416" s="160"/>
      <c r="EU416" s="162"/>
      <c r="EV416" s="203" t="str">
        <f t="shared" si="640"/>
        <v xml:space="preserve"> </v>
      </c>
      <c r="EW416" s="174" t="str">
        <f t="shared" si="598"/>
        <v>NG</v>
      </c>
      <c r="EX416" s="162"/>
      <c r="EY416" s="172" t="s">
        <v>71</v>
      </c>
      <c r="EZ416" s="160"/>
      <c r="FA416" s="162"/>
      <c r="FB416" s="203" t="str">
        <f t="shared" si="641"/>
        <v xml:space="preserve"> </v>
      </c>
      <c r="FC416" s="174" t="str">
        <f t="shared" si="599"/>
        <v>NG</v>
      </c>
      <c r="FD416" s="162"/>
      <c r="FE416" s="172" t="s">
        <v>71</v>
      </c>
      <c r="FF416" s="160"/>
      <c r="FG416" s="162"/>
      <c r="FH416" s="203" t="str">
        <f t="shared" si="642"/>
        <v xml:space="preserve"> </v>
      </c>
      <c r="FI416" s="174" t="str">
        <f t="shared" si="600"/>
        <v>NG</v>
      </c>
      <c r="FJ416" s="162"/>
      <c r="FK416" s="172" t="s">
        <v>71</v>
      </c>
      <c r="FL416" s="160"/>
      <c r="FM416" s="162"/>
      <c r="FN416" s="203" t="str">
        <f t="shared" si="643"/>
        <v xml:space="preserve"> </v>
      </c>
      <c r="FO416" s="174" t="str">
        <f t="shared" si="615"/>
        <v>NG</v>
      </c>
      <c r="FP416" s="162"/>
      <c r="FQ416" s="172" t="s">
        <v>71</v>
      </c>
      <c r="FR416" s="160"/>
      <c r="FS416" s="162"/>
      <c r="FT416" s="203" t="str">
        <f t="shared" si="644"/>
        <v xml:space="preserve"> </v>
      </c>
      <c r="FU416" s="174" t="str">
        <f t="shared" si="616"/>
        <v>NG</v>
      </c>
      <c r="FV416" s="162"/>
      <c r="FW416" s="172" t="s">
        <v>71</v>
      </c>
      <c r="FX416" s="160"/>
      <c r="FY416" s="162"/>
      <c r="FZ416" s="203" t="str">
        <f t="shared" si="645"/>
        <v xml:space="preserve"> </v>
      </c>
      <c r="GA416" s="174" t="str">
        <f t="shared" si="617"/>
        <v>NG</v>
      </c>
      <c r="GB416" s="162"/>
      <c r="GC416" s="172" t="s">
        <v>71</v>
      </c>
    </row>
    <row r="417" spans="1:185" s="52" customFormat="1" ht="127.5">
      <c r="B417" s="216">
        <f t="shared" si="646"/>
        <v>410</v>
      </c>
      <c r="C417" s="37"/>
      <c r="D417" s="37"/>
      <c r="E417" s="37"/>
      <c r="F417" s="49" t="s">
        <v>341</v>
      </c>
      <c r="G417" s="39"/>
      <c r="H417" s="40"/>
      <c r="I417" s="42"/>
      <c r="J417" s="42" t="s">
        <v>316</v>
      </c>
      <c r="K417" s="42"/>
      <c r="L417" s="42"/>
      <c r="M417" s="163" t="s">
        <v>342</v>
      </c>
      <c r="N417" s="47"/>
      <c r="O417" s="143"/>
      <c r="P417" s="45">
        <f t="shared" si="620"/>
        <v>381</v>
      </c>
      <c r="Q417" s="46">
        <v>1</v>
      </c>
      <c r="R417" s="41" t="str">
        <f t="shared" si="647"/>
        <v>X</v>
      </c>
      <c r="S417" s="185" t="s">
        <v>236</v>
      </c>
      <c r="T417" s="43"/>
      <c r="U417" s="41" t="s">
        <v>80</v>
      </c>
      <c r="V417" s="44"/>
      <c r="W417" s="22">
        <v>3</v>
      </c>
      <c r="X417" s="47" t="s">
        <v>237</v>
      </c>
      <c r="Y417" s="47">
        <v>1</v>
      </c>
      <c r="Z417" s="47">
        <v>1</v>
      </c>
      <c r="AA417" s="42" t="s">
        <v>163</v>
      </c>
      <c r="AB417" s="42" t="s">
        <v>57</v>
      </c>
      <c r="AC417" s="217"/>
      <c r="AD417" s="160"/>
      <c r="AE417" s="162"/>
      <c r="AF417" s="203" t="str">
        <f t="shared" si="621"/>
        <v xml:space="preserve"> </v>
      </c>
      <c r="AG417" s="174" t="str">
        <f t="shared" si="601"/>
        <v>NG</v>
      </c>
      <c r="AH417" s="162"/>
      <c r="AI417" s="276" t="str">
        <f>IF(OR(AE$8="判定対象外",AH$8="判定対象外",AH417="-"),"-",IF(AE417=AH417,"OK","NG"))</f>
        <v>OK</v>
      </c>
      <c r="AJ417" s="160"/>
      <c r="AK417" s="162"/>
      <c r="AL417" s="203" t="str">
        <f t="shared" si="619"/>
        <v xml:space="preserve"> </v>
      </c>
      <c r="AM417" s="174" t="str">
        <f t="shared" si="648"/>
        <v>NG</v>
      </c>
      <c r="AN417" s="162"/>
      <c r="AO417" s="276" t="str">
        <f>IF(OR(AK$8="判定対象外",AN$8="判定対象外",AN417="-"),"-",IF(AK417=AN417,"OK","NG"))</f>
        <v>OK</v>
      </c>
      <c r="AP417" s="160"/>
      <c r="AQ417" s="162"/>
      <c r="AR417" s="203" t="str">
        <f t="shared" si="622"/>
        <v xml:space="preserve"> </v>
      </c>
      <c r="AS417" s="174" t="str">
        <f t="shared" si="602"/>
        <v>NG</v>
      </c>
      <c r="AT417" s="162"/>
      <c r="AU417" s="276" t="str">
        <f>IF(OR(AQ$8="判定対象外",AT$8="判定対象外",AT417="-"),"-",IF(AQ417=AT417,"OK","NG"))</f>
        <v>OK</v>
      </c>
      <c r="AV417" s="160"/>
      <c r="AW417" s="162"/>
      <c r="AX417" s="203" t="str">
        <f t="shared" si="623"/>
        <v xml:space="preserve"> </v>
      </c>
      <c r="AY417" s="174" t="str">
        <f t="shared" si="603"/>
        <v>NG</v>
      </c>
      <c r="AZ417" s="162"/>
      <c r="BA417" s="276" t="str">
        <f>IF(OR(AW$8="判定対象外",AZ$8="判定対象外",AZ417="-"),"-",IF(AW417=AZ417,"OK","NG"))</f>
        <v>OK</v>
      </c>
      <c r="BB417" s="160"/>
      <c r="BC417" s="162"/>
      <c r="BD417" s="203" t="str">
        <f t="shared" si="624"/>
        <v xml:space="preserve"> </v>
      </c>
      <c r="BE417" s="174" t="str">
        <f t="shared" si="604"/>
        <v>NG</v>
      </c>
      <c r="BF417" s="162"/>
      <c r="BG417" s="276" t="str">
        <f>IF(OR(BC$8="判定対象外",BF$8="判定対象外",BF417="-"),"-",IF(BC417=BF417,"OK","NG"))</f>
        <v>OK</v>
      </c>
      <c r="BH417" s="160"/>
      <c r="BI417" s="162"/>
      <c r="BJ417" s="203" t="str">
        <f t="shared" si="625"/>
        <v xml:space="preserve"> </v>
      </c>
      <c r="BK417" s="174" t="str">
        <f t="shared" si="605"/>
        <v>NG</v>
      </c>
      <c r="BL417" s="162"/>
      <c r="BM417" s="276" t="str">
        <f>IF(OR(BI$8="判定対象外",BL$8="判定対象外",BL417="-"),"-",IF(BI417=BL417,"OK","NG"))</f>
        <v>OK</v>
      </c>
      <c r="BN417" s="160"/>
      <c r="BO417" s="162"/>
      <c r="BP417" s="203" t="str">
        <f t="shared" si="626"/>
        <v xml:space="preserve"> </v>
      </c>
      <c r="BQ417" s="174" t="str">
        <f t="shared" si="606"/>
        <v>NG</v>
      </c>
      <c r="BR417" s="162"/>
      <c r="BS417" s="276" t="str">
        <f>IF(OR(BO$8="判定対象外",BR$8="判定対象外",BR417="-"),"-",IF(BO417=BR417,"OK","NG"))</f>
        <v>OK</v>
      </c>
      <c r="BT417" s="160"/>
      <c r="BU417" s="162"/>
      <c r="BV417" s="203" t="str">
        <f t="shared" si="627"/>
        <v xml:space="preserve"> </v>
      </c>
      <c r="BW417" s="174" t="str">
        <f t="shared" si="607"/>
        <v>NG</v>
      </c>
      <c r="BX417" s="162"/>
      <c r="BY417" s="276" t="str">
        <f>IF(OR(BU$8="判定対象外",BX$8="判定対象外",BX417="-"),"-",IF(BU417=BX417,"OK","NG"))</f>
        <v>OK</v>
      </c>
      <c r="BZ417" s="160"/>
      <c r="CA417" s="162"/>
      <c r="CB417" s="203" t="str">
        <f t="shared" si="628"/>
        <v xml:space="preserve"> </v>
      </c>
      <c r="CC417" s="174" t="str">
        <f t="shared" si="608"/>
        <v>NG</v>
      </c>
      <c r="CD417" s="162"/>
      <c r="CE417" s="276" t="str">
        <f>IF(OR(CA$8="判定対象外",CD$8="判定対象外",CD417="-"),"-",IF(CA417=CD417,"OK","NG"))</f>
        <v>OK</v>
      </c>
      <c r="CF417" s="160"/>
      <c r="CG417" s="162"/>
      <c r="CH417" s="203" t="str">
        <f t="shared" si="629"/>
        <v xml:space="preserve"> </v>
      </c>
      <c r="CI417" s="174" t="str">
        <f t="shared" si="609"/>
        <v>NG</v>
      </c>
      <c r="CJ417" s="162"/>
      <c r="CK417" s="276" t="str">
        <f>IF(OR(CG$8="判定対象外",CJ$8="判定対象外",CJ417="-"),"-",IF(CG417=CJ417,"OK","NG"))</f>
        <v>OK</v>
      </c>
      <c r="CL417" s="160"/>
      <c r="CM417" s="162"/>
      <c r="CN417" s="203" t="str">
        <f t="shared" si="630"/>
        <v xml:space="preserve"> </v>
      </c>
      <c r="CO417" s="174" t="str">
        <f t="shared" si="610"/>
        <v>NG</v>
      </c>
      <c r="CP417" s="162"/>
      <c r="CQ417" s="276" t="str">
        <f>IF(OR(CM$8="判定対象外",CP$8="判定対象外",CP417="-"),"-",IF(CM417=CP417,"OK","NG"))</f>
        <v>OK</v>
      </c>
      <c r="CR417" s="160"/>
      <c r="CS417" s="162"/>
      <c r="CT417" s="203" t="str">
        <f t="shared" si="631"/>
        <v xml:space="preserve"> </v>
      </c>
      <c r="CU417" s="174" t="str">
        <f t="shared" si="611"/>
        <v>NG</v>
      </c>
      <c r="CV417" s="162"/>
      <c r="CW417" s="276" t="str">
        <f>IF(OR(CS$8="判定対象外",CV$8="判定対象外",CV417="-"),"-",IF(CS417=CV417,"OK","NG"))</f>
        <v>OK</v>
      </c>
      <c r="CX417" s="160"/>
      <c r="CY417" s="162"/>
      <c r="CZ417" s="203" t="str">
        <f t="shared" si="632"/>
        <v xml:space="preserve"> </v>
      </c>
      <c r="DA417" s="174" t="str">
        <f t="shared" si="612"/>
        <v>NG</v>
      </c>
      <c r="DB417" s="162"/>
      <c r="DC417" s="276" t="str">
        <f>IF(OR(CY$8="判定対象外",DB$8="判定対象外",DB417="-"),"-",IF(CY417=DB417,"OK","NG"))</f>
        <v>OK</v>
      </c>
      <c r="DD417" s="160"/>
      <c r="DE417" s="162"/>
      <c r="DF417" s="203" t="str">
        <f t="shared" si="633"/>
        <v xml:space="preserve"> </v>
      </c>
      <c r="DG417" s="174" t="str">
        <f t="shared" si="613"/>
        <v>NG</v>
      </c>
      <c r="DH417" s="162"/>
      <c r="DI417" s="276" t="str">
        <f>IF(OR(DE$8="判定対象外",DH$8="判定対象外",DH417="-"),"-",IF(DE417=DH417,"OK","NG"))</f>
        <v>OK</v>
      </c>
      <c r="DJ417" s="160"/>
      <c r="DK417" s="162"/>
      <c r="DL417" s="203" t="str">
        <f t="shared" si="634"/>
        <v xml:space="preserve"> </v>
      </c>
      <c r="DM417" s="174" t="str">
        <f t="shared" si="614"/>
        <v>NG</v>
      </c>
      <c r="DN417" s="162"/>
      <c r="DO417" s="276" t="str">
        <f>IF(OR(DK$8="判定対象外",DN$8="判定対象外",DN417="-"),"-",IF(DK417=DN417,"OK","NG"))</f>
        <v>OK</v>
      </c>
      <c r="DP417" s="160"/>
      <c r="DQ417" s="162"/>
      <c r="DR417" s="203" t="str">
        <f t="shared" si="635"/>
        <v xml:space="preserve"> </v>
      </c>
      <c r="DS417" s="174" t="str">
        <f t="shared" si="593"/>
        <v>NG</v>
      </c>
      <c r="DT417" s="162"/>
      <c r="DU417" s="276" t="str">
        <f>IF(OR(DQ$8="判定対象外",DT$8="判定対象外",DT417="-"),"-",IF(DQ417=DT417,"OK","NG"))</f>
        <v>OK</v>
      </c>
      <c r="DV417" s="160"/>
      <c r="DW417" s="162"/>
      <c r="DX417" s="203" t="str">
        <f t="shared" si="636"/>
        <v xml:space="preserve"> </v>
      </c>
      <c r="DY417" s="174" t="str">
        <f t="shared" si="594"/>
        <v>NG</v>
      </c>
      <c r="DZ417" s="162"/>
      <c r="EA417" s="276" t="str">
        <f>IF(OR(DW$8="判定対象外",DZ$8="判定対象外",DZ417="-"),"-",IF(DW417=DZ417,"OK","NG"))</f>
        <v>OK</v>
      </c>
      <c r="EB417" s="160"/>
      <c r="EC417" s="162"/>
      <c r="ED417" s="203" t="str">
        <f t="shared" si="637"/>
        <v xml:space="preserve"> </v>
      </c>
      <c r="EE417" s="174" t="str">
        <f t="shared" si="595"/>
        <v>NG</v>
      </c>
      <c r="EF417" s="162"/>
      <c r="EG417" s="276" t="str">
        <f>IF(OR(EC$8="判定対象外",EF$8="判定対象外",EF417="-"),"-",IF(EC417=EF417,"OK","NG"))</f>
        <v>OK</v>
      </c>
      <c r="EH417" s="160"/>
      <c r="EI417" s="162"/>
      <c r="EJ417" s="203" t="str">
        <f t="shared" si="638"/>
        <v xml:space="preserve"> </v>
      </c>
      <c r="EK417" s="174" t="str">
        <f t="shared" si="596"/>
        <v>NG</v>
      </c>
      <c r="EL417" s="162"/>
      <c r="EM417" s="276" t="str">
        <f>IF(OR(EI$8="判定対象外",EL$8="判定対象外",EL417="-"),"-",IF(EI417=EL417,"OK","NG"))</f>
        <v>OK</v>
      </c>
      <c r="EN417" s="160"/>
      <c r="EO417" s="162"/>
      <c r="EP417" s="203" t="str">
        <f t="shared" si="639"/>
        <v xml:space="preserve"> </v>
      </c>
      <c r="EQ417" s="174" t="str">
        <f t="shared" si="597"/>
        <v>NG</v>
      </c>
      <c r="ER417" s="162"/>
      <c r="ES417" s="276" t="str">
        <f>IF(OR(EO$8="判定対象外",ER$8="判定対象外",ER417="-"),"-",IF(EO417=ER417,"OK","NG"))</f>
        <v>OK</v>
      </c>
      <c r="ET417" s="160"/>
      <c r="EU417" s="162"/>
      <c r="EV417" s="203" t="str">
        <f t="shared" si="640"/>
        <v xml:space="preserve"> </v>
      </c>
      <c r="EW417" s="174" t="str">
        <f t="shared" si="598"/>
        <v>NG</v>
      </c>
      <c r="EX417" s="162"/>
      <c r="EY417" s="276" t="str">
        <f>IF(OR(EU$8="判定対象外",EX$8="判定対象外",EX417="-"),"-",IF(EU417=EX417,"OK","NG"))</f>
        <v>OK</v>
      </c>
      <c r="EZ417" s="160"/>
      <c r="FA417" s="162"/>
      <c r="FB417" s="203" t="str">
        <f t="shared" si="641"/>
        <v xml:space="preserve"> </v>
      </c>
      <c r="FC417" s="174" t="str">
        <f t="shared" si="599"/>
        <v>NG</v>
      </c>
      <c r="FD417" s="162"/>
      <c r="FE417" s="276" t="str">
        <f>IF(OR(FA$8="判定対象外",FD$8="判定対象外",FD417="-"),"-",IF(FA417=FD417,"OK","NG"))</f>
        <v>OK</v>
      </c>
      <c r="FF417" s="160"/>
      <c r="FG417" s="162"/>
      <c r="FH417" s="203" t="str">
        <f t="shared" si="642"/>
        <v xml:space="preserve"> </v>
      </c>
      <c r="FI417" s="174" t="str">
        <f t="shared" si="600"/>
        <v>NG</v>
      </c>
      <c r="FJ417" s="162"/>
      <c r="FK417" s="276" t="str">
        <f>IF(OR(FG$8="判定対象外",FJ$8="判定対象外",FJ417="-"),"-",IF(FG417=FJ417,"OK","NG"))</f>
        <v>OK</v>
      </c>
      <c r="FL417" s="160"/>
      <c r="FM417" s="162"/>
      <c r="FN417" s="203" t="str">
        <f t="shared" si="643"/>
        <v xml:space="preserve"> </v>
      </c>
      <c r="FO417" s="174" t="str">
        <f t="shared" si="615"/>
        <v>NG</v>
      </c>
      <c r="FP417" s="162"/>
      <c r="FQ417" s="276" t="str">
        <f>IF(OR(FM$8="判定対象外",FP$8="判定対象外",FP417="-"),"-",IF(FM417=FP417,"OK","NG"))</f>
        <v>OK</v>
      </c>
      <c r="FR417" s="160"/>
      <c r="FS417" s="162"/>
      <c r="FT417" s="203" t="str">
        <f t="shared" si="644"/>
        <v xml:space="preserve"> </v>
      </c>
      <c r="FU417" s="174" t="str">
        <f t="shared" si="616"/>
        <v>NG</v>
      </c>
      <c r="FV417" s="162"/>
      <c r="FW417" s="276" t="str">
        <f>IF(OR(FS$8="判定対象外",FV$8="判定対象外",FV417="-"),"-",IF(FS417=FV417,"OK","NG"))</f>
        <v>OK</v>
      </c>
      <c r="FX417" s="160"/>
      <c r="FY417" s="162"/>
      <c r="FZ417" s="203" t="str">
        <f t="shared" si="645"/>
        <v xml:space="preserve"> </v>
      </c>
      <c r="GA417" s="174" t="str">
        <f t="shared" si="617"/>
        <v>NG</v>
      </c>
      <c r="GB417" s="162"/>
      <c r="GC417" s="276" t="str">
        <f>IF(OR(FY$8="判定対象外",GB$8="判定対象外",GB417="-"),"-",IF(FY417=GB417,"OK","NG"))</f>
        <v>OK</v>
      </c>
    </row>
    <row r="418" spans="1:185" s="52" customFormat="1" ht="349.5" customHeight="1">
      <c r="B418" s="216">
        <f t="shared" si="646"/>
        <v>411</v>
      </c>
      <c r="C418" s="37"/>
      <c r="D418" s="37"/>
      <c r="E418" s="25"/>
      <c r="F418" s="218" t="s">
        <v>288</v>
      </c>
      <c r="G418" s="27"/>
      <c r="H418" s="28"/>
      <c r="I418" s="42"/>
      <c r="J418" s="42" t="s">
        <v>316</v>
      </c>
      <c r="K418" s="42"/>
      <c r="L418" s="42"/>
      <c r="M418" s="161" t="s">
        <v>343</v>
      </c>
      <c r="N418" s="39"/>
      <c r="O418" s="143"/>
      <c r="P418" s="45">
        <f t="shared" si="620"/>
        <v>382</v>
      </c>
      <c r="Q418" s="46">
        <v>2</v>
      </c>
      <c r="R418" s="41" t="str">
        <f t="shared" si="647"/>
        <v>X</v>
      </c>
      <c r="S418" s="185" t="s">
        <v>238</v>
      </c>
      <c r="T418" s="43"/>
      <c r="U418" s="41" t="s">
        <v>80</v>
      </c>
      <c r="V418" s="44"/>
      <c r="W418" s="22">
        <v>3</v>
      </c>
      <c r="X418" s="47" t="s">
        <v>239</v>
      </c>
      <c r="Y418" s="47">
        <v>2</v>
      </c>
      <c r="Z418" s="47">
        <v>2</v>
      </c>
      <c r="AA418" s="42" t="s">
        <v>81</v>
      </c>
      <c r="AB418" s="42" t="s">
        <v>80</v>
      </c>
      <c r="AC418" s="164"/>
      <c r="AD418" s="160"/>
      <c r="AE418" s="162"/>
      <c r="AF418" s="167" t="str">
        <f t="shared" si="621"/>
        <v xml:space="preserve">  </v>
      </c>
      <c r="AG418" s="174" t="str">
        <f t="shared" si="601"/>
        <v>NG</v>
      </c>
      <c r="AH418" s="162"/>
      <c r="AI418" s="276" t="str">
        <f>IF(OR(AE$8="判定対象外",AH$8="判定対象外",AH418="-"),"-",IF(AE418=AH418,"OK","NG"))</f>
        <v>OK</v>
      </c>
      <c r="AJ418" s="160"/>
      <c r="AK418" s="162"/>
      <c r="AL418" s="167" t="str">
        <f t="shared" si="619"/>
        <v xml:space="preserve">  </v>
      </c>
      <c r="AM418" s="174" t="str">
        <f t="shared" si="648"/>
        <v>NG</v>
      </c>
      <c r="AN418" s="162"/>
      <c r="AO418" s="276" t="str">
        <f>IF(OR(AK$8="判定対象外",AN$8="判定対象外",AN418="-"),"-",IF(AK418=AN418,"OK","NG"))</f>
        <v>OK</v>
      </c>
      <c r="AP418" s="160"/>
      <c r="AQ418" s="162"/>
      <c r="AR418" s="167" t="str">
        <f t="shared" si="622"/>
        <v xml:space="preserve">  </v>
      </c>
      <c r="AS418" s="174" t="str">
        <f t="shared" si="602"/>
        <v>NG</v>
      </c>
      <c r="AT418" s="162"/>
      <c r="AU418" s="276" t="str">
        <f>IF(OR(AQ$8="判定対象外",AT$8="判定対象外",AT418="-"),"-",IF(AQ418=AT418,"OK","NG"))</f>
        <v>OK</v>
      </c>
      <c r="AV418" s="160"/>
      <c r="AW418" s="162"/>
      <c r="AX418" s="167" t="str">
        <f t="shared" si="623"/>
        <v xml:space="preserve">  </v>
      </c>
      <c r="AY418" s="174" t="str">
        <f t="shared" si="603"/>
        <v>NG</v>
      </c>
      <c r="AZ418" s="162"/>
      <c r="BA418" s="276" t="str">
        <f>IF(OR(AW$8="判定対象外",AZ$8="判定対象外",AZ418="-"),"-",IF(AW418=AZ418,"OK","NG"))</f>
        <v>OK</v>
      </c>
      <c r="BB418" s="160"/>
      <c r="BC418" s="162"/>
      <c r="BD418" s="167" t="str">
        <f t="shared" si="624"/>
        <v xml:space="preserve">  </v>
      </c>
      <c r="BE418" s="174" t="str">
        <f t="shared" si="604"/>
        <v>NG</v>
      </c>
      <c r="BF418" s="162"/>
      <c r="BG418" s="276" t="str">
        <f>IF(OR(BC$8="判定対象外",BF$8="判定対象外",BF418="-"),"-",IF(BC418=BF418,"OK","NG"))</f>
        <v>OK</v>
      </c>
      <c r="BH418" s="160"/>
      <c r="BI418" s="162"/>
      <c r="BJ418" s="167" t="str">
        <f t="shared" si="625"/>
        <v xml:space="preserve">  </v>
      </c>
      <c r="BK418" s="174" t="str">
        <f t="shared" si="605"/>
        <v>NG</v>
      </c>
      <c r="BL418" s="162"/>
      <c r="BM418" s="276" t="str">
        <f>IF(OR(BI$8="判定対象外",BL$8="判定対象外",BL418="-"),"-",IF(BI418=BL418,"OK","NG"))</f>
        <v>OK</v>
      </c>
      <c r="BN418" s="160"/>
      <c r="BO418" s="162"/>
      <c r="BP418" s="167" t="str">
        <f t="shared" si="626"/>
        <v xml:space="preserve">  </v>
      </c>
      <c r="BQ418" s="174" t="str">
        <f t="shared" si="606"/>
        <v>NG</v>
      </c>
      <c r="BR418" s="162"/>
      <c r="BS418" s="276" t="str">
        <f>IF(OR(BO$8="判定対象外",BR$8="判定対象外",BR418="-"),"-",IF(BO418=BR418,"OK","NG"))</f>
        <v>OK</v>
      </c>
      <c r="BT418" s="160"/>
      <c r="BU418" s="162"/>
      <c r="BV418" s="167" t="str">
        <f t="shared" si="627"/>
        <v xml:space="preserve">  </v>
      </c>
      <c r="BW418" s="174" t="str">
        <f t="shared" si="607"/>
        <v>NG</v>
      </c>
      <c r="BX418" s="162"/>
      <c r="BY418" s="276" t="str">
        <f>IF(OR(BU$8="判定対象外",BX$8="判定対象外",BX418="-"),"-",IF(BU418=BX418,"OK","NG"))</f>
        <v>OK</v>
      </c>
      <c r="BZ418" s="160"/>
      <c r="CA418" s="162"/>
      <c r="CB418" s="167" t="str">
        <f t="shared" si="628"/>
        <v xml:space="preserve">  </v>
      </c>
      <c r="CC418" s="174" t="str">
        <f t="shared" si="608"/>
        <v>NG</v>
      </c>
      <c r="CD418" s="162"/>
      <c r="CE418" s="276" t="str">
        <f>IF(OR(CA$8="判定対象外",CD$8="判定対象外",CD418="-"),"-",IF(CA418=CD418,"OK","NG"))</f>
        <v>OK</v>
      </c>
      <c r="CF418" s="160"/>
      <c r="CG418" s="162"/>
      <c r="CH418" s="167" t="str">
        <f t="shared" si="629"/>
        <v xml:space="preserve">  </v>
      </c>
      <c r="CI418" s="174" t="str">
        <f t="shared" si="609"/>
        <v>NG</v>
      </c>
      <c r="CJ418" s="162"/>
      <c r="CK418" s="276" t="str">
        <f>IF(OR(CG$8="判定対象外",CJ$8="判定対象外",CJ418="-"),"-",IF(CG418=CJ418,"OK","NG"))</f>
        <v>OK</v>
      </c>
      <c r="CL418" s="160"/>
      <c r="CM418" s="162"/>
      <c r="CN418" s="167" t="str">
        <f t="shared" si="630"/>
        <v xml:space="preserve">  </v>
      </c>
      <c r="CO418" s="174" t="str">
        <f t="shared" si="610"/>
        <v>NG</v>
      </c>
      <c r="CP418" s="162"/>
      <c r="CQ418" s="276" t="str">
        <f>IF(OR(CM$8="判定対象外",CP$8="判定対象外",CP418="-"),"-",IF(CM418=CP418,"OK","NG"))</f>
        <v>OK</v>
      </c>
      <c r="CR418" s="160"/>
      <c r="CS418" s="162"/>
      <c r="CT418" s="167" t="str">
        <f t="shared" si="631"/>
        <v xml:space="preserve">  </v>
      </c>
      <c r="CU418" s="174" t="str">
        <f t="shared" si="611"/>
        <v>NG</v>
      </c>
      <c r="CV418" s="162"/>
      <c r="CW418" s="276" t="str">
        <f>IF(OR(CS$8="判定対象外",CV$8="判定対象外",CV418="-"),"-",IF(CS418=CV418,"OK","NG"))</f>
        <v>OK</v>
      </c>
      <c r="CX418" s="160"/>
      <c r="CY418" s="162"/>
      <c r="CZ418" s="167" t="str">
        <f t="shared" si="632"/>
        <v xml:space="preserve">  </v>
      </c>
      <c r="DA418" s="174" t="str">
        <f t="shared" si="612"/>
        <v>NG</v>
      </c>
      <c r="DB418" s="162"/>
      <c r="DC418" s="276" t="str">
        <f>IF(OR(CY$8="判定対象外",DB$8="判定対象外",DB418="-"),"-",IF(CY418=DB418,"OK","NG"))</f>
        <v>OK</v>
      </c>
      <c r="DD418" s="160"/>
      <c r="DE418" s="162"/>
      <c r="DF418" s="167" t="str">
        <f t="shared" si="633"/>
        <v xml:space="preserve">  </v>
      </c>
      <c r="DG418" s="174" t="str">
        <f t="shared" si="613"/>
        <v>NG</v>
      </c>
      <c r="DH418" s="162"/>
      <c r="DI418" s="276" t="str">
        <f>IF(OR(DE$8="判定対象外",DH$8="判定対象外",DH418="-"),"-",IF(DE418=DH418,"OK","NG"))</f>
        <v>OK</v>
      </c>
      <c r="DJ418" s="160"/>
      <c r="DK418" s="162"/>
      <c r="DL418" s="167" t="str">
        <f t="shared" si="634"/>
        <v xml:space="preserve">  </v>
      </c>
      <c r="DM418" s="174" t="str">
        <f t="shared" si="614"/>
        <v>NG</v>
      </c>
      <c r="DN418" s="162"/>
      <c r="DO418" s="276" t="str">
        <f>IF(OR(DK$8="判定対象外",DN$8="判定対象外",DN418="-"),"-",IF(DK418=DN418,"OK","NG"))</f>
        <v>OK</v>
      </c>
      <c r="DP418" s="160"/>
      <c r="DQ418" s="162"/>
      <c r="DR418" s="167" t="str">
        <f t="shared" si="635"/>
        <v xml:space="preserve">  </v>
      </c>
      <c r="DS418" s="174" t="str">
        <f t="shared" si="593"/>
        <v>NG</v>
      </c>
      <c r="DT418" s="162"/>
      <c r="DU418" s="276" t="str">
        <f>IF(OR(DQ$8="判定対象外",DT$8="判定対象外",DT418="-"),"-",IF(DQ418=DT418,"OK","NG"))</f>
        <v>OK</v>
      </c>
      <c r="DV418" s="160"/>
      <c r="DW418" s="162"/>
      <c r="DX418" s="167" t="str">
        <f t="shared" si="636"/>
        <v xml:space="preserve">  </v>
      </c>
      <c r="DY418" s="174" t="str">
        <f t="shared" si="594"/>
        <v>NG</v>
      </c>
      <c r="DZ418" s="162"/>
      <c r="EA418" s="276" t="str">
        <f>IF(OR(DW$8="判定対象外",DZ$8="判定対象外",DZ418="-"),"-",IF(DW418=DZ418,"OK","NG"))</f>
        <v>OK</v>
      </c>
      <c r="EB418" s="160"/>
      <c r="EC418" s="162"/>
      <c r="ED418" s="167" t="str">
        <f t="shared" si="637"/>
        <v xml:space="preserve">  </v>
      </c>
      <c r="EE418" s="174" t="str">
        <f t="shared" si="595"/>
        <v>NG</v>
      </c>
      <c r="EF418" s="162"/>
      <c r="EG418" s="276" t="str">
        <f>IF(OR(EC$8="判定対象外",EF$8="判定対象外",EF418="-"),"-",IF(EC418=EF418,"OK","NG"))</f>
        <v>OK</v>
      </c>
      <c r="EH418" s="160"/>
      <c r="EI418" s="162"/>
      <c r="EJ418" s="167" t="str">
        <f t="shared" si="638"/>
        <v xml:space="preserve">  </v>
      </c>
      <c r="EK418" s="174" t="str">
        <f t="shared" si="596"/>
        <v>NG</v>
      </c>
      <c r="EL418" s="162"/>
      <c r="EM418" s="276" t="str">
        <f>IF(OR(EI$8="判定対象外",EL$8="判定対象外",EL418="-"),"-",IF(EI418=EL418,"OK","NG"))</f>
        <v>OK</v>
      </c>
      <c r="EN418" s="160"/>
      <c r="EO418" s="162"/>
      <c r="EP418" s="167" t="str">
        <f t="shared" si="639"/>
        <v xml:space="preserve">  </v>
      </c>
      <c r="EQ418" s="174" t="str">
        <f t="shared" si="597"/>
        <v>NG</v>
      </c>
      <c r="ER418" s="162"/>
      <c r="ES418" s="276" t="str">
        <f>IF(OR(EO$8="判定対象外",ER$8="判定対象外",ER418="-"),"-",IF(EO418=ER418,"OK","NG"))</f>
        <v>OK</v>
      </c>
      <c r="ET418" s="160"/>
      <c r="EU418" s="162"/>
      <c r="EV418" s="167" t="str">
        <f t="shared" si="640"/>
        <v xml:space="preserve">  </v>
      </c>
      <c r="EW418" s="174" t="str">
        <f t="shared" si="598"/>
        <v>NG</v>
      </c>
      <c r="EX418" s="162"/>
      <c r="EY418" s="276" t="str">
        <f>IF(OR(EU$8="判定対象外",EX$8="判定対象外",EX418="-"),"-",IF(EU418=EX418,"OK","NG"))</f>
        <v>OK</v>
      </c>
      <c r="EZ418" s="160"/>
      <c r="FA418" s="162"/>
      <c r="FB418" s="167" t="str">
        <f t="shared" si="641"/>
        <v xml:space="preserve">  </v>
      </c>
      <c r="FC418" s="174" t="str">
        <f t="shared" si="599"/>
        <v>NG</v>
      </c>
      <c r="FD418" s="162"/>
      <c r="FE418" s="276" t="str">
        <f>IF(OR(FA$8="判定対象外",FD$8="判定対象外",FD418="-"),"-",IF(FA418=FD418,"OK","NG"))</f>
        <v>OK</v>
      </c>
      <c r="FF418" s="160"/>
      <c r="FG418" s="162"/>
      <c r="FH418" s="167" t="str">
        <f t="shared" si="642"/>
        <v xml:space="preserve">  </v>
      </c>
      <c r="FI418" s="174" t="str">
        <f t="shared" si="600"/>
        <v>NG</v>
      </c>
      <c r="FJ418" s="162"/>
      <c r="FK418" s="276" t="str">
        <f>IF(OR(FG$8="判定対象外",FJ$8="判定対象外",FJ418="-"),"-",IF(FG418=FJ418,"OK","NG"))</f>
        <v>OK</v>
      </c>
      <c r="FL418" s="160"/>
      <c r="FM418" s="162"/>
      <c r="FN418" s="167" t="str">
        <f t="shared" si="643"/>
        <v xml:space="preserve">  </v>
      </c>
      <c r="FO418" s="174" t="str">
        <f t="shared" si="615"/>
        <v>NG</v>
      </c>
      <c r="FP418" s="162"/>
      <c r="FQ418" s="276" t="str">
        <f>IF(OR(FM$8="判定対象外",FP$8="判定対象外",FP418="-"),"-",IF(FM418=FP418,"OK","NG"))</f>
        <v>OK</v>
      </c>
      <c r="FR418" s="160"/>
      <c r="FS418" s="162"/>
      <c r="FT418" s="167" t="str">
        <f t="shared" si="644"/>
        <v xml:space="preserve">  </v>
      </c>
      <c r="FU418" s="174" t="str">
        <f t="shared" si="616"/>
        <v>NG</v>
      </c>
      <c r="FV418" s="162"/>
      <c r="FW418" s="276" t="str">
        <f>IF(OR(FS$8="判定対象外",FV$8="判定対象外",FV418="-"),"-",IF(FS418=FV418,"OK","NG"))</f>
        <v>OK</v>
      </c>
      <c r="FX418" s="160"/>
      <c r="FY418" s="162"/>
      <c r="FZ418" s="167" t="str">
        <f t="shared" si="645"/>
        <v xml:space="preserve">  </v>
      </c>
      <c r="GA418" s="174" t="str">
        <f t="shared" si="617"/>
        <v>NG</v>
      </c>
      <c r="GB418" s="162"/>
      <c r="GC418" s="276" t="str">
        <f>IF(OR(FY$8="判定対象外",GB$8="判定対象外",GB418="-"),"-",IF(FY418=GB418,"OK","NG"))</f>
        <v>OK</v>
      </c>
    </row>
    <row r="419" spans="1:185" s="52" customFormat="1" ht="25.5">
      <c r="B419" s="216">
        <f t="shared" si="646"/>
        <v>412</v>
      </c>
      <c r="C419" s="37"/>
      <c r="D419" s="37"/>
      <c r="E419" s="25"/>
      <c r="F419" s="184" t="s">
        <v>344</v>
      </c>
      <c r="G419" s="27"/>
      <c r="H419" s="28"/>
      <c r="I419" s="42"/>
      <c r="J419" s="42"/>
      <c r="K419" s="42"/>
      <c r="L419" s="42"/>
      <c r="M419" s="63" t="s">
        <v>345</v>
      </c>
      <c r="N419" s="39"/>
      <c r="O419" s="143"/>
      <c r="P419" s="45">
        <f t="shared" si="620"/>
        <v>383</v>
      </c>
      <c r="Q419" s="46">
        <v>7</v>
      </c>
      <c r="R419" s="41" t="str">
        <f t="shared" si="647"/>
        <v>X</v>
      </c>
      <c r="S419" s="185" t="s">
        <v>240</v>
      </c>
      <c r="T419" s="43"/>
      <c r="U419" s="41" t="s">
        <v>80</v>
      </c>
      <c r="V419" s="44"/>
      <c r="W419" s="22">
        <v>3</v>
      </c>
      <c r="X419" s="47" t="s">
        <v>241</v>
      </c>
      <c r="Y419" s="47">
        <v>7</v>
      </c>
      <c r="Z419" s="47">
        <v>7</v>
      </c>
      <c r="AA419" s="42" t="s">
        <v>81</v>
      </c>
      <c r="AB419" s="42" t="s">
        <v>80</v>
      </c>
      <c r="AC419" s="219"/>
      <c r="AD419" s="160"/>
      <c r="AE419" s="141"/>
      <c r="AF419" s="203" t="str">
        <f t="shared" si="621"/>
        <v xml:space="preserve">       </v>
      </c>
      <c r="AG419" s="174" t="str">
        <f t="shared" si="601"/>
        <v>NG</v>
      </c>
      <c r="AH419" s="141"/>
      <c r="AI419" s="172" t="s">
        <v>71</v>
      </c>
      <c r="AJ419" s="160"/>
      <c r="AK419" s="141"/>
      <c r="AL419" s="203" t="str">
        <f t="shared" si="619"/>
        <v xml:space="preserve">       </v>
      </c>
      <c r="AM419" s="174" t="str">
        <f t="shared" si="648"/>
        <v>NG</v>
      </c>
      <c r="AN419" s="141"/>
      <c r="AO419" s="172" t="s">
        <v>71</v>
      </c>
      <c r="AP419" s="160"/>
      <c r="AQ419" s="141"/>
      <c r="AR419" s="203" t="str">
        <f t="shared" si="622"/>
        <v xml:space="preserve">       </v>
      </c>
      <c r="AS419" s="174" t="str">
        <f t="shared" si="602"/>
        <v>NG</v>
      </c>
      <c r="AT419" s="141"/>
      <c r="AU419" s="172" t="s">
        <v>71</v>
      </c>
      <c r="AV419" s="160"/>
      <c r="AW419" s="141"/>
      <c r="AX419" s="203" t="str">
        <f t="shared" si="623"/>
        <v xml:space="preserve">       </v>
      </c>
      <c r="AY419" s="174" t="str">
        <f t="shared" si="603"/>
        <v>NG</v>
      </c>
      <c r="AZ419" s="141"/>
      <c r="BA419" s="172" t="s">
        <v>71</v>
      </c>
      <c r="BB419" s="160"/>
      <c r="BC419" s="141"/>
      <c r="BD419" s="203" t="str">
        <f t="shared" si="624"/>
        <v xml:space="preserve">       </v>
      </c>
      <c r="BE419" s="174" t="str">
        <f t="shared" si="604"/>
        <v>NG</v>
      </c>
      <c r="BF419" s="141"/>
      <c r="BG419" s="172" t="s">
        <v>71</v>
      </c>
      <c r="BH419" s="160"/>
      <c r="BI419" s="141"/>
      <c r="BJ419" s="203" t="str">
        <f t="shared" si="625"/>
        <v xml:space="preserve">       </v>
      </c>
      <c r="BK419" s="174" t="str">
        <f t="shared" si="605"/>
        <v>NG</v>
      </c>
      <c r="BL419" s="141"/>
      <c r="BM419" s="172" t="s">
        <v>71</v>
      </c>
      <c r="BN419" s="160"/>
      <c r="BO419" s="141"/>
      <c r="BP419" s="203" t="str">
        <f t="shared" si="626"/>
        <v xml:space="preserve">       </v>
      </c>
      <c r="BQ419" s="174" t="str">
        <f t="shared" si="606"/>
        <v>NG</v>
      </c>
      <c r="BR419" s="141"/>
      <c r="BS419" s="172" t="s">
        <v>71</v>
      </c>
      <c r="BT419" s="160"/>
      <c r="BU419" s="141"/>
      <c r="BV419" s="203" t="str">
        <f t="shared" si="627"/>
        <v xml:space="preserve">       </v>
      </c>
      <c r="BW419" s="174" t="str">
        <f t="shared" si="607"/>
        <v>NG</v>
      </c>
      <c r="BX419" s="141"/>
      <c r="BY419" s="172" t="s">
        <v>71</v>
      </c>
      <c r="BZ419" s="160"/>
      <c r="CA419" s="141"/>
      <c r="CB419" s="203" t="str">
        <f t="shared" si="628"/>
        <v xml:space="preserve">       </v>
      </c>
      <c r="CC419" s="174" t="str">
        <f t="shared" si="608"/>
        <v>NG</v>
      </c>
      <c r="CD419" s="141"/>
      <c r="CE419" s="172" t="s">
        <v>71</v>
      </c>
      <c r="CF419" s="160"/>
      <c r="CG419" s="141"/>
      <c r="CH419" s="203" t="str">
        <f t="shared" si="629"/>
        <v xml:space="preserve">       </v>
      </c>
      <c r="CI419" s="174" t="str">
        <f t="shared" si="609"/>
        <v>NG</v>
      </c>
      <c r="CJ419" s="141"/>
      <c r="CK419" s="172" t="s">
        <v>71</v>
      </c>
      <c r="CL419" s="160"/>
      <c r="CM419" s="141"/>
      <c r="CN419" s="203" t="str">
        <f t="shared" si="630"/>
        <v xml:space="preserve">       </v>
      </c>
      <c r="CO419" s="174" t="str">
        <f t="shared" si="610"/>
        <v>NG</v>
      </c>
      <c r="CP419" s="141"/>
      <c r="CQ419" s="172" t="s">
        <v>71</v>
      </c>
      <c r="CR419" s="160"/>
      <c r="CS419" s="141"/>
      <c r="CT419" s="203" t="str">
        <f t="shared" si="631"/>
        <v xml:space="preserve">       </v>
      </c>
      <c r="CU419" s="174" t="str">
        <f t="shared" si="611"/>
        <v>NG</v>
      </c>
      <c r="CV419" s="141"/>
      <c r="CW419" s="172" t="s">
        <v>71</v>
      </c>
      <c r="CX419" s="160"/>
      <c r="CY419" s="141"/>
      <c r="CZ419" s="203" t="str">
        <f t="shared" si="632"/>
        <v xml:space="preserve">       </v>
      </c>
      <c r="DA419" s="174" t="str">
        <f t="shared" si="612"/>
        <v>NG</v>
      </c>
      <c r="DB419" s="141"/>
      <c r="DC419" s="172" t="s">
        <v>71</v>
      </c>
      <c r="DD419" s="160"/>
      <c r="DE419" s="141"/>
      <c r="DF419" s="203" t="str">
        <f t="shared" si="633"/>
        <v xml:space="preserve">       </v>
      </c>
      <c r="DG419" s="174" t="str">
        <f t="shared" si="613"/>
        <v>NG</v>
      </c>
      <c r="DH419" s="141"/>
      <c r="DI419" s="172" t="s">
        <v>71</v>
      </c>
      <c r="DJ419" s="160"/>
      <c r="DK419" s="141"/>
      <c r="DL419" s="203" t="str">
        <f t="shared" si="634"/>
        <v xml:space="preserve">       </v>
      </c>
      <c r="DM419" s="174" t="str">
        <f t="shared" si="614"/>
        <v>NG</v>
      </c>
      <c r="DN419" s="141"/>
      <c r="DO419" s="172" t="s">
        <v>71</v>
      </c>
      <c r="DP419" s="160"/>
      <c r="DQ419" s="141"/>
      <c r="DR419" s="203" t="str">
        <f t="shared" si="635"/>
        <v xml:space="preserve">       </v>
      </c>
      <c r="DS419" s="174" t="str">
        <f t="shared" si="593"/>
        <v>NG</v>
      </c>
      <c r="DT419" s="141"/>
      <c r="DU419" s="172" t="s">
        <v>71</v>
      </c>
      <c r="DV419" s="160"/>
      <c r="DW419" s="141"/>
      <c r="DX419" s="203" t="str">
        <f t="shared" si="636"/>
        <v xml:space="preserve">       </v>
      </c>
      <c r="DY419" s="174" t="str">
        <f t="shared" si="594"/>
        <v>NG</v>
      </c>
      <c r="DZ419" s="141"/>
      <c r="EA419" s="172" t="s">
        <v>71</v>
      </c>
      <c r="EB419" s="160"/>
      <c r="EC419" s="141"/>
      <c r="ED419" s="203" t="str">
        <f t="shared" si="637"/>
        <v xml:space="preserve">       </v>
      </c>
      <c r="EE419" s="174" t="str">
        <f t="shared" si="595"/>
        <v>NG</v>
      </c>
      <c r="EF419" s="141"/>
      <c r="EG419" s="172" t="s">
        <v>71</v>
      </c>
      <c r="EH419" s="160"/>
      <c r="EI419" s="141"/>
      <c r="EJ419" s="203" t="str">
        <f t="shared" si="638"/>
        <v xml:space="preserve">       </v>
      </c>
      <c r="EK419" s="174" t="str">
        <f t="shared" si="596"/>
        <v>NG</v>
      </c>
      <c r="EL419" s="141"/>
      <c r="EM419" s="172" t="s">
        <v>71</v>
      </c>
      <c r="EN419" s="160"/>
      <c r="EO419" s="141"/>
      <c r="EP419" s="203" t="str">
        <f t="shared" si="639"/>
        <v xml:space="preserve">       </v>
      </c>
      <c r="EQ419" s="174" t="str">
        <f t="shared" si="597"/>
        <v>NG</v>
      </c>
      <c r="ER419" s="141"/>
      <c r="ES419" s="172" t="s">
        <v>71</v>
      </c>
      <c r="ET419" s="160"/>
      <c r="EU419" s="141"/>
      <c r="EV419" s="203" t="str">
        <f t="shared" si="640"/>
        <v xml:space="preserve">       </v>
      </c>
      <c r="EW419" s="174" t="str">
        <f t="shared" si="598"/>
        <v>NG</v>
      </c>
      <c r="EX419" s="141"/>
      <c r="EY419" s="172" t="s">
        <v>71</v>
      </c>
      <c r="EZ419" s="160"/>
      <c r="FA419" s="141"/>
      <c r="FB419" s="203" t="str">
        <f t="shared" si="641"/>
        <v xml:space="preserve">       </v>
      </c>
      <c r="FC419" s="174" t="str">
        <f t="shared" si="599"/>
        <v>NG</v>
      </c>
      <c r="FD419" s="141"/>
      <c r="FE419" s="172" t="s">
        <v>71</v>
      </c>
      <c r="FF419" s="160"/>
      <c r="FG419" s="141"/>
      <c r="FH419" s="203" t="str">
        <f t="shared" si="642"/>
        <v xml:space="preserve">       </v>
      </c>
      <c r="FI419" s="174" t="str">
        <f t="shared" si="600"/>
        <v>NG</v>
      </c>
      <c r="FJ419" s="141"/>
      <c r="FK419" s="172" t="s">
        <v>71</v>
      </c>
      <c r="FL419" s="160"/>
      <c r="FM419" s="141"/>
      <c r="FN419" s="203" t="str">
        <f t="shared" si="643"/>
        <v xml:space="preserve">       </v>
      </c>
      <c r="FO419" s="174" t="str">
        <f t="shared" si="615"/>
        <v>NG</v>
      </c>
      <c r="FP419" s="141"/>
      <c r="FQ419" s="172" t="s">
        <v>71</v>
      </c>
      <c r="FR419" s="160"/>
      <c r="FS419" s="141"/>
      <c r="FT419" s="203" t="str">
        <f t="shared" si="644"/>
        <v xml:space="preserve">       </v>
      </c>
      <c r="FU419" s="174" t="str">
        <f t="shared" si="616"/>
        <v>NG</v>
      </c>
      <c r="FV419" s="141"/>
      <c r="FW419" s="172" t="s">
        <v>71</v>
      </c>
      <c r="FX419" s="160"/>
      <c r="FY419" s="141"/>
      <c r="FZ419" s="203" t="str">
        <f t="shared" si="645"/>
        <v xml:space="preserve">       </v>
      </c>
      <c r="GA419" s="174" t="str">
        <f t="shared" si="617"/>
        <v>NG</v>
      </c>
      <c r="GB419" s="141"/>
      <c r="GC419" s="172" t="s">
        <v>71</v>
      </c>
    </row>
    <row r="420" spans="1:185" s="237" customFormat="1" ht="25.5">
      <c r="B420" s="216">
        <f t="shared" si="646"/>
        <v>413</v>
      </c>
      <c r="C420" s="220"/>
      <c r="D420" s="220"/>
      <c r="E420" s="221"/>
      <c r="F420" s="222" t="s">
        <v>346</v>
      </c>
      <c r="G420" s="223"/>
      <c r="H420" s="224"/>
      <c r="I420" s="225"/>
      <c r="J420" s="225"/>
      <c r="K420" s="226"/>
      <c r="L420" s="226"/>
      <c r="M420" s="227" t="s">
        <v>345</v>
      </c>
      <c r="N420" s="228"/>
      <c r="O420" s="229"/>
      <c r="P420" s="45">
        <f t="shared" si="620"/>
        <v>384</v>
      </c>
      <c r="Q420" s="230">
        <v>10</v>
      </c>
      <c r="R420" s="41" t="str">
        <f t="shared" si="647"/>
        <v>X</v>
      </c>
      <c r="S420" s="185" t="s">
        <v>242</v>
      </c>
      <c r="T420" s="231"/>
      <c r="U420" s="41" t="s">
        <v>80</v>
      </c>
      <c r="V420" s="229"/>
      <c r="W420" s="232">
        <v>3</v>
      </c>
      <c r="X420" s="194" t="s">
        <v>243</v>
      </c>
      <c r="Y420" s="194">
        <v>10</v>
      </c>
      <c r="Z420" s="194">
        <v>10</v>
      </c>
      <c r="AA420" s="225" t="s">
        <v>163</v>
      </c>
      <c r="AB420" s="225" t="s">
        <v>57</v>
      </c>
      <c r="AC420" s="219"/>
      <c r="AD420" s="233"/>
      <c r="AE420" s="268"/>
      <c r="AF420" s="235" t="str">
        <f t="shared" si="621"/>
        <v xml:space="preserve">          </v>
      </c>
      <c r="AG420" s="174" t="str">
        <f t="shared" si="601"/>
        <v>NG</v>
      </c>
      <c r="AH420" s="268"/>
      <c r="AI420" s="172" t="s">
        <v>71</v>
      </c>
      <c r="AJ420" s="233"/>
      <c r="AK420" s="234"/>
      <c r="AL420" s="235" t="str">
        <f t="shared" si="619"/>
        <v xml:space="preserve">          </v>
      </c>
      <c r="AM420" s="174" t="str">
        <f t="shared" si="648"/>
        <v>NG</v>
      </c>
      <c r="AN420" s="268"/>
      <c r="AO420" s="172" t="s">
        <v>71</v>
      </c>
      <c r="AP420" s="233"/>
      <c r="AQ420" s="268"/>
      <c r="AR420" s="235" t="str">
        <f t="shared" si="622"/>
        <v xml:space="preserve">          </v>
      </c>
      <c r="AS420" s="174" t="str">
        <f t="shared" si="602"/>
        <v>NG</v>
      </c>
      <c r="AT420" s="268"/>
      <c r="AU420" s="172" t="s">
        <v>71</v>
      </c>
      <c r="AV420" s="233"/>
      <c r="AW420" s="268"/>
      <c r="AX420" s="235" t="str">
        <f t="shared" si="623"/>
        <v xml:space="preserve">          </v>
      </c>
      <c r="AY420" s="174" t="str">
        <f t="shared" si="603"/>
        <v>NG</v>
      </c>
      <c r="AZ420" s="268"/>
      <c r="BA420" s="172" t="s">
        <v>71</v>
      </c>
      <c r="BB420" s="233"/>
      <c r="BC420" s="268"/>
      <c r="BD420" s="235" t="str">
        <f t="shared" si="624"/>
        <v xml:space="preserve">          </v>
      </c>
      <c r="BE420" s="174" t="str">
        <f t="shared" si="604"/>
        <v>NG</v>
      </c>
      <c r="BF420" s="268"/>
      <c r="BG420" s="172" t="s">
        <v>71</v>
      </c>
      <c r="BH420" s="233"/>
      <c r="BI420" s="268"/>
      <c r="BJ420" s="235" t="str">
        <f t="shared" si="625"/>
        <v xml:space="preserve">          </v>
      </c>
      <c r="BK420" s="174" t="str">
        <f t="shared" si="605"/>
        <v>NG</v>
      </c>
      <c r="BL420" s="268"/>
      <c r="BM420" s="172" t="s">
        <v>71</v>
      </c>
      <c r="BN420" s="233"/>
      <c r="BO420" s="268"/>
      <c r="BP420" s="235" t="str">
        <f t="shared" si="626"/>
        <v xml:space="preserve">          </v>
      </c>
      <c r="BQ420" s="174" t="str">
        <f t="shared" si="606"/>
        <v>NG</v>
      </c>
      <c r="BR420" s="268"/>
      <c r="BS420" s="172" t="s">
        <v>71</v>
      </c>
      <c r="BT420" s="233"/>
      <c r="BU420" s="268"/>
      <c r="BV420" s="235" t="str">
        <f t="shared" si="627"/>
        <v xml:space="preserve">          </v>
      </c>
      <c r="BW420" s="174" t="str">
        <f t="shared" si="607"/>
        <v>NG</v>
      </c>
      <c r="BX420" s="268"/>
      <c r="BY420" s="172" t="s">
        <v>71</v>
      </c>
      <c r="BZ420" s="233"/>
      <c r="CA420" s="268"/>
      <c r="CB420" s="235" t="str">
        <f t="shared" si="628"/>
        <v xml:space="preserve">          </v>
      </c>
      <c r="CC420" s="174" t="str">
        <f t="shared" si="608"/>
        <v>NG</v>
      </c>
      <c r="CD420" s="268"/>
      <c r="CE420" s="172" t="s">
        <v>71</v>
      </c>
      <c r="CF420" s="233"/>
      <c r="CG420" s="268"/>
      <c r="CH420" s="235" t="str">
        <f t="shared" si="629"/>
        <v xml:space="preserve">          </v>
      </c>
      <c r="CI420" s="174" t="str">
        <f t="shared" si="609"/>
        <v>NG</v>
      </c>
      <c r="CJ420" s="268"/>
      <c r="CK420" s="172" t="s">
        <v>71</v>
      </c>
      <c r="CL420" s="233"/>
      <c r="CM420" s="268"/>
      <c r="CN420" s="235" t="str">
        <f t="shared" si="630"/>
        <v xml:space="preserve">          </v>
      </c>
      <c r="CO420" s="174" t="str">
        <f t="shared" si="610"/>
        <v>NG</v>
      </c>
      <c r="CP420" s="268"/>
      <c r="CQ420" s="172" t="s">
        <v>71</v>
      </c>
      <c r="CR420" s="233"/>
      <c r="CS420" s="268"/>
      <c r="CT420" s="235" t="str">
        <f t="shared" si="631"/>
        <v xml:space="preserve">          </v>
      </c>
      <c r="CU420" s="174" t="str">
        <f t="shared" si="611"/>
        <v>NG</v>
      </c>
      <c r="CV420" s="268"/>
      <c r="CW420" s="172" t="s">
        <v>71</v>
      </c>
      <c r="CX420" s="233"/>
      <c r="CY420" s="268"/>
      <c r="CZ420" s="235" t="str">
        <f t="shared" si="632"/>
        <v xml:space="preserve">          </v>
      </c>
      <c r="DA420" s="174" t="str">
        <f t="shared" si="612"/>
        <v>NG</v>
      </c>
      <c r="DB420" s="268"/>
      <c r="DC420" s="172" t="s">
        <v>71</v>
      </c>
      <c r="DD420" s="233"/>
      <c r="DE420" s="268"/>
      <c r="DF420" s="235" t="str">
        <f t="shared" si="633"/>
        <v xml:space="preserve">          </v>
      </c>
      <c r="DG420" s="174" t="str">
        <f t="shared" si="613"/>
        <v>NG</v>
      </c>
      <c r="DH420" s="268"/>
      <c r="DI420" s="172" t="s">
        <v>71</v>
      </c>
      <c r="DJ420" s="233"/>
      <c r="DK420" s="268"/>
      <c r="DL420" s="235" t="str">
        <f t="shared" si="634"/>
        <v xml:space="preserve">          </v>
      </c>
      <c r="DM420" s="174" t="str">
        <f t="shared" si="614"/>
        <v>NG</v>
      </c>
      <c r="DN420" s="268"/>
      <c r="DO420" s="172" t="s">
        <v>71</v>
      </c>
      <c r="DP420" s="233"/>
      <c r="DQ420" s="268"/>
      <c r="DR420" s="235" t="str">
        <f t="shared" si="635"/>
        <v xml:space="preserve">          </v>
      </c>
      <c r="DS420" s="174" t="str">
        <f t="shared" si="593"/>
        <v>NG</v>
      </c>
      <c r="DT420" s="268"/>
      <c r="DU420" s="172" t="s">
        <v>71</v>
      </c>
      <c r="DV420" s="233"/>
      <c r="DW420" s="268"/>
      <c r="DX420" s="235" t="str">
        <f t="shared" si="636"/>
        <v xml:space="preserve">          </v>
      </c>
      <c r="DY420" s="174" t="str">
        <f t="shared" si="594"/>
        <v>NG</v>
      </c>
      <c r="DZ420" s="268"/>
      <c r="EA420" s="172" t="s">
        <v>71</v>
      </c>
      <c r="EB420" s="233"/>
      <c r="EC420" s="268"/>
      <c r="ED420" s="235" t="str">
        <f t="shared" si="637"/>
        <v xml:space="preserve">          </v>
      </c>
      <c r="EE420" s="174" t="str">
        <f t="shared" si="595"/>
        <v>NG</v>
      </c>
      <c r="EF420" s="268"/>
      <c r="EG420" s="172" t="s">
        <v>71</v>
      </c>
      <c r="EH420" s="233"/>
      <c r="EI420" s="268"/>
      <c r="EJ420" s="235" t="str">
        <f t="shared" si="638"/>
        <v xml:space="preserve">          </v>
      </c>
      <c r="EK420" s="174" t="str">
        <f t="shared" si="596"/>
        <v>NG</v>
      </c>
      <c r="EL420" s="268"/>
      <c r="EM420" s="172" t="s">
        <v>71</v>
      </c>
      <c r="EN420" s="233"/>
      <c r="EO420" s="268"/>
      <c r="EP420" s="235" t="str">
        <f t="shared" si="639"/>
        <v xml:space="preserve">          </v>
      </c>
      <c r="EQ420" s="174" t="str">
        <f t="shared" si="597"/>
        <v>NG</v>
      </c>
      <c r="ER420" s="268"/>
      <c r="ES420" s="172" t="s">
        <v>71</v>
      </c>
      <c r="ET420" s="233"/>
      <c r="EU420" s="268"/>
      <c r="EV420" s="235" t="str">
        <f t="shared" si="640"/>
        <v xml:space="preserve">          </v>
      </c>
      <c r="EW420" s="174" t="str">
        <f t="shared" si="598"/>
        <v>NG</v>
      </c>
      <c r="EX420" s="268"/>
      <c r="EY420" s="172" t="s">
        <v>71</v>
      </c>
      <c r="EZ420" s="233"/>
      <c r="FA420" s="268"/>
      <c r="FB420" s="235" t="str">
        <f t="shared" si="641"/>
        <v xml:space="preserve">          </v>
      </c>
      <c r="FC420" s="174" t="str">
        <f t="shared" si="599"/>
        <v>NG</v>
      </c>
      <c r="FD420" s="268"/>
      <c r="FE420" s="172" t="s">
        <v>71</v>
      </c>
      <c r="FF420" s="233"/>
      <c r="FG420" s="268"/>
      <c r="FH420" s="235" t="str">
        <f t="shared" si="642"/>
        <v xml:space="preserve">          </v>
      </c>
      <c r="FI420" s="174" t="str">
        <f t="shared" si="600"/>
        <v>NG</v>
      </c>
      <c r="FJ420" s="268"/>
      <c r="FK420" s="172" t="s">
        <v>71</v>
      </c>
      <c r="FL420" s="233"/>
      <c r="FM420" s="268"/>
      <c r="FN420" s="235" t="str">
        <f t="shared" si="643"/>
        <v xml:space="preserve">          </v>
      </c>
      <c r="FO420" s="174" t="str">
        <f t="shared" si="615"/>
        <v>NG</v>
      </c>
      <c r="FP420" s="268"/>
      <c r="FQ420" s="172" t="s">
        <v>71</v>
      </c>
      <c r="FR420" s="233"/>
      <c r="FS420" s="268"/>
      <c r="FT420" s="235" t="str">
        <f t="shared" si="644"/>
        <v xml:space="preserve">          </v>
      </c>
      <c r="FU420" s="174" t="str">
        <f t="shared" si="616"/>
        <v>NG</v>
      </c>
      <c r="FV420" s="268"/>
      <c r="FW420" s="172" t="s">
        <v>71</v>
      </c>
      <c r="FX420" s="233"/>
      <c r="FY420" s="268"/>
      <c r="FZ420" s="235" t="str">
        <f t="shared" si="645"/>
        <v xml:space="preserve">          </v>
      </c>
      <c r="GA420" s="174" t="str">
        <f t="shared" si="617"/>
        <v>NG</v>
      </c>
      <c r="GB420" s="268"/>
      <c r="GC420" s="172" t="s">
        <v>71</v>
      </c>
    </row>
    <row r="421" spans="1:185" s="237" customFormat="1" ht="25.5">
      <c r="B421" s="216">
        <f t="shared" si="646"/>
        <v>414</v>
      </c>
      <c r="C421" s="220"/>
      <c r="D421" s="220"/>
      <c r="E421" s="220"/>
      <c r="F421" s="238" t="s">
        <v>244</v>
      </c>
      <c r="G421" s="168"/>
      <c r="H421" s="239"/>
      <c r="I421" s="225"/>
      <c r="J421" s="225"/>
      <c r="K421" s="226"/>
      <c r="L421" s="226"/>
      <c r="M421" s="227" t="s">
        <v>345</v>
      </c>
      <c r="N421" s="228"/>
      <c r="O421" s="229"/>
      <c r="P421" s="45">
        <f t="shared" si="620"/>
        <v>385</v>
      </c>
      <c r="Q421" s="230">
        <v>3</v>
      </c>
      <c r="R421" s="41" t="str">
        <f t="shared" si="647"/>
        <v>X</v>
      </c>
      <c r="S421" s="185" t="s">
        <v>245</v>
      </c>
      <c r="T421" s="231"/>
      <c r="U421" s="41" t="s">
        <v>80</v>
      </c>
      <c r="V421" s="229"/>
      <c r="W421" s="232">
        <v>3</v>
      </c>
      <c r="X421" s="194" t="s">
        <v>246</v>
      </c>
      <c r="Y421" s="194">
        <v>3</v>
      </c>
      <c r="Z421" s="194">
        <v>3</v>
      </c>
      <c r="AA421" s="225" t="s">
        <v>163</v>
      </c>
      <c r="AB421" s="225" t="s">
        <v>57</v>
      </c>
      <c r="AC421" s="219"/>
      <c r="AD421" s="233"/>
      <c r="AE421" s="268"/>
      <c r="AF421" s="235" t="str">
        <f t="shared" si="621"/>
        <v xml:space="preserve">   </v>
      </c>
      <c r="AG421" s="174" t="str">
        <f t="shared" si="601"/>
        <v>NG</v>
      </c>
      <c r="AH421" s="268"/>
      <c r="AI421" s="172" t="s">
        <v>71</v>
      </c>
      <c r="AJ421" s="233"/>
      <c r="AK421" s="234"/>
      <c r="AL421" s="235" t="str">
        <f t="shared" si="619"/>
        <v xml:space="preserve">   </v>
      </c>
      <c r="AM421" s="174" t="str">
        <f t="shared" si="648"/>
        <v>NG</v>
      </c>
      <c r="AN421" s="268"/>
      <c r="AO421" s="172" t="s">
        <v>71</v>
      </c>
      <c r="AP421" s="233"/>
      <c r="AQ421" s="268"/>
      <c r="AR421" s="235" t="str">
        <f t="shared" si="622"/>
        <v xml:space="preserve">   </v>
      </c>
      <c r="AS421" s="174" t="str">
        <f t="shared" si="602"/>
        <v>NG</v>
      </c>
      <c r="AT421" s="268"/>
      <c r="AU421" s="172" t="s">
        <v>71</v>
      </c>
      <c r="AV421" s="233"/>
      <c r="AW421" s="268"/>
      <c r="AX421" s="235" t="str">
        <f t="shared" si="623"/>
        <v xml:space="preserve">   </v>
      </c>
      <c r="AY421" s="174" t="str">
        <f t="shared" si="603"/>
        <v>NG</v>
      </c>
      <c r="AZ421" s="268"/>
      <c r="BA421" s="172" t="s">
        <v>71</v>
      </c>
      <c r="BB421" s="233"/>
      <c r="BC421" s="268"/>
      <c r="BD421" s="235" t="str">
        <f t="shared" si="624"/>
        <v xml:space="preserve">   </v>
      </c>
      <c r="BE421" s="174" t="str">
        <f t="shared" si="604"/>
        <v>NG</v>
      </c>
      <c r="BF421" s="268"/>
      <c r="BG421" s="172" t="s">
        <v>71</v>
      </c>
      <c r="BH421" s="233"/>
      <c r="BI421" s="268"/>
      <c r="BJ421" s="235" t="str">
        <f t="shared" si="625"/>
        <v xml:space="preserve">   </v>
      </c>
      <c r="BK421" s="174" t="str">
        <f t="shared" si="605"/>
        <v>NG</v>
      </c>
      <c r="BL421" s="268"/>
      <c r="BM421" s="172" t="s">
        <v>71</v>
      </c>
      <c r="BN421" s="233"/>
      <c r="BO421" s="268"/>
      <c r="BP421" s="235" t="str">
        <f t="shared" si="626"/>
        <v xml:space="preserve">   </v>
      </c>
      <c r="BQ421" s="174" t="str">
        <f t="shared" si="606"/>
        <v>NG</v>
      </c>
      <c r="BR421" s="268"/>
      <c r="BS421" s="172" t="s">
        <v>71</v>
      </c>
      <c r="BT421" s="233"/>
      <c r="BU421" s="268"/>
      <c r="BV421" s="235" t="str">
        <f t="shared" si="627"/>
        <v xml:space="preserve">   </v>
      </c>
      <c r="BW421" s="174" t="str">
        <f t="shared" si="607"/>
        <v>NG</v>
      </c>
      <c r="BX421" s="268"/>
      <c r="BY421" s="172" t="s">
        <v>71</v>
      </c>
      <c r="BZ421" s="233"/>
      <c r="CA421" s="268"/>
      <c r="CB421" s="235" t="str">
        <f t="shared" si="628"/>
        <v xml:space="preserve">   </v>
      </c>
      <c r="CC421" s="174" t="str">
        <f t="shared" si="608"/>
        <v>NG</v>
      </c>
      <c r="CD421" s="268"/>
      <c r="CE421" s="172" t="s">
        <v>71</v>
      </c>
      <c r="CF421" s="233"/>
      <c r="CG421" s="268"/>
      <c r="CH421" s="235" t="str">
        <f t="shared" si="629"/>
        <v xml:space="preserve">   </v>
      </c>
      <c r="CI421" s="174" t="str">
        <f t="shared" si="609"/>
        <v>NG</v>
      </c>
      <c r="CJ421" s="268"/>
      <c r="CK421" s="172" t="s">
        <v>71</v>
      </c>
      <c r="CL421" s="233"/>
      <c r="CM421" s="268"/>
      <c r="CN421" s="235" t="str">
        <f t="shared" si="630"/>
        <v xml:space="preserve">   </v>
      </c>
      <c r="CO421" s="174" t="str">
        <f t="shared" si="610"/>
        <v>NG</v>
      </c>
      <c r="CP421" s="268"/>
      <c r="CQ421" s="172" t="s">
        <v>71</v>
      </c>
      <c r="CR421" s="233"/>
      <c r="CS421" s="268"/>
      <c r="CT421" s="235" t="str">
        <f t="shared" si="631"/>
        <v xml:space="preserve">   </v>
      </c>
      <c r="CU421" s="174" t="str">
        <f t="shared" si="611"/>
        <v>NG</v>
      </c>
      <c r="CV421" s="268"/>
      <c r="CW421" s="172" t="s">
        <v>71</v>
      </c>
      <c r="CX421" s="233"/>
      <c r="CY421" s="268"/>
      <c r="CZ421" s="235" t="str">
        <f t="shared" si="632"/>
        <v xml:space="preserve">   </v>
      </c>
      <c r="DA421" s="174" t="str">
        <f t="shared" si="612"/>
        <v>NG</v>
      </c>
      <c r="DB421" s="268"/>
      <c r="DC421" s="172" t="s">
        <v>71</v>
      </c>
      <c r="DD421" s="233"/>
      <c r="DE421" s="268"/>
      <c r="DF421" s="235" t="str">
        <f t="shared" si="633"/>
        <v xml:space="preserve">   </v>
      </c>
      <c r="DG421" s="174" t="str">
        <f t="shared" si="613"/>
        <v>NG</v>
      </c>
      <c r="DH421" s="268"/>
      <c r="DI421" s="172" t="s">
        <v>71</v>
      </c>
      <c r="DJ421" s="233"/>
      <c r="DK421" s="268"/>
      <c r="DL421" s="235" t="str">
        <f t="shared" si="634"/>
        <v xml:space="preserve">   </v>
      </c>
      <c r="DM421" s="174" t="str">
        <f t="shared" si="614"/>
        <v>NG</v>
      </c>
      <c r="DN421" s="268"/>
      <c r="DO421" s="172" t="s">
        <v>71</v>
      </c>
      <c r="DP421" s="233"/>
      <c r="DQ421" s="268"/>
      <c r="DR421" s="235" t="str">
        <f t="shared" si="635"/>
        <v xml:space="preserve">   </v>
      </c>
      <c r="DS421" s="174" t="str">
        <f t="shared" si="593"/>
        <v>NG</v>
      </c>
      <c r="DT421" s="268"/>
      <c r="DU421" s="172" t="s">
        <v>71</v>
      </c>
      <c r="DV421" s="233"/>
      <c r="DW421" s="268"/>
      <c r="DX421" s="235" t="str">
        <f t="shared" si="636"/>
        <v xml:space="preserve">   </v>
      </c>
      <c r="DY421" s="174" t="str">
        <f t="shared" si="594"/>
        <v>NG</v>
      </c>
      <c r="DZ421" s="268"/>
      <c r="EA421" s="172" t="s">
        <v>71</v>
      </c>
      <c r="EB421" s="233"/>
      <c r="EC421" s="268"/>
      <c r="ED421" s="235" t="str">
        <f t="shared" si="637"/>
        <v xml:space="preserve">   </v>
      </c>
      <c r="EE421" s="174" t="str">
        <f t="shared" si="595"/>
        <v>NG</v>
      </c>
      <c r="EF421" s="268"/>
      <c r="EG421" s="172" t="s">
        <v>71</v>
      </c>
      <c r="EH421" s="233"/>
      <c r="EI421" s="268"/>
      <c r="EJ421" s="235" t="str">
        <f t="shared" si="638"/>
        <v xml:space="preserve">   </v>
      </c>
      <c r="EK421" s="174" t="str">
        <f t="shared" si="596"/>
        <v>NG</v>
      </c>
      <c r="EL421" s="268"/>
      <c r="EM421" s="172" t="s">
        <v>71</v>
      </c>
      <c r="EN421" s="233"/>
      <c r="EO421" s="268"/>
      <c r="EP421" s="235" t="str">
        <f t="shared" si="639"/>
        <v xml:space="preserve">   </v>
      </c>
      <c r="EQ421" s="174" t="str">
        <f t="shared" si="597"/>
        <v>NG</v>
      </c>
      <c r="ER421" s="268"/>
      <c r="ES421" s="172" t="s">
        <v>71</v>
      </c>
      <c r="ET421" s="233"/>
      <c r="EU421" s="268"/>
      <c r="EV421" s="235" t="str">
        <f t="shared" si="640"/>
        <v xml:space="preserve">   </v>
      </c>
      <c r="EW421" s="174" t="str">
        <f t="shared" si="598"/>
        <v>NG</v>
      </c>
      <c r="EX421" s="268"/>
      <c r="EY421" s="172" t="s">
        <v>71</v>
      </c>
      <c r="EZ421" s="233"/>
      <c r="FA421" s="268"/>
      <c r="FB421" s="235" t="str">
        <f t="shared" si="641"/>
        <v xml:space="preserve">   </v>
      </c>
      <c r="FC421" s="174" t="str">
        <f t="shared" si="599"/>
        <v>NG</v>
      </c>
      <c r="FD421" s="268"/>
      <c r="FE421" s="172" t="s">
        <v>71</v>
      </c>
      <c r="FF421" s="233"/>
      <c r="FG421" s="268"/>
      <c r="FH421" s="235" t="str">
        <f t="shared" si="642"/>
        <v xml:space="preserve">   </v>
      </c>
      <c r="FI421" s="174" t="str">
        <f t="shared" si="600"/>
        <v>NG</v>
      </c>
      <c r="FJ421" s="268"/>
      <c r="FK421" s="172" t="s">
        <v>71</v>
      </c>
      <c r="FL421" s="233"/>
      <c r="FM421" s="268"/>
      <c r="FN421" s="235" t="str">
        <f t="shared" si="643"/>
        <v xml:space="preserve">   </v>
      </c>
      <c r="FO421" s="174" t="str">
        <f t="shared" si="615"/>
        <v>NG</v>
      </c>
      <c r="FP421" s="268"/>
      <c r="FQ421" s="172" t="s">
        <v>71</v>
      </c>
      <c r="FR421" s="233"/>
      <c r="FS421" s="268"/>
      <c r="FT421" s="235" t="str">
        <f t="shared" si="644"/>
        <v xml:space="preserve">   </v>
      </c>
      <c r="FU421" s="174" t="str">
        <f t="shared" si="616"/>
        <v>NG</v>
      </c>
      <c r="FV421" s="268"/>
      <c r="FW421" s="172" t="s">
        <v>71</v>
      </c>
      <c r="FX421" s="233"/>
      <c r="FY421" s="268"/>
      <c r="FZ421" s="235" t="str">
        <f t="shared" si="645"/>
        <v xml:space="preserve">   </v>
      </c>
      <c r="GA421" s="174" t="str">
        <f t="shared" si="617"/>
        <v>NG</v>
      </c>
      <c r="GB421" s="268"/>
      <c r="GC421" s="172" t="s">
        <v>71</v>
      </c>
    </row>
    <row r="422" spans="1:185" s="237" customFormat="1" ht="25.5">
      <c r="B422" s="216">
        <f t="shared" si="646"/>
        <v>415</v>
      </c>
      <c r="C422" s="220"/>
      <c r="D422" s="220"/>
      <c r="E422" s="220"/>
      <c r="F422" s="238" t="s">
        <v>347</v>
      </c>
      <c r="G422" s="168"/>
      <c r="H422" s="239"/>
      <c r="I422" s="225"/>
      <c r="J422" s="225"/>
      <c r="K422" s="226"/>
      <c r="L422" s="226"/>
      <c r="M422" s="227" t="s">
        <v>345</v>
      </c>
      <c r="N422" s="228"/>
      <c r="O422" s="229"/>
      <c r="P422" s="45">
        <f t="shared" si="620"/>
        <v>386</v>
      </c>
      <c r="Q422" s="230">
        <v>2</v>
      </c>
      <c r="R422" s="41" t="str">
        <f t="shared" si="647"/>
        <v>X</v>
      </c>
      <c r="S422" s="185" t="s">
        <v>247</v>
      </c>
      <c r="T422" s="231"/>
      <c r="U422" s="41" t="s">
        <v>80</v>
      </c>
      <c r="V422" s="229"/>
      <c r="W422" s="232">
        <v>3</v>
      </c>
      <c r="X422" s="194" t="s">
        <v>248</v>
      </c>
      <c r="Y422" s="194">
        <v>2</v>
      </c>
      <c r="Z422" s="194">
        <v>2</v>
      </c>
      <c r="AA422" s="225" t="s">
        <v>163</v>
      </c>
      <c r="AB422" s="225" t="s">
        <v>57</v>
      </c>
      <c r="AC422" s="219"/>
      <c r="AD422" s="233"/>
      <c r="AE422" s="268"/>
      <c r="AF422" s="235" t="str">
        <f t="shared" si="621"/>
        <v xml:space="preserve">  </v>
      </c>
      <c r="AG422" s="174" t="str">
        <f t="shared" si="601"/>
        <v>NG</v>
      </c>
      <c r="AH422" s="268"/>
      <c r="AI422" s="172" t="s">
        <v>71</v>
      </c>
      <c r="AJ422" s="233"/>
      <c r="AK422" s="234"/>
      <c r="AL422" s="235" t="str">
        <f t="shared" si="619"/>
        <v xml:space="preserve">  </v>
      </c>
      <c r="AM422" s="174" t="str">
        <f t="shared" si="648"/>
        <v>NG</v>
      </c>
      <c r="AN422" s="268"/>
      <c r="AO422" s="172" t="s">
        <v>71</v>
      </c>
      <c r="AP422" s="233"/>
      <c r="AQ422" s="268"/>
      <c r="AR422" s="235" t="str">
        <f t="shared" si="622"/>
        <v xml:space="preserve">  </v>
      </c>
      <c r="AS422" s="174" t="str">
        <f t="shared" si="602"/>
        <v>NG</v>
      </c>
      <c r="AT422" s="268"/>
      <c r="AU422" s="172" t="s">
        <v>71</v>
      </c>
      <c r="AV422" s="233"/>
      <c r="AW422" s="268"/>
      <c r="AX422" s="235" t="str">
        <f t="shared" si="623"/>
        <v xml:space="preserve">  </v>
      </c>
      <c r="AY422" s="174" t="str">
        <f t="shared" si="603"/>
        <v>NG</v>
      </c>
      <c r="AZ422" s="268"/>
      <c r="BA422" s="172" t="s">
        <v>71</v>
      </c>
      <c r="BB422" s="233"/>
      <c r="BC422" s="268"/>
      <c r="BD422" s="235" t="str">
        <f t="shared" si="624"/>
        <v xml:space="preserve">  </v>
      </c>
      <c r="BE422" s="174" t="str">
        <f t="shared" si="604"/>
        <v>NG</v>
      </c>
      <c r="BF422" s="268"/>
      <c r="BG422" s="172" t="s">
        <v>71</v>
      </c>
      <c r="BH422" s="233"/>
      <c r="BI422" s="268"/>
      <c r="BJ422" s="235" t="str">
        <f t="shared" si="625"/>
        <v xml:space="preserve">  </v>
      </c>
      <c r="BK422" s="174" t="str">
        <f t="shared" si="605"/>
        <v>NG</v>
      </c>
      <c r="BL422" s="268"/>
      <c r="BM422" s="172" t="s">
        <v>71</v>
      </c>
      <c r="BN422" s="233"/>
      <c r="BO422" s="268"/>
      <c r="BP422" s="235" t="str">
        <f t="shared" si="626"/>
        <v xml:space="preserve">  </v>
      </c>
      <c r="BQ422" s="174" t="str">
        <f t="shared" si="606"/>
        <v>NG</v>
      </c>
      <c r="BR422" s="268"/>
      <c r="BS422" s="172" t="s">
        <v>71</v>
      </c>
      <c r="BT422" s="233"/>
      <c r="BU422" s="268"/>
      <c r="BV422" s="235" t="str">
        <f t="shared" si="627"/>
        <v xml:space="preserve">  </v>
      </c>
      <c r="BW422" s="174" t="str">
        <f t="shared" si="607"/>
        <v>NG</v>
      </c>
      <c r="BX422" s="268"/>
      <c r="BY422" s="172" t="s">
        <v>71</v>
      </c>
      <c r="BZ422" s="233"/>
      <c r="CA422" s="268"/>
      <c r="CB422" s="235" t="str">
        <f t="shared" si="628"/>
        <v xml:space="preserve">  </v>
      </c>
      <c r="CC422" s="174" t="str">
        <f t="shared" si="608"/>
        <v>NG</v>
      </c>
      <c r="CD422" s="268"/>
      <c r="CE422" s="172" t="s">
        <v>71</v>
      </c>
      <c r="CF422" s="233"/>
      <c r="CG422" s="268"/>
      <c r="CH422" s="235" t="str">
        <f t="shared" si="629"/>
        <v xml:space="preserve">  </v>
      </c>
      <c r="CI422" s="174" t="str">
        <f t="shared" si="609"/>
        <v>NG</v>
      </c>
      <c r="CJ422" s="268"/>
      <c r="CK422" s="172" t="s">
        <v>71</v>
      </c>
      <c r="CL422" s="233"/>
      <c r="CM422" s="268"/>
      <c r="CN422" s="235" t="str">
        <f t="shared" si="630"/>
        <v xml:space="preserve">  </v>
      </c>
      <c r="CO422" s="174" t="str">
        <f t="shared" si="610"/>
        <v>NG</v>
      </c>
      <c r="CP422" s="268"/>
      <c r="CQ422" s="172" t="s">
        <v>71</v>
      </c>
      <c r="CR422" s="233"/>
      <c r="CS422" s="268"/>
      <c r="CT422" s="235" t="str">
        <f t="shared" si="631"/>
        <v xml:space="preserve">  </v>
      </c>
      <c r="CU422" s="174" t="str">
        <f t="shared" si="611"/>
        <v>NG</v>
      </c>
      <c r="CV422" s="268"/>
      <c r="CW422" s="172" t="s">
        <v>71</v>
      </c>
      <c r="CX422" s="233"/>
      <c r="CY422" s="268"/>
      <c r="CZ422" s="235" t="str">
        <f t="shared" si="632"/>
        <v xml:space="preserve">  </v>
      </c>
      <c r="DA422" s="174" t="str">
        <f t="shared" si="612"/>
        <v>NG</v>
      </c>
      <c r="DB422" s="268"/>
      <c r="DC422" s="172" t="s">
        <v>71</v>
      </c>
      <c r="DD422" s="233"/>
      <c r="DE422" s="268"/>
      <c r="DF422" s="235" t="str">
        <f t="shared" si="633"/>
        <v xml:space="preserve">  </v>
      </c>
      <c r="DG422" s="174" t="str">
        <f t="shared" si="613"/>
        <v>NG</v>
      </c>
      <c r="DH422" s="268"/>
      <c r="DI422" s="172" t="s">
        <v>71</v>
      </c>
      <c r="DJ422" s="233"/>
      <c r="DK422" s="268"/>
      <c r="DL422" s="235" t="str">
        <f t="shared" si="634"/>
        <v xml:space="preserve">  </v>
      </c>
      <c r="DM422" s="174" t="str">
        <f t="shared" si="614"/>
        <v>NG</v>
      </c>
      <c r="DN422" s="268"/>
      <c r="DO422" s="172" t="s">
        <v>71</v>
      </c>
      <c r="DP422" s="233"/>
      <c r="DQ422" s="268"/>
      <c r="DR422" s="235" t="str">
        <f t="shared" si="635"/>
        <v xml:space="preserve">  </v>
      </c>
      <c r="DS422" s="174" t="str">
        <f t="shared" si="593"/>
        <v>NG</v>
      </c>
      <c r="DT422" s="268"/>
      <c r="DU422" s="172" t="s">
        <v>71</v>
      </c>
      <c r="DV422" s="233"/>
      <c r="DW422" s="268"/>
      <c r="DX422" s="235" t="str">
        <f t="shared" si="636"/>
        <v xml:space="preserve">  </v>
      </c>
      <c r="DY422" s="174" t="str">
        <f t="shared" si="594"/>
        <v>NG</v>
      </c>
      <c r="DZ422" s="268"/>
      <c r="EA422" s="172" t="s">
        <v>71</v>
      </c>
      <c r="EB422" s="233"/>
      <c r="EC422" s="268"/>
      <c r="ED422" s="235" t="str">
        <f t="shared" si="637"/>
        <v xml:space="preserve">  </v>
      </c>
      <c r="EE422" s="174" t="str">
        <f t="shared" si="595"/>
        <v>NG</v>
      </c>
      <c r="EF422" s="268"/>
      <c r="EG422" s="172" t="s">
        <v>71</v>
      </c>
      <c r="EH422" s="233"/>
      <c r="EI422" s="268"/>
      <c r="EJ422" s="235" t="str">
        <f t="shared" si="638"/>
        <v xml:space="preserve">  </v>
      </c>
      <c r="EK422" s="174" t="str">
        <f t="shared" si="596"/>
        <v>NG</v>
      </c>
      <c r="EL422" s="268"/>
      <c r="EM422" s="172" t="s">
        <v>71</v>
      </c>
      <c r="EN422" s="233"/>
      <c r="EO422" s="268"/>
      <c r="EP422" s="235" t="str">
        <f t="shared" si="639"/>
        <v xml:space="preserve">  </v>
      </c>
      <c r="EQ422" s="174" t="str">
        <f t="shared" si="597"/>
        <v>NG</v>
      </c>
      <c r="ER422" s="268"/>
      <c r="ES422" s="172" t="s">
        <v>71</v>
      </c>
      <c r="ET422" s="233"/>
      <c r="EU422" s="268"/>
      <c r="EV422" s="235" t="str">
        <f t="shared" si="640"/>
        <v xml:space="preserve">  </v>
      </c>
      <c r="EW422" s="174" t="str">
        <f t="shared" si="598"/>
        <v>NG</v>
      </c>
      <c r="EX422" s="268"/>
      <c r="EY422" s="172" t="s">
        <v>71</v>
      </c>
      <c r="EZ422" s="233"/>
      <c r="FA422" s="268"/>
      <c r="FB422" s="235" t="str">
        <f t="shared" si="641"/>
        <v xml:space="preserve">  </v>
      </c>
      <c r="FC422" s="174" t="str">
        <f t="shared" si="599"/>
        <v>NG</v>
      </c>
      <c r="FD422" s="268"/>
      <c r="FE422" s="172" t="s">
        <v>71</v>
      </c>
      <c r="FF422" s="233"/>
      <c r="FG422" s="268"/>
      <c r="FH422" s="235" t="str">
        <f t="shared" si="642"/>
        <v xml:space="preserve">  </v>
      </c>
      <c r="FI422" s="174" t="str">
        <f t="shared" si="600"/>
        <v>NG</v>
      </c>
      <c r="FJ422" s="268"/>
      <c r="FK422" s="172" t="s">
        <v>71</v>
      </c>
      <c r="FL422" s="233"/>
      <c r="FM422" s="268"/>
      <c r="FN422" s="235" t="str">
        <f t="shared" si="643"/>
        <v xml:space="preserve">  </v>
      </c>
      <c r="FO422" s="174" t="str">
        <f t="shared" si="615"/>
        <v>NG</v>
      </c>
      <c r="FP422" s="268"/>
      <c r="FQ422" s="172" t="s">
        <v>71</v>
      </c>
      <c r="FR422" s="233"/>
      <c r="FS422" s="268"/>
      <c r="FT422" s="235" t="str">
        <f t="shared" si="644"/>
        <v xml:space="preserve">  </v>
      </c>
      <c r="FU422" s="174" t="str">
        <f t="shared" si="616"/>
        <v>NG</v>
      </c>
      <c r="FV422" s="268"/>
      <c r="FW422" s="172" t="s">
        <v>71</v>
      </c>
      <c r="FX422" s="233"/>
      <c r="FY422" s="268"/>
      <c r="FZ422" s="235" t="str">
        <f t="shared" si="645"/>
        <v xml:space="preserve">  </v>
      </c>
      <c r="GA422" s="174" t="str">
        <f t="shared" si="617"/>
        <v>NG</v>
      </c>
      <c r="GB422" s="268"/>
      <c r="GC422" s="172" t="s">
        <v>71</v>
      </c>
    </row>
    <row r="423" spans="1:185" s="237" customFormat="1" ht="51.75" customHeight="1">
      <c r="B423" s="216">
        <f t="shared" si="646"/>
        <v>416</v>
      </c>
      <c r="C423" s="220"/>
      <c r="D423" s="220"/>
      <c r="E423" s="220"/>
      <c r="F423" s="240" t="s">
        <v>348</v>
      </c>
      <c r="G423" s="241"/>
      <c r="H423" s="242"/>
      <c r="I423" s="225"/>
      <c r="J423" s="225"/>
      <c r="K423" s="226"/>
      <c r="L423" s="226"/>
      <c r="M423" s="227" t="s">
        <v>349</v>
      </c>
      <c r="N423" s="228"/>
      <c r="O423" s="229"/>
      <c r="P423" s="45">
        <f t="shared" si="620"/>
        <v>387</v>
      </c>
      <c r="Q423" s="230">
        <v>5</v>
      </c>
      <c r="R423" s="41" t="str">
        <f t="shared" si="647"/>
        <v>X</v>
      </c>
      <c r="S423" s="185" t="s">
        <v>249</v>
      </c>
      <c r="T423" s="231"/>
      <c r="U423" s="41" t="s">
        <v>80</v>
      </c>
      <c r="V423" s="229"/>
      <c r="W423" s="232">
        <v>3</v>
      </c>
      <c r="X423" s="194" t="s">
        <v>250</v>
      </c>
      <c r="Y423" s="194">
        <v>5</v>
      </c>
      <c r="Z423" s="194">
        <v>5</v>
      </c>
      <c r="AA423" s="225" t="s">
        <v>163</v>
      </c>
      <c r="AB423" s="225" t="s">
        <v>57</v>
      </c>
      <c r="AC423" s="243"/>
      <c r="AD423" s="233"/>
      <c r="AE423" s="297"/>
      <c r="AF423" s="235" t="str">
        <f t="shared" si="621"/>
        <v xml:space="preserve">     </v>
      </c>
      <c r="AG423" s="174" t="str">
        <f t="shared" si="601"/>
        <v>NG</v>
      </c>
      <c r="AH423" s="297"/>
      <c r="AI423" s="276" t="str">
        <f>IF(OR(AE$8="判定対象外",AH$8="判定対象外",AH423="-"),"-",IF(AE423=AH423,"OK","NG"))</f>
        <v>OK</v>
      </c>
      <c r="AJ423" s="233"/>
      <c r="AK423" s="236"/>
      <c r="AL423" s="235" t="str">
        <f t="shared" si="619"/>
        <v xml:space="preserve">     </v>
      </c>
      <c r="AM423" s="174" t="str">
        <f t="shared" si="648"/>
        <v>NG</v>
      </c>
      <c r="AN423" s="297"/>
      <c r="AO423" s="276" t="str">
        <f>IF(OR(AK$8="判定対象外",AN$8="判定対象外",AN423="-"),"-",IF(AK423=AN423,"OK","NG"))</f>
        <v>OK</v>
      </c>
      <c r="AP423" s="233"/>
      <c r="AQ423" s="297"/>
      <c r="AR423" s="235" t="str">
        <f t="shared" si="622"/>
        <v xml:space="preserve">     </v>
      </c>
      <c r="AS423" s="174" t="str">
        <f t="shared" si="602"/>
        <v>NG</v>
      </c>
      <c r="AT423" s="297"/>
      <c r="AU423" s="276" t="str">
        <f>IF(OR(AQ$8="判定対象外",AT$8="判定対象外",AT423="-"),"-",IF(AQ423=AT423,"OK","NG"))</f>
        <v>OK</v>
      </c>
      <c r="AV423" s="233"/>
      <c r="AW423" s="297"/>
      <c r="AX423" s="235" t="str">
        <f t="shared" si="623"/>
        <v xml:space="preserve">     </v>
      </c>
      <c r="AY423" s="174" t="str">
        <f t="shared" si="603"/>
        <v>NG</v>
      </c>
      <c r="AZ423" s="297"/>
      <c r="BA423" s="276" t="str">
        <f>IF(OR(AW$8="判定対象外",AZ$8="判定対象外",AZ423="-"),"-",IF(AW423=AZ423,"OK","NG"))</f>
        <v>OK</v>
      </c>
      <c r="BB423" s="233"/>
      <c r="BC423" s="297"/>
      <c r="BD423" s="235" t="str">
        <f t="shared" si="624"/>
        <v xml:space="preserve">     </v>
      </c>
      <c r="BE423" s="174" t="str">
        <f t="shared" si="604"/>
        <v>NG</v>
      </c>
      <c r="BF423" s="297"/>
      <c r="BG423" s="276" t="str">
        <f>IF(OR(BC$8="判定対象外",BF$8="判定対象外",BF423="-"),"-",IF(BC423=BF423,"OK","NG"))</f>
        <v>OK</v>
      </c>
      <c r="BH423" s="233"/>
      <c r="BI423" s="297"/>
      <c r="BJ423" s="235" t="str">
        <f t="shared" si="625"/>
        <v xml:space="preserve">     </v>
      </c>
      <c r="BK423" s="174" t="str">
        <f t="shared" si="605"/>
        <v>NG</v>
      </c>
      <c r="BL423" s="297"/>
      <c r="BM423" s="276" t="str">
        <f>IF(OR(BI$8="判定対象外",BL$8="判定対象外",BL423="-"),"-",IF(BI423=BL423,"OK","NG"))</f>
        <v>OK</v>
      </c>
      <c r="BN423" s="233"/>
      <c r="BO423" s="297"/>
      <c r="BP423" s="235" t="str">
        <f t="shared" si="626"/>
        <v xml:space="preserve">     </v>
      </c>
      <c r="BQ423" s="174" t="str">
        <f t="shared" si="606"/>
        <v>NG</v>
      </c>
      <c r="BR423" s="297"/>
      <c r="BS423" s="276" t="str">
        <f>IF(OR(BO$8="判定対象外",BR$8="判定対象外",BR423="-"),"-",IF(BO423=BR423,"OK","NG"))</f>
        <v>OK</v>
      </c>
      <c r="BT423" s="233"/>
      <c r="BU423" s="297"/>
      <c r="BV423" s="235" t="str">
        <f t="shared" si="627"/>
        <v xml:space="preserve">     </v>
      </c>
      <c r="BW423" s="174" t="str">
        <f t="shared" si="607"/>
        <v>NG</v>
      </c>
      <c r="BX423" s="297"/>
      <c r="BY423" s="276" t="str">
        <f>IF(OR(BU$8="判定対象外",BX$8="判定対象外",BX423="-"),"-",IF(BU423=BX423,"OK","NG"))</f>
        <v>OK</v>
      </c>
      <c r="BZ423" s="233"/>
      <c r="CA423" s="297"/>
      <c r="CB423" s="235" t="str">
        <f t="shared" si="628"/>
        <v xml:space="preserve">     </v>
      </c>
      <c r="CC423" s="174" t="str">
        <f t="shared" si="608"/>
        <v>NG</v>
      </c>
      <c r="CD423" s="297"/>
      <c r="CE423" s="276" t="str">
        <f>IF(OR(CA$8="判定対象外",CD$8="判定対象外",CD423="-"),"-",IF(CA423=CD423,"OK","NG"))</f>
        <v>OK</v>
      </c>
      <c r="CF423" s="233"/>
      <c r="CG423" s="297"/>
      <c r="CH423" s="235" t="str">
        <f t="shared" si="629"/>
        <v xml:space="preserve">     </v>
      </c>
      <c r="CI423" s="174" t="str">
        <f t="shared" si="609"/>
        <v>NG</v>
      </c>
      <c r="CJ423" s="297"/>
      <c r="CK423" s="276" t="str">
        <f>IF(OR(CG$8="判定対象外",CJ$8="判定対象外",CJ423="-"),"-",IF(CG423=CJ423,"OK","NG"))</f>
        <v>OK</v>
      </c>
      <c r="CL423" s="233"/>
      <c r="CM423" s="297"/>
      <c r="CN423" s="235" t="str">
        <f t="shared" si="630"/>
        <v xml:space="preserve">     </v>
      </c>
      <c r="CO423" s="174" t="str">
        <f t="shared" si="610"/>
        <v>NG</v>
      </c>
      <c r="CP423" s="297"/>
      <c r="CQ423" s="276" t="str">
        <f>IF(OR(CM$8="判定対象外",CP$8="判定対象外",CP423="-"),"-",IF(CM423=CP423,"OK","NG"))</f>
        <v>OK</v>
      </c>
      <c r="CR423" s="233"/>
      <c r="CS423" s="297"/>
      <c r="CT423" s="235" t="str">
        <f t="shared" si="631"/>
        <v xml:space="preserve">     </v>
      </c>
      <c r="CU423" s="174" t="str">
        <f t="shared" si="611"/>
        <v>NG</v>
      </c>
      <c r="CV423" s="297"/>
      <c r="CW423" s="276" t="str">
        <f>IF(OR(CS$8="判定対象外",CV$8="判定対象外",CV423="-"),"-",IF(CS423=CV423,"OK","NG"))</f>
        <v>OK</v>
      </c>
      <c r="CX423" s="233"/>
      <c r="CY423" s="297"/>
      <c r="CZ423" s="235" t="str">
        <f t="shared" si="632"/>
        <v xml:space="preserve">     </v>
      </c>
      <c r="DA423" s="174" t="str">
        <f t="shared" si="612"/>
        <v>NG</v>
      </c>
      <c r="DB423" s="297"/>
      <c r="DC423" s="276" t="str">
        <f>IF(OR(CY$8="判定対象外",DB$8="判定対象外",DB423="-"),"-",IF(CY423=DB423,"OK","NG"))</f>
        <v>OK</v>
      </c>
      <c r="DD423" s="233"/>
      <c r="DE423" s="297"/>
      <c r="DF423" s="235" t="str">
        <f t="shared" si="633"/>
        <v xml:space="preserve">     </v>
      </c>
      <c r="DG423" s="174" t="str">
        <f t="shared" si="613"/>
        <v>NG</v>
      </c>
      <c r="DH423" s="297"/>
      <c r="DI423" s="276" t="str">
        <f>IF(OR(DE$8="判定対象外",DH$8="判定対象外",DH423="-"),"-",IF(DE423=DH423,"OK","NG"))</f>
        <v>OK</v>
      </c>
      <c r="DJ423" s="233"/>
      <c r="DK423" s="297"/>
      <c r="DL423" s="235" t="str">
        <f t="shared" si="634"/>
        <v xml:space="preserve">     </v>
      </c>
      <c r="DM423" s="174" t="str">
        <f t="shared" si="614"/>
        <v>NG</v>
      </c>
      <c r="DN423" s="297"/>
      <c r="DO423" s="276" t="str">
        <f>IF(OR(DK$8="判定対象外",DN$8="判定対象外",DN423="-"),"-",IF(DK423=DN423,"OK","NG"))</f>
        <v>OK</v>
      </c>
      <c r="DP423" s="233"/>
      <c r="DQ423" s="297"/>
      <c r="DR423" s="235" t="str">
        <f t="shared" si="635"/>
        <v xml:space="preserve">     </v>
      </c>
      <c r="DS423" s="174" t="str">
        <f t="shared" si="593"/>
        <v>NG</v>
      </c>
      <c r="DT423" s="297"/>
      <c r="DU423" s="276" t="str">
        <f>IF(OR(DQ$8="判定対象外",DT$8="判定対象外",DT423="-"),"-",IF(DQ423=DT423,"OK","NG"))</f>
        <v>OK</v>
      </c>
      <c r="DV423" s="233"/>
      <c r="DW423" s="297"/>
      <c r="DX423" s="235" t="str">
        <f t="shared" si="636"/>
        <v xml:space="preserve">     </v>
      </c>
      <c r="DY423" s="174" t="str">
        <f t="shared" si="594"/>
        <v>NG</v>
      </c>
      <c r="DZ423" s="297"/>
      <c r="EA423" s="276" t="str">
        <f>IF(OR(DW$8="判定対象外",DZ$8="判定対象外",DZ423="-"),"-",IF(DW423=DZ423,"OK","NG"))</f>
        <v>OK</v>
      </c>
      <c r="EB423" s="233"/>
      <c r="EC423" s="297"/>
      <c r="ED423" s="235" t="str">
        <f t="shared" si="637"/>
        <v xml:space="preserve">     </v>
      </c>
      <c r="EE423" s="174" t="str">
        <f t="shared" si="595"/>
        <v>NG</v>
      </c>
      <c r="EF423" s="297"/>
      <c r="EG423" s="276" t="str">
        <f>IF(OR(EC$8="判定対象外",EF$8="判定対象外",EF423="-"),"-",IF(EC423=EF423,"OK","NG"))</f>
        <v>OK</v>
      </c>
      <c r="EH423" s="233"/>
      <c r="EI423" s="297"/>
      <c r="EJ423" s="235" t="str">
        <f t="shared" si="638"/>
        <v xml:space="preserve">     </v>
      </c>
      <c r="EK423" s="174" t="str">
        <f t="shared" si="596"/>
        <v>NG</v>
      </c>
      <c r="EL423" s="297"/>
      <c r="EM423" s="276" t="str">
        <f>IF(OR(EI$8="判定対象外",EL$8="判定対象外",EL423="-"),"-",IF(EI423=EL423,"OK","NG"))</f>
        <v>OK</v>
      </c>
      <c r="EN423" s="233"/>
      <c r="EO423" s="297"/>
      <c r="EP423" s="235" t="str">
        <f t="shared" si="639"/>
        <v xml:space="preserve">     </v>
      </c>
      <c r="EQ423" s="174" t="str">
        <f t="shared" si="597"/>
        <v>NG</v>
      </c>
      <c r="ER423" s="297"/>
      <c r="ES423" s="276" t="str">
        <f>IF(OR(EO$8="判定対象外",ER$8="判定対象外",ER423="-"),"-",IF(EO423=ER423,"OK","NG"))</f>
        <v>OK</v>
      </c>
      <c r="ET423" s="233"/>
      <c r="EU423" s="297"/>
      <c r="EV423" s="235" t="str">
        <f t="shared" si="640"/>
        <v xml:space="preserve">     </v>
      </c>
      <c r="EW423" s="174" t="str">
        <f t="shared" si="598"/>
        <v>NG</v>
      </c>
      <c r="EX423" s="297"/>
      <c r="EY423" s="276" t="str">
        <f>IF(OR(EU$8="判定対象外",EX$8="判定対象外",EX423="-"),"-",IF(EU423=EX423,"OK","NG"))</f>
        <v>OK</v>
      </c>
      <c r="EZ423" s="233"/>
      <c r="FA423" s="297"/>
      <c r="FB423" s="235" t="str">
        <f t="shared" si="641"/>
        <v xml:space="preserve">     </v>
      </c>
      <c r="FC423" s="174" t="str">
        <f t="shared" si="599"/>
        <v>NG</v>
      </c>
      <c r="FD423" s="297"/>
      <c r="FE423" s="276" t="str">
        <f>IF(OR(FA$8="判定対象外",FD$8="判定対象外",FD423="-"),"-",IF(FA423=FD423,"OK","NG"))</f>
        <v>OK</v>
      </c>
      <c r="FF423" s="233"/>
      <c r="FG423" s="297"/>
      <c r="FH423" s="235" t="str">
        <f t="shared" si="642"/>
        <v xml:space="preserve">     </v>
      </c>
      <c r="FI423" s="174" t="str">
        <f t="shared" si="600"/>
        <v>NG</v>
      </c>
      <c r="FJ423" s="297"/>
      <c r="FK423" s="276" t="str">
        <f>IF(OR(FG$8="判定対象外",FJ$8="判定対象外",FJ423="-"),"-",IF(FG423=FJ423,"OK","NG"))</f>
        <v>OK</v>
      </c>
      <c r="FL423" s="233"/>
      <c r="FM423" s="297"/>
      <c r="FN423" s="235" t="str">
        <f t="shared" si="643"/>
        <v xml:space="preserve">     </v>
      </c>
      <c r="FO423" s="174" t="str">
        <f t="shared" si="615"/>
        <v>NG</v>
      </c>
      <c r="FP423" s="297"/>
      <c r="FQ423" s="276" t="str">
        <f>IF(OR(FM$8="判定対象外",FP$8="判定対象外",FP423="-"),"-",IF(FM423=FP423,"OK","NG"))</f>
        <v>OK</v>
      </c>
      <c r="FR423" s="233"/>
      <c r="FS423" s="297"/>
      <c r="FT423" s="235" t="str">
        <f t="shared" si="644"/>
        <v xml:space="preserve">     </v>
      </c>
      <c r="FU423" s="174" t="str">
        <f t="shared" si="616"/>
        <v>NG</v>
      </c>
      <c r="FV423" s="297"/>
      <c r="FW423" s="276" t="str">
        <f>IF(OR(FS$8="判定対象外",FV$8="判定対象外",FV423="-"),"-",IF(FS423=FV423,"OK","NG"))</f>
        <v>OK</v>
      </c>
      <c r="FX423" s="233"/>
      <c r="FY423" s="297"/>
      <c r="FZ423" s="235" t="str">
        <f t="shared" si="645"/>
        <v xml:space="preserve">     </v>
      </c>
      <c r="GA423" s="174" t="str">
        <f t="shared" si="617"/>
        <v>NG</v>
      </c>
      <c r="GB423" s="297"/>
      <c r="GC423" s="276" t="str">
        <f>IF(OR(FY$8="判定対象外",GB$8="判定対象外",GB423="-"),"-",IF(FY423=GB423,"OK","NG"))</f>
        <v>OK</v>
      </c>
    </row>
    <row r="424" spans="1:185" s="237" customFormat="1" ht="51.75" customHeight="1">
      <c r="B424" s="216">
        <f t="shared" si="646"/>
        <v>417</v>
      </c>
      <c r="C424" s="220"/>
      <c r="D424" s="220"/>
      <c r="E424" s="220"/>
      <c r="F424" s="240" t="s">
        <v>350</v>
      </c>
      <c r="G424" s="241"/>
      <c r="H424" s="242"/>
      <c r="I424" s="225"/>
      <c r="J424" s="225"/>
      <c r="K424" s="226"/>
      <c r="L424" s="226"/>
      <c r="M424" s="227" t="s">
        <v>351</v>
      </c>
      <c r="N424" s="228"/>
      <c r="O424" s="229"/>
      <c r="P424" s="45">
        <f t="shared" si="620"/>
        <v>388</v>
      </c>
      <c r="Q424" s="230">
        <v>64</v>
      </c>
      <c r="R424" s="41" t="str">
        <f t="shared" si="647"/>
        <v>NX</v>
      </c>
      <c r="S424" s="185" t="s">
        <v>251</v>
      </c>
      <c r="T424" s="231"/>
      <c r="U424" s="41" t="s">
        <v>80</v>
      </c>
      <c r="V424" s="229" t="s">
        <v>252</v>
      </c>
      <c r="W424" s="232">
        <v>3</v>
      </c>
      <c r="X424" s="194" t="s">
        <v>253</v>
      </c>
      <c r="Y424" s="194">
        <v>1</v>
      </c>
      <c r="Z424" s="194">
        <v>64</v>
      </c>
      <c r="AA424" s="225" t="s">
        <v>101</v>
      </c>
      <c r="AB424" s="225" t="s">
        <v>57</v>
      </c>
      <c r="AC424" s="243" t="s">
        <v>252</v>
      </c>
      <c r="AD424" s="233"/>
      <c r="AE424" s="297"/>
      <c r="AF424" s="235" t="str">
        <f t="shared" si="621"/>
        <v xml:space="preserve">                                                                </v>
      </c>
      <c r="AG424" s="174" t="str">
        <f t="shared" si="601"/>
        <v>NG</v>
      </c>
      <c r="AH424" s="297"/>
      <c r="AI424" s="276" t="str">
        <f>IF(OR(AE$8="判定対象外",AH$8="判定対象外",AH424="-"),"-",IF(AE424=AH424,"OK","NG"))</f>
        <v>OK</v>
      </c>
      <c r="AJ424" s="233"/>
      <c r="AK424" s="236"/>
      <c r="AL424" s="235" t="str">
        <f t="shared" si="619"/>
        <v xml:space="preserve">                                                                </v>
      </c>
      <c r="AM424" s="174" t="str">
        <f t="shared" si="648"/>
        <v>NG</v>
      </c>
      <c r="AN424" s="269"/>
      <c r="AO424" s="276" t="str">
        <f>IF(OR(AK$8="判定対象外",AN$8="判定対象外",AN424="-"),"-",IF(AK424=AN424,"OK","NG"))</f>
        <v>OK</v>
      </c>
      <c r="AP424" s="233"/>
      <c r="AQ424" s="297"/>
      <c r="AR424" s="235" t="str">
        <f t="shared" si="622"/>
        <v xml:space="preserve">                                                                </v>
      </c>
      <c r="AS424" s="174" t="str">
        <f t="shared" si="602"/>
        <v>NG</v>
      </c>
      <c r="AT424" s="297"/>
      <c r="AU424" s="276" t="str">
        <f>IF(OR(AQ$8="判定対象外",AT$8="判定対象外",AT424="-"),"-",IF(AQ424=AT424,"OK","NG"))</f>
        <v>OK</v>
      </c>
      <c r="AV424" s="233"/>
      <c r="AW424" s="297"/>
      <c r="AX424" s="235" t="str">
        <f t="shared" si="623"/>
        <v xml:space="preserve">                                                                </v>
      </c>
      <c r="AY424" s="174" t="str">
        <f t="shared" si="603"/>
        <v>NG</v>
      </c>
      <c r="AZ424" s="297"/>
      <c r="BA424" s="276" t="str">
        <f>IF(OR(AW$8="判定対象外",AZ$8="判定対象外",AZ424="-"),"-",IF(AW424=AZ424,"OK","NG"))</f>
        <v>OK</v>
      </c>
      <c r="BB424" s="233"/>
      <c r="BC424" s="297"/>
      <c r="BD424" s="235" t="str">
        <f t="shared" si="624"/>
        <v xml:space="preserve">                                                                </v>
      </c>
      <c r="BE424" s="174" t="str">
        <f t="shared" si="604"/>
        <v>NG</v>
      </c>
      <c r="BF424" s="297"/>
      <c r="BG424" s="276" t="str">
        <f>IF(OR(BC$8="判定対象外",BF$8="判定対象外",BF424="-"),"-",IF(BC424=BF424,"OK","NG"))</f>
        <v>OK</v>
      </c>
      <c r="BH424" s="233"/>
      <c r="BI424" s="297"/>
      <c r="BJ424" s="235" t="str">
        <f t="shared" si="625"/>
        <v xml:space="preserve">                                                                </v>
      </c>
      <c r="BK424" s="174" t="str">
        <f t="shared" si="605"/>
        <v>NG</v>
      </c>
      <c r="BL424" s="297"/>
      <c r="BM424" s="276" t="str">
        <f>IF(OR(BI$8="判定対象外",BL$8="判定対象外",BL424="-"),"-",IF(BI424=BL424,"OK","NG"))</f>
        <v>OK</v>
      </c>
      <c r="BN424" s="233"/>
      <c r="BO424" s="297"/>
      <c r="BP424" s="235" t="str">
        <f t="shared" si="626"/>
        <v xml:space="preserve">                                                                </v>
      </c>
      <c r="BQ424" s="174" t="str">
        <f t="shared" si="606"/>
        <v>NG</v>
      </c>
      <c r="BR424" s="297"/>
      <c r="BS424" s="276" t="str">
        <f>IF(OR(BO$8="判定対象外",BR$8="判定対象外",BR424="-"),"-",IF(BO424=BR424,"OK","NG"))</f>
        <v>OK</v>
      </c>
      <c r="BT424" s="233"/>
      <c r="BU424" s="297"/>
      <c r="BV424" s="235" t="str">
        <f t="shared" si="627"/>
        <v xml:space="preserve">                                                                </v>
      </c>
      <c r="BW424" s="174" t="str">
        <f t="shared" si="607"/>
        <v>NG</v>
      </c>
      <c r="BX424" s="297"/>
      <c r="BY424" s="276" t="str">
        <f>IF(OR(BU$8="判定対象外",BX$8="判定対象外",BX424="-"),"-",IF(BU424=BX424,"OK","NG"))</f>
        <v>OK</v>
      </c>
      <c r="BZ424" s="233"/>
      <c r="CA424" s="297"/>
      <c r="CB424" s="235" t="str">
        <f t="shared" si="628"/>
        <v xml:space="preserve">                                                                </v>
      </c>
      <c r="CC424" s="174" t="str">
        <f t="shared" si="608"/>
        <v>NG</v>
      </c>
      <c r="CD424" s="297"/>
      <c r="CE424" s="276" t="str">
        <f>IF(OR(CA$8="判定対象外",CD$8="判定対象外",CD424="-"),"-",IF(CA424=CD424,"OK","NG"))</f>
        <v>OK</v>
      </c>
      <c r="CF424" s="233"/>
      <c r="CG424" s="297"/>
      <c r="CH424" s="235" t="str">
        <f t="shared" si="629"/>
        <v xml:space="preserve">                                                                </v>
      </c>
      <c r="CI424" s="174" t="str">
        <f t="shared" si="609"/>
        <v>NG</v>
      </c>
      <c r="CJ424" s="297"/>
      <c r="CK424" s="276" t="str">
        <f>IF(OR(CG$8="判定対象外",CJ$8="判定対象外",CJ424="-"),"-",IF(CG424=CJ424,"OK","NG"))</f>
        <v>OK</v>
      </c>
      <c r="CL424" s="233"/>
      <c r="CM424" s="297"/>
      <c r="CN424" s="235" t="str">
        <f t="shared" si="630"/>
        <v xml:space="preserve">                                                                </v>
      </c>
      <c r="CO424" s="174" t="str">
        <f t="shared" si="610"/>
        <v>NG</v>
      </c>
      <c r="CP424" s="297"/>
      <c r="CQ424" s="276" t="str">
        <f>IF(OR(CM$8="判定対象外",CP$8="判定対象外",CP424="-"),"-",IF(CM424=CP424,"OK","NG"))</f>
        <v>OK</v>
      </c>
      <c r="CR424" s="233"/>
      <c r="CS424" s="297"/>
      <c r="CT424" s="235" t="str">
        <f t="shared" si="631"/>
        <v xml:space="preserve">                                                                </v>
      </c>
      <c r="CU424" s="174" t="str">
        <f t="shared" si="611"/>
        <v>NG</v>
      </c>
      <c r="CV424" s="297"/>
      <c r="CW424" s="276" t="str">
        <f>IF(OR(CS$8="判定対象外",CV$8="判定対象外",CV424="-"),"-",IF(CS424=CV424,"OK","NG"))</f>
        <v>OK</v>
      </c>
      <c r="CX424" s="233"/>
      <c r="CY424" s="297"/>
      <c r="CZ424" s="235" t="str">
        <f t="shared" si="632"/>
        <v xml:space="preserve">                                                                </v>
      </c>
      <c r="DA424" s="174" t="str">
        <f t="shared" si="612"/>
        <v>NG</v>
      </c>
      <c r="DB424" s="297"/>
      <c r="DC424" s="276" t="str">
        <f>IF(OR(CY$8="判定対象外",DB$8="判定対象外",DB424="-"),"-",IF(CY424=DB424,"OK","NG"))</f>
        <v>OK</v>
      </c>
      <c r="DD424" s="233"/>
      <c r="DE424" s="297"/>
      <c r="DF424" s="235" t="str">
        <f t="shared" si="633"/>
        <v xml:space="preserve">                                                                </v>
      </c>
      <c r="DG424" s="174" t="str">
        <f t="shared" si="613"/>
        <v>NG</v>
      </c>
      <c r="DH424" s="297"/>
      <c r="DI424" s="276" t="str">
        <f>IF(OR(DE$8="判定対象外",DH$8="判定対象外",DH424="-"),"-",IF(DE424=DH424,"OK","NG"))</f>
        <v>OK</v>
      </c>
      <c r="DJ424" s="233"/>
      <c r="DK424" s="297"/>
      <c r="DL424" s="235" t="str">
        <f t="shared" si="634"/>
        <v xml:space="preserve">                                                                </v>
      </c>
      <c r="DM424" s="174" t="str">
        <f t="shared" si="614"/>
        <v>NG</v>
      </c>
      <c r="DN424" s="297"/>
      <c r="DO424" s="276" t="str">
        <f>IF(OR(DK$8="判定対象外",DN$8="判定対象外",DN424="-"),"-",IF(DK424=DN424,"OK","NG"))</f>
        <v>OK</v>
      </c>
      <c r="DP424" s="233"/>
      <c r="DQ424" s="297"/>
      <c r="DR424" s="235" t="str">
        <f t="shared" si="635"/>
        <v xml:space="preserve">                                                                </v>
      </c>
      <c r="DS424" s="174" t="str">
        <f t="shared" si="593"/>
        <v>NG</v>
      </c>
      <c r="DT424" s="297"/>
      <c r="DU424" s="276" t="str">
        <f>IF(OR(DQ$8="判定対象外",DT$8="判定対象外",DT424="-"),"-",IF(DQ424=DT424,"OK","NG"))</f>
        <v>OK</v>
      </c>
      <c r="DV424" s="233"/>
      <c r="DW424" s="297"/>
      <c r="DX424" s="235" t="str">
        <f t="shared" si="636"/>
        <v xml:space="preserve">                                                                </v>
      </c>
      <c r="DY424" s="174" t="str">
        <f t="shared" si="594"/>
        <v>NG</v>
      </c>
      <c r="DZ424" s="297"/>
      <c r="EA424" s="276" t="str">
        <f>IF(OR(DW$8="判定対象外",DZ$8="判定対象外",DZ424="-"),"-",IF(DW424=DZ424,"OK","NG"))</f>
        <v>OK</v>
      </c>
      <c r="EB424" s="233"/>
      <c r="EC424" s="297"/>
      <c r="ED424" s="235" t="str">
        <f t="shared" si="637"/>
        <v xml:space="preserve">                                                                </v>
      </c>
      <c r="EE424" s="174" t="str">
        <f t="shared" si="595"/>
        <v>NG</v>
      </c>
      <c r="EF424" s="297"/>
      <c r="EG424" s="276" t="str">
        <f>IF(OR(EC$8="判定対象外",EF$8="判定対象外",EF424="-"),"-",IF(EC424=EF424,"OK","NG"))</f>
        <v>OK</v>
      </c>
      <c r="EH424" s="233"/>
      <c r="EI424" s="297"/>
      <c r="EJ424" s="235" t="str">
        <f t="shared" si="638"/>
        <v xml:space="preserve">                                                                </v>
      </c>
      <c r="EK424" s="174" t="str">
        <f t="shared" si="596"/>
        <v>NG</v>
      </c>
      <c r="EL424" s="297"/>
      <c r="EM424" s="276" t="str">
        <f>IF(OR(EI$8="判定対象外",EL$8="判定対象外",EL424="-"),"-",IF(EI424=EL424,"OK","NG"))</f>
        <v>OK</v>
      </c>
      <c r="EN424" s="233"/>
      <c r="EO424" s="297"/>
      <c r="EP424" s="235" t="str">
        <f t="shared" si="639"/>
        <v xml:space="preserve">                                                                </v>
      </c>
      <c r="EQ424" s="174" t="str">
        <f t="shared" si="597"/>
        <v>NG</v>
      </c>
      <c r="ER424" s="297"/>
      <c r="ES424" s="276" t="str">
        <f>IF(OR(EO$8="判定対象外",ER$8="判定対象外",ER424="-"),"-",IF(EO424=ER424,"OK","NG"))</f>
        <v>OK</v>
      </c>
      <c r="ET424" s="233"/>
      <c r="EU424" s="297"/>
      <c r="EV424" s="235" t="str">
        <f t="shared" si="640"/>
        <v xml:space="preserve">                                                                </v>
      </c>
      <c r="EW424" s="174" t="str">
        <f t="shared" si="598"/>
        <v>NG</v>
      </c>
      <c r="EX424" s="297"/>
      <c r="EY424" s="276" t="str">
        <f>IF(OR(EU$8="判定対象外",EX$8="判定対象外",EX424="-"),"-",IF(EU424=EX424,"OK","NG"))</f>
        <v>OK</v>
      </c>
      <c r="EZ424" s="233"/>
      <c r="FA424" s="297"/>
      <c r="FB424" s="235" t="str">
        <f t="shared" si="641"/>
        <v xml:space="preserve">                                                                </v>
      </c>
      <c r="FC424" s="174" t="str">
        <f t="shared" si="599"/>
        <v>NG</v>
      </c>
      <c r="FD424" s="297"/>
      <c r="FE424" s="276" t="str">
        <f>IF(OR(FA$8="判定対象外",FD$8="判定対象外",FD424="-"),"-",IF(FA424=FD424,"OK","NG"))</f>
        <v>OK</v>
      </c>
      <c r="FF424" s="233"/>
      <c r="FG424" s="297"/>
      <c r="FH424" s="235" t="str">
        <f t="shared" si="642"/>
        <v xml:space="preserve">                                                                </v>
      </c>
      <c r="FI424" s="174" t="str">
        <f t="shared" si="600"/>
        <v>NG</v>
      </c>
      <c r="FJ424" s="297"/>
      <c r="FK424" s="276" t="str">
        <f>IF(OR(FG$8="判定対象外",FJ$8="判定対象外",FJ424="-"),"-",IF(FG424=FJ424,"OK","NG"))</f>
        <v>OK</v>
      </c>
      <c r="FL424" s="233"/>
      <c r="FM424" s="297"/>
      <c r="FN424" s="235" t="str">
        <f t="shared" si="643"/>
        <v xml:space="preserve">                                                                </v>
      </c>
      <c r="FO424" s="174" t="str">
        <f t="shared" si="615"/>
        <v>NG</v>
      </c>
      <c r="FP424" s="297"/>
      <c r="FQ424" s="276" t="str">
        <f>IF(OR(FM$8="判定対象外",FP$8="判定対象外",FP424="-"),"-",IF(FM424=FP424,"OK","NG"))</f>
        <v>OK</v>
      </c>
      <c r="FR424" s="233"/>
      <c r="FS424" s="297"/>
      <c r="FT424" s="235" t="str">
        <f t="shared" si="644"/>
        <v xml:space="preserve">                                                                </v>
      </c>
      <c r="FU424" s="174" t="str">
        <f t="shared" si="616"/>
        <v>NG</v>
      </c>
      <c r="FV424" s="297"/>
      <c r="FW424" s="276" t="str">
        <f>IF(OR(FS$8="判定対象外",FV$8="判定対象外",FV424="-"),"-",IF(FS424=FV424,"OK","NG"))</f>
        <v>OK</v>
      </c>
      <c r="FX424" s="233"/>
      <c r="FY424" s="297"/>
      <c r="FZ424" s="235" t="str">
        <f t="shared" si="645"/>
        <v xml:space="preserve">                                                                </v>
      </c>
      <c r="GA424" s="174" t="str">
        <f t="shared" si="617"/>
        <v>NG</v>
      </c>
      <c r="GB424" s="297"/>
      <c r="GC424" s="276" t="str">
        <f>IF(OR(FY$8="判定対象外",GB$8="判定対象外",GB424="-"),"-",IF(FY424=GB424,"OK","NG"))</f>
        <v>OK</v>
      </c>
    </row>
    <row r="425" spans="1:185" s="237" customFormat="1" ht="92.25" customHeight="1">
      <c r="B425" s="216">
        <f t="shared" si="646"/>
        <v>418</v>
      </c>
      <c r="C425" s="220"/>
      <c r="D425" s="220"/>
      <c r="E425" s="220"/>
      <c r="F425" s="238" t="s">
        <v>352</v>
      </c>
      <c r="G425" s="168"/>
      <c r="H425" s="239"/>
      <c r="I425" s="225"/>
      <c r="J425" s="225"/>
      <c r="K425" s="226"/>
      <c r="L425" s="226"/>
      <c r="M425" s="279" t="s">
        <v>353</v>
      </c>
      <c r="N425" s="228"/>
      <c r="O425" s="229"/>
      <c r="P425" s="45">
        <f t="shared" si="620"/>
        <v>389</v>
      </c>
      <c r="Q425" s="230">
        <v>7</v>
      </c>
      <c r="R425" s="41" t="s">
        <v>81</v>
      </c>
      <c r="S425" s="185" t="s">
        <v>254</v>
      </c>
      <c r="T425" s="231"/>
      <c r="U425" s="41" t="s">
        <v>80</v>
      </c>
      <c r="V425" s="229"/>
      <c r="W425" s="232">
        <v>3</v>
      </c>
      <c r="X425" s="194" t="s">
        <v>255</v>
      </c>
      <c r="Y425" s="194">
        <v>7</v>
      </c>
      <c r="Z425" s="194">
        <v>7</v>
      </c>
      <c r="AA425" s="225" t="s">
        <v>81</v>
      </c>
      <c r="AB425" s="225" t="s">
        <v>57</v>
      </c>
      <c r="AC425" s="243"/>
      <c r="AD425" s="233"/>
      <c r="AE425" s="268"/>
      <c r="AF425" s="235" t="str">
        <f t="shared" si="621"/>
        <v xml:space="preserve">       </v>
      </c>
      <c r="AG425" s="174" t="str">
        <f t="shared" si="601"/>
        <v>NG</v>
      </c>
      <c r="AH425" s="268"/>
      <c r="AI425" s="276" t="str">
        <f>IF(OR(AE$8="判定対象外",AH$8="判定対象外",AH425="-"),"-",IF(AE425=AH425,"OK","NG"))</f>
        <v>OK</v>
      </c>
      <c r="AJ425" s="233"/>
      <c r="AK425" s="234"/>
      <c r="AL425" s="235" t="str">
        <f t="shared" si="619"/>
        <v xml:space="preserve">       </v>
      </c>
      <c r="AM425" s="174" t="str">
        <f t="shared" si="648"/>
        <v>NG</v>
      </c>
      <c r="AN425" s="268"/>
      <c r="AO425" s="276" t="str">
        <f>IF(OR(AK$8="判定対象外",AN$8="判定対象外",AN425="-"),"-",IF(AK425=AN425,"OK","NG"))</f>
        <v>OK</v>
      </c>
      <c r="AP425" s="233"/>
      <c r="AQ425" s="268"/>
      <c r="AR425" s="235" t="str">
        <f t="shared" si="622"/>
        <v xml:space="preserve">       </v>
      </c>
      <c r="AS425" s="174" t="str">
        <f t="shared" si="602"/>
        <v>NG</v>
      </c>
      <c r="AT425" s="268"/>
      <c r="AU425" s="276" t="str">
        <f>IF(OR(AQ$8="判定対象外",AT$8="判定対象外",AT425="-"),"-",IF(AQ425=AT425,"OK","NG"))</f>
        <v>OK</v>
      </c>
      <c r="AV425" s="233"/>
      <c r="AW425" s="268"/>
      <c r="AX425" s="235" t="str">
        <f t="shared" si="623"/>
        <v xml:space="preserve">       </v>
      </c>
      <c r="AY425" s="174" t="str">
        <f t="shared" si="603"/>
        <v>NG</v>
      </c>
      <c r="AZ425" s="268"/>
      <c r="BA425" s="276" t="str">
        <f>IF(OR(AW$8="判定対象外",AZ$8="判定対象外",AZ425="-"),"-",IF(AW425=AZ425,"OK","NG"))</f>
        <v>OK</v>
      </c>
      <c r="BB425" s="233"/>
      <c r="BC425" s="268"/>
      <c r="BD425" s="235" t="str">
        <f t="shared" si="624"/>
        <v xml:space="preserve">       </v>
      </c>
      <c r="BE425" s="174" t="str">
        <f t="shared" si="604"/>
        <v>NG</v>
      </c>
      <c r="BF425" s="268"/>
      <c r="BG425" s="276" t="str">
        <f>IF(OR(BC$8="判定対象外",BF$8="判定対象外",BF425="-"),"-",IF(BC425=BF425,"OK","NG"))</f>
        <v>OK</v>
      </c>
      <c r="BH425" s="233"/>
      <c r="BI425" s="268"/>
      <c r="BJ425" s="235" t="str">
        <f t="shared" si="625"/>
        <v xml:space="preserve">       </v>
      </c>
      <c r="BK425" s="174" t="str">
        <f t="shared" si="605"/>
        <v>NG</v>
      </c>
      <c r="BL425" s="268"/>
      <c r="BM425" s="276" t="str">
        <f>IF(OR(BI$8="判定対象外",BL$8="判定対象外",BL425="-"),"-",IF(BI425=BL425,"OK","NG"))</f>
        <v>OK</v>
      </c>
      <c r="BN425" s="233"/>
      <c r="BO425" s="268"/>
      <c r="BP425" s="235" t="str">
        <f t="shared" si="626"/>
        <v xml:space="preserve">       </v>
      </c>
      <c r="BQ425" s="174" t="str">
        <f t="shared" si="606"/>
        <v>NG</v>
      </c>
      <c r="BR425" s="268"/>
      <c r="BS425" s="276" t="str">
        <f>IF(OR(BO$8="判定対象外",BR$8="判定対象外",BR425="-"),"-",IF(BO425=BR425,"OK","NG"))</f>
        <v>OK</v>
      </c>
      <c r="BT425" s="233"/>
      <c r="BU425" s="268"/>
      <c r="BV425" s="235" t="str">
        <f t="shared" si="627"/>
        <v xml:space="preserve">       </v>
      </c>
      <c r="BW425" s="174" t="str">
        <f t="shared" si="607"/>
        <v>NG</v>
      </c>
      <c r="BX425" s="268"/>
      <c r="BY425" s="276" t="str">
        <f>IF(OR(BU$8="判定対象外",BX$8="判定対象外",BX425="-"),"-",IF(BU425=BX425,"OK","NG"))</f>
        <v>OK</v>
      </c>
      <c r="BZ425" s="233"/>
      <c r="CA425" s="268"/>
      <c r="CB425" s="235" t="str">
        <f t="shared" si="628"/>
        <v xml:space="preserve">       </v>
      </c>
      <c r="CC425" s="174" t="str">
        <f t="shared" si="608"/>
        <v>NG</v>
      </c>
      <c r="CD425" s="268"/>
      <c r="CE425" s="276" t="str">
        <f>IF(OR(CA$8="判定対象外",CD$8="判定対象外",CD425="-"),"-",IF(CA425=CD425,"OK","NG"))</f>
        <v>OK</v>
      </c>
      <c r="CF425" s="233"/>
      <c r="CG425" s="268"/>
      <c r="CH425" s="235" t="str">
        <f t="shared" si="629"/>
        <v xml:space="preserve">       </v>
      </c>
      <c r="CI425" s="174" t="str">
        <f t="shared" si="609"/>
        <v>NG</v>
      </c>
      <c r="CJ425" s="268"/>
      <c r="CK425" s="276" t="str">
        <f>IF(OR(CG$8="判定対象外",CJ$8="判定対象外",CJ425="-"),"-",IF(CG425=CJ425,"OK","NG"))</f>
        <v>OK</v>
      </c>
      <c r="CL425" s="233"/>
      <c r="CM425" s="268"/>
      <c r="CN425" s="235" t="str">
        <f t="shared" si="630"/>
        <v xml:space="preserve">       </v>
      </c>
      <c r="CO425" s="174" t="str">
        <f t="shared" si="610"/>
        <v>NG</v>
      </c>
      <c r="CP425" s="268"/>
      <c r="CQ425" s="276" t="str">
        <f>IF(OR(CM$8="判定対象外",CP$8="判定対象外",CP425="-"),"-",IF(CM425=CP425,"OK","NG"))</f>
        <v>OK</v>
      </c>
      <c r="CR425" s="233"/>
      <c r="CS425" s="268"/>
      <c r="CT425" s="235" t="str">
        <f t="shared" si="631"/>
        <v xml:space="preserve">       </v>
      </c>
      <c r="CU425" s="174" t="str">
        <f t="shared" si="611"/>
        <v>NG</v>
      </c>
      <c r="CV425" s="268"/>
      <c r="CW425" s="276" t="str">
        <f>IF(OR(CS$8="判定対象外",CV$8="判定対象外",CV425="-"),"-",IF(CS425=CV425,"OK","NG"))</f>
        <v>OK</v>
      </c>
      <c r="CX425" s="233"/>
      <c r="CY425" s="268"/>
      <c r="CZ425" s="235" t="str">
        <f t="shared" si="632"/>
        <v xml:space="preserve">       </v>
      </c>
      <c r="DA425" s="174" t="str">
        <f t="shared" si="612"/>
        <v>NG</v>
      </c>
      <c r="DB425" s="268"/>
      <c r="DC425" s="276" t="str">
        <f>IF(OR(CY$8="判定対象外",DB$8="判定対象外",DB425="-"),"-",IF(CY425=DB425,"OK","NG"))</f>
        <v>OK</v>
      </c>
      <c r="DD425" s="233"/>
      <c r="DE425" s="268"/>
      <c r="DF425" s="235" t="str">
        <f t="shared" si="633"/>
        <v xml:space="preserve">       </v>
      </c>
      <c r="DG425" s="174" t="str">
        <f t="shared" si="613"/>
        <v>NG</v>
      </c>
      <c r="DH425" s="268"/>
      <c r="DI425" s="276" t="str">
        <f>IF(OR(DE$8="判定対象外",DH$8="判定対象外",DH425="-"),"-",IF(DE425=DH425,"OK","NG"))</f>
        <v>OK</v>
      </c>
      <c r="DJ425" s="233"/>
      <c r="DK425" s="268"/>
      <c r="DL425" s="235" t="str">
        <f t="shared" si="634"/>
        <v xml:space="preserve">       </v>
      </c>
      <c r="DM425" s="174" t="str">
        <f t="shared" si="614"/>
        <v>NG</v>
      </c>
      <c r="DN425" s="268"/>
      <c r="DO425" s="276" t="str">
        <f>IF(OR(DK$8="判定対象外",DN$8="判定対象外",DN425="-"),"-",IF(DK425=DN425,"OK","NG"))</f>
        <v>OK</v>
      </c>
      <c r="DP425" s="233"/>
      <c r="DQ425" s="268"/>
      <c r="DR425" s="235" t="str">
        <f t="shared" si="635"/>
        <v xml:space="preserve">       </v>
      </c>
      <c r="DS425" s="174" t="str">
        <f t="shared" si="593"/>
        <v>NG</v>
      </c>
      <c r="DT425" s="268"/>
      <c r="DU425" s="276" t="str">
        <f>IF(OR(DQ$8="判定対象外",DT$8="判定対象外",DT425="-"),"-",IF(DQ425=DT425,"OK","NG"))</f>
        <v>OK</v>
      </c>
      <c r="DV425" s="233"/>
      <c r="DW425" s="268"/>
      <c r="DX425" s="235" t="str">
        <f t="shared" si="636"/>
        <v xml:space="preserve">       </v>
      </c>
      <c r="DY425" s="174" t="str">
        <f t="shared" si="594"/>
        <v>NG</v>
      </c>
      <c r="DZ425" s="268"/>
      <c r="EA425" s="276" t="str">
        <f>IF(OR(DW$8="判定対象外",DZ$8="判定対象外",DZ425="-"),"-",IF(DW425=DZ425,"OK","NG"))</f>
        <v>OK</v>
      </c>
      <c r="EB425" s="233"/>
      <c r="EC425" s="268"/>
      <c r="ED425" s="235" t="str">
        <f t="shared" si="637"/>
        <v xml:space="preserve">       </v>
      </c>
      <c r="EE425" s="174" t="str">
        <f t="shared" si="595"/>
        <v>NG</v>
      </c>
      <c r="EF425" s="268"/>
      <c r="EG425" s="276" t="str">
        <f>IF(OR(EC$8="判定対象外",EF$8="判定対象外",EF425="-"),"-",IF(EC425=EF425,"OK","NG"))</f>
        <v>OK</v>
      </c>
      <c r="EH425" s="233"/>
      <c r="EI425" s="268"/>
      <c r="EJ425" s="235" t="str">
        <f t="shared" si="638"/>
        <v xml:space="preserve">       </v>
      </c>
      <c r="EK425" s="174" t="str">
        <f t="shared" si="596"/>
        <v>NG</v>
      </c>
      <c r="EL425" s="268"/>
      <c r="EM425" s="276" t="str">
        <f>IF(OR(EI$8="判定対象外",EL$8="判定対象外",EL425="-"),"-",IF(EI425=EL425,"OK","NG"))</f>
        <v>OK</v>
      </c>
      <c r="EN425" s="233"/>
      <c r="EO425" s="268"/>
      <c r="EP425" s="235" t="str">
        <f t="shared" si="639"/>
        <v xml:space="preserve">       </v>
      </c>
      <c r="EQ425" s="174" t="str">
        <f t="shared" si="597"/>
        <v>NG</v>
      </c>
      <c r="ER425" s="268"/>
      <c r="ES425" s="276" t="str">
        <f>IF(OR(EO$8="判定対象外",ER$8="判定対象外",ER425="-"),"-",IF(EO425=ER425,"OK","NG"))</f>
        <v>OK</v>
      </c>
      <c r="ET425" s="233"/>
      <c r="EU425" s="268"/>
      <c r="EV425" s="235" t="str">
        <f t="shared" si="640"/>
        <v xml:space="preserve">       </v>
      </c>
      <c r="EW425" s="174" t="str">
        <f t="shared" si="598"/>
        <v>NG</v>
      </c>
      <c r="EX425" s="268"/>
      <c r="EY425" s="276" t="str">
        <f>IF(OR(EU$8="判定対象外",EX$8="判定対象外",EX425="-"),"-",IF(EU425=EX425,"OK","NG"))</f>
        <v>OK</v>
      </c>
      <c r="EZ425" s="233"/>
      <c r="FA425" s="268"/>
      <c r="FB425" s="235" t="str">
        <f t="shared" si="641"/>
        <v xml:space="preserve">       </v>
      </c>
      <c r="FC425" s="174" t="str">
        <f t="shared" si="599"/>
        <v>NG</v>
      </c>
      <c r="FD425" s="268"/>
      <c r="FE425" s="276" t="str">
        <f>IF(OR(FA$8="判定対象外",FD$8="判定対象外",FD425="-"),"-",IF(FA425=FD425,"OK","NG"))</f>
        <v>OK</v>
      </c>
      <c r="FF425" s="233"/>
      <c r="FG425" s="268"/>
      <c r="FH425" s="235" t="str">
        <f t="shared" si="642"/>
        <v xml:space="preserve">       </v>
      </c>
      <c r="FI425" s="174" t="str">
        <f t="shared" si="600"/>
        <v>NG</v>
      </c>
      <c r="FJ425" s="268"/>
      <c r="FK425" s="276" t="str">
        <f>IF(OR(FG$8="判定対象外",FJ$8="判定対象外",FJ425="-"),"-",IF(FG425=FJ425,"OK","NG"))</f>
        <v>OK</v>
      </c>
      <c r="FL425" s="233"/>
      <c r="FM425" s="268"/>
      <c r="FN425" s="235" t="str">
        <f t="shared" si="643"/>
        <v xml:space="preserve">       </v>
      </c>
      <c r="FO425" s="174" t="str">
        <f t="shared" si="615"/>
        <v>NG</v>
      </c>
      <c r="FP425" s="268"/>
      <c r="FQ425" s="276" t="str">
        <f>IF(OR(FM$8="判定対象外",FP$8="判定対象外",FP425="-"),"-",IF(FM425=FP425,"OK","NG"))</f>
        <v>OK</v>
      </c>
      <c r="FR425" s="233"/>
      <c r="FS425" s="268"/>
      <c r="FT425" s="235" t="str">
        <f t="shared" si="644"/>
        <v xml:space="preserve">       </v>
      </c>
      <c r="FU425" s="174" t="str">
        <f t="shared" si="616"/>
        <v>NG</v>
      </c>
      <c r="FV425" s="268"/>
      <c r="FW425" s="276" t="str">
        <f>IF(OR(FS$8="判定対象外",FV$8="判定対象外",FV425="-"),"-",IF(FS425=FV425,"OK","NG"))</f>
        <v>OK</v>
      </c>
      <c r="FX425" s="233"/>
      <c r="FY425" s="268"/>
      <c r="FZ425" s="235" t="str">
        <f t="shared" si="645"/>
        <v xml:space="preserve">       </v>
      </c>
      <c r="GA425" s="174" t="str">
        <f t="shared" si="617"/>
        <v>NG</v>
      </c>
      <c r="GB425" s="268"/>
      <c r="GC425" s="276" t="str">
        <f>IF(OR(FY$8="判定対象外",GB$8="判定対象外",GB425="-"),"-",IF(FY425=GB425,"OK","NG"))</f>
        <v>OK</v>
      </c>
    </row>
    <row r="426" spans="1:185" s="237" customFormat="1" ht="127.9" thickBot="1">
      <c r="A426" s="244"/>
      <c r="B426" s="286">
        <f t="shared" si="646"/>
        <v>419</v>
      </c>
      <c r="C426" s="245"/>
      <c r="D426" s="245"/>
      <c r="E426" s="245"/>
      <c r="F426" s="287" t="s">
        <v>354</v>
      </c>
      <c r="G426" s="288"/>
      <c r="H426" s="289"/>
      <c r="I426" s="290"/>
      <c r="J426" s="290"/>
      <c r="K426" s="290"/>
      <c r="L426" s="290"/>
      <c r="M426" s="291" t="s">
        <v>355</v>
      </c>
      <c r="N426" s="280"/>
      <c r="O426" s="284"/>
      <c r="P426" s="71">
        <f t="shared" si="620"/>
        <v>390</v>
      </c>
      <c r="Q426" s="74">
        <v>1</v>
      </c>
      <c r="R426" s="73">
        <v>9</v>
      </c>
      <c r="S426" s="74" t="s">
        <v>256</v>
      </c>
      <c r="T426" s="74"/>
      <c r="U426" s="73" t="s">
        <v>80</v>
      </c>
      <c r="V426" s="246"/>
      <c r="W426" s="76" t="str">
        <f>IF(C426&lt;&gt;"","0",IF(D426&lt;&gt;"","1",IF(E426&lt;&gt;"","2",IF(F426&lt;&gt;"","3",IF(G426&lt;&gt;"","4",IF(H426&lt;&gt;"","5"))))))</f>
        <v>3</v>
      </c>
      <c r="X426" s="77" t="s">
        <v>258</v>
      </c>
      <c r="Y426" s="77">
        <v>1</v>
      </c>
      <c r="Z426" s="77">
        <v>1</v>
      </c>
      <c r="AA426" s="247">
        <v>9</v>
      </c>
      <c r="AB426" s="68" t="s">
        <v>80</v>
      </c>
      <c r="AC426" s="248"/>
      <c r="AD426" s="249"/>
      <c r="AE426" s="300"/>
      <c r="AF426" s="253" t="str">
        <f t="shared" si="621"/>
        <v xml:space="preserve"> </v>
      </c>
      <c r="AG426" s="177" t="str">
        <f t="shared" si="601"/>
        <v>NG</v>
      </c>
      <c r="AH426" s="300"/>
      <c r="AI426" s="276" t="str">
        <f>IF(OR(AE$8="判定対象外",AH$8="判定対象外",AH426="-"),"-",IF(AE426=AH426,"OK","NG"))</f>
        <v>OK</v>
      </c>
      <c r="AJ426" s="249"/>
      <c r="AK426" s="250"/>
      <c r="AL426" s="253" t="str">
        <f t="shared" si="619"/>
        <v xml:space="preserve"> </v>
      </c>
      <c r="AM426" s="177" t="str">
        <f t="shared" si="648"/>
        <v>NG</v>
      </c>
      <c r="AN426" s="250"/>
      <c r="AO426" s="276" t="str">
        <f>IF(OR(AK$8="判定対象外",AN$8="判定対象外",AN426="-"),"-",IF(AK426=AN426,"OK","NG"))</f>
        <v>OK</v>
      </c>
      <c r="AP426" s="249"/>
      <c r="AQ426" s="300"/>
      <c r="AR426" s="253" t="str">
        <f t="shared" si="622"/>
        <v xml:space="preserve"> </v>
      </c>
      <c r="AS426" s="177" t="str">
        <f t="shared" si="602"/>
        <v>NG</v>
      </c>
      <c r="AT426" s="300"/>
      <c r="AU426" s="276" t="str">
        <f>IF(OR(AQ$8="判定対象外",AT$8="判定対象外",AT426="-"),"-",IF(AQ426=AT426,"OK","NG"))</f>
        <v>OK</v>
      </c>
      <c r="AV426" s="249"/>
      <c r="AW426" s="300"/>
      <c r="AX426" s="253" t="str">
        <f t="shared" si="623"/>
        <v xml:space="preserve"> </v>
      </c>
      <c r="AY426" s="177" t="str">
        <f t="shared" si="603"/>
        <v>NG</v>
      </c>
      <c r="AZ426" s="300"/>
      <c r="BA426" s="276" t="str">
        <f>IF(OR(AW$8="判定対象外",AZ$8="判定対象外",AZ426="-"),"-",IF(AW426=AZ426,"OK","NG"))</f>
        <v>OK</v>
      </c>
      <c r="BB426" s="249"/>
      <c r="BC426" s="300"/>
      <c r="BD426" s="253" t="str">
        <f t="shared" si="624"/>
        <v xml:space="preserve"> </v>
      </c>
      <c r="BE426" s="177" t="str">
        <f t="shared" si="604"/>
        <v>NG</v>
      </c>
      <c r="BF426" s="300"/>
      <c r="BG426" s="276" t="str">
        <f>IF(OR(BC$8="判定対象外",BF$8="判定対象外",BF426="-"),"-",IF(BC426=BF426,"OK","NG"))</f>
        <v>OK</v>
      </c>
      <c r="BH426" s="249"/>
      <c r="BI426" s="300"/>
      <c r="BJ426" s="253" t="str">
        <f t="shared" si="625"/>
        <v xml:space="preserve"> </v>
      </c>
      <c r="BK426" s="177" t="str">
        <f t="shared" si="605"/>
        <v>NG</v>
      </c>
      <c r="BL426" s="300"/>
      <c r="BM426" s="276" t="str">
        <f>IF(OR(BI$8="判定対象外",BL$8="判定対象外",BL426="-"),"-",IF(BI426=BL426,"OK","NG"))</f>
        <v>OK</v>
      </c>
      <c r="BN426" s="249"/>
      <c r="BO426" s="300"/>
      <c r="BP426" s="253" t="str">
        <f t="shared" si="626"/>
        <v xml:space="preserve"> </v>
      </c>
      <c r="BQ426" s="177" t="str">
        <f t="shared" si="606"/>
        <v>NG</v>
      </c>
      <c r="BR426" s="300"/>
      <c r="BS426" s="276" t="str">
        <f>IF(OR(BO$8="判定対象外",BR$8="判定対象外",BR426="-"),"-",IF(BO426=BR426,"OK","NG"))</f>
        <v>OK</v>
      </c>
      <c r="BT426" s="249"/>
      <c r="BU426" s="300"/>
      <c r="BV426" s="253" t="str">
        <f t="shared" si="627"/>
        <v xml:space="preserve"> </v>
      </c>
      <c r="BW426" s="177" t="str">
        <f t="shared" si="607"/>
        <v>NG</v>
      </c>
      <c r="BX426" s="300"/>
      <c r="BY426" s="276" t="str">
        <f>IF(OR(BU$8="判定対象外",BX$8="判定対象外",BX426="-"),"-",IF(BU426=BX426,"OK","NG"))</f>
        <v>OK</v>
      </c>
      <c r="BZ426" s="249"/>
      <c r="CA426" s="300"/>
      <c r="CB426" s="253" t="str">
        <f t="shared" si="628"/>
        <v xml:space="preserve"> </v>
      </c>
      <c r="CC426" s="177" t="str">
        <f t="shared" si="608"/>
        <v>NG</v>
      </c>
      <c r="CD426" s="300"/>
      <c r="CE426" s="276" t="str">
        <f>IF(OR(CA$8="判定対象外",CD$8="判定対象外",CD426="-"),"-",IF(CA426=CD426,"OK","NG"))</f>
        <v>OK</v>
      </c>
      <c r="CF426" s="249"/>
      <c r="CG426" s="300"/>
      <c r="CH426" s="253" t="str">
        <f t="shared" si="629"/>
        <v xml:space="preserve"> </v>
      </c>
      <c r="CI426" s="177" t="str">
        <f t="shared" si="609"/>
        <v>NG</v>
      </c>
      <c r="CJ426" s="300"/>
      <c r="CK426" s="276" t="str">
        <f>IF(OR(CG$8="判定対象外",CJ$8="判定対象外",CJ426="-"),"-",IF(CG426=CJ426,"OK","NG"))</f>
        <v>OK</v>
      </c>
      <c r="CL426" s="249"/>
      <c r="CM426" s="300"/>
      <c r="CN426" s="253" t="str">
        <f t="shared" si="630"/>
        <v xml:space="preserve"> </v>
      </c>
      <c r="CO426" s="177" t="str">
        <f t="shared" si="610"/>
        <v>NG</v>
      </c>
      <c r="CP426" s="300"/>
      <c r="CQ426" s="276" t="str">
        <f>IF(OR(CM$8="判定対象外",CP$8="判定対象外",CP426="-"),"-",IF(CM426=CP426,"OK","NG"))</f>
        <v>OK</v>
      </c>
      <c r="CR426" s="249"/>
      <c r="CS426" s="300"/>
      <c r="CT426" s="253" t="str">
        <f t="shared" si="631"/>
        <v xml:space="preserve"> </v>
      </c>
      <c r="CU426" s="177" t="str">
        <f t="shared" si="611"/>
        <v>NG</v>
      </c>
      <c r="CV426" s="300"/>
      <c r="CW426" s="276" t="str">
        <f>IF(OR(CS$8="判定対象外",CV$8="判定対象外",CV426="-"),"-",IF(CS426=CV426,"OK","NG"))</f>
        <v>OK</v>
      </c>
      <c r="CX426" s="249"/>
      <c r="CY426" s="300"/>
      <c r="CZ426" s="253" t="str">
        <f t="shared" si="632"/>
        <v xml:space="preserve"> </v>
      </c>
      <c r="DA426" s="177" t="str">
        <f t="shared" si="612"/>
        <v>NG</v>
      </c>
      <c r="DB426" s="300"/>
      <c r="DC426" s="276" t="str">
        <f>IF(OR(CY$8="判定対象外",DB$8="判定対象外",DB426="-"),"-",IF(CY426=DB426,"OK","NG"))</f>
        <v>OK</v>
      </c>
      <c r="DD426" s="249"/>
      <c r="DE426" s="300"/>
      <c r="DF426" s="253" t="str">
        <f t="shared" si="633"/>
        <v xml:space="preserve"> </v>
      </c>
      <c r="DG426" s="177" t="str">
        <f t="shared" si="613"/>
        <v>NG</v>
      </c>
      <c r="DH426" s="300"/>
      <c r="DI426" s="276" t="str">
        <f>IF(OR(DE$8="判定対象外",DH$8="判定対象外",DH426="-"),"-",IF(DE426=DH426,"OK","NG"))</f>
        <v>OK</v>
      </c>
      <c r="DJ426" s="249"/>
      <c r="DK426" s="300"/>
      <c r="DL426" s="253" t="str">
        <f t="shared" si="634"/>
        <v xml:space="preserve"> </v>
      </c>
      <c r="DM426" s="177" t="str">
        <f t="shared" si="614"/>
        <v>NG</v>
      </c>
      <c r="DN426" s="300"/>
      <c r="DO426" s="276" t="str">
        <f>IF(OR(DK$8="判定対象外",DN$8="判定対象外",DN426="-"),"-",IF(DK426=DN426,"OK","NG"))</f>
        <v>OK</v>
      </c>
      <c r="DP426" s="249"/>
      <c r="DQ426" s="300"/>
      <c r="DR426" s="253" t="str">
        <f t="shared" si="635"/>
        <v xml:space="preserve"> </v>
      </c>
      <c r="DS426" s="177" t="str">
        <f t="shared" si="593"/>
        <v>NG</v>
      </c>
      <c r="DT426" s="300"/>
      <c r="DU426" s="276" t="str">
        <f>IF(OR(DQ$8="判定対象外",DT$8="判定対象外",DT426="-"),"-",IF(DQ426=DT426,"OK","NG"))</f>
        <v>OK</v>
      </c>
      <c r="DV426" s="249"/>
      <c r="DW426" s="300"/>
      <c r="DX426" s="253" t="str">
        <f t="shared" si="636"/>
        <v xml:space="preserve"> </v>
      </c>
      <c r="DY426" s="177" t="str">
        <f t="shared" si="594"/>
        <v>NG</v>
      </c>
      <c r="DZ426" s="300"/>
      <c r="EA426" s="276" t="str">
        <f>IF(OR(DW$8="判定対象外",DZ$8="判定対象外",DZ426="-"),"-",IF(DW426=DZ426,"OK","NG"))</f>
        <v>OK</v>
      </c>
      <c r="EB426" s="249"/>
      <c r="EC426" s="300"/>
      <c r="ED426" s="253" t="str">
        <f t="shared" si="637"/>
        <v xml:space="preserve"> </v>
      </c>
      <c r="EE426" s="177" t="str">
        <f t="shared" si="595"/>
        <v>NG</v>
      </c>
      <c r="EF426" s="300"/>
      <c r="EG426" s="276" t="str">
        <f>IF(OR(EC$8="判定対象外",EF$8="判定対象外",EF426="-"),"-",IF(EC426=EF426,"OK","NG"))</f>
        <v>OK</v>
      </c>
      <c r="EH426" s="249"/>
      <c r="EI426" s="300"/>
      <c r="EJ426" s="253" t="str">
        <f t="shared" si="638"/>
        <v xml:space="preserve"> </v>
      </c>
      <c r="EK426" s="177" t="str">
        <f t="shared" si="596"/>
        <v>NG</v>
      </c>
      <c r="EL426" s="300"/>
      <c r="EM426" s="276" t="str">
        <f>IF(OR(EI$8="判定対象外",EL$8="判定対象外",EL426="-"),"-",IF(EI426=EL426,"OK","NG"))</f>
        <v>OK</v>
      </c>
      <c r="EN426" s="249"/>
      <c r="EO426" s="300"/>
      <c r="EP426" s="253" t="str">
        <f t="shared" si="639"/>
        <v xml:space="preserve"> </v>
      </c>
      <c r="EQ426" s="177" t="str">
        <f t="shared" si="597"/>
        <v>NG</v>
      </c>
      <c r="ER426" s="300"/>
      <c r="ES426" s="276" t="str">
        <f>IF(OR(EO$8="判定対象外",ER$8="判定対象外",ER426="-"),"-",IF(EO426=ER426,"OK","NG"))</f>
        <v>OK</v>
      </c>
      <c r="ET426" s="249"/>
      <c r="EU426" s="300"/>
      <c r="EV426" s="253" t="str">
        <f t="shared" si="640"/>
        <v xml:space="preserve"> </v>
      </c>
      <c r="EW426" s="177" t="str">
        <f t="shared" si="598"/>
        <v>NG</v>
      </c>
      <c r="EX426" s="300"/>
      <c r="EY426" s="276" t="str">
        <f>IF(OR(EU$8="判定対象外",EX$8="判定対象外",EX426="-"),"-",IF(EU426=EX426,"OK","NG"))</f>
        <v>OK</v>
      </c>
      <c r="EZ426" s="249"/>
      <c r="FA426" s="300"/>
      <c r="FB426" s="253" t="str">
        <f t="shared" si="641"/>
        <v xml:space="preserve"> </v>
      </c>
      <c r="FC426" s="177" t="str">
        <f t="shared" si="599"/>
        <v>NG</v>
      </c>
      <c r="FD426" s="300"/>
      <c r="FE426" s="276" t="str">
        <f>IF(OR(FA$8="判定対象外",FD$8="判定対象外",FD426="-"),"-",IF(FA426=FD426,"OK","NG"))</f>
        <v>OK</v>
      </c>
      <c r="FF426" s="249"/>
      <c r="FG426" s="300"/>
      <c r="FH426" s="253" t="str">
        <f t="shared" si="642"/>
        <v xml:space="preserve"> </v>
      </c>
      <c r="FI426" s="177" t="str">
        <f t="shared" si="600"/>
        <v>NG</v>
      </c>
      <c r="FJ426" s="300"/>
      <c r="FK426" s="276" t="str">
        <f>IF(OR(FG$8="判定対象外",FJ$8="判定対象外",FJ426="-"),"-",IF(FG426=FJ426,"OK","NG"))</f>
        <v>OK</v>
      </c>
      <c r="FL426" s="249"/>
      <c r="FM426" s="300"/>
      <c r="FN426" s="253" t="str">
        <f t="shared" si="643"/>
        <v xml:space="preserve"> </v>
      </c>
      <c r="FO426" s="177" t="str">
        <f t="shared" si="615"/>
        <v>NG</v>
      </c>
      <c r="FP426" s="300"/>
      <c r="FQ426" s="276" t="str">
        <f>IF(OR(FM$8="判定対象外",FP$8="判定対象外",FP426="-"),"-",IF(FM426=FP426,"OK","NG"))</f>
        <v>OK</v>
      </c>
      <c r="FR426" s="249"/>
      <c r="FS426" s="300"/>
      <c r="FT426" s="253" t="str">
        <f t="shared" si="644"/>
        <v xml:space="preserve"> </v>
      </c>
      <c r="FU426" s="177" t="str">
        <f t="shared" si="616"/>
        <v>NG</v>
      </c>
      <c r="FV426" s="300"/>
      <c r="FW426" s="276" t="str">
        <f>IF(OR(FS$8="判定対象外",FV$8="判定対象外",FV426="-"),"-",IF(FS426=FV426,"OK","NG"))</f>
        <v>OK</v>
      </c>
      <c r="FX426" s="249"/>
      <c r="FY426" s="300"/>
      <c r="FZ426" s="253" t="str">
        <f t="shared" si="645"/>
        <v xml:space="preserve"> </v>
      </c>
      <c r="GA426" s="177" t="str">
        <f t="shared" si="617"/>
        <v>NG</v>
      </c>
      <c r="GB426" s="300"/>
      <c r="GC426" s="276" t="str">
        <f>IF(OR(FY$8="判定対象外",GB$8="判定対象外",GB426="-"),"-",IF(FY426=GB426,"OK","NG"))</f>
        <v>OK</v>
      </c>
    </row>
    <row r="427" spans="1:185" s="52" customFormat="1" ht="18.75" customHeight="1" thickTop="1">
      <c r="B427" s="48">
        <f t="shared" si="646"/>
        <v>420</v>
      </c>
      <c r="C427" s="37"/>
      <c r="D427" s="37"/>
      <c r="E427" s="26" t="s">
        <v>315</v>
      </c>
      <c r="F427" s="254"/>
      <c r="G427" s="254"/>
      <c r="H427" s="28"/>
      <c r="I427" s="42" t="s">
        <v>1</v>
      </c>
      <c r="J427" s="42" t="s">
        <v>316</v>
      </c>
      <c r="K427" s="42"/>
      <c r="L427" s="42"/>
      <c r="M427" s="47" t="s">
        <v>317</v>
      </c>
      <c r="N427" s="281"/>
      <c r="O427" s="282"/>
      <c r="P427" s="20"/>
      <c r="Q427" s="21"/>
      <c r="R427" s="16"/>
      <c r="S427" s="283"/>
      <c r="T427" s="281"/>
      <c r="U427" s="16"/>
      <c r="V427" s="207"/>
      <c r="W427" s="22" t="str">
        <f>IF(C427&lt;&gt;"","0",IF(D427&lt;&gt;"","1",IF(E427&lt;&gt;"","2",IF(F427&lt;&gt;"","3",IF(G427&lt;&gt;"","4",IF(H427&lt;&gt;"","5"))))))</f>
        <v>2</v>
      </c>
      <c r="X427" s="47" t="s">
        <v>187</v>
      </c>
      <c r="Y427" s="47"/>
      <c r="Z427" s="47"/>
      <c r="AA427" s="42"/>
      <c r="AB427" s="42" t="s">
        <v>80</v>
      </c>
      <c r="AC427" s="251"/>
      <c r="AD427" s="160"/>
      <c r="AE427" s="141"/>
      <c r="AF427" s="203" t="str">
        <f t="shared" si="621"/>
        <v/>
      </c>
      <c r="AG427" s="174" t="str">
        <f t="shared" si="601"/>
        <v>OK</v>
      </c>
      <c r="AH427" s="141"/>
      <c r="AI427" s="276" t="s">
        <v>71</v>
      </c>
      <c r="AJ427" s="160"/>
      <c r="AK427" s="141"/>
      <c r="AL427" s="203" t="str">
        <f t="shared" si="619"/>
        <v/>
      </c>
      <c r="AM427" s="174" t="str">
        <f t="shared" si="648"/>
        <v>OK</v>
      </c>
      <c r="AN427" s="141"/>
      <c r="AO427" s="276" t="s">
        <v>71</v>
      </c>
      <c r="AP427" s="160"/>
      <c r="AQ427" s="141"/>
      <c r="AR427" s="203" t="str">
        <f t="shared" si="622"/>
        <v/>
      </c>
      <c r="AS427" s="174" t="str">
        <f t="shared" si="602"/>
        <v>OK</v>
      </c>
      <c r="AT427" s="141"/>
      <c r="AU427" s="276" t="s">
        <v>71</v>
      </c>
      <c r="AV427" s="160"/>
      <c r="AW427" s="141"/>
      <c r="AX427" s="203" t="str">
        <f t="shared" si="623"/>
        <v/>
      </c>
      <c r="AY427" s="174" t="str">
        <f t="shared" si="603"/>
        <v>OK</v>
      </c>
      <c r="AZ427" s="141"/>
      <c r="BA427" s="276" t="s">
        <v>71</v>
      </c>
      <c r="BB427" s="160"/>
      <c r="BC427" s="141"/>
      <c r="BD427" s="203" t="str">
        <f t="shared" si="624"/>
        <v/>
      </c>
      <c r="BE427" s="174" t="str">
        <f t="shared" si="604"/>
        <v>OK</v>
      </c>
      <c r="BF427" s="141"/>
      <c r="BG427" s="276" t="s">
        <v>71</v>
      </c>
      <c r="BH427" s="160"/>
      <c r="BI427" s="141"/>
      <c r="BJ427" s="203" t="str">
        <f t="shared" si="625"/>
        <v/>
      </c>
      <c r="BK427" s="174" t="str">
        <f t="shared" si="605"/>
        <v>OK</v>
      </c>
      <c r="BL427" s="141"/>
      <c r="BM427" s="276" t="s">
        <v>71</v>
      </c>
      <c r="BN427" s="160"/>
      <c r="BO427" s="141"/>
      <c r="BP427" s="203" t="str">
        <f t="shared" si="626"/>
        <v/>
      </c>
      <c r="BQ427" s="174" t="str">
        <f t="shared" si="606"/>
        <v>OK</v>
      </c>
      <c r="BR427" s="141"/>
      <c r="BS427" s="276" t="s">
        <v>71</v>
      </c>
      <c r="BT427" s="160"/>
      <c r="BU427" s="141"/>
      <c r="BV427" s="203" t="str">
        <f t="shared" si="627"/>
        <v/>
      </c>
      <c r="BW427" s="174" t="str">
        <f t="shared" si="607"/>
        <v>OK</v>
      </c>
      <c r="BX427" s="141"/>
      <c r="BY427" s="276" t="s">
        <v>71</v>
      </c>
      <c r="BZ427" s="160"/>
      <c r="CA427" s="141"/>
      <c r="CB427" s="203" t="str">
        <f t="shared" si="628"/>
        <v/>
      </c>
      <c r="CC427" s="174" t="str">
        <f t="shared" si="608"/>
        <v>OK</v>
      </c>
      <c r="CD427" s="141"/>
      <c r="CE427" s="276" t="s">
        <v>71</v>
      </c>
      <c r="CF427" s="160"/>
      <c r="CG427" s="141"/>
      <c r="CH427" s="203" t="str">
        <f t="shared" si="629"/>
        <v/>
      </c>
      <c r="CI427" s="174" t="str">
        <f t="shared" si="609"/>
        <v>OK</v>
      </c>
      <c r="CJ427" s="141"/>
      <c r="CK427" s="276" t="s">
        <v>71</v>
      </c>
      <c r="CL427" s="160"/>
      <c r="CM427" s="141"/>
      <c r="CN427" s="203" t="str">
        <f t="shared" si="630"/>
        <v/>
      </c>
      <c r="CO427" s="174" t="str">
        <f t="shared" si="610"/>
        <v>OK</v>
      </c>
      <c r="CP427" s="141"/>
      <c r="CQ427" s="276" t="s">
        <v>71</v>
      </c>
      <c r="CR427" s="160"/>
      <c r="CS427" s="141"/>
      <c r="CT427" s="203" t="str">
        <f t="shared" si="631"/>
        <v/>
      </c>
      <c r="CU427" s="174" t="str">
        <f t="shared" si="611"/>
        <v>OK</v>
      </c>
      <c r="CV427" s="141"/>
      <c r="CW427" s="276" t="s">
        <v>71</v>
      </c>
      <c r="CX427" s="160"/>
      <c r="CY427" s="141"/>
      <c r="CZ427" s="203" t="str">
        <f t="shared" si="632"/>
        <v/>
      </c>
      <c r="DA427" s="174" t="str">
        <f t="shared" si="612"/>
        <v>OK</v>
      </c>
      <c r="DB427" s="141"/>
      <c r="DC427" s="276" t="s">
        <v>71</v>
      </c>
      <c r="DD427" s="160"/>
      <c r="DE427" s="141"/>
      <c r="DF427" s="203" t="str">
        <f t="shared" si="633"/>
        <v/>
      </c>
      <c r="DG427" s="174" t="str">
        <f t="shared" si="613"/>
        <v>OK</v>
      </c>
      <c r="DH427" s="141"/>
      <c r="DI427" s="276" t="s">
        <v>71</v>
      </c>
      <c r="DJ427" s="160"/>
      <c r="DK427" s="141"/>
      <c r="DL427" s="203" t="str">
        <f t="shared" si="634"/>
        <v/>
      </c>
      <c r="DM427" s="174" t="str">
        <f t="shared" si="614"/>
        <v>OK</v>
      </c>
      <c r="DN427" s="141"/>
      <c r="DO427" s="276" t="s">
        <v>71</v>
      </c>
      <c r="DP427" s="160"/>
      <c r="DQ427" s="141"/>
      <c r="DR427" s="203" t="str">
        <f t="shared" si="635"/>
        <v/>
      </c>
      <c r="DS427" s="174" t="str">
        <f t="shared" si="593"/>
        <v>OK</v>
      </c>
      <c r="DT427" s="141"/>
      <c r="DU427" s="276" t="s">
        <v>71</v>
      </c>
      <c r="DV427" s="160"/>
      <c r="DW427" s="141"/>
      <c r="DX427" s="203" t="str">
        <f t="shared" si="636"/>
        <v/>
      </c>
      <c r="DY427" s="174" t="str">
        <f t="shared" si="594"/>
        <v>OK</v>
      </c>
      <c r="DZ427" s="141"/>
      <c r="EA427" s="276" t="s">
        <v>71</v>
      </c>
      <c r="EB427" s="160"/>
      <c r="EC427" s="141"/>
      <c r="ED427" s="203" t="str">
        <f t="shared" si="637"/>
        <v/>
      </c>
      <c r="EE427" s="174" t="str">
        <f t="shared" si="595"/>
        <v>OK</v>
      </c>
      <c r="EF427" s="141"/>
      <c r="EG427" s="276" t="s">
        <v>71</v>
      </c>
      <c r="EH427" s="160"/>
      <c r="EI427" s="141"/>
      <c r="EJ427" s="203" t="str">
        <f t="shared" si="638"/>
        <v/>
      </c>
      <c r="EK427" s="174" t="str">
        <f t="shared" si="596"/>
        <v>OK</v>
      </c>
      <c r="EL427" s="141"/>
      <c r="EM427" s="276" t="s">
        <v>71</v>
      </c>
      <c r="EN427" s="160"/>
      <c r="EO427" s="141"/>
      <c r="EP427" s="203" t="str">
        <f t="shared" si="639"/>
        <v/>
      </c>
      <c r="EQ427" s="174" t="str">
        <f t="shared" si="597"/>
        <v>OK</v>
      </c>
      <c r="ER427" s="141"/>
      <c r="ES427" s="276" t="s">
        <v>71</v>
      </c>
      <c r="ET427" s="160"/>
      <c r="EU427" s="141"/>
      <c r="EV427" s="203" t="str">
        <f t="shared" si="640"/>
        <v/>
      </c>
      <c r="EW427" s="174" t="str">
        <f t="shared" si="598"/>
        <v>OK</v>
      </c>
      <c r="EX427" s="141"/>
      <c r="EY427" s="276" t="s">
        <v>71</v>
      </c>
      <c r="EZ427" s="160"/>
      <c r="FA427" s="141"/>
      <c r="FB427" s="203" t="str">
        <f t="shared" si="641"/>
        <v/>
      </c>
      <c r="FC427" s="174" t="str">
        <f t="shared" si="599"/>
        <v>OK</v>
      </c>
      <c r="FD427" s="141"/>
      <c r="FE427" s="276" t="s">
        <v>71</v>
      </c>
      <c r="FF427" s="160"/>
      <c r="FG427" s="141"/>
      <c r="FH427" s="203" t="str">
        <f t="shared" si="642"/>
        <v/>
      </c>
      <c r="FI427" s="174" t="str">
        <f t="shared" si="600"/>
        <v>OK</v>
      </c>
      <c r="FJ427" s="141"/>
      <c r="FK427" s="276" t="s">
        <v>71</v>
      </c>
      <c r="FL427" s="160"/>
      <c r="FM427" s="141"/>
      <c r="FN427" s="203" t="str">
        <f t="shared" si="643"/>
        <v/>
      </c>
      <c r="FO427" s="174" t="str">
        <f t="shared" si="615"/>
        <v>OK</v>
      </c>
      <c r="FP427" s="141"/>
      <c r="FQ427" s="276" t="s">
        <v>71</v>
      </c>
      <c r="FR427" s="160"/>
      <c r="FS427" s="141"/>
      <c r="FT427" s="203" t="str">
        <f t="shared" si="644"/>
        <v/>
      </c>
      <c r="FU427" s="174" t="str">
        <f t="shared" si="616"/>
        <v>OK</v>
      </c>
      <c r="FV427" s="141"/>
      <c r="FW427" s="276" t="s">
        <v>71</v>
      </c>
      <c r="FX427" s="160"/>
      <c r="FY427" s="141"/>
      <c r="FZ427" s="203" t="str">
        <f t="shared" si="645"/>
        <v/>
      </c>
      <c r="GA427" s="174" t="str">
        <f t="shared" si="617"/>
        <v>OK</v>
      </c>
      <c r="GB427" s="141"/>
      <c r="GC427" s="276" t="s">
        <v>71</v>
      </c>
    </row>
    <row r="428" spans="1:185" s="52" customFormat="1" ht="63.75">
      <c r="B428" s="48">
        <f t="shared" si="646"/>
        <v>421</v>
      </c>
      <c r="C428" s="187"/>
      <c r="D428" s="37"/>
      <c r="E428" s="37"/>
      <c r="F428" s="188" t="s">
        <v>318</v>
      </c>
      <c r="G428" s="39"/>
      <c r="H428" s="40"/>
      <c r="I428" s="57"/>
      <c r="J428" s="57"/>
      <c r="K428" s="57"/>
      <c r="L428" s="42"/>
      <c r="M428" s="58" t="s">
        <v>319</v>
      </c>
      <c r="N428" s="47"/>
      <c r="O428" s="143"/>
      <c r="P428" s="45">
        <f>P426+1</f>
        <v>391</v>
      </c>
      <c r="Q428" s="200">
        <v>2</v>
      </c>
      <c r="R428" s="41" t="str">
        <f t="shared" ref="R428:R434" si="649">IF(AA428="M","NX",AA428)</f>
        <v>X</v>
      </c>
      <c r="S428" s="185" t="s">
        <v>99</v>
      </c>
      <c r="T428" s="43"/>
      <c r="U428" s="41" t="s">
        <v>80</v>
      </c>
      <c r="V428" s="212" t="s">
        <v>188</v>
      </c>
      <c r="W428" s="22" t="str">
        <f>IF(C428&lt;&gt;"","0",IF(D428&lt;&gt;"","1",IF(E428&lt;&gt;"","2",IF(F428&lt;&gt;"","3",IF(G428&lt;&gt;"","4",IF(H428&lt;&gt;"","5"))))))</f>
        <v>3</v>
      </c>
      <c r="X428" s="62" t="s">
        <v>189</v>
      </c>
      <c r="Y428" s="201">
        <v>2</v>
      </c>
      <c r="Z428" s="201">
        <v>2</v>
      </c>
      <c r="AA428" s="202" t="s">
        <v>163</v>
      </c>
      <c r="AB428" s="202" t="s">
        <v>57</v>
      </c>
      <c r="AC428" s="166"/>
      <c r="AD428" s="160"/>
      <c r="AE428" s="162"/>
      <c r="AF428" s="167" t="str">
        <f t="shared" si="621"/>
        <v xml:space="preserve">  </v>
      </c>
      <c r="AG428" s="174" t="str">
        <f t="shared" si="601"/>
        <v>NG</v>
      </c>
      <c r="AH428" s="162"/>
      <c r="AI428" s="276" t="str">
        <f>IF(OR(AE$8="判定対象外",AH$8="判定対象外",AH428="-"),"-",IF(AE428=AH428,"OK","NG"))</f>
        <v>OK</v>
      </c>
      <c r="AJ428" s="160"/>
      <c r="AK428" s="162"/>
      <c r="AL428" s="167" t="str">
        <f t="shared" si="619"/>
        <v xml:space="preserve">  </v>
      </c>
      <c r="AM428" s="174" t="str">
        <f t="shared" si="648"/>
        <v>NG</v>
      </c>
      <c r="AN428" s="162"/>
      <c r="AO428" s="276" t="str">
        <f>IF(OR(AK$8="判定対象外",AN$8="判定対象外",AN428="-"),"-",IF(AK428=AN428,"OK","NG"))</f>
        <v>OK</v>
      </c>
      <c r="AP428" s="160"/>
      <c r="AQ428" s="162"/>
      <c r="AR428" s="167" t="str">
        <f t="shared" si="622"/>
        <v xml:space="preserve">  </v>
      </c>
      <c r="AS428" s="174" t="str">
        <f t="shared" si="602"/>
        <v>NG</v>
      </c>
      <c r="AT428" s="162"/>
      <c r="AU428" s="276" t="str">
        <f>IF(OR(AQ$8="判定対象外",AT$8="判定対象外",AT428="-"),"-",IF(AQ428=AT428,"OK","NG"))</f>
        <v>OK</v>
      </c>
      <c r="AV428" s="160"/>
      <c r="AW428" s="162"/>
      <c r="AX428" s="167" t="str">
        <f t="shared" si="623"/>
        <v xml:space="preserve">  </v>
      </c>
      <c r="AY428" s="174" t="str">
        <f t="shared" si="603"/>
        <v>NG</v>
      </c>
      <c r="AZ428" s="162"/>
      <c r="BA428" s="276" t="str">
        <f>IF(OR(AW$8="判定対象外",AZ$8="判定対象外",AZ428="-"),"-",IF(AW428=AZ428,"OK","NG"))</f>
        <v>OK</v>
      </c>
      <c r="BB428" s="160"/>
      <c r="BC428" s="162"/>
      <c r="BD428" s="167" t="str">
        <f t="shared" si="624"/>
        <v xml:space="preserve">  </v>
      </c>
      <c r="BE428" s="174" t="str">
        <f t="shared" si="604"/>
        <v>NG</v>
      </c>
      <c r="BF428" s="162"/>
      <c r="BG428" s="276" t="str">
        <f>IF(OR(BC$8="判定対象外",BF$8="判定対象外",BF428="-"),"-",IF(BC428=BF428,"OK","NG"))</f>
        <v>OK</v>
      </c>
      <c r="BH428" s="160"/>
      <c r="BI428" s="162"/>
      <c r="BJ428" s="167" t="str">
        <f t="shared" si="625"/>
        <v xml:space="preserve">  </v>
      </c>
      <c r="BK428" s="174" t="str">
        <f t="shared" si="605"/>
        <v>NG</v>
      </c>
      <c r="BL428" s="162"/>
      <c r="BM428" s="276" t="str">
        <f>IF(OR(BI$8="判定対象外",BL$8="判定対象外",BL428="-"),"-",IF(BI428=BL428,"OK","NG"))</f>
        <v>OK</v>
      </c>
      <c r="BN428" s="160"/>
      <c r="BO428" s="162"/>
      <c r="BP428" s="167" t="str">
        <f t="shared" si="626"/>
        <v xml:space="preserve">  </v>
      </c>
      <c r="BQ428" s="174" t="str">
        <f t="shared" si="606"/>
        <v>NG</v>
      </c>
      <c r="BR428" s="162"/>
      <c r="BS428" s="276" t="str">
        <f>IF(OR(BO$8="判定対象外",BR$8="判定対象外",BR428="-"),"-",IF(BO428=BR428,"OK","NG"))</f>
        <v>OK</v>
      </c>
      <c r="BT428" s="160"/>
      <c r="BU428" s="162"/>
      <c r="BV428" s="167" t="str">
        <f t="shared" si="627"/>
        <v xml:space="preserve">  </v>
      </c>
      <c r="BW428" s="174" t="str">
        <f t="shared" si="607"/>
        <v>NG</v>
      </c>
      <c r="BX428" s="162"/>
      <c r="BY428" s="276" t="str">
        <f>IF(OR(BU$8="判定対象外",BX$8="判定対象外",BX428="-"),"-",IF(BU428=BX428,"OK","NG"))</f>
        <v>OK</v>
      </c>
      <c r="BZ428" s="160"/>
      <c r="CA428" s="162"/>
      <c r="CB428" s="167" t="str">
        <f t="shared" si="628"/>
        <v xml:space="preserve">  </v>
      </c>
      <c r="CC428" s="174" t="str">
        <f t="shared" si="608"/>
        <v>NG</v>
      </c>
      <c r="CD428" s="162"/>
      <c r="CE428" s="276" t="str">
        <f>IF(OR(CA$8="判定対象外",CD$8="判定対象外",CD428="-"),"-",IF(CA428=CD428,"OK","NG"))</f>
        <v>OK</v>
      </c>
      <c r="CF428" s="160"/>
      <c r="CG428" s="162"/>
      <c r="CH428" s="167" t="str">
        <f t="shared" si="629"/>
        <v xml:space="preserve">  </v>
      </c>
      <c r="CI428" s="174" t="str">
        <f t="shared" si="609"/>
        <v>NG</v>
      </c>
      <c r="CJ428" s="162"/>
      <c r="CK428" s="276" t="str">
        <f>IF(OR(CG$8="判定対象外",CJ$8="判定対象外",CJ428="-"),"-",IF(CG428=CJ428,"OK","NG"))</f>
        <v>OK</v>
      </c>
      <c r="CL428" s="160"/>
      <c r="CM428" s="162"/>
      <c r="CN428" s="167" t="str">
        <f t="shared" si="630"/>
        <v xml:space="preserve">  </v>
      </c>
      <c r="CO428" s="174" t="str">
        <f t="shared" si="610"/>
        <v>NG</v>
      </c>
      <c r="CP428" s="162"/>
      <c r="CQ428" s="276" t="str">
        <f>IF(OR(CM$8="判定対象外",CP$8="判定対象外",CP428="-"),"-",IF(CM428=CP428,"OK","NG"))</f>
        <v>OK</v>
      </c>
      <c r="CR428" s="160"/>
      <c r="CS428" s="162"/>
      <c r="CT428" s="167" t="str">
        <f t="shared" si="631"/>
        <v xml:space="preserve">  </v>
      </c>
      <c r="CU428" s="174" t="str">
        <f t="shared" si="611"/>
        <v>NG</v>
      </c>
      <c r="CV428" s="162"/>
      <c r="CW428" s="276" t="str">
        <f>IF(OR(CS$8="判定対象外",CV$8="判定対象外",CV428="-"),"-",IF(CS428=CV428,"OK","NG"))</f>
        <v>OK</v>
      </c>
      <c r="CX428" s="160"/>
      <c r="CY428" s="162"/>
      <c r="CZ428" s="167" t="str">
        <f t="shared" si="632"/>
        <v xml:space="preserve">  </v>
      </c>
      <c r="DA428" s="174" t="str">
        <f t="shared" si="612"/>
        <v>NG</v>
      </c>
      <c r="DB428" s="162"/>
      <c r="DC428" s="276" t="str">
        <f>IF(OR(CY$8="判定対象外",DB$8="判定対象外",DB428="-"),"-",IF(CY428=DB428,"OK","NG"))</f>
        <v>OK</v>
      </c>
      <c r="DD428" s="160"/>
      <c r="DE428" s="162"/>
      <c r="DF428" s="167" t="str">
        <f t="shared" si="633"/>
        <v xml:space="preserve">  </v>
      </c>
      <c r="DG428" s="174" t="str">
        <f t="shared" si="613"/>
        <v>NG</v>
      </c>
      <c r="DH428" s="162"/>
      <c r="DI428" s="276" t="str">
        <f>IF(OR(DE$8="判定対象外",DH$8="判定対象外",DH428="-"),"-",IF(DE428=DH428,"OK","NG"))</f>
        <v>OK</v>
      </c>
      <c r="DJ428" s="160"/>
      <c r="DK428" s="162"/>
      <c r="DL428" s="167" t="str">
        <f t="shared" si="634"/>
        <v xml:space="preserve">  </v>
      </c>
      <c r="DM428" s="174" t="str">
        <f t="shared" si="614"/>
        <v>NG</v>
      </c>
      <c r="DN428" s="162"/>
      <c r="DO428" s="276" t="str">
        <f>IF(OR(DK$8="判定対象外",DN$8="判定対象外",DN428="-"),"-",IF(DK428=DN428,"OK","NG"))</f>
        <v>OK</v>
      </c>
      <c r="DP428" s="160"/>
      <c r="DQ428" s="162"/>
      <c r="DR428" s="167" t="str">
        <f t="shared" si="635"/>
        <v xml:space="preserve">  </v>
      </c>
      <c r="DS428" s="174" t="str">
        <f t="shared" si="593"/>
        <v>NG</v>
      </c>
      <c r="DT428" s="162"/>
      <c r="DU428" s="276" t="str">
        <f>IF(OR(DQ$8="判定対象外",DT$8="判定対象外",DT428="-"),"-",IF(DQ428=DT428,"OK","NG"))</f>
        <v>OK</v>
      </c>
      <c r="DV428" s="160"/>
      <c r="DW428" s="162"/>
      <c r="DX428" s="167" t="str">
        <f t="shared" si="636"/>
        <v xml:space="preserve">  </v>
      </c>
      <c r="DY428" s="174" t="str">
        <f t="shared" si="594"/>
        <v>NG</v>
      </c>
      <c r="DZ428" s="162"/>
      <c r="EA428" s="276" t="str">
        <f>IF(OR(DW$8="判定対象外",DZ$8="判定対象外",DZ428="-"),"-",IF(DW428=DZ428,"OK","NG"))</f>
        <v>OK</v>
      </c>
      <c r="EB428" s="160"/>
      <c r="EC428" s="162"/>
      <c r="ED428" s="167" t="str">
        <f t="shared" si="637"/>
        <v xml:space="preserve">  </v>
      </c>
      <c r="EE428" s="174" t="str">
        <f t="shared" si="595"/>
        <v>NG</v>
      </c>
      <c r="EF428" s="162"/>
      <c r="EG428" s="276" t="str">
        <f>IF(OR(EC$8="判定対象外",EF$8="判定対象外",EF428="-"),"-",IF(EC428=EF428,"OK","NG"))</f>
        <v>OK</v>
      </c>
      <c r="EH428" s="160"/>
      <c r="EI428" s="162"/>
      <c r="EJ428" s="167" t="str">
        <f t="shared" si="638"/>
        <v xml:space="preserve">  </v>
      </c>
      <c r="EK428" s="174" t="str">
        <f t="shared" si="596"/>
        <v>NG</v>
      </c>
      <c r="EL428" s="162"/>
      <c r="EM428" s="276" t="str">
        <f>IF(OR(EI$8="判定対象外",EL$8="判定対象外",EL428="-"),"-",IF(EI428=EL428,"OK","NG"))</f>
        <v>OK</v>
      </c>
      <c r="EN428" s="160"/>
      <c r="EO428" s="162"/>
      <c r="EP428" s="167" t="str">
        <f t="shared" si="639"/>
        <v xml:space="preserve">  </v>
      </c>
      <c r="EQ428" s="174" t="str">
        <f t="shared" si="597"/>
        <v>NG</v>
      </c>
      <c r="ER428" s="162"/>
      <c r="ES428" s="276" t="str">
        <f>IF(OR(EO$8="判定対象外",ER$8="判定対象外",ER428="-"),"-",IF(EO428=ER428,"OK","NG"))</f>
        <v>OK</v>
      </c>
      <c r="ET428" s="160"/>
      <c r="EU428" s="162"/>
      <c r="EV428" s="167" t="str">
        <f t="shared" si="640"/>
        <v xml:space="preserve">  </v>
      </c>
      <c r="EW428" s="174" t="str">
        <f t="shared" si="598"/>
        <v>NG</v>
      </c>
      <c r="EX428" s="162"/>
      <c r="EY428" s="276" t="str">
        <f>IF(OR(EU$8="判定対象外",EX$8="判定対象外",EX428="-"),"-",IF(EU428=EX428,"OK","NG"))</f>
        <v>OK</v>
      </c>
      <c r="EZ428" s="160"/>
      <c r="FA428" s="162"/>
      <c r="FB428" s="167" t="str">
        <f t="shared" si="641"/>
        <v xml:space="preserve">  </v>
      </c>
      <c r="FC428" s="174" t="str">
        <f t="shared" si="599"/>
        <v>NG</v>
      </c>
      <c r="FD428" s="162"/>
      <c r="FE428" s="276" t="str">
        <f>IF(OR(FA$8="判定対象外",FD$8="判定対象外",FD428="-"),"-",IF(FA428=FD428,"OK","NG"))</f>
        <v>OK</v>
      </c>
      <c r="FF428" s="160"/>
      <c r="FG428" s="162"/>
      <c r="FH428" s="167" t="str">
        <f t="shared" si="642"/>
        <v xml:space="preserve">  </v>
      </c>
      <c r="FI428" s="174" t="str">
        <f t="shared" si="600"/>
        <v>NG</v>
      </c>
      <c r="FJ428" s="162"/>
      <c r="FK428" s="276" t="str">
        <f>IF(OR(FG$8="判定対象外",FJ$8="判定対象外",FJ428="-"),"-",IF(FG428=FJ428,"OK","NG"))</f>
        <v>OK</v>
      </c>
      <c r="FL428" s="160"/>
      <c r="FM428" s="162"/>
      <c r="FN428" s="167" t="str">
        <f t="shared" si="643"/>
        <v xml:space="preserve">  </v>
      </c>
      <c r="FO428" s="174" t="str">
        <f t="shared" si="615"/>
        <v>NG</v>
      </c>
      <c r="FP428" s="162"/>
      <c r="FQ428" s="276" t="str">
        <f>IF(OR(FM$8="判定対象外",FP$8="判定対象外",FP428="-"),"-",IF(FM428=FP428,"OK","NG"))</f>
        <v>OK</v>
      </c>
      <c r="FR428" s="160"/>
      <c r="FS428" s="162"/>
      <c r="FT428" s="167" t="str">
        <f t="shared" si="644"/>
        <v xml:space="preserve">  </v>
      </c>
      <c r="FU428" s="174" t="str">
        <f t="shared" si="616"/>
        <v>NG</v>
      </c>
      <c r="FV428" s="162"/>
      <c r="FW428" s="276" t="str">
        <f>IF(OR(FS$8="判定対象外",FV$8="判定対象外",FV428="-"),"-",IF(FS428=FV428,"OK","NG"))</f>
        <v>OK</v>
      </c>
      <c r="FX428" s="160"/>
      <c r="FY428" s="162"/>
      <c r="FZ428" s="167" t="str">
        <f t="shared" si="645"/>
        <v xml:space="preserve">  </v>
      </c>
      <c r="GA428" s="174" t="str">
        <f t="shared" si="617"/>
        <v>NG</v>
      </c>
      <c r="GB428" s="162"/>
      <c r="GC428" s="276" t="str">
        <f>IF(OR(FY$8="判定対象外",GB$8="判定対象外",GB428="-"),"-",IF(FY428=GB428,"OK","NG"))</f>
        <v>OK</v>
      </c>
    </row>
    <row r="429" spans="1:185" s="52" customFormat="1" ht="344.25">
      <c r="B429" s="48">
        <f t="shared" si="646"/>
        <v>422</v>
      </c>
      <c r="C429" s="37"/>
      <c r="D429" s="37"/>
      <c r="E429" s="37"/>
      <c r="F429" s="188" t="s">
        <v>320</v>
      </c>
      <c r="G429" s="39"/>
      <c r="H429" s="40"/>
      <c r="I429" s="42"/>
      <c r="J429" s="42" t="s">
        <v>316</v>
      </c>
      <c r="K429" s="42"/>
      <c r="L429" s="42"/>
      <c r="M429" s="189" t="s">
        <v>321</v>
      </c>
      <c r="N429" s="63"/>
      <c r="O429" s="143"/>
      <c r="P429" s="45">
        <f>P428+1</f>
        <v>392</v>
      </c>
      <c r="Q429" s="46">
        <v>2</v>
      </c>
      <c r="R429" s="41" t="str">
        <f t="shared" si="649"/>
        <v>X</v>
      </c>
      <c r="S429" s="185" t="s">
        <v>100</v>
      </c>
      <c r="T429" s="43"/>
      <c r="U429" s="41" t="s">
        <v>80</v>
      </c>
      <c r="V429" s="44"/>
      <c r="W429" s="22">
        <v>3</v>
      </c>
      <c r="X429" s="47" t="s">
        <v>162</v>
      </c>
      <c r="Y429" s="47">
        <v>2</v>
      </c>
      <c r="Z429" s="47">
        <v>2</v>
      </c>
      <c r="AA429" s="42" t="s">
        <v>163</v>
      </c>
      <c r="AB429" s="42" t="s">
        <v>57</v>
      </c>
      <c r="AC429" s="166"/>
      <c r="AD429" s="160"/>
      <c r="AE429" s="162"/>
      <c r="AF429" s="167" t="str">
        <f t="shared" si="621"/>
        <v xml:space="preserve">  </v>
      </c>
      <c r="AG429" s="174" t="str">
        <f t="shared" si="601"/>
        <v>NG</v>
      </c>
      <c r="AH429" s="162"/>
      <c r="AI429" s="276" t="str">
        <f>IF(OR(AE$8="判定対象外",AH$8="判定対象外",AH429="-"),"-",IF(AE429=AH429,"OK","NG"))</f>
        <v>OK</v>
      </c>
      <c r="AJ429" s="160"/>
      <c r="AK429" s="162"/>
      <c r="AL429" s="167" t="str">
        <f t="shared" si="619"/>
        <v xml:space="preserve">  </v>
      </c>
      <c r="AM429" s="174" t="str">
        <f t="shared" si="648"/>
        <v>NG</v>
      </c>
      <c r="AN429" s="162"/>
      <c r="AO429" s="276" t="str">
        <f>IF(OR(AK$8="判定対象外",AN$8="判定対象外",AN429="-"),"-",IF(AK429=AN429,"OK","NG"))</f>
        <v>OK</v>
      </c>
      <c r="AP429" s="160"/>
      <c r="AQ429" s="162"/>
      <c r="AR429" s="167" t="str">
        <f t="shared" si="622"/>
        <v xml:space="preserve">  </v>
      </c>
      <c r="AS429" s="174" t="str">
        <f t="shared" si="602"/>
        <v>NG</v>
      </c>
      <c r="AT429" s="162"/>
      <c r="AU429" s="276" t="str">
        <f>IF(OR(AQ$8="判定対象外",AT$8="判定対象外",AT429="-"),"-",IF(AQ429=AT429,"OK","NG"))</f>
        <v>OK</v>
      </c>
      <c r="AV429" s="160"/>
      <c r="AW429" s="162"/>
      <c r="AX429" s="167" t="str">
        <f t="shared" si="623"/>
        <v xml:space="preserve">  </v>
      </c>
      <c r="AY429" s="174" t="str">
        <f t="shared" si="603"/>
        <v>NG</v>
      </c>
      <c r="AZ429" s="162"/>
      <c r="BA429" s="276" t="str">
        <f>IF(OR(AW$8="判定対象外",AZ$8="判定対象外",AZ429="-"),"-",IF(AW429=AZ429,"OK","NG"))</f>
        <v>OK</v>
      </c>
      <c r="BB429" s="160"/>
      <c r="BC429" s="162"/>
      <c r="BD429" s="167" t="str">
        <f t="shared" si="624"/>
        <v xml:space="preserve">  </v>
      </c>
      <c r="BE429" s="174" t="str">
        <f t="shared" si="604"/>
        <v>NG</v>
      </c>
      <c r="BF429" s="162"/>
      <c r="BG429" s="276" t="str">
        <f>IF(OR(BC$8="判定対象外",BF$8="判定対象外",BF429="-"),"-",IF(BC429=BF429,"OK","NG"))</f>
        <v>OK</v>
      </c>
      <c r="BH429" s="160"/>
      <c r="BI429" s="162"/>
      <c r="BJ429" s="167" t="str">
        <f t="shared" si="625"/>
        <v xml:space="preserve">  </v>
      </c>
      <c r="BK429" s="174" t="str">
        <f t="shared" si="605"/>
        <v>NG</v>
      </c>
      <c r="BL429" s="162"/>
      <c r="BM429" s="276" t="str">
        <f>IF(OR(BI$8="判定対象外",BL$8="判定対象外",BL429="-"),"-",IF(BI429=BL429,"OK","NG"))</f>
        <v>OK</v>
      </c>
      <c r="BN429" s="160"/>
      <c r="BO429" s="162"/>
      <c r="BP429" s="167" t="str">
        <f t="shared" si="626"/>
        <v xml:space="preserve">  </v>
      </c>
      <c r="BQ429" s="174" t="str">
        <f t="shared" si="606"/>
        <v>NG</v>
      </c>
      <c r="BR429" s="162"/>
      <c r="BS429" s="276" t="str">
        <f>IF(OR(BO$8="判定対象外",BR$8="判定対象外",BR429="-"),"-",IF(BO429=BR429,"OK","NG"))</f>
        <v>OK</v>
      </c>
      <c r="BT429" s="160"/>
      <c r="BU429" s="162"/>
      <c r="BV429" s="167" t="str">
        <f t="shared" si="627"/>
        <v xml:space="preserve">  </v>
      </c>
      <c r="BW429" s="174" t="str">
        <f t="shared" si="607"/>
        <v>NG</v>
      </c>
      <c r="BX429" s="162"/>
      <c r="BY429" s="276" t="str">
        <f>IF(OR(BU$8="判定対象外",BX$8="判定対象外",BX429="-"),"-",IF(BU429=BX429,"OK","NG"))</f>
        <v>OK</v>
      </c>
      <c r="BZ429" s="160"/>
      <c r="CA429" s="162"/>
      <c r="CB429" s="167" t="str">
        <f t="shared" si="628"/>
        <v xml:space="preserve">  </v>
      </c>
      <c r="CC429" s="174" t="str">
        <f t="shared" si="608"/>
        <v>NG</v>
      </c>
      <c r="CD429" s="162"/>
      <c r="CE429" s="276" t="str">
        <f>IF(OR(CA$8="判定対象外",CD$8="判定対象外",CD429="-"),"-",IF(CA429=CD429,"OK","NG"))</f>
        <v>OK</v>
      </c>
      <c r="CF429" s="160"/>
      <c r="CG429" s="162"/>
      <c r="CH429" s="167" t="str">
        <f t="shared" si="629"/>
        <v xml:space="preserve">  </v>
      </c>
      <c r="CI429" s="174" t="str">
        <f t="shared" si="609"/>
        <v>NG</v>
      </c>
      <c r="CJ429" s="162"/>
      <c r="CK429" s="276" t="str">
        <f>IF(OR(CG$8="判定対象外",CJ$8="判定対象外",CJ429="-"),"-",IF(CG429=CJ429,"OK","NG"))</f>
        <v>OK</v>
      </c>
      <c r="CL429" s="160"/>
      <c r="CM429" s="162"/>
      <c r="CN429" s="167" t="str">
        <f t="shared" si="630"/>
        <v xml:space="preserve">  </v>
      </c>
      <c r="CO429" s="174" t="str">
        <f t="shared" si="610"/>
        <v>NG</v>
      </c>
      <c r="CP429" s="162"/>
      <c r="CQ429" s="276" t="str">
        <f>IF(OR(CM$8="判定対象外",CP$8="判定対象外",CP429="-"),"-",IF(CM429=CP429,"OK","NG"))</f>
        <v>OK</v>
      </c>
      <c r="CR429" s="160"/>
      <c r="CS429" s="162"/>
      <c r="CT429" s="167" t="str">
        <f t="shared" si="631"/>
        <v xml:space="preserve">  </v>
      </c>
      <c r="CU429" s="174" t="str">
        <f t="shared" si="611"/>
        <v>NG</v>
      </c>
      <c r="CV429" s="162"/>
      <c r="CW429" s="276" t="str">
        <f>IF(OR(CS$8="判定対象外",CV$8="判定対象外",CV429="-"),"-",IF(CS429=CV429,"OK","NG"))</f>
        <v>OK</v>
      </c>
      <c r="CX429" s="160"/>
      <c r="CY429" s="162"/>
      <c r="CZ429" s="167" t="str">
        <f t="shared" si="632"/>
        <v xml:space="preserve">  </v>
      </c>
      <c r="DA429" s="174" t="str">
        <f t="shared" si="612"/>
        <v>NG</v>
      </c>
      <c r="DB429" s="162"/>
      <c r="DC429" s="276" t="str">
        <f>IF(OR(CY$8="判定対象外",DB$8="判定対象外",DB429="-"),"-",IF(CY429=DB429,"OK","NG"))</f>
        <v>OK</v>
      </c>
      <c r="DD429" s="160"/>
      <c r="DE429" s="162"/>
      <c r="DF429" s="167" t="str">
        <f t="shared" si="633"/>
        <v xml:space="preserve">  </v>
      </c>
      <c r="DG429" s="174" t="str">
        <f t="shared" si="613"/>
        <v>NG</v>
      </c>
      <c r="DH429" s="162"/>
      <c r="DI429" s="276" t="str">
        <f>IF(OR(DE$8="判定対象外",DH$8="判定対象外",DH429="-"),"-",IF(DE429=DH429,"OK","NG"))</f>
        <v>OK</v>
      </c>
      <c r="DJ429" s="160"/>
      <c r="DK429" s="162"/>
      <c r="DL429" s="167" t="str">
        <f t="shared" si="634"/>
        <v xml:space="preserve">  </v>
      </c>
      <c r="DM429" s="174" t="str">
        <f t="shared" si="614"/>
        <v>NG</v>
      </c>
      <c r="DN429" s="162"/>
      <c r="DO429" s="276" t="str">
        <f>IF(OR(DK$8="判定対象外",DN$8="判定対象外",DN429="-"),"-",IF(DK429=DN429,"OK","NG"))</f>
        <v>OK</v>
      </c>
      <c r="DP429" s="160"/>
      <c r="DQ429" s="162"/>
      <c r="DR429" s="167" t="str">
        <f t="shared" si="635"/>
        <v xml:space="preserve">  </v>
      </c>
      <c r="DS429" s="174" t="str">
        <f t="shared" si="593"/>
        <v>NG</v>
      </c>
      <c r="DT429" s="162"/>
      <c r="DU429" s="276" t="str">
        <f>IF(OR(DQ$8="判定対象外",DT$8="判定対象外",DT429="-"),"-",IF(DQ429=DT429,"OK","NG"))</f>
        <v>OK</v>
      </c>
      <c r="DV429" s="160"/>
      <c r="DW429" s="162"/>
      <c r="DX429" s="167" t="str">
        <f t="shared" si="636"/>
        <v xml:space="preserve">  </v>
      </c>
      <c r="DY429" s="174" t="str">
        <f t="shared" si="594"/>
        <v>NG</v>
      </c>
      <c r="DZ429" s="162"/>
      <c r="EA429" s="276" t="str">
        <f>IF(OR(DW$8="判定対象外",DZ$8="判定対象外",DZ429="-"),"-",IF(DW429=DZ429,"OK","NG"))</f>
        <v>OK</v>
      </c>
      <c r="EB429" s="160"/>
      <c r="EC429" s="162"/>
      <c r="ED429" s="167" t="str">
        <f t="shared" si="637"/>
        <v xml:space="preserve">  </v>
      </c>
      <c r="EE429" s="174" t="str">
        <f t="shared" si="595"/>
        <v>NG</v>
      </c>
      <c r="EF429" s="162"/>
      <c r="EG429" s="276" t="str">
        <f>IF(OR(EC$8="判定対象外",EF$8="判定対象外",EF429="-"),"-",IF(EC429=EF429,"OK","NG"))</f>
        <v>OK</v>
      </c>
      <c r="EH429" s="160"/>
      <c r="EI429" s="162"/>
      <c r="EJ429" s="167" t="str">
        <f t="shared" si="638"/>
        <v xml:space="preserve">  </v>
      </c>
      <c r="EK429" s="174" t="str">
        <f t="shared" si="596"/>
        <v>NG</v>
      </c>
      <c r="EL429" s="162"/>
      <c r="EM429" s="276" t="str">
        <f>IF(OR(EI$8="判定対象外",EL$8="判定対象外",EL429="-"),"-",IF(EI429=EL429,"OK","NG"))</f>
        <v>OK</v>
      </c>
      <c r="EN429" s="160"/>
      <c r="EO429" s="162"/>
      <c r="EP429" s="167" t="str">
        <f t="shared" si="639"/>
        <v xml:space="preserve">  </v>
      </c>
      <c r="EQ429" s="174" t="str">
        <f t="shared" si="597"/>
        <v>NG</v>
      </c>
      <c r="ER429" s="162"/>
      <c r="ES429" s="276" t="str">
        <f>IF(OR(EO$8="判定対象外",ER$8="判定対象外",ER429="-"),"-",IF(EO429=ER429,"OK","NG"))</f>
        <v>OK</v>
      </c>
      <c r="ET429" s="160"/>
      <c r="EU429" s="162"/>
      <c r="EV429" s="167" t="str">
        <f t="shared" si="640"/>
        <v xml:space="preserve">  </v>
      </c>
      <c r="EW429" s="174" t="str">
        <f t="shared" si="598"/>
        <v>NG</v>
      </c>
      <c r="EX429" s="162"/>
      <c r="EY429" s="276" t="str">
        <f>IF(OR(EU$8="判定対象外",EX$8="判定対象外",EX429="-"),"-",IF(EU429=EX429,"OK","NG"))</f>
        <v>OK</v>
      </c>
      <c r="EZ429" s="160"/>
      <c r="FA429" s="162"/>
      <c r="FB429" s="167" t="str">
        <f t="shared" si="641"/>
        <v xml:space="preserve">  </v>
      </c>
      <c r="FC429" s="174" t="str">
        <f t="shared" si="599"/>
        <v>NG</v>
      </c>
      <c r="FD429" s="162"/>
      <c r="FE429" s="276" t="str">
        <f>IF(OR(FA$8="判定対象外",FD$8="判定対象外",FD429="-"),"-",IF(FA429=FD429,"OK","NG"))</f>
        <v>OK</v>
      </c>
      <c r="FF429" s="160"/>
      <c r="FG429" s="162"/>
      <c r="FH429" s="167" t="str">
        <f t="shared" si="642"/>
        <v xml:space="preserve">  </v>
      </c>
      <c r="FI429" s="174" t="str">
        <f t="shared" si="600"/>
        <v>NG</v>
      </c>
      <c r="FJ429" s="162"/>
      <c r="FK429" s="276" t="str">
        <f>IF(OR(FG$8="判定対象外",FJ$8="判定対象外",FJ429="-"),"-",IF(FG429=FJ429,"OK","NG"))</f>
        <v>OK</v>
      </c>
      <c r="FL429" s="160"/>
      <c r="FM429" s="162"/>
      <c r="FN429" s="167" t="str">
        <f t="shared" si="643"/>
        <v xml:space="preserve">  </v>
      </c>
      <c r="FO429" s="174" t="str">
        <f t="shared" si="615"/>
        <v>NG</v>
      </c>
      <c r="FP429" s="162"/>
      <c r="FQ429" s="276" t="str">
        <f>IF(OR(FM$8="判定対象外",FP$8="判定対象外",FP429="-"),"-",IF(FM429=FP429,"OK","NG"))</f>
        <v>OK</v>
      </c>
      <c r="FR429" s="160"/>
      <c r="FS429" s="162"/>
      <c r="FT429" s="167" t="str">
        <f t="shared" si="644"/>
        <v xml:space="preserve">  </v>
      </c>
      <c r="FU429" s="174" t="str">
        <f t="shared" si="616"/>
        <v>NG</v>
      </c>
      <c r="FV429" s="162"/>
      <c r="FW429" s="276" t="str">
        <f>IF(OR(FS$8="判定対象外",FV$8="判定対象外",FV429="-"),"-",IF(FS429=FV429,"OK","NG"))</f>
        <v>OK</v>
      </c>
      <c r="FX429" s="160"/>
      <c r="FY429" s="162"/>
      <c r="FZ429" s="167" t="str">
        <f t="shared" si="645"/>
        <v xml:space="preserve">  </v>
      </c>
      <c r="GA429" s="174" t="str">
        <f t="shared" si="617"/>
        <v>NG</v>
      </c>
      <c r="GB429" s="162"/>
      <c r="GC429" s="276" t="str">
        <f>IF(OR(FY$8="判定対象外",GB$8="判定対象外",GB429="-"),"-",IF(FY429=GB429,"OK","NG"))</f>
        <v>OK</v>
      </c>
    </row>
    <row r="430" spans="1:185" s="52" customFormat="1">
      <c r="B430" s="48">
        <f t="shared" si="646"/>
        <v>423</v>
      </c>
      <c r="C430" s="37"/>
      <c r="D430" s="37"/>
      <c r="E430" s="37"/>
      <c r="F430" s="49" t="s">
        <v>322</v>
      </c>
      <c r="G430" s="39"/>
      <c r="H430" s="40"/>
      <c r="I430" s="42"/>
      <c r="J430" s="42"/>
      <c r="K430" s="42"/>
      <c r="L430" s="42"/>
      <c r="M430" s="213" t="s">
        <v>323</v>
      </c>
      <c r="N430" s="63"/>
      <c r="O430" s="143"/>
      <c r="P430" s="45">
        <f t="shared" ref="P430:P456" si="650">P429+1</f>
        <v>393</v>
      </c>
      <c r="Q430" s="46">
        <v>2</v>
      </c>
      <c r="R430" s="41" t="str">
        <f t="shared" si="649"/>
        <v>X</v>
      </c>
      <c r="S430" s="185" t="s">
        <v>190</v>
      </c>
      <c r="T430" s="43"/>
      <c r="U430" s="41" t="s">
        <v>80</v>
      </c>
      <c r="V430" s="44"/>
      <c r="W430" s="22">
        <v>3</v>
      </c>
      <c r="X430" s="47" t="s">
        <v>191</v>
      </c>
      <c r="Y430" s="47">
        <v>2</v>
      </c>
      <c r="Z430" s="47">
        <v>2</v>
      </c>
      <c r="AA430" s="42" t="s">
        <v>163</v>
      </c>
      <c r="AB430" s="42" t="s">
        <v>57</v>
      </c>
      <c r="AC430" s="166"/>
      <c r="AD430" s="160"/>
      <c r="AE430" s="141"/>
      <c r="AF430" s="203" t="str">
        <f t="shared" si="621"/>
        <v xml:space="preserve">  </v>
      </c>
      <c r="AG430" s="174" t="str">
        <f t="shared" si="601"/>
        <v>NG</v>
      </c>
      <c r="AH430" s="141"/>
      <c r="AI430" s="172" t="s">
        <v>71</v>
      </c>
      <c r="AJ430" s="160"/>
      <c r="AK430" s="141"/>
      <c r="AL430" s="203" t="str">
        <f t="shared" si="619"/>
        <v xml:space="preserve">  </v>
      </c>
      <c r="AM430" s="174" t="str">
        <f t="shared" si="648"/>
        <v>NG</v>
      </c>
      <c r="AN430" s="141"/>
      <c r="AO430" s="172" t="s">
        <v>71</v>
      </c>
      <c r="AP430" s="160"/>
      <c r="AQ430" s="141"/>
      <c r="AR430" s="203" t="str">
        <f t="shared" si="622"/>
        <v xml:space="preserve">  </v>
      </c>
      <c r="AS430" s="174" t="str">
        <f t="shared" si="602"/>
        <v>NG</v>
      </c>
      <c r="AT430" s="141"/>
      <c r="AU430" s="172" t="s">
        <v>71</v>
      </c>
      <c r="AV430" s="160"/>
      <c r="AW430" s="141"/>
      <c r="AX430" s="203" t="str">
        <f t="shared" si="623"/>
        <v xml:space="preserve">  </v>
      </c>
      <c r="AY430" s="174" t="str">
        <f t="shared" si="603"/>
        <v>NG</v>
      </c>
      <c r="AZ430" s="141"/>
      <c r="BA430" s="172" t="s">
        <v>71</v>
      </c>
      <c r="BB430" s="160"/>
      <c r="BC430" s="141"/>
      <c r="BD430" s="203" t="str">
        <f t="shared" si="624"/>
        <v xml:space="preserve">  </v>
      </c>
      <c r="BE430" s="174" t="str">
        <f t="shared" si="604"/>
        <v>NG</v>
      </c>
      <c r="BF430" s="141"/>
      <c r="BG430" s="172" t="s">
        <v>71</v>
      </c>
      <c r="BH430" s="160"/>
      <c r="BI430" s="141"/>
      <c r="BJ430" s="203" t="str">
        <f t="shared" si="625"/>
        <v xml:space="preserve">  </v>
      </c>
      <c r="BK430" s="174" t="str">
        <f t="shared" si="605"/>
        <v>NG</v>
      </c>
      <c r="BL430" s="141"/>
      <c r="BM430" s="172" t="s">
        <v>71</v>
      </c>
      <c r="BN430" s="160"/>
      <c r="BO430" s="141"/>
      <c r="BP430" s="203" t="str">
        <f t="shared" si="626"/>
        <v xml:space="preserve">  </v>
      </c>
      <c r="BQ430" s="174" t="str">
        <f t="shared" si="606"/>
        <v>NG</v>
      </c>
      <c r="BR430" s="141"/>
      <c r="BS430" s="172" t="s">
        <v>71</v>
      </c>
      <c r="BT430" s="160"/>
      <c r="BU430" s="141"/>
      <c r="BV430" s="203" t="str">
        <f t="shared" si="627"/>
        <v xml:space="preserve">  </v>
      </c>
      <c r="BW430" s="174" t="str">
        <f t="shared" si="607"/>
        <v>NG</v>
      </c>
      <c r="BX430" s="141"/>
      <c r="BY430" s="172" t="s">
        <v>71</v>
      </c>
      <c r="BZ430" s="160"/>
      <c r="CA430" s="141"/>
      <c r="CB430" s="203" t="str">
        <f t="shared" si="628"/>
        <v xml:space="preserve">  </v>
      </c>
      <c r="CC430" s="174" t="str">
        <f t="shared" si="608"/>
        <v>NG</v>
      </c>
      <c r="CD430" s="141"/>
      <c r="CE430" s="172" t="s">
        <v>71</v>
      </c>
      <c r="CF430" s="160"/>
      <c r="CG430" s="141"/>
      <c r="CH430" s="203" t="str">
        <f t="shared" si="629"/>
        <v xml:space="preserve">  </v>
      </c>
      <c r="CI430" s="174" t="str">
        <f t="shared" si="609"/>
        <v>NG</v>
      </c>
      <c r="CJ430" s="141"/>
      <c r="CK430" s="172" t="s">
        <v>71</v>
      </c>
      <c r="CL430" s="160"/>
      <c r="CM430" s="141"/>
      <c r="CN430" s="203" t="str">
        <f t="shared" si="630"/>
        <v xml:space="preserve">  </v>
      </c>
      <c r="CO430" s="174" t="str">
        <f t="shared" si="610"/>
        <v>NG</v>
      </c>
      <c r="CP430" s="141"/>
      <c r="CQ430" s="172" t="s">
        <v>71</v>
      </c>
      <c r="CR430" s="160"/>
      <c r="CS430" s="141"/>
      <c r="CT430" s="203" t="str">
        <f t="shared" si="631"/>
        <v xml:space="preserve">  </v>
      </c>
      <c r="CU430" s="174" t="str">
        <f t="shared" si="611"/>
        <v>NG</v>
      </c>
      <c r="CV430" s="141"/>
      <c r="CW430" s="172" t="s">
        <v>71</v>
      </c>
      <c r="CX430" s="160"/>
      <c r="CY430" s="141"/>
      <c r="CZ430" s="203" t="str">
        <f t="shared" si="632"/>
        <v xml:space="preserve">  </v>
      </c>
      <c r="DA430" s="174" t="str">
        <f t="shared" si="612"/>
        <v>NG</v>
      </c>
      <c r="DB430" s="141"/>
      <c r="DC430" s="172" t="s">
        <v>71</v>
      </c>
      <c r="DD430" s="160"/>
      <c r="DE430" s="141"/>
      <c r="DF430" s="203" t="str">
        <f t="shared" si="633"/>
        <v xml:space="preserve">  </v>
      </c>
      <c r="DG430" s="174" t="str">
        <f t="shared" si="613"/>
        <v>NG</v>
      </c>
      <c r="DH430" s="141"/>
      <c r="DI430" s="172" t="s">
        <v>71</v>
      </c>
      <c r="DJ430" s="160"/>
      <c r="DK430" s="141"/>
      <c r="DL430" s="203" t="str">
        <f t="shared" si="634"/>
        <v xml:space="preserve">  </v>
      </c>
      <c r="DM430" s="174" t="str">
        <f t="shared" si="614"/>
        <v>NG</v>
      </c>
      <c r="DN430" s="141"/>
      <c r="DO430" s="172" t="s">
        <v>71</v>
      </c>
      <c r="DP430" s="160"/>
      <c r="DQ430" s="141"/>
      <c r="DR430" s="203" t="str">
        <f t="shared" si="635"/>
        <v xml:space="preserve">  </v>
      </c>
      <c r="DS430" s="174" t="str">
        <f t="shared" si="593"/>
        <v>NG</v>
      </c>
      <c r="DT430" s="141"/>
      <c r="DU430" s="172" t="s">
        <v>71</v>
      </c>
      <c r="DV430" s="160"/>
      <c r="DW430" s="141"/>
      <c r="DX430" s="203" t="str">
        <f t="shared" si="636"/>
        <v xml:space="preserve">  </v>
      </c>
      <c r="DY430" s="174" t="str">
        <f t="shared" si="594"/>
        <v>NG</v>
      </c>
      <c r="DZ430" s="141"/>
      <c r="EA430" s="172" t="s">
        <v>71</v>
      </c>
      <c r="EB430" s="160"/>
      <c r="EC430" s="141"/>
      <c r="ED430" s="203" t="str">
        <f t="shared" si="637"/>
        <v xml:space="preserve">  </v>
      </c>
      <c r="EE430" s="174" t="str">
        <f t="shared" si="595"/>
        <v>NG</v>
      </c>
      <c r="EF430" s="141"/>
      <c r="EG430" s="172" t="s">
        <v>71</v>
      </c>
      <c r="EH430" s="160"/>
      <c r="EI430" s="141"/>
      <c r="EJ430" s="203" t="str">
        <f t="shared" si="638"/>
        <v xml:space="preserve">  </v>
      </c>
      <c r="EK430" s="174" t="str">
        <f t="shared" si="596"/>
        <v>NG</v>
      </c>
      <c r="EL430" s="141"/>
      <c r="EM430" s="172" t="s">
        <v>71</v>
      </c>
      <c r="EN430" s="160"/>
      <c r="EO430" s="141"/>
      <c r="EP430" s="203" t="str">
        <f t="shared" si="639"/>
        <v xml:space="preserve">  </v>
      </c>
      <c r="EQ430" s="174" t="str">
        <f t="shared" si="597"/>
        <v>NG</v>
      </c>
      <c r="ER430" s="141"/>
      <c r="ES430" s="172" t="s">
        <v>71</v>
      </c>
      <c r="ET430" s="160"/>
      <c r="EU430" s="141"/>
      <c r="EV430" s="203" t="str">
        <f t="shared" si="640"/>
        <v xml:space="preserve">  </v>
      </c>
      <c r="EW430" s="174" t="str">
        <f t="shared" si="598"/>
        <v>NG</v>
      </c>
      <c r="EX430" s="141"/>
      <c r="EY430" s="172" t="s">
        <v>71</v>
      </c>
      <c r="EZ430" s="160"/>
      <c r="FA430" s="141"/>
      <c r="FB430" s="203" t="str">
        <f t="shared" si="641"/>
        <v xml:space="preserve">  </v>
      </c>
      <c r="FC430" s="174" t="str">
        <f t="shared" si="599"/>
        <v>NG</v>
      </c>
      <c r="FD430" s="141"/>
      <c r="FE430" s="172" t="s">
        <v>71</v>
      </c>
      <c r="FF430" s="160"/>
      <c r="FG430" s="141"/>
      <c r="FH430" s="203" t="str">
        <f t="shared" si="642"/>
        <v xml:space="preserve">  </v>
      </c>
      <c r="FI430" s="174" t="str">
        <f t="shared" si="600"/>
        <v>NG</v>
      </c>
      <c r="FJ430" s="141"/>
      <c r="FK430" s="172" t="s">
        <v>71</v>
      </c>
      <c r="FL430" s="160"/>
      <c r="FM430" s="141"/>
      <c r="FN430" s="203" t="str">
        <f t="shared" si="643"/>
        <v xml:space="preserve">  </v>
      </c>
      <c r="FO430" s="174" t="str">
        <f t="shared" si="615"/>
        <v>NG</v>
      </c>
      <c r="FP430" s="141"/>
      <c r="FQ430" s="172" t="s">
        <v>71</v>
      </c>
      <c r="FR430" s="160"/>
      <c r="FS430" s="141"/>
      <c r="FT430" s="203" t="str">
        <f t="shared" si="644"/>
        <v xml:space="preserve">  </v>
      </c>
      <c r="FU430" s="174" t="str">
        <f t="shared" si="616"/>
        <v>NG</v>
      </c>
      <c r="FV430" s="141"/>
      <c r="FW430" s="172" t="s">
        <v>71</v>
      </c>
      <c r="FX430" s="160"/>
      <c r="FY430" s="141"/>
      <c r="FZ430" s="203" t="str">
        <f t="shared" si="645"/>
        <v xml:space="preserve">  </v>
      </c>
      <c r="GA430" s="174" t="str">
        <f t="shared" si="617"/>
        <v>NG</v>
      </c>
      <c r="GB430" s="141"/>
      <c r="GC430" s="172" t="s">
        <v>71</v>
      </c>
    </row>
    <row r="431" spans="1:185" s="52" customFormat="1">
      <c r="B431" s="48">
        <f t="shared" si="646"/>
        <v>424</v>
      </c>
      <c r="C431" s="37"/>
      <c r="D431" s="37"/>
      <c r="E431" s="37"/>
      <c r="F431" s="49" t="s">
        <v>192</v>
      </c>
      <c r="G431" s="39"/>
      <c r="H431" s="40"/>
      <c r="I431" s="42"/>
      <c r="J431" s="42" t="s">
        <v>316</v>
      </c>
      <c r="K431" s="42"/>
      <c r="L431" s="42"/>
      <c r="M431" s="47" t="s">
        <v>324</v>
      </c>
      <c r="N431" s="47"/>
      <c r="O431" s="143"/>
      <c r="P431" s="45">
        <f t="shared" si="650"/>
        <v>394</v>
      </c>
      <c r="Q431" s="46">
        <v>255</v>
      </c>
      <c r="R431" s="41" t="str">
        <f t="shared" si="649"/>
        <v>NX</v>
      </c>
      <c r="S431" s="185" t="s">
        <v>193</v>
      </c>
      <c r="T431" s="43"/>
      <c r="U431" s="41" t="s">
        <v>80</v>
      </c>
      <c r="V431" s="44"/>
      <c r="W431" s="22">
        <v>3</v>
      </c>
      <c r="X431" s="47" t="s">
        <v>194</v>
      </c>
      <c r="Y431" s="47">
        <v>1</v>
      </c>
      <c r="Z431" s="47">
        <v>255</v>
      </c>
      <c r="AA431" s="42" t="s">
        <v>195</v>
      </c>
      <c r="AB431" s="42" t="s">
        <v>57</v>
      </c>
      <c r="AC431" s="166"/>
      <c r="AD431" s="160"/>
      <c r="AE431" s="162"/>
      <c r="AF431" s="204" t="str">
        <f t="shared" si="621"/>
        <v xml:space="preserve">                                                                                                                                                                                                                                                               </v>
      </c>
      <c r="AG431" s="174" t="str">
        <f t="shared" si="601"/>
        <v>NG</v>
      </c>
      <c r="AH431" s="162"/>
      <c r="AI431" s="276" t="str">
        <f>IF(OR(AE$8="判定対象外",AH$8="判定対象外",AH431="-"),"-",IF(AE431=AH431,"OK","NG"))</f>
        <v>OK</v>
      </c>
      <c r="AJ431" s="160"/>
      <c r="AK431" s="162"/>
      <c r="AL431" s="204" t="str">
        <f t="shared" si="619"/>
        <v xml:space="preserve">                                                                                                                                                                                                                                                               </v>
      </c>
      <c r="AM431" s="174" t="str">
        <f t="shared" si="648"/>
        <v>NG</v>
      </c>
      <c r="AN431" s="162"/>
      <c r="AO431" s="276" t="str">
        <f>IF(OR(AK$8="判定対象外",AN$8="判定対象外",AN431="-"),"-",IF(AK431=AN431,"OK","NG"))</f>
        <v>OK</v>
      </c>
      <c r="AP431" s="160"/>
      <c r="AQ431" s="162"/>
      <c r="AR431" s="204" t="str">
        <f t="shared" si="622"/>
        <v xml:space="preserve">                                                                                                                                                                                                                                                               </v>
      </c>
      <c r="AS431" s="174" t="str">
        <f t="shared" si="602"/>
        <v>NG</v>
      </c>
      <c r="AT431" s="162"/>
      <c r="AU431" s="276" t="str">
        <f>IF(OR(AQ$8="判定対象外",AT$8="判定対象外",AT431="-"),"-",IF(AQ431=AT431,"OK","NG"))</f>
        <v>OK</v>
      </c>
      <c r="AV431" s="160"/>
      <c r="AW431" s="162"/>
      <c r="AX431" s="204" t="str">
        <f t="shared" si="623"/>
        <v xml:space="preserve">                                                                                                                                                                                                                                                               </v>
      </c>
      <c r="AY431" s="174" t="str">
        <f t="shared" si="603"/>
        <v>NG</v>
      </c>
      <c r="AZ431" s="162"/>
      <c r="BA431" s="276" t="str">
        <f>IF(OR(AW$8="判定対象外",AZ$8="判定対象外",AZ431="-"),"-",IF(AW431=AZ431,"OK","NG"))</f>
        <v>OK</v>
      </c>
      <c r="BB431" s="160"/>
      <c r="BC431" s="162"/>
      <c r="BD431" s="204" t="str">
        <f t="shared" si="624"/>
        <v xml:space="preserve">                                                                                                                                                                                                                                                               </v>
      </c>
      <c r="BE431" s="174" t="str">
        <f t="shared" si="604"/>
        <v>NG</v>
      </c>
      <c r="BF431" s="162"/>
      <c r="BG431" s="276" t="str">
        <f>IF(OR(BC$8="判定対象外",BF$8="判定対象外",BF431="-"),"-",IF(BC431=BF431,"OK","NG"))</f>
        <v>OK</v>
      </c>
      <c r="BH431" s="160"/>
      <c r="BI431" s="162"/>
      <c r="BJ431" s="204" t="str">
        <f t="shared" si="625"/>
        <v xml:space="preserve">                                                                                                                                                                                                                                                               </v>
      </c>
      <c r="BK431" s="174" t="str">
        <f t="shared" si="605"/>
        <v>NG</v>
      </c>
      <c r="BL431" s="162"/>
      <c r="BM431" s="276" t="str">
        <f>IF(OR(BI$8="判定対象外",BL$8="判定対象外",BL431="-"),"-",IF(BI431=BL431,"OK","NG"))</f>
        <v>OK</v>
      </c>
      <c r="BN431" s="160"/>
      <c r="BO431" s="162"/>
      <c r="BP431" s="204" t="str">
        <f t="shared" si="626"/>
        <v xml:space="preserve">                                                                                                                                                                                                                                                               </v>
      </c>
      <c r="BQ431" s="174" t="str">
        <f t="shared" si="606"/>
        <v>NG</v>
      </c>
      <c r="BR431" s="162"/>
      <c r="BS431" s="276" t="str">
        <f>IF(OR(BO$8="判定対象外",BR$8="判定対象外",BR431="-"),"-",IF(BO431=BR431,"OK","NG"))</f>
        <v>OK</v>
      </c>
      <c r="BT431" s="160"/>
      <c r="BU431" s="162"/>
      <c r="BV431" s="204" t="str">
        <f t="shared" si="627"/>
        <v xml:space="preserve">                                                                                                                                                                                                                                                               </v>
      </c>
      <c r="BW431" s="174" t="str">
        <f t="shared" si="607"/>
        <v>NG</v>
      </c>
      <c r="BX431" s="162"/>
      <c r="BY431" s="276" t="str">
        <f>IF(OR(BU$8="判定対象外",BX$8="判定対象外",BX431="-"),"-",IF(BU431=BX431,"OK","NG"))</f>
        <v>OK</v>
      </c>
      <c r="BZ431" s="160"/>
      <c r="CA431" s="162"/>
      <c r="CB431" s="204" t="str">
        <f t="shared" si="628"/>
        <v xml:space="preserve">                                                                                                                                                                                                                                                               </v>
      </c>
      <c r="CC431" s="174" t="str">
        <f t="shared" si="608"/>
        <v>NG</v>
      </c>
      <c r="CD431" s="162"/>
      <c r="CE431" s="276" t="str">
        <f>IF(OR(CA$8="判定対象外",CD$8="判定対象外",CD431="-"),"-",IF(CA431=CD431,"OK","NG"))</f>
        <v>OK</v>
      </c>
      <c r="CF431" s="160"/>
      <c r="CG431" s="162"/>
      <c r="CH431" s="204" t="str">
        <f t="shared" si="629"/>
        <v xml:space="preserve">                                                                                                                                                                                                                                                               </v>
      </c>
      <c r="CI431" s="174" t="str">
        <f t="shared" si="609"/>
        <v>NG</v>
      </c>
      <c r="CJ431" s="162"/>
      <c r="CK431" s="276" t="str">
        <f>IF(OR(CG$8="判定対象外",CJ$8="判定対象外",CJ431="-"),"-",IF(CG431=CJ431,"OK","NG"))</f>
        <v>OK</v>
      </c>
      <c r="CL431" s="160"/>
      <c r="CM431" s="162"/>
      <c r="CN431" s="204" t="str">
        <f t="shared" si="630"/>
        <v xml:space="preserve">                                                                                                                                                                                                                                                               </v>
      </c>
      <c r="CO431" s="174" t="str">
        <f t="shared" si="610"/>
        <v>NG</v>
      </c>
      <c r="CP431" s="162"/>
      <c r="CQ431" s="276" t="str">
        <f>IF(OR(CM$8="判定対象外",CP$8="判定対象外",CP431="-"),"-",IF(CM431=CP431,"OK","NG"))</f>
        <v>OK</v>
      </c>
      <c r="CR431" s="160"/>
      <c r="CS431" s="162"/>
      <c r="CT431" s="204" t="str">
        <f t="shared" si="631"/>
        <v xml:space="preserve">                                                                                                                                                                                                                                                               </v>
      </c>
      <c r="CU431" s="174" t="str">
        <f t="shared" si="611"/>
        <v>NG</v>
      </c>
      <c r="CV431" s="162"/>
      <c r="CW431" s="276" t="str">
        <f>IF(OR(CS$8="判定対象外",CV$8="判定対象外",CV431="-"),"-",IF(CS431=CV431,"OK","NG"))</f>
        <v>OK</v>
      </c>
      <c r="CX431" s="160"/>
      <c r="CY431" s="162"/>
      <c r="CZ431" s="204" t="str">
        <f t="shared" si="632"/>
        <v xml:space="preserve">                                                                                                                                                                                                                                                               </v>
      </c>
      <c r="DA431" s="174" t="str">
        <f t="shared" si="612"/>
        <v>NG</v>
      </c>
      <c r="DB431" s="162"/>
      <c r="DC431" s="276" t="str">
        <f>IF(OR(CY$8="判定対象外",DB$8="判定対象外",DB431="-"),"-",IF(CY431=DB431,"OK","NG"))</f>
        <v>OK</v>
      </c>
      <c r="DD431" s="160"/>
      <c r="DE431" s="162"/>
      <c r="DF431" s="204" t="str">
        <f t="shared" si="633"/>
        <v xml:space="preserve">                                                                                                                                                                                                                                                               </v>
      </c>
      <c r="DG431" s="174" t="str">
        <f t="shared" si="613"/>
        <v>NG</v>
      </c>
      <c r="DH431" s="162"/>
      <c r="DI431" s="276" t="str">
        <f>IF(OR(DE$8="判定対象外",DH$8="判定対象外",DH431="-"),"-",IF(DE431=DH431,"OK","NG"))</f>
        <v>OK</v>
      </c>
      <c r="DJ431" s="160"/>
      <c r="DK431" s="162"/>
      <c r="DL431" s="204" t="str">
        <f t="shared" si="634"/>
        <v xml:space="preserve">                                                                                                                                                                                                                                                               </v>
      </c>
      <c r="DM431" s="174" t="str">
        <f t="shared" si="614"/>
        <v>NG</v>
      </c>
      <c r="DN431" s="162"/>
      <c r="DO431" s="276" t="str">
        <f>IF(OR(DK$8="判定対象外",DN$8="判定対象外",DN431="-"),"-",IF(DK431=DN431,"OK","NG"))</f>
        <v>OK</v>
      </c>
      <c r="DP431" s="160"/>
      <c r="DQ431" s="162"/>
      <c r="DR431" s="204" t="str">
        <f t="shared" si="635"/>
        <v xml:space="preserve">                                                                                                                                                                                                                                                               </v>
      </c>
      <c r="DS431" s="174" t="str">
        <f t="shared" si="593"/>
        <v>NG</v>
      </c>
      <c r="DT431" s="162"/>
      <c r="DU431" s="276" t="str">
        <f>IF(OR(DQ$8="判定対象外",DT$8="判定対象外",DT431="-"),"-",IF(DQ431=DT431,"OK","NG"))</f>
        <v>OK</v>
      </c>
      <c r="DV431" s="160"/>
      <c r="DW431" s="162"/>
      <c r="DX431" s="204" t="str">
        <f t="shared" si="636"/>
        <v xml:space="preserve">                                                                                                                                                                                                                                                               </v>
      </c>
      <c r="DY431" s="174" t="str">
        <f t="shared" si="594"/>
        <v>NG</v>
      </c>
      <c r="DZ431" s="162"/>
      <c r="EA431" s="276" t="str">
        <f>IF(OR(DW$8="判定対象外",DZ$8="判定対象外",DZ431="-"),"-",IF(DW431=DZ431,"OK","NG"))</f>
        <v>OK</v>
      </c>
      <c r="EB431" s="160"/>
      <c r="EC431" s="162"/>
      <c r="ED431" s="204" t="str">
        <f t="shared" si="637"/>
        <v xml:space="preserve">                                                                                                                                                                                                                                                               </v>
      </c>
      <c r="EE431" s="174" t="str">
        <f t="shared" si="595"/>
        <v>NG</v>
      </c>
      <c r="EF431" s="162"/>
      <c r="EG431" s="276" t="str">
        <f>IF(OR(EC$8="判定対象外",EF$8="判定対象外",EF431="-"),"-",IF(EC431=EF431,"OK","NG"))</f>
        <v>OK</v>
      </c>
      <c r="EH431" s="160"/>
      <c r="EI431" s="162"/>
      <c r="EJ431" s="204" t="str">
        <f t="shared" si="638"/>
        <v xml:space="preserve">                                                                                                                                                                                                                                                               </v>
      </c>
      <c r="EK431" s="174" t="str">
        <f t="shared" si="596"/>
        <v>NG</v>
      </c>
      <c r="EL431" s="162"/>
      <c r="EM431" s="276" t="str">
        <f>IF(OR(EI$8="判定対象外",EL$8="判定対象外",EL431="-"),"-",IF(EI431=EL431,"OK","NG"))</f>
        <v>OK</v>
      </c>
      <c r="EN431" s="160"/>
      <c r="EO431" s="162"/>
      <c r="EP431" s="204" t="str">
        <f t="shared" si="639"/>
        <v xml:space="preserve">                                                                                                                                                                                                                                                               </v>
      </c>
      <c r="EQ431" s="174" t="str">
        <f t="shared" si="597"/>
        <v>NG</v>
      </c>
      <c r="ER431" s="162"/>
      <c r="ES431" s="276" t="str">
        <f>IF(OR(EO$8="判定対象外",ER$8="判定対象外",ER431="-"),"-",IF(EO431=ER431,"OK","NG"))</f>
        <v>OK</v>
      </c>
      <c r="ET431" s="160"/>
      <c r="EU431" s="162"/>
      <c r="EV431" s="204" t="str">
        <f t="shared" si="640"/>
        <v xml:space="preserve">                                                                                                                                                                                                                                                               </v>
      </c>
      <c r="EW431" s="174" t="str">
        <f t="shared" si="598"/>
        <v>NG</v>
      </c>
      <c r="EX431" s="162"/>
      <c r="EY431" s="276" t="str">
        <f>IF(OR(EU$8="判定対象外",EX$8="判定対象外",EX431="-"),"-",IF(EU431=EX431,"OK","NG"))</f>
        <v>OK</v>
      </c>
      <c r="EZ431" s="160"/>
      <c r="FA431" s="162"/>
      <c r="FB431" s="204" t="str">
        <f t="shared" si="641"/>
        <v xml:space="preserve">                                                                                                                                                                                                                                                               </v>
      </c>
      <c r="FC431" s="174" t="str">
        <f t="shared" si="599"/>
        <v>NG</v>
      </c>
      <c r="FD431" s="162"/>
      <c r="FE431" s="276" t="str">
        <f>IF(OR(FA$8="判定対象外",FD$8="判定対象外",FD431="-"),"-",IF(FA431=FD431,"OK","NG"))</f>
        <v>OK</v>
      </c>
      <c r="FF431" s="160"/>
      <c r="FG431" s="162"/>
      <c r="FH431" s="204" t="str">
        <f t="shared" si="642"/>
        <v xml:space="preserve">                                                                                                                                                                                                                                                               </v>
      </c>
      <c r="FI431" s="174" t="str">
        <f t="shared" si="600"/>
        <v>NG</v>
      </c>
      <c r="FJ431" s="162"/>
      <c r="FK431" s="276" t="str">
        <f>IF(OR(FG$8="判定対象外",FJ$8="判定対象外",FJ431="-"),"-",IF(FG431=FJ431,"OK","NG"))</f>
        <v>OK</v>
      </c>
      <c r="FL431" s="160"/>
      <c r="FM431" s="162"/>
      <c r="FN431" s="204" t="str">
        <f t="shared" si="643"/>
        <v xml:space="preserve">                                                                                                                                                                                                                                                               </v>
      </c>
      <c r="FO431" s="174" t="str">
        <f t="shared" si="615"/>
        <v>NG</v>
      </c>
      <c r="FP431" s="162"/>
      <c r="FQ431" s="276" t="str">
        <f>IF(OR(FM$8="判定対象外",FP$8="判定対象外",FP431="-"),"-",IF(FM431=FP431,"OK","NG"))</f>
        <v>OK</v>
      </c>
      <c r="FR431" s="160"/>
      <c r="FS431" s="162"/>
      <c r="FT431" s="204" t="str">
        <f t="shared" si="644"/>
        <v xml:space="preserve">                                                                                                                                                                                                                                                               </v>
      </c>
      <c r="FU431" s="174" t="str">
        <f t="shared" si="616"/>
        <v>NG</v>
      </c>
      <c r="FV431" s="162"/>
      <c r="FW431" s="276" t="str">
        <f>IF(OR(FS$8="判定対象外",FV$8="判定対象外",FV431="-"),"-",IF(FS431=FV431,"OK","NG"))</f>
        <v>OK</v>
      </c>
      <c r="FX431" s="160"/>
      <c r="FY431" s="162"/>
      <c r="FZ431" s="204" t="str">
        <f t="shared" si="645"/>
        <v xml:space="preserve">                                                                                                                                                                                                                                                               </v>
      </c>
      <c r="GA431" s="174" t="str">
        <f t="shared" si="617"/>
        <v>NG</v>
      </c>
      <c r="GB431" s="162"/>
      <c r="GC431" s="276" t="str">
        <f>IF(OR(FY$8="判定対象外",GB$8="判定対象外",GB431="-"),"-",IF(FY431=GB431,"OK","NG"))</f>
        <v>OK</v>
      </c>
    </row>
    <row r="432" spans="1:185" s="52" customFormat="1">
      <c r="B432" s="53">
        <f t="shared" si="646"/>
        <v>425</v>
      </c>
      <c r="C432" s="37"/>
      <c r="D432" s="37"/>
      <c r="E432" s="37"/>
      <c r="F432" s="54" t="s">
        <v>325</v>
      </c>
      <c r="G432" s="54"/>
      <c r="H432" s="55"/>
      <c r="I432" s="57"/>
      <c r="J432" s="57"/>
      <c r="K432" s="57"/>
      <c r="L432" s="57"/>
      <c r="M432" s="58" t="s">
        <v>326</v>
      </c>
      <c r="N432" s="62"/>
      <c r="O432" s="150"/>
      <c r="P432" s="45">
        <f t="shared" si="650"/>
        <v>395</v>
      </c>
      <c r="Q432" s="60">
        <v>256</v>
      </c>
      <c r="R432" s="41" t="str">
        <f t="shared" si="649"/>
        <v>NX</v>
      </c>
      <c r="S432" s="185" t="s">
        <v>196</v>
      </c>
      <c r="T432" s="43"/>
      <c r="U432" s="41" t="s">
        <v>80</v>
      </c>
      <c r="V432" s="44"/>
      <c r="W432" s="61">
        <v>3</v>
      </c>
      <c r="X432" s="62" t="s">
        <v>197</v>
      </c>
      <c r="Y432" s="62">
        <v>1</v>
      </c>
      <c r="Z432" s="62">
        <v>256</v>
      </c>
      <c r="AA432" s="57" t="s">
        <v>101</v>
      </c>
      <c r="AB432" s="57" t="s">
        <v>80</v>
      </c>
      <c r="AC432" s="214"/>
      <c r="AD432" s="160"/>
      <c r="AE432" s="141"/>
      <c r="AF432" s="203" t="str">
        <f t="shared" si="621"/>
        <v xml:space="preserve">                                                                                                                                                                                                                                                                </v>
      </c>
      <c r="AG432" s="174" t="str">
        <f t="shared" si="601"/>
        <v>NG</v>
      </c>
      <c r="AH432" s="141"/>
      <c r="AI432" s="172" t="s">
        <v>71</v>
      </c>
      <c r="AJ432" s="160"/>
      <c r="AK432" s="141"/>
      <c r="AL432" s="203" t="str">
        <f t="shared" si="619"/>
        <v xml:space="preserve">                                                                                                                                                                                                                                                                </v>
      </c>
      <c r="AM432" s="174" t="str">
        <f t="shared" si="648"/>
        <v>NG</v>
      </c>
      <c r="AN432" s="141"/>
      <c r="AO432" s="172" t="s">
        <v>71</v>
      </c>
      <c r="AP432" s="160"/>
      <c r="AQ432" s="141"/>
      <c r="AR432" s="203" t="str">
        <f t="shared" si="622"/>
        <v xml:space="preserve">                                                                                                                                                                                                                                                                </v>
      </c>
      <c r="AS432" s="174" t="str">
        <f t="shared" si="602"/>
        <v>NG</v>
      </c>
      <c r="AT432" s="141"/>
      <c r="AU432" s="172" t="s">
        <v>71</v>
      </c>
      <c r="AV432" s="160"/>
      <c r="AW432" s="141"/>
      <c r="AX432" s="203" t="str">
        <f t="shared" si="623"/>
        <v xml:space="preserve">                                                                                                                                                                                                                                                                </v>
      </c>
      <c r="AY432" s="174" t="str">
        <f t="shared" si="603"/>
        <v>NG</v>
      </c>
      <c r="AZ432" s="141"/>
      <c r="BA432" s="172" t="s">
        <v>71</v>
      </c>
      <c r="BB432" s="160"/>
      <c r="BC432" s="141"/>
      <c r="BD432" s="203" t="str">
        <f t="shared" si="624"/>
        <v xml:space="preserve">                                                                                                                                                                                                                                                                </v>
      </c>
      <c r="BE432" s="174" t="str">
        <f t="shared" si="604"/>
        <v>NG</v>
      </c>
      <c r="BF432" s="141"/>
      <c r="BG432" s="172" t="s">
        <v>71</v>
      </c>
      <c r="BH432" s="160"/>
      <c r="BI432" s="141"/>
      <c r="BJ432" s="203" t="str">
        <f t="shared" si="625"/>
        <v xml:space="preserve">                                                                                                                                                                                                                                                                </v>
      </c>
      <c r="BK432" s="174" t="str">
        <f t="shared" si="605"/>
        <v>NG</v>
      </c>
      <c r="BL432" s="141"/>
      <c r="BM432" s="172" t="s">
        <v>71</v>
      </c>
      <c r="BN432" s="160"/>
      <c r="BO432" s="141"/>
      <c r="BP432" s="203" t="str">
        <f t="shared" si="626"/>
        <v xml:space="preserve">                                                                                                                                                                                                                                                                </v>
      </c>
      <c r="BQ432" s="174" t="str">
        <f t="shared" si="606"/>
        <v>NG</v>
      </c>
      <c r="BR432" s="141"/>
      <c r="BS432" s="172" t="s">
        <v>71</v>
      </c>
      <c r="BT432" s="160"/>
      <c r="BU432" s="141"/>
      <c r="BV432" s="203" t="str">
        <f t="shared" si="627"/>
        <v xml:space="preserve">                                                                                                                                                                                                                                                                </v>
      </c>
      <c r="BW432" s="174" t="str">
        <f t="shared" si="607"/>
        <v>NG</v>
      </c>
      <c r="BX432" s="141"/>
      <c r="BY432" s="172" t="s">
        <v>71</v>
      </c>
      <c r="BZ432" s="160"/>
      <c r="CA432" s="141"/>
      <c r="CB432" s="203" t="str">
        <f t="shared" si="628"/>
        <v xml:space="preserve">                                                                                                                                                                                                                                                                </v>
      </c>
      <c r="CC432" s="174" t="str">
        <f t="shared" si="608"/>
        <v>NG</v>
      </c>
      <c r="CD432" s="141"/>
      <c r="CE432" s="172" t="s">
        <v>71</v>
      </c>
      <c r="CF432" s="160"/>
      <c r="CG432" s="141"/>
      <c r="CH432" s="203" t="str">
        <f t="shared" si="629"/>
        <v xml:space="preserve">                                                                                                                                                                                                                                                                </v>
      </c>
      <c r="CI432" s="174" t="str">
        <f t="shared" si="609"/>
        <v>NG</v>
      </c>
      <c r="CJ432" s="141"/>
      <c r="CK432" s="172" t="s">
        <v>71</v>
      </c>
      <c r="CL432" s="160"/>
      <c r="CM432" s="141"/>
      <c r="CN432" s="203" t="str">
        <f t="shared" si="630"/>
        <v xml:space="preserve">                                                                                                                                                                                                                                                                </v>
      </c>
      <c r="CO432" s="174" t="str">
        <f t="shared" si="610"/>
        <v>NG</v>
      </c>
      <c r="CP432" s="141"/>
      <c r="CQ432" s="172" t="s">
        <v>71</v>
      </c>
      <c r="CR432" s="160"/>
      <c r="CS432" s="141"/>
      <c r="CT432" s="203" t="str">
        <f t="shared" si="631"/>
        <v xml:space="preserve">                                                                                                                                                                                                                                                                </v>
      </c>
      <c r="CU432" s="174" t="str">
        <f t="shared" si="611"/>
        <v>NG</v>
      </c>
      <c r="CV432" s="141"/>
      <c r="CW432" s="172" t="s">
        <v>71</v>
      </c>
      <c r="CX432" s="160"/>
      <c r="CY432" s="141"/>
      <c r="CZ432" s="203" t="str">
        <f t="shared" si="632"/>
        <v xml:space="preserve">                                                                                                                                                                                                                                                                </v>
      </c>
      <c r="DA432" s="174" t="str">
        <f t="shared" si="612"/>
        <v>NG</v>
      </c>
      <c r="DB432" s="141"/>
      <c r="DC432" s="172" t="s">
        <v>71</v>
      </c>
      <c r="DD432" s="160"/>
      <c r="DE432" s="141"/>
      <c r="DF432" s="203" t="str">
        <f t="shared" si="633"/>
        <v xml:space="preserve">                                                                                                                                                                                                                                                                </v>
      </c>
      <c r="DG432" s="174" t="str">
        <f t="shared" si="613"/>
        <v>NG</v>
      </c>
      <c r="DH432" s="141"/>
      <c r="DI432" s="172" t="s">
        <v>71</v>
      </c>
      <c r="DJ432" s="160"/>
      <c r="DK432" s="141"/>
      <c r="DL432" s="203" t="str">
        <f t="shared" si="634"/>
        <v xml:space="preserve">                                                                                                                                                                                                                                                                </v>
      </c>
      <c r="DM432" s="174" t="str">
        <f t="shared" si="614"/>
        <v>NG</v>
      </c>
      <c r="DN432" s="141"/>
      <c r="DO432" s="172" t="s">
        <v>71</v>
      </c>
      <c r="DP432" s="160"/>
      <c r="DQ432" s="141"/>
      <c r="DR432" s="203" t="str">
        <f t="shared" si="635"/>
        <v xml:space="preserve">                                                                                                                                                                                                                                                                </v>
      </c>
      <c r="DS432" s="174" t="str">
        <f t="shared" si="593"/>
        <v>NG</v>
      </c>
      <c r="DT432" s="141"/>
      <c r="DU432" s="172" t="s">
        <v>71</v>
      </c>
      <c r="DV432" s="160"/>
      <c r="DW432" s="141"/>
      <c r="DX432" s="203" t="str">
        <f t="shared" si="636"/>
        <v xml:space="preserve">                                                                                                                                                                                                                                                                </v>
      </c>
      <c r="DY432" s="174" t="str">
        <f t="shared" si="594"/>
        <v>NG</v>
      </c>
      <c r="DZ432" s="141"/>
      <c r="EA432" s="172" t="s">
        <v>71</v>
      </c>
      <c r="EB432" s="160"/>
      <c r="EC432" s="141"/>
      <c r="ED432" s="203" t="str">
        <f t="shared" si="637"/>
        <v xml:space="preserve">                                                                                                                                                                                                                                                                </v>
      </c>
      <c r="EE432" s="174" t="str">
        <f t="shared" si="595"/>
        <v>NG</v>
      </c>
      <c r="EF432" s="141"/>
      <c r="EG432" s="172" t="s">
        <v>71</v>
      </c>
      <c r="EH432" s="160"/>
      <c r="EI432" s="141"/>
      <c r="EJ432" s="203" t="str">
        <f t="shared" si="638"/>
        <v xml:space="preserve">                                                                                                                                                                                                                                                                </v>
      </c>
      <c r="EK432" s="174" t="str">
        <f t="shared" si="596"/>
        <v>NG</v>
      </c>
      <c r="EL432" s="141"/>
      <c r="EM432" s="172" t="s">
        <v>71</v>
      </c>
      <c r="EN432" s="160"/>
      <c r="EO432" s="141"/>
      <c r="EP432" s="203" t="str">
        <f t="shared" si="639"/>
        <v xml:space="preserve">                                                                                                                                                                                                                                                                </v>
      </c>
      <c r="EQ432" s="174" t="str">
        <f t="shared" si="597"/>
        <v>NG</v>
      </c>
      <c r="ER432" s="141"/>
      <c r="ES432" s="172" t="s">
        <v>71</v>
      </c>
      <c r="ET432" s="160"/>
      <c r="EU432" s="141"/>
      <c r="EV432" s="203" t="str">
        <f t="shared" si="640"/>
        <v xml:space="preserve">                                                                                                                                                                                                                                                                </v>
      </c>
      <c r="EW432" s="174" t="str">
        <f t="shared" si="598"/>
        <v>NG</v>
      </c>
      <c r="EX432" s="141"/>
      <c r="EY432" s="172" t="s">
        <v>71</v>
      </c>
      <c r="EZ432" s="160"/>
      <c r="FA432" s="141"/>
      <c r="FB432" s="203" t="str">
        <f t="shared" si="641"/>
        <v xml:space="preserve">                                                                                                                                                                                                                                                                </v>
      </c>
      <c r="FC432" s="174" t="str">
        <f t="shared" si="599"/>
        <v>NG</v>
      </c>
      <c r="FD432" s="141"/>
      <c r="FE432" s="172" t="s">
        <v>71</v>
      </c>
      <c r="FF432" s="160"/>
      <c r="FG432" s="141"/>
      <c r="FH432" s="203" t="str">
        <f t="shared" si="642"/>
        <v xml:space="preserve">                                                                                                                                                                                                                                                                </v>
      </c>
      <c r="FI432" s="174" t="str">
        <f t="shared" si="600"/>
        <v>NG</v>
      </c>
      <c r="FJ432" s="141"/>
      <c r="FK432" s="172" t="s">
        <v>71</v>
      </c>
      <c r="FL432" s="160"/>
      <c r="FM432" s="141"/>
      <c r="FN432" s="203" t="str">
        <f t="shared" si="643"/>
        <v xml:space="preserve">                                                                                                                                                                                                                                                                </v>
      </c>
      <c r="FO432" s="174" t="str">
        <f t="shared" si="615"/>
        <v>NG</v>
      </c>
      <c r="FP432" s="141"/>
      <c r="FQ432" s="172" t="s">
        <v>71</v>
      </c>
      <c r="FR432" s="160"/>
      <c r="FS432" s="141"/>
      <c r="FT432" s="203" t="str">
        <f t="shared" si="644"/>
        <v xml:space="preserve">                                                                                                                                                                                                                                                                </v>
      </c>
      <c r="FU432" s="174" t="str">
        <f t="shared" si="616"/>
        <v>NG</v>
      </c>
      <c r="FV432" s="141"/>
      <c r="FW432" s="172" t="s">
        <v>71</v>
      </c>
      <c r="FX432" s="160"/>
      <c r="FY432" s="141"/>
      <c r="FZ432" s="203" t="str">
        <f t="shared" si="645"/>
        <v xml:space="preserve">                                                                                                                                                                                                                                                                </v>
      </c>
      <c r="GA432" s="174" t="str">
        <f t="shared" si="617"/>
        <v>NG</v>
      </c>
      <c r="GB432" s="141"/>
      <c r="GC432" s="172" t="s">
        <v>71</v>
      </c>
    </row>
    <row r="433" spans="2:185" s="52" customFormat="1" ht="63.75">
      <c r="B433" s="48">
        <f t="shared" si="646"/>
        <v>426</v>
      </c>
      <c r="C433" s="37"/>
      <c r="D433" s="37"/>
      <c r="E433" s="37"/>
      <c r="F433" s="49" t="s">
        <v>198</v>
      </c>
      <c r="G433" s="39"/>
      <c r="H433" s="40"/>
      <c r="I433" s="42"/>
      <c r="J433" s="42"/>
      <c r="K433" s="42"/>
      <c r="L433" s="42"/>
      <c r="M433" s="63" t="s">
        <v>327</v>
      </c>
      <c r="N433" s="47"/>
      <c r="O433" s="143"/>
      <c r="P433" s="45">
        <f t="shared" si="650"/>
        <v>396</v>
      </c>
      <c r="Q433" s="46">
        <v>256</v>
      </c>
      <c r="R433" s="41" t="str">
        <f t="shared" si="649"/>
        <v>NX</v>
      </c>
      <c r="S433" s="185" t="s">
        <v>199</v>
      </c>
      <c r="T433" s="43"/>
      <c r="U433" s="41" t="s">
        <v>80</v>
      </c>
      <c r="V433" s="44"/>
      <c r="W433" s="22">
        <v>3</v>
      </c>
      <c r="X433" s="47" t="s">
        <v>200</v>
      </c>
      <c r="Y433" s="47">
        <v>1</v>
      </c>
      <c r="Z433" s="47">
        <v>256</v>
      </c>
      <c r="AA433" s="42" t="s">
        <v>195</v>
      </c>
      <c r="AB433" s="42" t="s">
        <v>80</v>
      </c>
      <c r="AC433" s="166"/>
      <c r="AD433" s="160"/>
      <c r="AE433" s="162"/>
      <c r="AF433" s="167" t="str">
        <f t="shared" si="621"/>
        <v xml:space="preserve">                                                                                                                                                                                                                                                                </v>
      </c>
      <c r="AG433" s="174" t="str">
        <f t="shared" si="601"/>
        <v>NG</v>
      </c>
      <c r="AH433" s="162"/>
      <c r="AI433" s="172" t="s">
        <v>71</v>
      </c>
      <c r="AJ433" s="160"/>
      <c r="AK433" s="162"/>
      <c r="AL433" s="167" t="str">
        <f t="shared" si="619"/>
        <v xml:space="preserve">                                                                                                                                                                                                                                                                </v>
      </c>
      <c r="AM433" s="174" t="str">
        <f t="shared" si="648"/>
        <v>NG</v>
      </c>
      <c r="AN433" s="162"/>
      <c r="AO433" s="172" t="s">
        <v>71</v>
      </c>
      <c r="AP433" s="160"/>
      <c r="AQ433" s="162"/>
      <c r="AR433" s="167" t="str">
        <f t="shared" si="622"/>
        <v xml:space="preserve">                                                                                                                                                                                                                                                                </v>
      </c>
      <c r="AS433" s="174" t="str">
        <f t="shared" si="602"/>
        <v>NG</v>
      </c>
      <c r="AT433" s="162"/>
      <c r="AU433" s="172" t="s">
        <v>71</v>
      </c>
      <c r="AV433" s="160"/>
      <c r="AW433" s="162"/>
      <c r="AX433" s="167" t="str">
        <f t="shared" si="623"/>
        <v xml:space="preserve">                                                                                                                                                                                                                                                                </v>
      </c>
      <c r="AY433" s="174" t="str">
        <f t="shared" si="603"/>
        <v>NG</v>
      </c>
      <c r="AZ433" s="162"/>
      <c r="BA433" s="172" t="s">
        <v>71</v>
      </c>
      <c r="BB433" s="160"/>
      <c r="BC433" s="162"/>
      <c r="BD433" s="167" t="str">
        <f t="shared" si="624"/>
        <v xml:space="preserve">                                                                                                                                                                                                                                                                </v>
      </c>
      <c r="BE433" s="174" t="str">
        <f t="shared" si="604"/>
        <v>NG</v>
      </c>
      <c r="BF433" s="162"/>
      <c r="BG433" s="172" t="s">
        <v>71</v>
      </c>
      <c r="BH433" s="160"/>
      <c r="BI433" s="162"/>
      <c r="BJ433" s="167" t="str">
        <f t="shared" si="625"/>
        <v xml:space="preserve">                                                                                                                                                                                                                                                                </v>
      </c>
      <c r="BK433" s="174" t="str">
        <f t="shared" si="605"/>
        <v>NG</v>
      </c>
      <c r="BL433" s="162"/>
      <c r="BM433" s="172" t="s">
        <v>71</v>
      </c>
      <c r="BN433" s="160"/>
      <c r="BO433" s="162"/>
      <c r="BP433" s="167" t="str">
        <f t="shared" si="626"/>
        <v xml:space="preserve">                                                                                                                                                                                                                                                                </v>
      </c>
      <c r="BQ433" s="174" t="str">
        <f t="shared" si="606"/>
        <v>NG</v>
      </c>
      <c r="BR433" s="162"/>
      <c r="BS433" s="172" t="s">
        <v>71</v>
      </c>
      <c r="BT433" s="160"/>
      <c r="BU433" s="162"/>
      <c r="BV433" s="167" t="str">
        <f t="shared" si="627"/>
        <v xml:space="preserve">                                                                                                                                                                                                                                                                </v>
      </c>
      <c r="BW433" s="174" t="str">
        <f t="shared" si="607"/>
        <v>NG</v>
      </c>
      <c r="BX433" s="162"/>
      <c r="BY433" s="172" t="s">
        <v>71</v>
      </c>
      <c r="BZ433" s="160"/>
      <c r="CA433" s="162"/>
      <c r="CB433" s="167" t="str">
        <f t="shared" si="628"/>
        <v xml:space="preserve">                                                                                                                                                                                                                                                                </v>
      </c>
      <c r="CC433" s="174" t="str">
        <f t="shared" si="608"/>
        <v>NG</v>
      </c>
      <c r="CD433" s="162"/>
      <c r="CE433" s="172" t="s">
        <v>71</v>
      </c>
      <c r="CF433" s="160"/>
      <c r="CG433" s="162"/>
      <c r="CH433" s="167" t="str">
        <f t="shared" si="629"/>
        <v xml:space="preserve">                                                                                                                                                                                                                                                                </v>
      </c>
      <c r="CI433" s="174" t="str">
        <f t="shared" si="609"/>
        <v>NG</v>
      </c>
      <c r="CJ433" s="162"/>
      <c r="CK433" s="172" t="s">
        <v>71</v>
      </c>
      <c r="CL433" s="160"/>
      <c r="CM433" s="162"/>
      <c r="CN433" s="167" t="str">
        <f t="shared" si="630"/>
        <v xml:space="preserve">                                                                                                                                                                                                                                                                </v>
      </c>
      <c r="CO433" s="174" t="str">
        <f t="shared" si="610"/>
        <v>NG</v>
      </c>
      <c r="CP433" s="162"/>
      <c r="CQ433" s="172" t="s">
        <v>71</v>
      </c>
      <c r="CR433" s="160"/>
      <c r="CS433" s="162"/>
      <c r="CT433" s="167" t="str">
        <f t="shared" si="631"/>
        <v xml:space="preserve">                                                                                                                                                                                                                                                                </v>
      </c>
      <c r="CU433" s="174" t="str">
        <f t="shared" si="611"/>
        <v>NG</v>
      </c>
      <c r="CV433" s="162"/>
      <c r="CW433" s="172" t="s">
        <v>71</v>
      </c>
      <c r="CX433" s="160"/>
      <c r="CY433" s="162"/>
      <c r="CZ433" s="167" t="str">
        <f t="shared" si="632"/>
        <v xml:space="preserve">                                                                                                                                                                                                                                                                </v>
      </c>
      <c r="DA433" s="174" t="str">
        <f t="shared" si="612"/>
        <v>NG</v>
      </c>
      <c r="DB433" s="162"/>
      <c r="DC433" s="172" t="s">
        <v>71</v>
      </c>
      <c r="DD433" s="160"/>
      <c r="DE433" s="162"/>
      <c r="DF433" s="167" t="str">
        <f t="shared" si="633"/>
        <v xml:space="preserve">                                                                                                                                                                                                                                                                </v>
      </c>
      <c r="DG433" s="174" t="str">
        <f t="shared" si="613"/>
        <v>NG</v>
      </c>
      <c r="DH433" s="162"/>
      <c r="DI433" s="172" t="s">
        <v>71</v>
      </c>
      <c r="DJ433" s="160"/>
      <c r="DK433" s="162"/>
      <c r="DL433" s="167" t="str">
        <f t="shared" si="634"/>
        <v xml:space="preserve">                                                                                                                                                                                                                                                                </v>
      </c>
      <c r="DM433" s="174" t="str">
        <f t="shared" si="614"/>
        <v>NG</v>
      </c>
      <c r="DN433" s="162"/>
      <c r="DO433" s="172" t="s">
        <v>71</v>
      </c>
      <c r="DP433" s="160"/>
      <c r="DQ433" s="162"/>
      <c r="DR433" s="167" t="str">
        <f t="shared" si="635"/>
        <v xml:space="preserve">                                                                                                                                                                                                                                                                </v>
      </c>
      <c r="DS433" s="174" t="str">
        <f t="shared" si="593"/>
        <v>NG</v>
      </c>
      <c r="DT433" s="162"/>
      <c r="DU433" s="172" t="s">
        <v>71</v>
      </c>
      <c r="DV433" s="160"/>
      <c r="DW433" s="162"/>
      <c r="DX433" s="167" t="str">
        <f t="shared" si="636"/>
        <v xml:space="preserve">                                                                                                                                                                                                                                                                </v>
      </c>
      <c r="DY433" s="174" t="str">
        <f t="shared" si="594"/>
        <v>NG</v>
      </c>
      <c r="DZ433" s="162"/>
      <c r="EA433" s="172" t="s">
        <v>71</v>
      </c>
      <c r="EB433" s="160"/>
      <c r="EC433" s="162"/>
      <c r="ED433" s="167" t="str">
        <f t="shared" si="637"/>
        <v xml:space="preserve">                                                                                                                                                                                                                                                                </v>
      </c>
      <c r="EE433" s="174" t="str">
        <f t="shared" si="595"/>
        <v>NG</v>
      </c>
      <c r="EF433" s="162"/>
      <c r="EG433" s="172" t="s">
        <v>71</v>
      </c>
      <c r="EH433" s="160"/>
      <c r="EI433" s="162"/>
      <c r="EJ433" s="167" t="str">
        <f t="shared" si="638"/>
        <v xml:space="preserve">                                                                                                                                                                                                                                                                </v>
      </c>
      <c r="EK433" s="174" t="str">
        <f t="shared" si="596"/>
        <v>NG</v>
      </c>
      <c r="EL433" s="162"/>
      <c r="EM433" s="172" t="s">
        <v>71</v>
      </c>
      <c r="EN433" s="160"/>
      <c r="EO433" s="162"/>
      <c r="EP433" s="167" t="str">
        <f t="shared" si="639"/>
        <v xml:space="preserve">                                                                                                                                                                                                                                                                </v>
      </c>
      <c r="EQ433" s="174" t="str">
        <f t="shared" si="597"/>
        <v>NG</v>
      </c>
      <c r="ER433" s="162"/>
      <c r="ES433" s="172" t="s">
        <v>71</v>
      </c>
      <c r="ET433" s="160"/>
      <c r="EU433" s="162"/>
      <c r="EV433" s="167" t="str">
        <f t="shared" si="640"/>
        <v xml:space="preserve">                                                                                                                                                                                                                                                                </v>
      </c>
      <c r="EW433" s="174" t="str">
        <f t="shared" si="598"/>
        <v>NG</v>
      </c>
      <c r="EX433" s="162"/>
      <c r="EY433" s="172" t="s">
        <v>71</v>
      </c>
      <c r="EZ433" s="160"/>
      <c r="FA433" s="162"/>
      <c r="FB433" s="167" t="str">
        <f t="shared" si="641"/>
        <v xml:space="preserve">                                                                                                                                                                                                                                                                </v>
      </c>
      <c r="FC433" s="174" t="str">
        <f t="shared" si="599"/>
        <v>NG</v>
      </c>
      <c r="FD433" s="162"/>
      <c r="FE433" s="172" t="s">
        <v>71</v>
      </c>
      <c r="FF433" s="160"/>
      <c r="FG433" s="162"/>
      <c r="FH433" s="167" t="str">
        <f t="shared" si="642"/>
        <v xml:space="preserve">                                                                                                                                                                                                                                                                </v>
      </c>
      <c r="FI433" s="174" t="str">
        <f t="shared" si="600"/>
        <v>NG</v>
      </c>
      <c r="FJ433" s="162"/>
      <c r="FK433" s="172" t="s">
        <v>71</v>
      </c>
      <c r="FL433" s="160"/>
      <c r="FM433" s="162"/>
      <c r="FN433" s="167" t="str">
        <f t="shared" si="643"/>
        <v xml:space="preserve">                                                                                                                                                                                                                                                                </v>
      </c>
      <c r="FO433" s="174" t="str">
        <f t="shared" si="615"/>
        <v>NG</v>
      </c>
      <c r="FP433" s="162"/>
      <c r="FQ433" s="172" t="s">
        <v>71</v>
      </c>
      <c r="FR433" s="160"/>
      <c r="FS433" s="162"/>
      <c r="FT433" s="167" t="str">
        <f t="shared" si="644"/>
        <v xml:space="preserve">                                                                                                                                                                                                                                                                </v>
      </c>
      <c r="FU433" s="174" t="str">
        <f t="shared" si="616"/>
        <v>NG</v>
      </c>
      <c r="FV433" s="162"/>
      <c r="FW433" s="172" t="s">
        <v>71</v>
      </c>
      <c r="FX433" s="160"/>
      <c r="FY433" s="162"/>
      <c r="FZ433" s="167" t="str">
        <f t="shared" si="645"/>
        <v xml:space="preserve">                                                                                                                                                                                                                                                                </v>
      </c>
      <c r="GA433" s="174" t="str">
        <f t="shared" si="617"/>
        <v>NG</v>
      </c>
      <c r="GB433" s="162"/>
      <c r="GC433" s="172" t="s">
        <v>71</v>
      </c>
    </row>
    <row r="434" spans="2:185" s="52" customFormat="1" ht="63.75">
      <c r="B434" s="48">
        <f t="shared" si="646"/>
        <v>427</v>
      </c>
      <c r="C434" s="37"/>
      <c r="D434" s="37"/>
      <c r="E434" s="37"/>
      <c r="F434" s="49" t="s">
        <v>201</v>
      </c>
      <c r="G434" s="39"/>
      <c r="H434" s="40"/>
      <c r="I434" s="42"/>
      <c r="J434" s="42"/>
      <c r="K434" s="42"/>
      <c r="L434" s="42"/>
      <c r="M434" s="63" t="s">
        <v>328</v>
      </c>
      <c r="N434" s="47"/>
      <c r="O434" s="143"/>
      <c r="P434" s="45">
        <f t="shared" si="650"/>
        <v>397</v>
      </c>
      <c r="Q434" s="46">
        <v>256</v>
      </c>
      <c r="R434" s="41" t="str">
        <f t="shared" si="649"/>
        <v>NX</v>
      </c>
      <c r="S434" s="185" t="s">
        <v>202</v>
      </c>
      <c r="T434" s="43"/>
      <c r="U434" s="41" t="s">
        <v>80</v>
      </c>
      <c r="V434" s="44"/>
      <c r="W434" s="22">
        <v>3</v>
      </c>
      <c r="X434" s="47" t="s">
        <v>203</v>
      </c>
      <c r="Y434" s="47">
        <v>1</v>
      </c>
      <c r="Z434" s="47">
        <v>256</v>
      </c>
      <c r="AA434" s="42" t="s">
        <v>195</v>
      </c>
      <c r="AB434" s="42" t="s">
        <v>80</v>
      </c>
      <c r="AC434" s="166"/>
      <c r="AD434" s="160"/>
      <c r="AE434" s="162"/>
      <c r="AF434" s="167" t="str">
        <f t="shared" si="621"/>
        <v xml:space="preserve">                                                                                                                                                                                                                                                                </v>
      </c>
      <c r="AG434" s="174" t="str">
        <f t="shared" si="601"/>
        <v>NG</v>
      </c>
      <c r="AH434" s="162"/>
      <c r="AI434" s="172" t="s">
        <v>71</v>
      </c>
      <c r="AJ434" s="160"/>
      <c r="AK434" s="162"/>
      <c r="AL434" s="167" t="str">
        <f t="shared" si="619"/>
        <v xml:space="preserve">                                                                                                                                                                                                                                                                </v>
      </c>
      <c r="AM434" s="174" t="str">
        <f t="shared" si="648"/>
        <v>NG</v>
      </c>
      <c r="AN434" s="162"/>
      <c r="AO434" s="172" t="s">
        <v>71</v>
      </c>
      <c r="AP434" s="160"/>
      <c r="AQ434" s="162"/>
      <c r="AR434" s="167" t="str">
        <f t="shared" si="622"/>
        <v xml:space="preserve">                                                                                                                                                                                                                                                                </v>
      </c>
      <c r="AS434" s="174" t="str">
        <f t="shared" si="602"/>
        <v>NG</v>
      </c>
      <c r="AT434" s="162"/>
      <c r="AU434" s="172" t="s">
        <v>71</v>
      </c>
      <c r="AV434" s="160"/>
      <c r="AW434" s="162"/>
      <c r="AX434" s="167" t="str">
        <f t="shared" si="623"/>
        <v xml:space="preserve">                                                                                                                                                                                                                                                                </v>
      </c>
      <c r="AY434" s="174" t="str">
        <f t="shared" si="603"/>
        <v>NG</v>
      </c>
      <c r="AZ434" s="162"/>
      <c r="BA434" s="172" t="s">
        <v>71</v>
      </c>
      <c r="BB434" s="160"/>
      <c r="BC434" s="162"/>
      <c r="BD434" s="167" t="str">
        <f t="shared" si="624"/>
        <v xml:space="preserve">                                                                                                                                                                                                                                                                </v>
      </c>
      <c r="BE434" s="174" t="str">
        <f t="shared" si="604"/>
        <v>NG</v>
      </c>
      <c r="BF434" s="162"/>
      <c r="BG434" s="172" t="s">
        <v>71</v>
      </c>
      <c r="BH434" s="160"/>
      <c r="BI434" s="162"/>
      <c r="BJ434" s="167" t="str">
        <f t="shared" si="625"/>
        <v xml:space="preserve">                                                                                                                                                                                                                                                                </v>
      </c>
      <c r="BK434" s="174" t="str">
        <f t="shared" si="605"/>
        <v>NG</v>
      </c>
      <c r="BL434" s="162"/>
      <c r="BM434" s="172" t="s">
        <v>71</v>
      </c>
      <c r="BN434" s="160"/>
      <c r="BO434" s="162"/>
      <c r="BP434" s="167" t="str">
        <f t="shared" si="626"/>
        <v xml:space="preserve">                                                                                                                                                                                                                                                                </v>
      </c>
      <c r="BQ434" s="174" t="str">
        <f t="shared" si="606"/>
        <v>NG</v>
      </c>
      <c r="BR434" s="162"/>
      <c r="BS434" s="172" t="s">
        <v>71</v>
      </c>
      <c r="BT434" s="160"/>
      <c r="BU434" s="162"/>
      <c r="BV434" s="167" t="str">
        <f t="shared" si="627"/>
        <v xml:space="preserve">                                                                                                                                                                                                                                                                </v>
      </c>
      <c r="BW434" s="174" t="str">
        <f t="shared" si="607"/>
        <v>NG</v>
      </c>
      <c r="BX434" s="162"/>
      <c r="BY434" s="172" t="s">
        <v>71</v>
      </c>
      <c r="BZ434" s="160"/>
      <c r="CA434" s="162"/>
      <c r="CB434" s="167" t="str">
        <f t="shared" si="628"/>
        <v xml:space="preserve">                                                                                                                                                                                                                                                                </v>
      </c>
      <c r="CC434" s="174" t="str">
        <f t="shared" si="608"/>
        <v>NG</v>
      </c>
      <c r="CD434" s="162"/>
      <c r="CE434" s="172" t="s">
        <v>71</v>
      </c>
      <c r="CF434" s="160"/>
      <c r="CG434" s="162"/>
      <c r="CH434" s="167" t="str">
        <f t="shared" si="629"/>
        <v xml:space="preserve">                                                                                                                                                                                                                                                                </v>
      </c>
      <c r="CI434" s="174" t="str">
        <f t="shared" si="609"/>
        <v>NG</v>
      </c>
      <c r="CJ434" s="162"/>
      <c r="CK434" s="172" t="s">
        <v>71</v>
      </c>
      <c r="CL434" s="160"/>
      <c r="CM434" s="162"/>
      <c r="CN434" s="167" t="str">
        <f t="shared" si="630"/>
        <v xml:space="preserve">                                                                                                                                                                                                                                                                </v>
      </c>
      <c r="CO434" s="174" t="str">
        <f t="shared" si="610"/>
        <v>NG</v>
      </c>
      <c r="CP434" s="162"/>
      <c r="CQ434" s="172" t="s">
        <v>71</v>
      </c>
      <c r="CR434" s="160"/>
      <c r="CS434" s="162"/>
      <c r="CT434" s="167" t="str">
        <f t="shared" si="631"/>
        <v xml:space="preserve">                                                                                                                                                                                                                                                                </v>
      </c>
      <c r="CU434" s="174" t="str">
        <f t="shared" si="611"/>
        <v>NG</v>
      </c>
      <c r="CV434" s="162"/>
      <c r="CW434" s="172" t="s">
        <v>71</v>
      </c>
      <c r="CX434" s="160"/>
      <c r="CY434" s="162"/>
      <c r="CZ434" s="167" t="str">
        <f t="shared" si="632"/>
        <v xml:space="preserve">                                                                                                                                                                                                                                                                </v>
      </c>
      <c r="DA434" s="174" t="str">
        <f t="shared" si="612"/>
        <v>NG</v>
      </c>
      <c r="DB434" s="162"/>
      <c r="DC434" s="172" t="s">
        <v>71</v>
      </c>
      <c r="DD434" s="160"/>
      <c r="DE434" s="162"/>
      <c r="DF434" s="167" t="str">
        <f t="shared" si="633"/>
        <v xml:space="preserve">                                                                                                                                                                                                                                                                </v>
      </c>
      <c r="DG434" s="174" t="str">
        <f t="shared" si="613"/>
        <v>NG</v>
      </c>
      <c r="DH434" s="162"/>
      <c r="DI434" s="172" t="s">
        <v>71</v>
      </c>
      <c r="DJ434" s="160"/>
      <c r="DK434" s="162"/>
      <c r="DL434" s="167" t="str">
        <f t="shared" si="634"/>
        <v xml:space="preserve">                                                                                                                                                                                                                                                                </v>
      </c>
      <c r="DM434" s="174" t="str">
        <f t="shared" si="614"/>
        <v>NG</v>
      </c>
      <c r="DN434" s="162"/>
      <c r="DO434" s="172" t="s">
        <v>71</v>
      </c>
      <c r="DP434" s="160"/>
      <c r="DQ434" s="162"/>
      <c r="DR434" s="167" t="str">
        <f t="shared" si="635"/>
        <v xml:space="preserve">                                                                                                                                                                                                                                                                </v>
      </c>
      <c r="DS434" s="174" t="str">
        <f t="shared" si="593"/>
        <v>NG</v>
      </c>
      <c r="DT434" s="162"/>
      <c r="DU434" s="172" t="s">
        <v>71</v>
      </c>
      <c r="DV434" s="160"/>
      <c r="DW434" s="162"/>
      <c r="DX434" s="167" t="str">
        <f t="shared" si="636"/>
        <v xml:space="preserve">                                                                                                                                                                                                                                                                </v>
      </c>
      <c r="DY434" s="174" t="str">
        <f t="shared" si="594"/>
        <v>NG</v>
      </c>
      <c r="DZ434" s="162"/>
      <c r="EA434" s="172" t="s">
        <v>71</v>
      </c>
      <c r="EB434" s="160"/>
      <c r="EC434" s="162"/>
      <c r="ED434" s="167" t="str">
        <f t="shared" si="637"/>
        <v xml:space="preserve">                                                                                                                                                                                                                                                                </v>
      </c>
      <c r="EE434" s="174" t="str">
        <f t="shared" si="595"/>
        <v>NG</v>
      </c>
      <c r="EF434" s="162"/>
      <c r="EG434" s="172" t="s">
        <v>71</v>
      </c>
      <c r="EH434" s="160"/>
      <c r="EI434" s="162"/>
      <c r="EJ434" s="167" t="str">
        <f t="shared" si="638"/>
        <v xml:space="preserve">                                                                                                                                                                                                                                                                </v>
      </c>
      <c r="EK434" s="174" t="str">
        <f t="shared" si="596"/>
        <v>NG</v>
      </c>
      <c r="EL434" s="162"/>
      <c r="EM434" s="172" t="s">
        <v>71</v>
      </c>
      <c r="EN434" s="160"/>
      <c r="EO434" s="162"/>
      <c r="EP434" s="167" t="str">
        <f t="shared" si="639"/>
        <v xml:space="preserve">                                                                                                                                                                                                                                                                </v>
      </c>
      <c r="EQ434" s="174" t="str">
        <f t="shared" si="597"/>
        <v>NG</v>
      </c>
      <c r="ER434" s="162"/>
      <c r="ES434" s="172" t="s">
        <v>71</v>
      </c>
      <c r="ET434" s="160"/>
      <c r="EU434" s="162"/>
      <c r="EV434" s="167" t="str">
        <f t="shared" si="640"/>
        <v xml:space="preserve">                                                                                                                                                                                                                                                                </v>
      </c>
      <c r="EW434" s="174" t="str">
        <f t="shared" si="598"/>
        <v>NG</v>
      </c>
      <c r="EX434" s="162"/>
      <c r="EY434" s="172" t="s">
        <v>71</v>
      </c>
      <c r="EZ434" s="160"/>
      <c r="FA434" s="162"/>
      <c r="FB434" s="167" t="str">
        <f t="shared" si="641"/>
        <v xml:space="preserve">                                                                                                                                                                                                                                                                </v>
      </c>
      <c r="FC434" s="174" t="str">
        <f t="shared" si="599"/>
        <v>NG</v>
      </c>
      <c r="FD434" s="162"/>
      <c r="FE434" s="172" t="s">
        <v>71</v>
      </c>
      <c r="FF434" s="160"/>
      <c r="FG434" s="162"/>
      <c r="FH434" s="167" t="str">
        <f t="shared" si="642"/>
        <v xml:space="preserve">                                                                                                                                                                                                                                                                </v>
      </c>
      <c r="FI434" s="174" t="str">
        <f t="shared" si="600"/>
        <v>NG</v>
      </c>
      <c r="FJ434" s="162"/>
      <c r="FK434" s="172" t="s">
        <v>71</v>
      </c>
      <c r="FL434" s="160"/>
      <c r="FM434" s="162"/>
      <c r="FN434" s="167" t="str">
        <f t="shared" si="643"/>
        <v xml:space="preserve">                                                                                                                                                                                                                                                                </v>
      </c>
      <c r="FO434" s="174" t="str">
        <f t="shared" si="615"/>
        <v>NG</v>
      </c>
      <c r="FP434" s="162"/>
      <c r="FQ434" s="172" t="s">
        <v>71</v>
      </c>
      <c r="FR434" s="160"/>
      <c r="FS434" s="162"/>
      <c r="FT434" s="167" t="str">
        <f t="shared" si="644"/>
        <v xml:space="preserve">                                                                                                                                                                                                                                                                </v>
      </c>
      <c r="FU434" s="174" t="str">
        <f t="shared" si="616"/>
        <v>NG</v>
      </c>
      <c r="FV434" s="162"/>
      <c r="FW434" s="172" t="s">
        <v>71</v>
      </c>
      <c r="FX434" s="160"/>
      <c r="FY434" s="162"/>
      <c r="FZ434" s="167" t="str">
        <f t="shared" si="645"/>
        <v xml:space="preserve">                                                                                                                                                                                                                                                                </v>
      </c>
      <c r="GA434" s="174" t="str">
        <f t="shared" si="617"/>
        <v>NG</v>
      </c>
      <c r="GB434" s="162"/>
      <c r="GC434" s="172" t="s">
        <v>71</v>
      </c>
    </row>
    <row r="435" spans="2:185" s="52" customFormat="1" ht="69" customHeight="1">
      <c r="B435" s="53">
        <f t="shared" si="646"/>
        <v>428</v>
      </c>
      <c r="C435" s="37"/>
      <c r="D435" s="37"/>
      <c r="E435" s="37"/>
      <c r="F435" s="188" t="s">
        <v>329</v>
      </c>
      <c r="G435" s="39"/>
      <c r="H435" s="40"/>
      <c r="I435" s="42"/>
      <c r="J435" s="42" t="s">
        <v>316</v>
      </c>
      <c r="K435" s="42"/>
      <c r="L435" s="42"/>
      <c r="M435" s="63" t="s">
        <v>330</v>
      </c>
      <c r="N435" s="47"/>
      <c r="O435" s="143"/>
      <c r="P435" s="45">
        <f t="shared" si="650"/>
        <v>398</v>
      </c>
      <c r="Q435" s="46">
        <v>1</v>
      </c>
      <c r="R435" s="41" t="s">
        <v>81</v>
      </c>
      <c r="S435" s="185" t="s">
        <v>204</v>
      </c>
      <c r="T435" s="43"/>
      <c r="U435" s="41" t="s">
        <v>80</v>
      </c>
      <c r="V435" s="44"/>
      <c r="W435" s="22">
        <v>3</v>
      </c>
      <c r="X435" s="47" t="s">
        <v>205</v>
      </c>
      <c r="Y435" s="47">
        <v>1</v>
      </c>
      <c r="Z435" s="47">
        <v>1</v>
      </c>
      <c r="AA435" s="42">
        <v>9</v>
      </c>
      <c r="AB435" s="42" t="s">
        <v>57</v>
      </c>
      <c r="AC435" s="166"/>
      <c r="AD435" s="160"/>
      <c r="AE435" s="162"/>
      <c r="AF435" s="203" t="str">
        <f t="shared" si="621"/>
        <v xml:space="preserve"> </v>
      </c>
      <c r="AG435" s="174" t="str">
        <f t="shared" si="601"/>
        <v>NG</v>
      </c>
      <c r="AH435" s="162"/>
      <c r="AI435" s="276" t="str">
        <f>IF(OR(AE$8="判定対象外",AH$8="判定対象外",AH435="-"),"-",IF(AE435=AH435,"OK","NG"))</f>
        <v>OK</v>
      </c>
      <c r="AJ435" s="160"/>
      <c r="AK435" s="162"/>
      <c r="AL435" s="203" t="str">
        <f t="shared" si="619"/>
        <v xml:space="preserve"> </v>
      </c>
      <c r="AM435" s="174" t="str">
        <f t="shared" si="648"/>
        <v>NG</v>
      </c>
      <c r="AN435" s="162"/>
      <c r="AO435" s="276" t="str">
        <f>IF(OR(AK$8="判定対象外",AN$8="判定対象外",AN435="-"),"-",IF(AK435=AN435,"OK","NG"))</f>
        <v>OK</v>
      </c>
      <c r="AP435" s="160"/>
      <c r="AQ435" s="162"/>
      <c r="AR435" s="203" t="str">
        <f t="shared" si="622"/>
        <v xml:space="preserve"> </v>
      </c>
      <c r="AS435" s="174" t="str">
        <f t="shared" si="602"/>
        <v>NG</v>
      </c>
      <c r="AT435" s="162"/>
      <c r="AU435" s="276" t="str">
        <f>IF(OR(AQ$8="判定対象外",AT$8="判定対象外",AT435="-"),"-",IF(AQ435=AT435,"OK","NG"))</f>
        <v>OK</v>
      </c>
      <c r="AV435" s="160"/>
      <c r="AW435" s="162"/>
      <c r="AX435" s="203" t="str">
        <f t="shared" si="623"/>
        <v xml:space="preserve"> </v>
      </c>
      <c r="AY435" s="174" t="str">
        <f t="shared" si="603"/>
        <v>NG</v>
      </c>
      <c r="AZ435" s="162"/>
      <c r="BA435" s="276" t="str">
        <f>IF(OR(AW$8="判定対象外",AZ$8="判定対象外",AZ435="-"),"-",IF(AW435=AZ435,"OK","NG"))</f>
        <v>OK</v>
      </c>
      <c r="BB435" s="160"/>
      <c r="BC435" s="162"/>
      <c r="BD435" s="203" t="str">
        <f t="shared" si="624"/>
        <v xml:space="preserve"> </v>
      </c>
      <c r="BE435" s="174" t="str">
        <f t="shared" si="604"/>
        <v>NG</v>
      </c>
      <c r="BF435" s="162"/>
      <c r="BG435" s="276" t="str">
        <f>IF(OR(BC$8="判定対象外",BF$8="判定対象外",BF435="-"),"-",IF(BC435=BF435,"OK","NG"))</f>
        <v>OK</v>
      </c>
      <c r="BH435" s="160"/>
      <c r="BI435" s="162"/>
      <c r="BJ435" s="203" t="str">
        <f t="shared" si="625"/>
        <v xml:space="preserve"> </v>
      </c>
      <c r="BK435" s="174" t="str">
        <f t="shared" si="605"/>
        <v>NG</v>
      </c>
      <c r="BL435" s="162"/>
      <c r="BM435" s="276" t="str">
        <f>IF(OR(BI$8="判定対象外",BL$8="判定対象外",BL435="-"),"-",IF(BI435=BL435,"OK","NG"))</f>
        <v>OK</v>
      </c>
      <c r="BN435" s="160"/>
      <c r="BO435" s="162"/>
      <c r="BP435" s="203" t="str">
        <f t="shared" si="626"/>
        <v xml:space="preserve"> </v>
      </c>
      <c r="BQ435" s="174" t="str">
        <f t="shared" si="606"/>
        <v>NG</v>
      </c>
      <c r="BR435" s="162"/>
      <c r="BS435" s="276" t="str">
        <f>IF(OR(BO$8="判定対象外",BR$8="判定対象外",BR435="-"),"-",IF(BO435=BR435,"OK","NG"))</f>
        <v>OK</v>
      </c>
      <c r="BT435" s="160"/>
      <c r="BU435" s="162"/>
      <c r="BV435" s="203" t="str">
        <f t="shared" si="627"/>
        <v xml:space="preserve"> </v>
      </c>
      <c r="BW435" s="174" t="str">
        <f t="shared" si="607"/>
        <v>NG</v>
      </c>
      <c r="BX435" s="162"/>
      <c r="BY435" s="276" t="str">
        <f>IF(OR(BU$8="判定対象外",BX$8="判定対象外",BX435="-"),"-",IF(BU435=BX435,"OK","NG"))</f>
        <v>OK</v>
      </c>
      <c r="BZ435" s="160"/>
      <c r="CA435" s="162"/>
      <c r="CB435" s="203" t="str">
        <f t="shared" si="628"/>
        <v xml:space="preserve"> </v>
      </c>
      <c r="CC435" s="174" t="str">
        <f t="shared" si="608"/>
        <v>NG</v>
      </c>
      <c r="CD435" s="162"/>
      <c r="CE435" s="276" t="str">
        <f>IF(OR(CA$8="判定対象外",CD$8="判定対象外",CD435="-"),"-",IF(CA435=CD435,"OK","NG"))</f>
        <v>OK</v>
      </c>
      <c r="CF435" s="160"/>
      <c r="CG435" s="162"/>
      <c r="CH435" s="203" t="str">
        <f t="shared" si="629"/>
        <v xml:space="preserve"> </v>
      </c>
      <c r="CI435" s="174" t="str">
        <f t="shared" si="609"/>
        <v>NG</v>
      </c>
      <c r="CJ435" s="162"/>
      <c r="CK435" s="276" t="str">
        <f>IF(OR(CG$8="判定対象外",CJ$8="判定対象外",CJ435="-"),"-",IF(CG435=CJ435,"OK","NG"))</f>
        <v>OK</v>
      </c>
      <c r="CL435" s="160"/>
      <c r="CM435" s="162"/>
      <c r="CN435" s="203" t="str">
        <f t="shared" si="630"/>
        <v xml:space="preserve"> </v>
      </c>
      <c r="CO435" s="174" t="str">
        <f t="shared" si="610"/>
        <v>NG</v>
      </c>
      <c r="CP435" s="162"/>
      <c r="CQ435" s="276" t="str">
        <f>IF(OR(CM$8="判定対象外",CP$8="判定対象外",CP435="-"),"-",IF(CM435=CP435,"OK","NG"))</f>
        <v>OK</v>
      </c>
      <c r="CR435" s="160"/>
      <c r="CS435" s="162"/>
      <c r="CT435" s="203" t="str">
        <f t="shared" si="631"/>
        <v xml:space="preserve"> </v>
      </c>
      <c r="CU435" s="174" t="str">
        <f t="shared" si="611"/>
        <v>NG</v>
      </c>
      <c r="CV435" s="162"/>
      <c r="CW435" s="276" t="str">
        <f>IF(OR(CS$8="判定対象外",CV$8="判定対象外",CV435="-"),"-",IF(CS435=CV435,"OK","NG"))</f>
        <v>OK</v>
      </c>
      <c r="CX435" s="160"/>
      <c r="CY435" s="162"/>
      <c r="CZ435" s="203" t="str">
        <f t="shared" si="632"/>
        <v xml:space="preserve"> </v>
      </c>
      <c r="DA435" s="174" t="str">
        <f t="shared" si="612"/>
        <v>NG</v>
      </c>
      <c r="DB435" s="162"/>
      <c r="DC435" s="276" t="str">
        <f>IF(OR(CY$8="判定対象外",DB$8="判定対象外",DB435="-"),"-",IF(CY435=DB435,"OK","NG"))</f>
        <v>OK</v>
      </c>
      <c r="DD435" s="160"/>
      <c r="DE435" s="162"/>
      <c r="DF435" s="203" t="str">
        <f t="shared" si="633"/>
        <v xml:space="preserve"> </v>
      </c>
      <c r="DG435" s="174" t="str">
        <f t="shared" si="613"/>
        <v>NG</v>
      </c>
      <c r="DH435" s="162"/>
      <c r="DI435" s="276" t="str">
        <f>IF(OR(DE$8="判定対象外",DH$8="判定対象外",DH435="-"),"-",IF(DE435=DH435,"OK","NG"))</f>
        <v>OK</v>
      </c>
      <c r="DJ435" s="160"/>
      <c r="DK435" s="162"/>
      <c r="DL435" s="203" t="str">
        <f t="shared" si="634"/>
        <v xml:space="preserve"> </v>
      </c>
      <c r="DM435" s="174" t="str">
        <f t="shared" si="614"/>
        <v>NG</v>
      </c>
      <c r="DN435" s="162"/>
      <c r="DO435" s="276" t="str">
        <f>IF(OR(DK$8="判定対象外",DN$8="判定対象外",DN435="-"),"-",IF(DK435=DN435,"OK","NG"))</f>
        <v>OK</v>
      </c>
      <c r="DP435" s="160"/>
      <c r="DQ435" s="162"/>
      <c r="DR435" s="203" t="str">
        <f t="shared" si="635"/>
        <v xml:space="preserve"> </v>
      </c>
      <c r="DS435" s="174" t="str">
        <f t="shared" si="593"/>
        <v>NG</v>
      </c>
      <c r="DT435" s="162"/>
      <c r="DU435" s="276" t="str">
        <f>IF(OR(DQ$8="判定対象外",DT$8="判定対象外",DT435="-"),"-",IF(DQ435=DT435,"OK","NG"))</f>
        <v>OK</v>
      </c>
      <c r="DV435" s="160"/>
      <c r="DW435" s="162"/>
      <c r="DX435" s="203" t="str">
        <f t="shared" si="636"/>
        <v xml:space="preserve"> </v>
      </c>
      <c r="DY435" s="174" t="str">
        <f t="shared" si="594"/>
        <v>NG</v>
      </c>
      <c r="DZ435" s="162"/>
      <c r="EA435" s="276" t="str">
        <f>IF(OR(DW$8="判定対象外",DZ$8="判定対象外",DZ435="-"),"-",IF(DW435=DZ435,"OK","NG"))</f>
        <v>OK</v>
      </c>
      <c r="EB435" s="160"/>
      <c r="EC435" s="162"/>
      <c r="ED435" s="203" t="str">
        <f t="shared" si="637"/>
        <v xml:space="preserve"> </v>
      </c>
      <c r="EE435" s="174" t="str">
        <f t="shared" si="595"/>
        <v>NG</v>
      </c>
      <c r="EF435" s="162"/>
      <c r="EG435" s="276" t="str">
        <f>IF(OR(EC$8="判定対象外",EF$8="判定対象外",EF435="-"),"-",IF(EC435=EF435,"OK","NG"))</f>
        <v>OK</v>
      </c>
      <c r="EH435" s="160"/>
      <c r="EI435" s="162"/>
      <c r="EJ435" s="203" t="str">
        <f t="shared" si="638"/>
        <v xml:space="preserve"> </v>
      </c>
      <c r="EK435" s="174" t="str">
        <f t="shared" si="596"/>
        <v>NG</v>
      </c>
      <c r="EL435" s="162"/>
      <c r="EM435" s="276" t="str">
        <f>IF(OR(EI$8="判定対象外",EL$8="判定対象外",EL435="-"),"-",IF(EI435=EL435,"OK","NG"))</f>
        <v>OK</v>
      </c>
      <c r="EN435" s="160"/>
      <c r="EO435" s="162"/>
      <c r="EP435" s="203" t="str">
        <f t="shared" si="639"/>
        <v xml:space="preserve"> </v>
      </c>
      <c r="EQ435" s="174" t="str">
        <f t="shared" si="597"/>
        <v>NG</v>
      </c>
      <c r="ER435" s="162"/>
      <c r="ES435" s="276" t="str">
        <f>IF(OR(EO$8="判定対象外",ER$8="判定対象外",ER435="-"),"-",IF(EO435=ER435,"OK","NG"))</f>
        <v>OK</v>
      </c>
      <c r="ET435" s="160"/>
      <c r="EU435" s="162"/>
      <c r="EV435" s="203" t="str">
        <f t="shared" si="640"/>
        <v xml:space="preserve"> </v>
      </c>
      <c r="EW435" s="174" t="str">
        <f t="shared" si="598"/>
        <v>NG</v>
      </c>
      <c r="EX435" s="162"/>
      <c r="EY435" s="276" t="str">
        <f>IF(OR(EU$8="判定対象外",EX$8="判定対象外",EX435="-"),"-",IF(EU435=EX435,"OK","NG"))</f>
        <v>OK</v>
      </c>
      <c r="EZ435" s="160"/>
      <c r="FA435" s="162"/>
      <c r="FB435" s="203" t="str">
        <f t="shared" si="641"/>
        <v xml:space="preserve"> </v>
      </c>
      <c r="FC435" s="174" t="str">
        <f t="shared" si="599"/>
        <v>NG</v>
      </c>
      <c r="FD435" s="162"/>
      <c r="FE435" s="276" t="str">
        <f>IF(OR(FA$8="判定対象外",FD$8="判定対象外",FD435="-"),"-",IF(FA435=FD435,"OK","NG"))</f>
        <v>OK</v>
      </c>
      <c r="FF435" s="160"/>
      <c r="FG435" s="162"/>
      <c r="FH435" s="203" t="str">
        <f t="shared" si="642"/>
        <v xml:space="preserve"> </v>
      </c>
      <c r="FI435" s="174" t="str">
        <f t="shared" si="600"/>
        <v>NG</v>
      </c>
      <c r="FJ435" s="162"/>
      <c r="FK435" s="276" t="str">
        <f>IF(OR(FG$8="判定対象外",FJ$8="判定対象外",FJ435="-"),"-",IF(FG435=FJ435,"OK","NG"))</f>
        <v>OK</v>
      </c>
      <c r="FL435" s="160"/>
      <c r="FM435" s="162"/>
      <c r="FN435" s="203" t="str">
        <f t="shared" si="643"/>
        <v xml:space="preserve"> </v>
      </c>
      <c r="FO435" s="174" t="str">
        <f t="shared" si="615"/>
        <v>NG</v>
      </c>
      <c r="FP435" s="162"/>
      <c r="FQ435" s="276" t="str">
        <f>IF(OR(FM$8="判定対象外",FP$8="判定対象外",FP435="-"),"-",IF(FM435=FP435,"OK","NG"))</f>
        <v>OK</v>
      </c>
      <c r="FR435" s="160"/>
      <c r="FS435" s="162"/>
      <c r="FT435" s="203" t="str">
        <f t="shared" si="644"/>
        <v xml:space="preserve"> </v>
      </c>
      <c r="FU435" s="174" t="str">
        <f t="shared" si="616"/>
        <v>NG</v>
      </c>
      <c r="FV435" s="162"/>
      <c r="FW435" s="276" t="str">
        <f>IF(OR(FS$8="判定対象外",FV$8="判定対象外",FV435="-"),"-",IF(FS435=FV435,"OK","NG"))</f>
        <v>OK</v>
      </c>
      <c r="FX435" s="160"/>
      <c r="FY435" s="162"/>
      <c r="FZ435" s="203" t="str">
        <f t="shared" si="645"/>
        <v xml:space="preserve"> </v>
      </c>
      <c r="GA435" s="174" t="str">
        <f t="shared" si="617"/>
        <v>NG</v>
      </c>
      <c r="GB435" s="162"/>
      <c r="GC435" s="276" t="str">
        <f>IF(OR(FY$8="判定対象外",GB$8="判定対象外",GB435="-"),"-",IF(FY435=GB435,"OK","NG"))</f>
        <v>OK</v>
      </c>
    </row>
    <row r="436" spans="2:185" s="52" customFormat="1" ht="114.75">
      <c r="B436" s="48">
        <f t="shared" si="646"/>
        <v>429</v>
      </c>
      <c r="C436" s="37"/>
      <c r="D436" s="37"/>
      <c r="E436" s="37"/>
      <c r="F436" s="49" t="s">
        <v>206</v>
      </c>
      <c r="G436" s="39"/>
      <c r="H436" s="40"/>
      <c r="I436" s="42"/>
      <c r="J436" s="42"/>
      <c r="K436" s="42"/>
      <c r="L436" s="42"/>
      <c r="M436" s="163" t="s">
        <v>331</v>
      </c>
      <c r="N436" s="47"/>
      <c r="O436" s="143"/>
      <c r="P436" s="45">
        <f t="shared" si="650"/>
        <v>399</v>
      </c>
      <c r="Q436" s="46">
        <v>1</v>
      </c>
      <c r="R436" s="41" t="s">
        <v>81</v>
      </c>
      <c r="S436" s="185" t="s">
        <v>207</v>
      </c>
      <c r="T436" s="43"/>
      <c r="U436" s="41" t="s">
        <v>80</v>
      </c>
      <c r="V436" s="44"/>
      <c r="W436" s="22">
        <v>3</v>
      </c>
      <c r="X436" s="47" t="s">
        <v>98</v>
      </c>
      <c r="Y436" s="47">
        <v>1</v>
      </c>
      <c r="Z436" s="47">
        <v>1</v>
      </c>
      <c r="AA436" s="42">
        <v>9</v>
      </c>
      <c r="AB436" s="42" t="s">
        <v>57</v>
      </c>
      <c r="AC436" s="215"/>
      <c r="AD436" s="160"/>
      <c r="AE436" s="162"/>
      <c r="AF436" s="203" t="str">
        <f t="shared" si="621"/>
        <v xml:space="preserve"> </v>
      </c>
      <c r="AG436" s="174" t="str">
        <f t="shared" si="601"/>
        <v>NG</v>
      </c>
      <c r="AH436" s="162"/>
      <c r="AI436" s="172" t="s">
        <v>71</v>
      </c>
      <c r="AJ436" s="160"/>
      <c r="AK436" s="162"/>
      <c r="AL436" s="203" t="str">
        <f t="shared" si="619"/>
        <v xml:space="preserve"> </v>
      </c>
      <c r="AM436" s="174" t="str">
        <f t="shared" si="648"/>
        <v>NG</v>
      </c>
      <c r="AN436" s="162"/>
      <c r="AO436" s="172" t="s">
        <v>71</v>
      </c>
      <c r="AP436" s="160"/>
      <c r="AQ436" s="162"/>
      <c r="AR436" s="203" t="str">
        <f t="shared" si="622"/>
        <v xml:space="preserve"> </v>
      </c>
      <c r="AS436" s="174" t="str">
        <f t="shared" si="602"/>
        <v>NG</v>
      </c>
      <c r="AT436" s="162"/>
      <c r="AU436" s="172" t="s">
        <v>71</v>
      </c>
      <c r="AV436" s="160"/>
      <c r="AW436" s="162"/>
      <c r="AX436" s="203" t="str">
        <f t="shared" si="623"/>
        <v xml:space="preserve"> </v>
      </c>
      <c r="AY436" s="174" t="str">
        <f t="shared" si="603"/>
        <v>NG</v>
      </c>
      <c r="AZ436" s="162"/>
      <c r="BA436" s="172" t="s">
        <v>71</v>
      </c>
      <c r="BB436" s="160"/>
      <c r="BC436" s="162"/>
      <c r="BD436" s="203" t="str">
        <f t="shared" si="624"/>
        <v xml:space="preserve"> </v>
      </c>
      <c r="BE436" s="174" t="str">
        <f t="shared" si="604"/>
        <v>NG</v>
      </c>
      <c r="BF436" s="162"/>
      <c r="BG436" s="172" t="s">
        <v>71</v>
      </c>
      <c r="BH436" s="160"/>
      <c r="BI436" s="162"/>
      <c r="BJ436" s="203" t="str">
        <f t="shared" si="625"/>
        <v xml:space="preserve"> </v>
      </c>
      <c r="BK436" s="174" t="str">
        <f t="shared" si="605"/>
        <v>NG</v>
      </c>
      <c r="BL436" s="162"/>
      <c r="BM436" s="172" t="s">
        <v>71</v>
      </c>
      <c r="BN436" s="160"/>
      <c r="BO436" s="162"/>
      <c r="BP436" s="203" t="str">
        <f t="shared" si="626"/>
        <v xml:space="preserve"> </v>
      </c>
      <c r="BQ436" s="174" t="str">
        <f t="shared" si="606"/>
        <v>NG</v>
      </c>
      <c r="BR436" s="162"/>
      <c r="BS436" s="172" t="s">
        <v>71</v>
      </c>
      <c r="BT436" s="160"/>
      <c r="BU436" s="162"/>
      <c r="BV436" s="203" t="str">
        <f t="shared" si="627"/>
        <v xml:space="preserve"> </v>
      </c>
      <c r="BW436" s="174" t="str">
        <f t="shared" si="607"/>
        <v>NG</v>
      </c>
      <c r="BX436" s="162"/>
      <c r="BY436" s="172" t="s">
        <v>71</v>
      </c>
      <c r="BZ436" s="160"/>
      <c r="CA436" s="162"/>
      <c r="CB436" s="203" t="str">
        <f t="shared" si="628"/>
        <v xml:space="preserve"> </v>
      </c>
      <c r="CC436" s="174" t="str">
        <f t="shared" si="608"/>
        <v>NG</v>
      </c>
      <c r="CD436" s="162"/>
      <c r="CE436" s="172" t="s">
        <v>71</v>
      </c>
      <c r="CF436" s="160"/>
      <c r="CG436" s="162"/>
      <c r="CH436" s="203" t="str">
        <f t="shared" si="629"/>
        <v xml:space="preserve"> </v>
      </c>
      <c r="CI436" s="174" t="str">
        <f t="shared" si="609"/>
        <v>NG</v>
      </c>
      <c r="CJ436" s="162"/>
      <c r="CK436" s="172" t="s">
        <v>71</v>
      </c>
      <c r="CL436" s="160"/>
      <c r="CM436" s="162"/>
      <c r="CN436" s="203" t="str">
        <f t="shared" si="630"/>
        <v xml:space="preserve"> </v>
      </c>
      <c r="CO436" s="174" t="str">
        <f t="shared" si="610"/>
        <v>NG</v>
      </c>
      <c r="CP436" s="162"/>
      <c r="CQ436" s="172" t="s">
        <v>71</v>
      </c>
      <c r="CR436" s="160"/>
      <c r="CS436" s="162"/>
      <c r="CT436" s="203" t="str">
        <f t="shared" si="631"/>
        <v xml:space="preserve"> </v>
      </c>
      <c r="CU436" s="174" t="str">
        <f t="shared" si="611"/>
        <v>NG</v>
      </c>
      <c r="CV436" s="162"/>
      <c r="CW436" s="172" t="s">
        <v>71</v>
      </c>
      <c r="CX436" s="160"/>
      <c r="CY436" s="162"/>
      <c r="CZ436" s="203" t="str">
        <f t="shared" si="632"/>
        <v xml:space="preserve"> </v>
      </c>
      <c r="DA436" s="174" t="str">
        <f t="shared" si="612"/>
        <v>NG</v>
      </c>
      <c r="DB436" s="162"/>
      <c r="DC436" s="172" t="s">
        <v>71</v>
      </c>
      <c r="DD436" s="160"/>
      <c r="DE436" s="162"/>
      <c r="DF436" s="203" t="str">
        <f t="shared" si="633"/>
        <v xml:space="preserve"> </v>
      </c>
      <c r="DG436" s="174" t="str">
        <f t="shared" si="613"/>
        <v>NG</v>
      </c>
      <c r="DH436" s="162"/>
      <c r="DI436" s="172" t="s">
        <v>71</v>
      </c>
      <c r="DJ436" s="160"/>
      <c r="DK436" s="162"/>
      <c r="DL436" s="203" t="str">
        <f t="shared" si="634"/>
        <v xml:space="preserve"> </v>
      </c>
      <c r="DM436" s="174" t="str">
        <f t="shared" si="614"/>
        <v>NG</v>
      </c>
      <c r="DN436" s="162"/>
      <c r="DO436" s="172" t="s">
        <v>71</v>
      </c>
      <c r="DP436" s="160"/>
      <c r="DQ436" s="162"/>
      <c r="DR436" s="203" t="str">
        <f t="shared" si="635"/>
        <v xml:space="preserve"> </v>
      </c>
      <c r="DS436" s="174" t="str">
        <f t="shared" si="593"/>
        <v>NG</v>
      </c>
      <c r="DT436" s="162"/>
      <c r="DU436" s="172" t="s">
        <v>71</v>
      </c>
      <c r="DV436" s="160"/>
      <c r="DW436" s="162"/>
      <c r="DX436" s="203" t="str">
        <f t="shared" si="636"/>
        <v xml:space="preserve"> </v>
      </c>
      <c r="DY436" s="174" t="str">
        <f t="shared" si="594"/>
        <v>NG</v>
      </c>
      <c r="DZ436" s="162"/>
      <c r="EA436" s="172" t="s">
        <v>71</v>
      </c>
      <c r="EB436" s="160"/>
      <c r="EC436" s="162"/>
      <c r="ED436" s="203" t="str">
        <f t="shared" si="637"/>
        <v xml:space="preserve"> </v>
      </c>
      <c r="EE436" s="174" t="str">
        <f t="shared" si="595"/>
        <v>NG</v>
      </c>
      <c r="EF436" s="162"/>
      <c r="EG436" s="172" t="s">
        <v>71</v>
      </c>
      <c r="EH436" s="160"/>
      <c r="EI436" s="162"/>
      <c r="EJ436" s="203" t="str">
        <f t="shared" si="638"/>
        <v xml:space="preserve"> </v>
      </c>
      <c r="EK436" s="174" t="str">
        <f t="shared" si="596"/>
        <v>NG</v>
      </c>
      <c r="EL436" s="162"/>
      <c r="EM436" s="172" t="s">
        <v>71</v>
      </c>
      <c r="EN436" s="160"/>
      <c r="EO436" s="162"/>
      <c r="EP436" s="203" t="str">
        <f t="shared" si="639"/>
        <v xml:space="preserve"> </v>
      </c>
      <c r="EQ436" s="174" t="str">
        <f t="shared" si="597"/>
        <v>NG</v>
      </c>
      <c r="ER436" s="162"/>
      <c r="ES436" s="172" t="s">
        <v>71</v>
      </c>
      <c r="ET436" s="160"/>
      <c r="EU436" s="162"/>
      <c r="EV436" s="203" t="str">
        <f t="shared" si="640"/>
        <v xml:space="preserve"> </v>
      </c>
      <c r="EW436" s="174" t="str">
        <f t="shared" si="598"/>
        <v>NG</v>
      </c>
      <c r="EX436" s="162"/>
      <c r="EY436" s="172" t="s">
        <v>71</v>
      </c>
      <c r="EZ436" s="160"/>
      <c r="FA436" s="162"/>
      <c r="FB436" s="203" t="str">
        <f t="shared" si="641"/>
        <v xml:space="preserve"> </v>
      </c>
      <c r="FC436" s="174" t="str">
        <f t="shared" si="599"/>
        <v>NG</v>
      </c>
      <c r="FD436" s="162"/>
      <c r="FE436" s="172" t="s">
        <v>71</v>
      </c>
      <c r="FF436" s="160"/>
      <c r="FG436" s="162"/>
      <c r="FH436" s="203" t="str">
        <f t="shared" si="642"/>
        <v xml:space="preserve"> </v>
      </c>
      <c r="FI436" s="174" t="str">
        <f t="shared" si="600"/>
        <v>NG</v>
      </c>
      <c r="FJ436" s="162"/>
      <c r="FK436" s="172" t="s">
        <v>71</v>
      </c>
      <c r="FL436" s="160"/>
      <c r="FM436" s="162"/>
      <c r="FN436" s="203" t="str">
        <f t="shared" si="643"/>
        <v xml:space="preserve"> </v>
      </c>
      <c r="FO436" s="174" t="str">
        <f t="shared" si="615"/>
        <v>NG</v>
      </c>
      <c r="FP436" s="162"/>
      <c r="FQ436" s="172" t="s">
        <v>71</v>
      </c>
      <c r="FR436" s="160"/>
      <c r="FS436" s="162"/>
      <c r="FT436" s="203" t="str">
        <f t="shared" si="644"/>
        <v xml:space="preserve"> </v>
      </c>
      <c r="FU436" s="174" t="str">
        <f t="shared" si="616"/>
        <v>NG</v>
      </c>
      <c r="FV436" s="162"/>
      <c r="FW436" s="172" t="s">
        <v>71</v>
      </c>
      <c r="FX436" s="160"/>
      <c r="FY436" s="162"/>
      <c r="FZ436" s="203" t="str">
        <f t="shared" si="645"/>
        <v xml:space="preserve"> </v>
      </c>
      <c r="GA436" s="174" t="str">
        <f t="shared" si="617"/>
        <v>NG</v>
      </c>
      <c r="GB436" s="162"/>
      <c r="GC436" s="172" t="s">
        <v>71</v>
      </c>
    </row>
    <row r="437" spans="2:185" s="52" customFormat="1" ht="126.75" customHeight="1">
      <c r="B437" s="216">
        <f t="shared" si="646"/>
        <v>430</v>
      </c>
      <c r="C437" s="37"/>
      <c r="D437" s="37"/>
      <c r="E437" s="37"/>
      <c r="F437" s="188" t="s">
        <v>332</v>
      </c>
      <c r="G437" s="39"/>
      <c r="H437" s="40"/>
      <c r="I437" s="42"/>
      <c r="J437" s="42"/>
      <c r="K437" s="42"/>
      <c r="L437" s="42"/>
      <c r="M437" s="63" t="s">
        <v>333</v>
      </c>
      <c r="N437" s="47"/>
      <c r="O437" s="143"/>
      <c r="P437" s="45">
        <f t="shared" si="650"/>
        <v>400</v>
      </c>
      <c r="Q437" s="46">
        <v>1</v>
      </c>
      <c r="R437" s="41" t="str">
        <f t="shared" ref="R437:R454" si="651">IF(AA437="M","NX",AA437)</f>
        <v>X</v>
      </c>
      <c r="S437" s="185" t="s">
        <v>208</v>
      </c>
      <c r="T437" s="43"/>
      <c r="U437" s="41" t="s">
        <v>80</v>
      </c>
      <c r="V437" s="44"/>
      <c r="W437" s="22">
        <v>3</v>
      </c>
      <c r="X437" s="47" t="s">
        <v>209</v>
      </c>
      <c r="Y437" s="47">
        <v>1</v>
      </c>
      <c r="Z437" s="47">
        <v>1</v>
      </c>
      <c r="AA437" s="42" t="s">
        <v>81</v>
      </c>
      <c r="AB437" s="42" t="s">
        <v>80</v>
      </c>
      <c r="AC437" s="166"/>
      <c r="AD437" s="160"/>
      <c r="AE437" s="162"/>
      <c r="AF437" s="203" t="str">
        <f t="shared" si="621"/>
        <v xml:space="preserve"> </v>
      </c>
      <c r="AG437" s="174" t="str">
        <f t="shared" si="601"/>
        <v>NG</v>
      </c>
      <c r="AH437" s="162"/>
      <c r="AI437" s="276" t="str">
        <f>IF(OR(AE$8="判定対象外",AH$8="判定対象外",AH437="-"),"-",IF(AE437=AH437,"OK","NG"))</f>
        <v>OK</v>
      </c>
      <c r="AJ437" s="160"/>
      <c r="AK437" s="162"/>
      <c r="AL437" s="203" t="str">
        <f t="shared" si="619"/>
        <v xml:space="preserve"> </v>
      </c>
      <c r="AM437" s="174" t="str">
        <f t="shared" si="648"/>
        <v>NG</v>
      </c>
      <c r="AN437" s="162"/>
      <c r="AO437" s="276" t="str">
        <f>IF(OR(AK$8="判定対象外",AN$8="判定対象外",AN437="-"),"-",IF(AK437=AN437,"OK","NG"))</f>
        <v>OK</v>
      </c>
      <c r="AP437" s="160"/>
      <c r="AQ437" s="162"/>
      <c r="AR437" s="203" t="str">
        <f t="shared" si="622"/>
        <v xml:space="preserve"> </v>
      </c>
      <c r="AS437" s="174" t="str">
        <f t="shared" si="602"/>
        <v>NG</v>
      </c>
      <c r="AT437" s="162"/>
      <c r="AU437" s="276" t="str">
        <f>IF(OR(AQ$8="判定対象外",AT$8="判定対象外",AT437="-"),"-",IF(AQ437=AT437,"OK","NG"))</f>
        <v>OK</v>
      </c>
      <c r="AV437" s="160"/>
      <c r="AW437" s="162"/>
      <c r="AX437" s="203" t="str">
        <f t="shared" si="623"/>
        <v xml:space="preserve"> </v>
      </c>
      <c r="AY437" s="174" t="str">
        <f t="shared" si="603"/>
        <v>NG</v>
      </c>
      <c r="AZ437" s="162"/>
      <c r="BA437" s="276" t="str">
        <f>IF(OR(AW$8="判定対象外",AZ$8="判定対象外",AZ437="-"),"-",IF(AW437=AZ437,"OK","NG"))</f>
        <v>OK</v>
      </c>
      <c r="BB437" s="160"/>
      <c r="BC437" s="162"/>
      <c r="BD437" s="203" t="str">
        <f t="shared" si="624"/>
        <v xml:space="preserve"> </v>
      </c>
      <c r="BE437" s="174" t="str">
        <f t="shared" si="604"/>
        <v>NG</v>
      </c>
      <c r="BF437" s="162"/>
      <c r="BG437" s="276" t="str">
        <f>IF(OR(BC$8="判定対象外",BF$8="判定対象外",BF437="-"),"-",IF(BC437=BF437,"OK","NG"))</f>
        <v>OK</v>
      </c>
      <c r="BH437" s="160"/>
      <c r="BI437" s="162"/>
      <c r="BJ437" s="203" t="str">
        <f t="shared" si="625"/>
        <v xml:space="preserve"> </v>
      </c>
      <c r="BK437" s="174" t="str">
        <f t="shared" si="605"/>
        <v>NG</v>
      </c>
      <c r="BL437" s="162"/>
      <c r="BM437" s="276" t="str">
        <f>IF(OR(BI$8="判定対象外",BL$8="判定対象外",BL437="-"),"-",IF(BI437=BL437,"OK","NG"))</f>
        <v>OK</v>
      </c>
      <c r="BN437" s="160"/>
      <c r="BO437" s="162"/>
      <c r="BP437" s="203" t="str">
        <f t="shared" si="626"/>
        <v xml:space="preserve"> </v>
      </c>
      <c r="BQ437" s="174" t="str">
        <f t="shared" si="606"/>
        <v>NG</v>
      </c>
      <c r="BR437" s="162"/>
      <c r="BS437" s="276" t="str">
        <f>IF(OR(BO$8="判定対象外",BR$8="判定対象外",BR437="-"),"-",IF(BO437=BR437,"OK","NG"))</f>
        <v>OK</v>
      </c>
      <c r="BT437" s="160"/>
      <c r="BU437" s="162"/>
      <c r="BV437" s="203" t="str">
        <f t="shared" si="627"/>
        <v xml:space="preserve"> </v>
      </c>
      <c r="BW437" s="174" t="str">
        <f t="shared" si="607"/>
        <v>NG</v>
      </c>
      <c r="BX437" s="162"/>
      <c r="BY437" s="276" t="str">
        <f>IF(OR(BU$8="判定対象外",BX$8="判定対象外",BX437="-"),"-",IF(BU437=BX437,"OK","NG"))</f>
        <v>OK</v>
      </c>
      <c r="BZ437" s="160"/>
      <c r="CA437" s="162"/>
      <c r="CB437" s="203" t="str">
        <f t="shared" si="628"/>
        <v xml:space="preserve"> </v>
      </c>
      <c r="CC437" s="174" t="str">
        <f t="shared" si="608"/>
        <v>NG</v>
      </c>
      <c r="CD437" s="162"/>
      <c r="CE437" s="276" t="str">
        <f>IF(OR(CA$8="判定対象外",CD$8="判定対象外",CD437="-"),"-",IF(CA437=CD437,"OK","NG"))</f>
        <v>OK</v>
      </c>
      <c r="CF437" s="160"/>
      <c r="CG437" s="162"/>
      <c r="CH437" s="203" t="str">
        <f t="shared" si="629"/>
        <v xml:space="preserve"> </v>
      </c>
      <c r="CI437" s="174" t="str">
        <f t="shared" si="609"/>
        <v>NG</v>
      </c>
      <c r="CJ437" s="162"/>
      <c r="CK437" s="276" t="str">
        <f>IF(OR(CG$8="判定対象外",CJ$8="判定対象外",CJ437="-"),"-",IF(CG437=CJ437,"OK","NG"))</f>
        <v>OK</v>
      </c>
      <c r="CL437" s="160"/>
      <c r="CM437" s="162"/>
      <c r="CN437" s="203" t="str">
        <f t="shared" si="630"/>
        <v xml:space="preserve"> </v>
      </c>
      <c r="CO437" s="174" t="str">
        <f t="shared" si="610"/>
        <v>NG</v>
      </c>
      <c r="CP437" s="162"/>
      <c r="CQ437" s="276" t="str">
        <f>IF(OR(CM$8="判定対象外",CP$8="判定対象外",CP437="-"),"-",IF(CM437=CP437,"OK","NG"))</f>
        <v>OK</v>
      </c>
      <c r="CR437" s="160"/>
      <c r="CS437" s="162"/>
      <c r="CT437" s="203" t="str">
        <f t="shared" si="631"/>
        <v xml:space="preserve"> </v>
      </c>
      <c r="CU437" s="174" t="str">
        <f t="shared" si="611"/>
        <v>NG</v>
      </c>
      <c r="CV437" s="162"/>
      <c r="CW437" s="276" t="str">
        <f>IF(OR(CS$8="判定対象外",CV$8="判定対象外",CV437="-"),"-",IF(CS437=CV437,"OK","NG"))</f>
        <v>OK</v>
      </c>
      <c r="CX437" s="160"/>
      <c r="CY437" s="162"/>
      <c r="CZ437" s="203" t="str">
        <f t="shared" si="632"/>
        <v xml:space="preserve"> </v>
      </c>
      <c r="DA437" s="174" t="str">
        <f t="shared" si="612"/>
        <v>NG</v>
      </c>
      <c r="DB437" s="162"/>
      <c r="DC437" s="276" t="str">
        <f>IF(OR(CY$8="判定対象外",DB$8="判定対象外",DB437="-"),"-",IF(CY437=DB437,"OK","NG"))</f>
        <v>OK</v>
      </c>
      <c r="DD437" s="160"/>
      <c r="DE437" s="162"/>
      <c r="DF437" s="203" t="str">
        <f t="shared" si="633"/>
        <v xml:space="preserve"> </v>
      </c>
      <c r="DG437" s="174" t="str">
        <f t="shared" si="613"/>
        <v>NG</v>
      </c>
      <c r="DH437" s="162"/>
      <c r="DI437" s="276" t="str">
        <f>IF(OR(DE$8="判定対象外",DH$8="判定対象外",DH437="-"),"-",IF(DE437=DH437,"OK","NG"))</f>
        <v>OK</v>
      </c>
      <c r="DJ437" s="160"/>
      <c r="DK437" s="162"/>
      <c r="DL437" s="203" t="str">
        <f t="shared" si="634"/>
        <v xml:space="preserve"> </v>
      </c>
      <c r="DM437" s="174" t="str">
        <f t="shared" si="614"/>
        <v>NG</v>
      </c>
      <c r="DN437" s="162"/>
      <c r="DO437" s="276" t="str">
        <f>IF(OR(DK$8="判定対象外",DN$8="判定対象外",DN437="-"),"-",IF(DK437=DN437,"OK","NG"))</f>
        <v>OK</v>
      </c>
      <c r="DP437" s="160"/>
      <c r="DQ437" s="162"/>
      <c r="DR437" s="203" t="str">
        <f t="shared" si="635"/>
        <v xml:space="preserve"> </v>
      </c>
      <c r="DS437" s="174" t="str">
        <f t="shared" si="593"/>
        <v>NG</v>
      </c>
      <c r="DT437" s="162"/>
      <c r="DU437" s="276" t="str">
        <f>IF(OR(DQ$8="判定対象外",DT$8="判定対象外",DT437="-"),"-",IF(DQ437=DT437,"OK","NG"))</f>
        <v>OK</v>
      </c>
      <c r="DV437" s="160"/>
      <c r="DW437" s="162"/>
      <c r="DX437" s="203" t="str">
        <f t="shared" si="636"/>
        <v xml:space="preserve"> </v>
      </c>
      <c r="DY437" s="174" t="str">
        <f t="shared" si="594"/>
        <v>NG</v>
      </c>
      <c r="DZ437" s="162"/>
      <c r="EA437" s="276" t="str">
        <f>IF(OR(DW$8="判定対象外",DZ$8="判定対象外",DZ437="-"),"-",IF(DW437=DZ437,"OK","NG"))</f>
        <v>OK</v>
      </c>
      <c r="EB437" s="160"/>
      <c r="EC437" s="162"/>
      <c r="ED437" s="203" t="str">
        <f t="shared" si="637"/>
        <v xml:space="preserve"> </v>
      </c>
      <c r="EE437" s="174" t="str">
        <f t="shared" si="595"/>
        <v>NG</v>
      </c>
      <c r="EF437" s="162"/>
      <c r="EG437" s="276" t="str">
        <f>IF(OR(EC$8="判定対象外",EF$8="判定対象外",EF437="-"),"-",IF(EC437=EF437,"OK","NG"))</f>
        <v>OK</v>
      </c>
      <c r="EH437" s="160"/>
      <c r="EI437" s="162"/>
      <c r="EJ437" s="203" t="str">
        <f t="shared" si="638"/>
        <v xml:space="preserve"> </v>
      </c>
      <c r="EK437" s="174" t="str">
        <f t="shared" si="596"/>
        <v>NG</v>
      </c>
      <c r="EL437" s="162"/>
      <c r="EM437" s="276" t="str">
        <f>IF(OR(EI$8="判定対象外",EL$8="判定対象外",EL437="-"),"-",IF(EI437=EL437,"OK","NG"))</f>
        <v>OK</v>
      </c>
      <c r="EN437" s="160"/>
      <c r="EO437" s="162"/>
      <c r="EP437" s="203" t="str">
        <f t="shared" si="639"/>
        <v xml:space="preserve"> </v>
      </c>
      <c r="EQ437" s="174" t="str">
        <f t="shared" si="597"/>
        <v>NG</v>
      </c>
      <c r="ER437" s="162"/>
      <c r="ES437" s="276" t="str">
        <f>IF(OR(EO$8="判定対象外",ER$8="判定対象外",ER437="-"),"-",IF(EO437=ER437,"OK","NG"))</f>
        <v>OK</v>
      </c>
      <c r="ET437" s="160"/>
      <c r="EU437" s="162"/>
      <c r="EV437" s="203" t="str">
        <f t="shared" si="640"/>
        <v xml:space="preserve"> </v>
      </c>
      <c r="EW437" s="174" t="str">
        <f t="shared" si="598"/>
        <v>NG</v>
      </c>
      <c r="EX437" s="162"/>
      <c r="EY437" s="276" t="str">
        <f>IF(OR(EU$8="判定対象外",EX$8="判定対象外",EX437="-"),"-",IF(EU437=EX437,"OK","NG"))</f>
        <v>OK</v>
      </c>
      <c r="EZ437" s="160"/>
      <c r="FA437" s="162"/>
      <c r="FB437" s="203" t="str">
        <f t="shared" si="641"/>
        <v xml:space="preserve"> </v>
      </c>
      <c r="FC437" s="174" t="str">
        <f t="shared" si="599"/>
        <v>NG</v>
      </c>
      <c r="FD437" s="162"/>
      <c r="FE437" s="276" t="str">
        <f>IF(OR(FA$8="判定対象外",FD$8="判定対象外",FD437="-"),"-",IF(FA437=FD437,"OK","NG"))</f>
        <v>OK</v>
      </c>
      <c r="FF437" s="160"/>
      <c r="FG437" s="162"/>
      <c r="FH437" s="203" t="str">
        <f t="shared" si="642"/>
        <v xml:space="preserve"> </v>
      </c>
      <c r="FI437" s="174" t="str">
        <f t="shared" si="600"/>
        <v>NG</v>
      </c>
      <c r="FJ437" s="162"/>
      <c r="FK437" s="276" t="str">
        <f>IF(OR(FG$8="判定対象外",FJ$8="判定対象外",FJ437="-"),"-",IF(FG437=FJ437,"OK","NG"))</f>
        <v>OK</v>
      </c>
      <c r="FL437" s="160"/>
      <c r="FM437" s="162"/>
      <c r="FN437" s="203" t="str">
        <f t="shared" si="643"/>
        <v xml:space="preserve"> </v>
      </c>
      <c r="FO437" s="174" t="str">
        <f t="shared" si="615"/>
        <v>NG</v>
      </c>
      <c r="FP437" s="162"/>
      <c r="FQ437" s="276" t="str">
        <f>IF(OR(FM$8="判定対象外",FP$8="判定対象外",FP437="-"),"-",IF(FM437=FP437,"OK","NG"))</f>
        <v>OK</v>
      </c>
      <c r="FR437" s="160"/>
      <c r="FS437" s="162"/>
      <c r="FT437" s="203" t="str">
        <f t="shared" si="644"/>
        <v xml:space="preserve"> </v>
      </c>
      <c r="FU437" s="174" t="str">
        <f t="shared" si="616"/>
        <v>NG</v>
      </c>
      <c r="FV437" s="162"/>
      <c r="FW437" s="276" t="str">
        <f>IF(OR(FS$8="判定対象外",FV$8="判定対象外",FV437="-"),"-",IF(FS437=FV437,"OK","NG"))</f>
        <v>OK</v>
      </c>
      <c r="FX437" s="160"/>
      <c r="FY437" s="162"/>
      <c r="FZ437" s="203" t="str">
        <f t="shared" si="645"/>
        <v xml:space="preserve"> </v>
      </c>
      <c r="GA437" s="174" t="str">
        <f t="shared" si="617"/>
        <v>NG</v>
      </c>
      <c r="GB437" s="162"/>
      <c r="GC437" s="276" t="str">
        <f>IF(OR(FY$8="判定対象外",GB$8="判定対象外",GB437="-"),"-",IF(FY437=GB437,"OK","NG"))</f>
        <v>OK</v>
      </c>
    </row>
    <row r="438" spans="2:185" s="52" customFormat="1">
      <c r="B438" s="216">
        <f t="shared" si="646"/>
        <v>431</v>
      </c>
      <c r="C438" s="37"/>
      <c r="D438" s="37"/>
      <c r="E438" s="37"/>
      <c r="F438" s="49" t="s">
        <v>210</v>
      </c>
      <c r="G438" s="39"/>
      <c r="H438" s="40"/>
      <c r="I438" s="42"/>
      <c r="J438" s="42"/>
      <c r="K438" s="42"/>
      <c r="L438" s="42"/>
      <c r="M438" s="163" t="s">
        <v>334</v>
      </c>
      <c r="N438" s="47"/>
      <c r="O438" s="143"/>
      <c r="P438" s="45">
        <f t="shared" si="650"/>
        <v>401</v>
      </c>
      <c r="Q438" s="46">
        <v>400</v>
      </c>
      <c r="R438" s="41" t="str">
        <f t="shared" si="651"/>
        <v>NX</v>
      </c>
      <c r="S438" s="185" t="s">
        <v>211</v>
      </c>
      <c r="T438" s="43"/>
      <c r="U438" s="41" t="s">
        <v>80</v>
      </c>
      <c r="V438" s="44"/>
      <c r="W438" s="22">
        <v>3</v>
      </c>
      <c r="X438" s="47" t="s">
        <v>212</v>
      </c>
      <c r="Y438" s="47">
        <v>1</v>
      </c>
      <c r="Z438" s="47">
        <v>400</v>
      </c>
      <c r="AA438" s="42" t="s">
        <v>195</v>
      </c>
      <c r="AB438" s="42" t="s">
        <v>80</v>
      </c>
      <c r="AC438" s="166"/>
      <c r="AD438" s="160"/>
      <c r="AE438" s="162"/>
      <c r="AF438" s="175" t="str">
        <f t="shared" si="621"/>
        <v xml:space="preserve">                                                                                                                                                                                                                                                                                                                                                                                                                </v>
      </c>
      <c r="AG438" s="174" t="str">
        <f t="shared" si="601"/>
        <v>NG</v>
      </c>
      <c r="AH438" s="162"/>
      <c r="AI438" s="276" t="str">
        <f>IF(OR(AE$8="判定対象外",AH$8="判定対象外",AH438="-"),"-",IF(AE438=AH438,"OK","NG"))</f>
        <v>OK</v>
      </c>
      <c r="AJ438" s="160"/>
      <c r="AK438" s="162"/>
      <c r="AL438" s="175" t="str">
        <f t="shared" si="619"/>
        <v xml:space="preserve">                                                                                                                                                                                                                                                                                                                                                                                                                </v>
      </c>
      <c r="AM438" s="174" t="str">
        <f t="shared" si="648"/>
        <v>NG</v>
      </c>
      <c r="AN438" s="162"/>
      <c r="AO438" s="276" t="str">
        <f>IF(OR(AK$8="判定対象外",AN$8="判定対象外",AN438="-"),"-",IF(AK438=AN438,"OK","NG"))</f>
        <v>OK</v>
      </c>
      <c r="AP438" s="160"/>
      <c r="AQ438" s="162"/>
      <c r="AR438" s="175" t="str">
        <f t="shared" si="622"/>
        <v xml:space="preserve">                                                                                                                                                                                                                                                                                                                                                                                                                </v>
      </c>
      <c r="AS438" s="174" t="str">
        <f t="shared" si="602"/>
        <v>NG</v>
      </c>
      <c r="AT438" s="162"/>
      <c r="AU438" s="276" t="str">
        <f>IF(OR(AQ$8="判定対象外",AT$8="判定対象外",AT438="-"),"-",IF(AQ438=AT438,"OK","NG"))</f>
        <v>OK</v>
      </c>
      <c r="AV438" s="160"/>
      <c r="AW438" s="162"/>
      <c r="AX438" s="175" t="str">
        <f t="shared" si="623"/>
        <v xml:space="preserve">                                                                                                                                                                                                                                                                                                                                                                                                                </v>
      </c>
      <c r="AY438" s="174" t="str">
        <f t="shared" si="603"/>
        <v>NG</v>
      </c>
      <c r="AZ438" s="162"/>
      <c r="BA438" s="276" t="str">
        <f>IF(OR(AW$8="判定対象外",AZ$8="判定対象外",AZ438="-"),"-",IF(AW438=AZ438,"OK","NG"))</f>
        <v>OK</v>
      </c>
      <c r="BB438" s="160"/>
      <c r="BC438" s="162"/>
      <c r="BD438" s="175" t="str">
        <f t="shared" si="624"/>
        <v xml:space="preserve">                                                                                                                                                                                                                                                                                                                                                                                                                </v>
      </c>
      <c r="BE438" s="174" t="str">
        <f t="shared" si="604"/>
        <v>NG</v>
      </c>
      <c r="BF438" s="162"/>
      <c r="BG438" s="276" t="str">
        <f>IF(OR(BC$8="判定対象外",BF$8="判定対象外",BF438="-"),"-",IF(BC438=BF438,"OK","NG"))</f>
        <v>OK</v>
      </c>
      <c r="BH438" s="160"/>
      <c r="BI438" s="162"/>
      <c r="BJ438" s="175" t="str">
        <f t="shared" si="625"/>
        <v xml:space="preserve">                                                                                                                                                                                                                                                                                                                                                                                                                </v>
      </c>
      <c r="BK438" s="174" t="str">
        <f t="shared" si="605"/>
        <v>NG</v>
      </c>
      <c r="BL438" s="162"/>
      <c r="BM438" s="276" t="str">
        <f>IF(OR(BI$8="判定対象外",BL$8="判定対象外",BL438="-"),"-",IF(BI438=BL438,"OK","NG"))</f>
        <v>OK</v>
      </c>
      <c r="BN438" s="160"/>
      <c r="BO438" s="162"/>
      <c r="BP438" s="175" t="str">
        <f t="shared" si="626"/>
        <v xml:space="preserve">                                                                                                                                                                                                                                                                                                                                                                                                                </v>
      </c>
      <c r="BQ438" s="174" t="str">
        <f t="shared" si="606"/>
        <v>NG</v>
      </c>
      <c r="BR438" s="162"/>
      <c r="BS438" s="276" t="str">
        <f>IF(OR(BO$8="判定対象外",BR$8="判定対象外",BR438="-"),"-",IF(BO438=BR438,"OK","NG"))</f>
        <v>OK</v>
      </c>
      <c r="BT438" s="160"/>
      <c r="BU438" s="162"/>
      <c r="BV438" s="175" t="str">
        <f t="shared" si="627"/>
        <v xml:space="preserve">                                                                                                                                                                                                                                                                                                                                                                                                                </v>
      </c>
      <c r="BW438" s="174" t="str">
        <f t="shared" si="607"/>
        <v>NG</v>
      </c>
      <c r="BX438" s="162"/>
      <c r="BY438" s="276" t="str">
        <f>IF(OR(BU$8="判定対象外",BX$8="判定対象外",BX438="-"),"-",IF(BU438=BX438,"OK","NG"))</f>
        <v>OK</v>
      </c>
      <c r="BZ438" s="160"/>
      <c r="CA438" s="162"/>
      <c r="CB438" s="175" t="str">
        <f t="shared" si="628"/>
        <v xml:space="preserve">                                                                                                                                                                                                                                                                                                                                                                                                                </v>
      </c>
      <c r="CC438" s="174" t="str">
        <f t="shared" si="608"/>
        <v>NG</v>
      </c>
      <c r="CD438" s="162"/>
      <c r="CE438" s="276" t="str">
        <f>IF(OR(CA$8="判定対象外",CD$8="判定対象外",CD438="-"),"-",IF(CA438=CD438,"OK","NG"))</f>
        <v>OK</v>
      </c>
      <c r="CF438" s="160"/>
      <c r="CG438" s="162"/>
      <c r="CH438" s="175" t="str">
        <f t="shared" si="629"/>
        <v xml:space="preserve">                                                                                                                                                                                                                                                                                                                                                                                                                </v>
      </c>
      <c r="CI438" s="174" t="str">
        <f t="shared" si="609"/>
        <v>NG</v>
      </c>
      <c r="CJ438" s="162"/>
      <c r="CK438" s="276" t="str">
        <f>IF(OR(CG$8="判定対象外",CJ$8="判定対象外",CJ438="-"),"-",IF(CG438=CJ438,"OK","NG"))</f>
        <v>OK</v>
      </c>
      <c r="CL438" s="160"/>
      <c r="CM438" s="162"/>
      <c r="CN438" s="175" t="str">
        <f t="shared" si="630"/>
        <v xml:space="preserve">                                                                                                                                                                                                                                                                                                                                                                                                                </v>
      </c>
      <c r="CO438" s="174" t="str">
        <f t="shared" si="610"/>
        <v>NG</v>
      </c>
      <c r="CP438" s="162"/>
      <c r="CQ438" s="276" t="str">
        <f>IF(OR(CM$8="判定対象外",CP$8="判定対象外",CP438="-"),"-",IF(CM438=CP438,"OK","NG"))</f>
        <v>OK</v>
      </c>
      <c r="CR438" s="160"/>
      <c r="CS438" s="162"/>
      <c r="CT438" s="175" t="str">
        <f t="shared" si="631"/>
        <v xml:space="preserve">                                                                                                                                                                                                                                                                                                                                                                                                                </v>
      </c>
      <c r="CU438" s="174" t="str">
        <f t="shared" si="611"/>
        <v>NG</v>
      </c>
      <c r="CV438" s="162"/>
      <c r="CW438" s="276" t="str">
        <f>IF(OR(CS$8="判定対象外",CV$8="判定対象外",CV438="-"),"-",IF(CS438=CV438,"OK","NG"))</f>
        <v>OK</v>
      </c>
      <c r="CX438" s="160"/>
      <c r="CY438" s="162"/>
      <c r="CZ438" s="175" t="str">
        <f t="shared" si="632"/>
        <v xml:space="preserve">                                                                                                                                                                                                                                                                                                                                                                                                                </v>
      </c>
      <c r="DA438" s="174" t="str">
        <f t="shared" si="612"/>
        <v>NG</v>
      </c>
      <c r="DB438" s="162"/>
      <c r="DC438" s="276" t="str">
        <f>IF(OR(CY$8="判定対象外",DB$8="判定対象外",DB438="-"),"-",IF(CY438=DB438,"OK","NG"))</f>
        <v>OK</v>
      </c>
      <c r="DD438" s="160"/>
      <c r="DE438" s="162"/>
      <c r="DF438" s="175" t="str">
        <f t="shared" si="633"/>
        <v xml:space="preserve">                                                                                                                                                                                                                                                                                                                                                                                                                </v>
      </c>
      <c r="DG438" s="174" t="str">
        <f t="shared" si="613"/>
        <v>NG</v>
      </c>
      <c r="DH438" s="162"/>
      <c r="DI438" s="276" t="str">
        <f>IF(OR(DE$8="判定対象外",DH$8="判定対象外",DH438="-"),"-",IF(DE438=DH438,"OK","NG"))</f>
        <v>OK</v>
      </c>
      <c r="DJ438" s="160"/>
      <c r="DK438" s="162"/>
      <c r="DL438" s="175" t="str">
        <f t="shared" si="634"/>
        <v xml:space="preserve">                                                                                                                                                                                                                                                                                                                                                                                                                </v>
      </c>
      <c r="DM438" s="174" t="str">
        <f t="shared" si="614"/>
        <v>NG</v>
      </c>
      <c r="DN438" s="162"/>
      <c r="DO438" s="276" t="str">
        <f>IF(OR(DK$8="判定対象外",DN$8="判定対象外",DN438="-"),"-",IF(DK438=DN438,"OK","NG"))</f>
        <v>OK</v>
      </c>
      <c r="DP438" s="160"/>
      <c r="DQ438" s="162"/>
      <c r="DR438" s="175" t="str">
        <f t="shared" si="635"/>
        <v xml:space="preserve">                                                                                                                                                                                                                                                                                                                                                                                                                </v>
      </c>
      <c r="DS438" s="174" t="str">
        <f t="shared" si="593"/>
        <v>NG</v>
      </c>
      <c r="DT438" s="162"/>
      <c r="DU438" s="276" t="str">
        <f>IF(OR(DQ$8="判定対象外",DT$8="判定対象外",DT438="-"),"-",IF(DQ438=DT438,"OK","NG"))</f>
        <v>OK</v>
      </c>
      <c r="DV438" s="160"/>
      <c r="DW438" s="162"/>
      <c r="DX438" s="175" t="str">
        <f t="shared" si="636"/>
        <v xml:space="preserve">                                                                                                                                                                                                                                                                                                                                                                                                                </v>
      </c>
      <c r="DY438" s="174" t="str">
        <f t="shared" si="594"/>
        <v>NG</v>
      </c>
      <c r="DZ438" s="162"/>
      <c r="EA438" s="276" t="str">
        <f>IF(OR(DW$8="判定対象外",DZ$8="判定対象外",DZ438="-"),"-",IF(DW438=DZ438,"OK","NG"))</f>
        <v>OK</v>
      </c>
      <c r="EB438" s="160"/>
      <c r="EC438" s="162"/>
      <c r="ED438" s="175" t="str">
        <f t="shared" si="637"/>
        <v xml:space="preserve">                                                                                                                                                                                                                                                                                                                                                                                                                </v>
      </c>
      <c r="EE438" s="174" t="str">
        <f t="shared" si="595"/>
        <v>NG</v>
      </c>
      <c r="EF438" s="162"/>
      <c r="EG438" s="276" t="str">
        <f>IF(OR(EC$8="判定対象外",EF$8="判定対象外",EF438="-"),"-",IF(EC438=EF438,"OK","NG"))</f>
        <v>OK</v>
      </c>
      <c r="EH438" s="160"/>
      <c r="EI438" s="162"/>
      <c r="EJ438" s="175" t="str">
        <f t="shared" si="638"/>
        <v xml:space="preserve">                                                                                                                                                                                                                                                                                                                                                                                                                </v>
      </c>
      <c r="EK438" s="174" t="str">
        <f t="shared" si="596"/>
        <v>NG</v>
      </c>
      <c r="EL438" s="162"/>
      <c r="EM438" s="276" t="str">
        <f>IF(OR(EI$8="判定対象外",EL$8="判定対象外",EL438="-"),"-",IF(EI438=EL438,"OK","NG"))</f>
        <v>OK</v>
      </c>
      <c r="EN438" s="160"/>
      <c r="EO438" s="162"/>
      <c r="EP438" s="175" t="str">
        <f t="shared" si="639"/>
        <v xml:space="preserve">                                                                                                                                                                                                                                                                                                                                                                                                                </v>
      </c>
      <c r="EQ438" s="174" t="str">
        <f t="shared" si="597"/>
        <v>NG</v>
      </c>
      <c r="ER438" s="162"/>
      <c r="ES438" s="276" t="str">
        <f>IF(OR(EO$8="判定対象外",ER$8="判定対象外",ER438="-"),"-",IF(EO438=ER438,"OK","NG"))</f>
        <v>OK</v>
      </c>
      <c r="ET438" s="160"/>
      <c r="EU438" s="162"/>
      <c r="EV438" s="175" t="str">
        <f t="shared" si="640"/>
        <v xml:space="preserve">                                                                                                                                                                                                                                                                                                                                                                                                                </v>
      </c>
      <c r="EW438" s="174" t="str">
        <f t="shared" si="598"/>
        <v>NG</v>
      </c>
      <c r="EX438" s="162"/>
      <c r="EY438" s="276" t="str">
        <f>IF(OR(EU$8="判定対象外",EX$8="判定対象外",EX438="-"),"-",IF(EU438=EX438,"OK","NG"))</f>
        <v>OK</v>
      </c>
      <c r="EZ438" s="160"/>
      <c r="FA438" s="162"/>
      <c r="FB438" s="175" t="str">
        <f t="shared" si="641"/>
        <v xml:space="preserve">                                                                                                                                                                                                                                                                                                                                                                                                                </v>
      </c>
      <c r="FC438" s="174" t="str">
        <f t="shared" si="599"/>
        <v>NG</v>
      </c>
      <c r="FD438" s="162"/>
      <c r="FE438" s="276" t="str">
        <f>IF(OR(FA$8="判定対象外",FD$8="判定対象外",FD438="-"),"-",IF(FA438=FD438,"OK","NG"))</f>
        <v>OK</v>
      </c>
      <c r="FF438" s="160"/>
      <c r="FG438" s="162"/>
      <c r="FH438" s="175" t="str">
        <f t="shared" si="642"/>
        <v xml:space="preserve">                                                                                                                                                                                                                                                                                                                                                                                                                </v>
      </c>
      <c r="FI438" s="174" t="str">
        <f t="shared" si="600"/>
        <v>NG</v>
      </c>
      <c r="FJ438" s="162"/>
      <c r="FK438" s="276" t="str">
        <f>IF(OR(FG$8="判定対象外",FJ$8="判定対象外",FJ438="-"),"-",IF(FG438=FJ438,"OK","NG"))</f>
        <v>OK</v>
      </c>
      <c r="FL438" s="160"/>
      <c r="FM438" s="162"/>
      <c r="FN438" s="175" t="str">
        <f t="shared" si="643"/>
        <v xml:space="preserve">                                                                                                                                                                                                                                                                                                                                                                                                                </v>
      </c>
      <c r="FO438" s="174" t="str">
        <f t="shared" si="615"/>
        <v>NG</v>
      </c>
      <c r="FP438" s="162"/>
      <c r="FQ438" s="276" t="str">
        <f>IF(OR(FM$8="判定対象外",FP$8="判定対象外",FP438="-"),"-",IF(FM438=FP438,"OK","NG"))</f>
        <v>OK</v>
      </c>
      <c r="FR438" s="160"/>
      <c r="FS438" s="162"/>
      <c r="FT438" s="175" t="str">
        <f t="shared" si="644"/>
        <v xml:space="preserve">                                                                                                                                                                                                                                                                                                                                                                                                                </v>
      </c>
      <c r="FU438" s="174" t="str">
        <f t="shared" si="616"/>
        <v>NG</v>
      </c>
      <c r="FV438" s="162"/>
      <c r="FW438" s="276" t="str">
        <f>IF(OR(FS$8="判定対象外",FV$8="判定対象外",FV438="-"),"-",IF(FS438=FV438,"OK","NG"))</f>
        <v>OK</v>
      </c>
      <c r="FX438" s="160"/>
      <c r="FY438" s="162"/>
      <c r="FZ438" s="175" t="str">
        <f t="shared" si="645"/>
        <v xml:space="preserve">                                                                                                                                                                                                                                                                                                                                                                                                                </v>
      </c>
      <c r="GA438" s="174" t="str">
        <f t="shared" si="617"/>
        <v>NG</v>
      </c>
      <c r="GB438" s="162"/>
      <c r="GC438" s="276" t="str">
        <f>IF(OR(FY$8="判定対象外",GB$8="判定対象外",GB438="-"),"-",IF(FY438=GB438,"OK","NG"))</f>
        <v>OK</v>
      </c>
    </row>
    <row r="439" spans="2:185" s="52" customFormat="1" ht="63.75">
      <c r="B439" s="216">
        <f t="shared" si="646"/>
        <v>432</v>
      </c>
      <c r="C439" s="37"/>
      <c r="D439" s="37"/>
      <c r="E439" s="37"/>
      <c r="F439" s="49" t="s">
        <v>213</v>
      </c>
      <c r="G439" s="39"/>
      <c r="H439" s="40"/>
      <c r="I439" s="42"/>
      <c r="J439" s="42"/>
      <c r="K439" s="42"/>
      <c r="L439" s="42"/>
      <c r="M439" s="163" t="s">
        <v>335</v>
      </c>
      <c r="N439" s="47"/>
      <c r="O439" s="143"/>
      <c r="P439" s="45">
        <f t="shared" si="650"/>
        <v>402</v>
      </c>
      <c r="Q439" s="46">
        <v>400</v>
      </c>
      <c r="R439" s="41" t="str">
        <f t="shared" si="651"/>
        <v>NX</v>
      </c>
      <c r="S439" s="185" t="s">
        <v>214</v>
      </c>
      <c r="T439" s="43"/>
      <c r="U439" s="41" t="s">
        <v>80</v>
      </c>
      <c r="V439" s="44"/>
      <c r="W439" s="22">
        <v>3</v>
      </c>
      <c r="X439" s="47" t="s">
        <v>215</v>
      </c>
      <c r="Y439" s="47">
        <v>1</v>
      </c>
      <c r="Z439" s="47">
        <v>400</v>
      </c>
      <c r="AA439" s="42" t="s">
        <v>195</v>
      </c>
      <c r="AB439" s="42" t="s">
        <v>80</v>
      </c>
      <c r="AC439" s="166"/>
      <c r="AD439" s="160"/>
      <c r="AE439" s="162"/>
      <c r="AF439" s="146" t="str">
        <f t="shared" si="621"/>
        <v xml:space="preserve">                                                                                                                                                                                                                                                                                                                                                                                                                </v>
      </c>
      <c r="AG439" s="174" t="str">
        <f t="shared" si="601"/>
        <v>NG</v>
      </c>
      <c r="AH439" s="162"/>
      <c r="AI439" s="172" t="s">
        <v>71</v>
      </c>
      <c r="AJ439" s="160"/>
      <c r="AK439" s="162"/>
      <c r="AL439" s="146" t="str">
        <f t="shared" si="619"/>
        <v xml:space="preserve">                                                                                                                                                                                                                                                                                                                                                                                                                </v>
      </c>
      <c r="AM439" s="174" t="str">
        <f t="shared" si="648"/>
        <v>NG</v>
      </c>
      <c r="AN439" s="162"/>
      <c r="AO439" s="172" t="s">
        <v>71</v>
      </c>
      <c r="AP439" s="160"/>
      <c r="AQ439" s="162"/>
      <c r="AR439" s="146" t="str">
        <f t="shared" si="622"/>
        <v xml:space="preserve">                                                                                                                                                                                                                                                                                                                                                                                                                </v>
      </c>
      <c r="AS439" s="174" t="str">
        <f t="shared" si="602"/>
        <v>NG</v>
      </c>
      <c r="AT439" s="162"/>
      <c r="AU439" s="172" t="s">
        <v>71</v>
      </c>
      <c r="AV439" s="160"/>
      <c r="AW439" s="162"/>
      <c r="AX439" s="146" t="str">
        <f t="shared" si="623"/>
        <v xml:space="preserve">                                                                                                                                                                                                                                                                                                                                                                                                                </v>
      </c>
      <c r="AY439" s="174" t="str">
        <f t="shared" si="603"/>
        <v>NG</v>
      </c>
      <c r="AZ439" s="162"/>
      <c r="BA439" s="172" t="s">
        <v>71</v>
      </c>
      <c r="BB439" s="160"/>
      <c r="BC439" s="162"/>
      <c r="BD439" s="146" t="str">
        <f t="shared" si="624"/>
        <v xml:space="preserve">                                                                                                                                                                                                                                                                                                                                                                                                                </v>
      </c>
      <c r="BE439" s="174" t="str">
        <f t="shared" si="604"/>
        <v>NG</v>
      </c>
      <c r="BF439" s="162"/>
      <c r="BG439" s="172" t="s">
        <v>71</v>
      </c>
      <c r="BH439" s="160"/>
      <c r="BI439" s="162"/>
      <c r="BJ439" s="146" t="str">
        <f t="shared" si="625"/>
        <v xml:space="preserve">                                                                                                                                                                                                                                                                                                                                                                                                                </v>
      </c>
      <c r="BK439" s="174" t="str">
        <f t="shared" si="605"/>
        <v>NG</v>
      </c>
      <c r="BL439" s="162"/>
      <c r="BM439" s="172" t="s">
        <v>71</v>
      </c>
      <c r="BN439" s="160"/>
      <c r="BO439" s="162"/>
      <c r="BP439" s="146" t="str">
        <f t="shared" si="626"/>
        <v xml:space="preserve">                                                                                                                                                                                                                                                                                                                                                                                                                </v>
      </c>
      <c r="BQ439" s="174" t="str">
        <f t="shared" si="606"/>
        <v>NG</v>
      </c>
      <c r="BR439" s="162"/>
      <c r="BS439" s="172" t="s">
        <v>71</v>
      </c>
      <c r="BT439" s="160"/>
      <c r="BU439" s="162"/>
      <c r="BV439" s="146" t="str">
        <f t="shared" si="627"/>
        <v xml:space="preserve">                                                                                                                                                                                                                                                                                                                                                                                                                </v>
      </c>
      <c r="BW439" s="174" t="str">
        <f t="shared" si="607"/>
        <v>NG</v>
      </c>
      <c r="BX439" s="162"/>
      <c r="BY439" s="172" t="s">
        <v>71</v>
      </c>
      <c r="BZ439" s="160"/>
      <c r="CA439" s="162"/>
      <c r="CB439" s="146" t="str">
        <f t="shared" si="628"/>
        <v xml:space="preserve">                                                                                                                                                                                                                                                                                                                                                                                                                </v>
      </c>
      <c r="CC439" s="174" t="str">
        <f t="shared" si="608"/>
        <v>NG</v>
      </c>
      <c r="CD439" s="162"/>
      <c r="CE439" s="172" t="s">
        <v>71</v>
      </c>
      <c r="CF439" s="160"/>
      <c r="CG439" s="162"/>
      <c r="CH439" s="146" t="str">
        <f t="shared" si="629"/>
        <v xml:space="preserve">                                                                                                                                                                                                                                                                                                                                                                                                                </v>
      </c>
      <c r="CI439" s="174" t="str">
        <f t="shared" si="609"/>
        <v>NG</v>
      </c>
      <c r="CJ439" s="162"/>
      <c r="CK439" s="172" t="s">
        <v>71</v>
      </c>
      <c r="CL439" s="160"/>
      <c r="CM439" s="162"/>
      <c r="CN439" s="146" t="str">
        <f t="shared" si="630"/>
        <v xml:space="preserve">                                                                                                                                                                                                                                                                                                                                                                                                                </v>
      </c>
      <c r="CO439" s="174" t="str">
        <f t="shared" si="610"/>
        <v>NG</v>
      </c>
      <c r="CP439" s="162"/>
      <c r="CQ439" s="172" t="s">
        <v>71</v>
      </c>
      <c r="CR439" s="160"/>
      <c r="CS439" s="162"/>
      <c r="CT439" s="146" t="str">
        <f t="shared" si="631"/>
        <v xml:space="preserve">                                                                                                                                                                                                                                                                                                                                                                                                                </v>
      </c>
      <c r="CU439" s="174" t="str">
        <f t="shared" si="611"/>
        <v>NG</v>
      </c>
      <c r="CV439" s="162"/>
      <c r="CW439" s="172" t="s">
        <v>71</v>
      </c>
      <c r="CX439" s="160"/>
      <c r="CY439" s="162"/>
      <c r="CZ439" s="146" t="str">
        <f t="shared" si="632"/>
        <v xml:space="preserve">                                                                                                                                                                                                                                                                                                                                                                                                                </v>
      </c>
      <c r="DA439" s="174" t="str">
        <f t="shared" si="612"/>
        <v>NG</v>
      </c>
      <c r="DB439" s="162"/>
      <c r="DC439" s="172" t="s">
        <v>71</v>
      </c>
      <c r="DD439" s="160"/>
      <c r="DE439" s="162"/>
      <c r="DF439" s="146" t="str">
        <f t="shared" si="633"/>
        <v xml:space="preserve">                                                                                                                                                                                                                                                                                                                                                                                                                </v>
      </c>
      <c r="DG439" s="174" t="str">
        <f t="shared" si="613"/>
        <v>NG</v>
      </c>
      <c r="DH439" s="162"/>
      <c r="DI439" s="172" t="s">
        <v>71</v>
      </c>
      <c r="DJ439" s="160"/>
      <c r="DK439" s="162"/>
      <c r="DL439" s="146" t="str">
        <f t="shared" si="634"/>
        <v xml:space="preserve">                                                                                                                                                                                                                                                                                                                                                                                                                </v>
      </c>
      <c r="DM439" s="174" t="str">
        <f t="shared" si="614"/>
        <v>NG</v>
      </c>
      <c r="DN439" s="162"/>
      <c r="DO439" s="172" t="s">
        <v>71</v>
      </c>
      <c r="DP439" s="160"/>
      <c r="DQ439" s="162"/>
      <c r="DR439" s="146" t="str">
        <f t="shared" si="635"/>
        <v xml:space="preserve">                                                                                                                                                                                                                                                                                                                                                                                                                </v>
      </c>
      <c r="DS439" s="174" t="str">
        <f t="shared" si="593"/>
        <v>NG</v>
      </c>
      <c r="DT439" s="162"/>
      <c r="DU439" s="172" t="s">
        <v>71</v>
      </c>
      <c r="DV439" s="160"/>
      <c r="DW439" s="162"/>
      <c r="DX439" s="146" t="str">
        <f t="shared" si="636"/>
        <v xml:space="preserve">                                                                                                                                                                                                                                                                                                                                                                                                                </v>
      </c>
      <c r="DY439" s="174" t="str">
        <f t="shared" si="594"/>
        <v>NG</v>
      </c>
      <c r="DZ439" s="162"/>
      <c r="EA439" s="172" t="s">
        <v>71</v>
      </c>
      <c r="EB439" s="160"/>
      <c r="EC439" s="162"/>
      <c r="ED439" s="146" t="str">
        <f t="shared" si="637"/>
        <v xml:space="preserve">                                                                                                                                                                                                                                                                                                                                                                                                                </v>
      </c>
      <c r="EE439" s="174" t="str">
        <f t="shared" si="595"/>
        <v>NG</v>
      </c>
      <c r="EF439" s="162"/>
      <c r="EG439" s="172" t="s">
        <v>71</v>
      </c>
      <c r="EH439" s="160"/>
      <c r="EI439" s="162"/>
      <c r="EJ439" s="146" t="str">
        <f t="shared" si="638"/>
        <v xml:space="preserve">                                                                                                                                                                                                                                                                                                                                                                                                                </v>
      </c>
      <c r="EK439" s="174" t="str">
        <f t="shared" si="596"/>
        <v>NG</v>
      </c>
      <c r="EL439" s="162"/>
      <c r="EM439" s="172" t="s">
        <v>71</v>
      </c>
      <c r="EN439" s="160"/>
      <c r="EO439" s="162"/>
      <c r="EP439" s="146" t="str">
        <f t="shared" si="639"/>
        <v xml:space="preserve">                                                                                                                                                                                                                                                                                                                                                                                                                </v>
      </c>
      <c r="EQ439" s="174" t="str">
        <f t="shared" si="597"/>
        <v>NG</v>
      </c>
      <c r="ER439" s="162"/>
      <c r="ES439" s="172" t="s">
        <v>71</v>
      </c>
      <c r="ET439" s="160"/>
      <c r="EU439" s="162"/>
      <c r="EV439" s="146" t="str">
        <f t="shared" si="640"/>
        <v xml:space="preserve">                                                                                                                                                                                                                                                                                                                                                                                                                </v>
      </c>
      <c r="EW439" s="174" t="str">
        <f t="shared" si="598"/>
        <v>NG</v>
      </c>
      <c r="EX439" s="162"/>
      <c r="EY439" s="172" t="s">
        <v>71</v>
      </c>
      <c r="EZ439" s="160"/>
      <c r="FA439" s="162"/>
      <c r="FB439" s="146" t="str">
        <f t="shared" si="641"/>
        <v xml:space="preserve">                                                                                                                                                                                                                                                                                                                                                                                                                </v>
      </c>
      <c r="FC439" s="174" t="str">
        <f t="shared" si="599"/>
        <v>NG</v>
      </c>
      <c r="FD439" s="162"/>
      <c r="FE439" s="172" t="s">
        <v>71</v>
      </c>
      <c r="FF439" s="160"/>
      <c r="FG439" s="162"/>
      <c r="FH439" s="146" t="str">
        <f t="shared" si="642"/>
        <v xml:space="preserve">                                                                                                                                                                                                                                                                                                                                                                                                                </v>
      </c>
      <c r="FI439" s="174" t="str">
        <f t="shared" si="600"/>
        <v>NG</v>
      </c>
      <c r="FJ439" s="162"/>
      <c r="FK439" s="172" t="s">
        <v>71</v>
      </c>
      <c r="FL439" s="160"/>
      <c r="FM439" s="162"/>
      <c r="FN439" s="146" t="str">
        <f t="shared" si="643"/>
        <v xml:space="preserve">                                                                                                                                                                                                                                                                                                                                                                                                                </v>
      </c>
      <c r="FO439" s="174" t="str">
        <f t="shared" si="615"/>
        <v>NG</v>
      </c>
      <c r="FP439" s="162"/>
      <c r="FQ439" s="172" t="s">
        <v>71</v>
      </c>
      <c r="FR439" s="160"/>
      <c r="FS439" s="162"/>
      <c r="FT439" s="146" t="str">
        <f t="shared" si="644"/>
        <v xml:space="preserve">                                                                                                                                                                                                                                                                                                                                                                                                                </v>
      </c>
      <c r="FU439" s="174" t="str">
        <f t="shared" si="616"/>
        <v>NG</v>
      </c>
      <c r="FV439" s="162"/>
      <c r="FW439" s="172" t="s">
        <v>71</v>
      </c>
      <c r="FX439" s="160"/>
      <c r="FY439" s="162"/>
      <c r="FZ439" s="146" t="str">
        <f t="shared" si="645"/>
        <v xml:space="preserve">                                                                                                                                                                                                                                                                                                                                                                                                                </v>
      </c>
      <c r="GA439" s="174" t="str">
        <f t="shared" si="617"/>
        <v>NG</v>
      </c>
      <c r="GB439" s="162"/>
      <c r="GC439" s="172" t="s">
        <v>71</v>
      </c>
    </row>
    <row r="440" spans="2:185" s="52" customFormat="1">
      <c r="B440" s="216">
        <f t="shared" si="646"/>
        <v>433</v>
      </c>
      <c r="C440" s="37"/>
      <c r="D440" s="37"/>
      <c r="E440" s="37"/>
      <c r="F440" s="49" t="s">
        <v>216</v>
      </c>
      <c r="G440" s="39"/>
      <c r="H440" s="40"/>
      <c r="I440" s="42"/>
      <c r="J440" s="42"/>
      <c r="K440" s="42"/>
      <c r="L440" s="42"/>
      <c r="M440" s="63" t="s">
        <v>336</v>
      </c>
      <c r="N440" s="47"/>
      <c r="O440" s="143"/>
      <c r="P440" s="45">
        <f t="shared" si="650"/>
        <v>403</v>
      </c>
      <c r="Q440" s="46">
        <v>400</v>
      </c>
      <c r="R440" s="41" t="str">
        <f t="shared" si="651"/>
        <v>NX</v>
      </c>
      <c r="S440" s="185" t="s">
        <v>217</v>
      </c>
      <c r="T440" s="43"/>
      <c r="U440" s="41" t="s">
        <v>80</v>
      </c>
      <c r="V440" s="44"/>
      <c r="W440" s="22">
        <v>3</v>
      </c>
      <c r="X440" s="47" t="s">
        <v>218</v>
      </c>
      <c r="Y440" s="47">
        <v>1</v>
      </c>
      <c r="Z440" s="47">
        <v>400</v>
      </c>
      <c r="AA440" s="42" t="s">
        <v>195</v>
      </c>
      <c r="AB440" s="42" t="s">
        <v>80</v>
      </c>
      <c r="AC440" s="166"/>
      <c r="AD440" s="160"/>
      <c r="AE440" s="141"/>
      <c r="AF440" s="146" t="str">
        <f t="shared" si="621"/>
        <v xml:space="preserve">                                                                                                                                                                                                                                                                                                                                                                                                                </v>
      </c>
      <c r="AG440" s="174" t="str">
        <f t="shared" si="601"/>
        <v>NG</v>
      </c>
      <c r="AH440" s="141"/>
      <c r="AI440" s="172" t="s">
        <v>71</v>
      </c>
      <c r="AJ440" s="160"/>
      <c r="AK440" s="141"/>
      <c r="AL440" s="146" t="str">
        <f t="shared" si="619"/>
        <v xml:space="preserve">                                                                                                                                                                                                                                                                                                                                                                                                                </v>
      </c>
      <c r="AM440" s="174" t="str">
        <f t="shared" si="648"/>
        <v>NG</v>
      </c>
      <c r="AN440" s="141"/>
      <c r="AO440" s="172" t="s">
        <v>71</v>
      </c>
      <c r="AP440" s="160"/>
      <c r="AQ440" s="141"/>
      <c r="AR440" s="146" t="str">
        <f t="shared" si="622"/>
        <v xml:space="preserve">                                                                                                                                                                                                                                                                                                                                                                                                                </v>
      </c>
      <c r="AS440" s="174" t="str">
        <f t="shared" si="602"/>
        <v>NG</v>
      </c>
      <c r="AT440" s="141"/>
      <c r="AU440" s="172" t="s">
        <v>71</v>
      </c>
      <c r="AV440" s="160"/>
      <c r="AW440" s="141"/>
      <c r="AX440" s="146" t="str">
        <f t="shared" si="623"/>
        <v xml:space="preserve">                                                                                                                                                                                                                                                                                                                                                                                                                </v>
      </c>
      <c r="AY440" s="174" t="str">
        <f t="shared" si="603"/>
        <v>NG</v>
      </c>
      <c r="AZ440" s="141"/>
      <c r="BA440" s="172" t="s">
        <v>71</v>
      </c>
      <c r="BB440" s="160"/>
      <c r="BC440" s="141"/>
      <c r="BD440" s="146" t="str">
        <f t="shared" si="624"/>
        <v xml:space="preserve">                                                                                                                                                                                                                                                                                                                                                                                                                </v>
      </c>
      <c r="BE440" s="174" t="str">
        <f t="shared" si="604"/>
        <v>NG</v>
      </c>
      <c r="BF440" s="141"/>
      <c r="BG440" s="172" t="s">
        <v>71</v>
      </c>
      <c r="BH440" s="160"/>
      <c r="BI440" s="141"/>
      <c r="BJ440" s="146" t="str">
        <f t="shared" si="625"/>
        <v xml:space="preserve">                                                                                                                                                                                                                                                                                                                                                                                                                </v>
      </c>
      <c r="BK440" s="174" t="str">
        <f t="shared" si="605"/>
        <v>NG</v>
      </c>
      <c r="BL440" s="141"/>
      <c r="BM440" s="172" t="s">
        <v>71</v>
      </c>
      <c r="BN440" s="160"/>
      <c r="BO440" s="141"/>
      <c r="BP440" s="146" t="str">
        <f t="shared" si="626"/>
        <v xml:space="preserve">                                                                                                                                                                                                                                                                                                                                                                                                                </v>
      </c>
      <c r="BQ440" s="174" t="str">
        <f t="shared" si="606"/>
        <v>NG</v>
      </c>
      <c r="BR440" s="141"/>
      <c r="BS440" s="172" t="s">
        <v>71</v>
      </c>
      <c r="BT440" s="160"/>
      <c r="BU440" s="141"/>
      <c r="BV440" s="146" t="str">
        <f t="shared" si="627"/>
        <v xml:space="preserve">                                                                                                                                                                                                                                                                                                                                                                                                                </v>
      </c>
      <c r="BW440" s="174" t="str">
        <f t="shared" si="607"/>
        <v>NG</v>
      </c>
      <c r="BX440" s="141"/>
      <c r="BY440" s="172" t="s">
        <v>71</v>
      </c>
      <c r="BZ440" s="160"/>
      <c r="CA440" s="141"/>
      <c r="CB440" s="146" t="str">
        <f t="shared" si="628"/>
        <v xml:space="preserve">                                                                                                                                                                                                                                                                                                                                                                                                                </v>
      </c>
      <c r="CC440" s="174" t="str">
        <f t="shared" si="608"/>
        <v>NG</v>
      </c>
      <c r="CD440" s="141"/>
      <c r="CE440" s="172" t="s">
        <v>71</v>
      </c>
      <c r="CF440" s="160"/>
      <c r="CG440" s="141"/>
      <c r="CH440" s="146" t="str">
        <f t="shared" si="629"/>
        <v xml:space="preserve">                                                                                                                                                                                                                                                                                                                                                                                                                </v>
      </c>
      <c r="CI440" s="174" t="str">
        <f t="shared" si="609"/>
        <v>NG</v>
      </c>
      <c r="CJ440" s="141"/>
      <c r="CK440" s="172" t="s">
        <v>71</v>
      </c>
      <c r="CL440" s="160"/>
      <c r="CM440" s="141"/>
      <c r="CN440" s="146" t="str">
        <f t="shared" si="630"/>
        <v xml:space="preserve">                                                                                                                                                                                                                                                                                                                                                                                                                </v>
      </c>
      <c r="CO440" s="174" t="str">
        <f t="shared" si="610"/>
        <v>NG</v>
      </c>
      <c r="CP440" s="141"/>
      <c r="CQ440" s="172" t="s">
        <v>71</v>
      </c>
      <c r="CR440" s="160"/>
      <c r="CS440" s="141"/>
      <c r="CT440" s="146" t="str">
        <f t="shared" si="631"/>
        <v xml:space="preserve">                                                                                                                                                                                                                                                                                                                                                                                                                </v>
      </c>
      <c r="CU440" s="174" t="str">
        <f t="shared" si="611"/>
        <v>NG</v>
      </c>
      <c r="CV440" s="141"/>
      <c r="CW440" s="172" t="s">
        <v>71</v>
      </c>
      <c r="CX440" s="160"/>
      <c r="CY440" s="141"/>
      <c r="CZ440" s="146" t="str">
        <f t="shared" si="632"/>
        <v xml:space="preserve">                                                                                                                                                                                                                                                                                                                                                                                                                </v>
      </c>
      <c r="DA440" s="174" t="str">
        <f t="shared" si="612"/>
        <v>NG</v>
      </c>
      <c r="DB440" s="141"/>
      <c r="DC440" s="172" t="s">
        <v>71</v>
      </c>
      <c r="DD440" s="160"/>
      <c r="DE440" s="141"/>
      <c r="DF440" s="146" t="str">
        <f t="shared" si="633"/>
        <v xml:space="preserve">                                                                                                                                                                                                                                                                                                                                                                                                                </v>
      </c>
      <c r="DG440" s="174" t="str">
        <f t="shared" si="613"/>
        <v>NG</v>
      </c>
      <c r="DH440" s="141"/>
      <c r="DI440" s="172" t="s">
        <v>71</v>
      </c>
      <c r="DJ440" s="160"/>
      <c r="DK440" s="141"/>
      <c r="DL440" s="146" t="str">
        <f t="shared" si="634"/>
        <v xml:space="preserve">                                                                                                                                                                                                                                                                                                                                                                                                                </v>
      </c>
      <c r="DM440" s="174" t="str">
        <f t="shared" si="614"/>
        <v>NG</v>
      </c>
      <c r="DN440" s="141"/>
      <c r="DO440" s="172" t="s">
        <v>71</v>
      </c>
      <c r="DP440" s="160"/>
      <c r="DQ440" s="141"/>
      <c r="DR440" s="146" t="str">
        <f t="shared" si="635"/>
        <v xml:space="preserve">                                                                                                                                                                                                                                                                                                                                                                                                                </v>
      </c>
      <c r="DS440" s="174" t="str">
        <f t="shared" si="593"/>
        <v>NG</v>
      </c>
      <c r="DT440" s="141"/>
      <c r="DU440" s="172" t="s">
        <v>71</v>
      </c>
      <c r="DV440" s="160"/>
      <c r="DW440" s="141"/>
      <c r="DX440" s="146" t="str">
        <f t="shared" si="636"/>
        <v xml:space="preserve">                                                                                                                                                                                                                                                                                                                                                                                                                </v>
      </c>
      <c r="DY440" s="174" t="str">
        <f t="shared" si="594"/>
        <v>NG</v>
      </c>
      <c r="DZ440" s="141"/>
      <c r="EA440" s="172" t="s">
        <v>71</v>
      </c>
      <c r="EB440" s="160"/>
      <c r="EC440" s="141"/>
      <c r="ED440" s="146" t="str">
        <f t="shared" si="637"/>
        <v xml:space="preserve">                                                                                                                                                                                                                                                                                                                                                                                                                </v>
      </c>
      <c r="EE440" s="174" t="str">
        <f t="shared" si="595"/>
        <v>NG</v>
      </c>
      <c r="EF440" s="141"/>
      <c r="EG440" s="172" t="s">
        <v>71</v>
      </c>
      <c r="EH440" s="160"/>
      <c r="EI440" s="141"/>
      <c r="EJ440" s="146" t="str">
        <f t="shared" si="638"/>
        <v xml:space="preserve">                                                                                                                                                                                                                                                                                                                                                                                                                </v>
      </c>
      <c r="EK440" s="174" t="str">
        <f t="shared" si="596"/>
        <v>NG</v>
      </c>
      <c r="EL440" s="141"/>
      <c r="EM440" s="172" t="s">
        <v>71</v>
      </c>
      <c r="EN440" s="160"/>
      <c r="EO440" s="141"/>
      <c r="EP440" s="146" t="str">
        <f t="shared" si="639"/>
        <v xml:space="preserve">                                                                                                                                                                                                                                                                                                                                                                                                                </v>
      </c>
      <c r="EQ440" s="174" t="str">
        <f t="shared" si="597"/>
        <v>NG</v>
      </c>
      <c r="ER440" s="141"/>
      <c r="ES440" s="172" t="s">
        <v>71</v>
      </c>
      <c r="ET440" s="160"/>
      <c r="EU440" s="141"/>
      <c r="EV440" s="146" t="str">
        <f t="shared" si="640"/>
        <v xml:space="preserve">                                                                                                                                                                                                                                                                                                                                                                                                                </v>
      </c>
      <c r="EW440" s="174" t="str">
        <f t="shared" si="598"/>
        <v>NG</v>
      </c>
      <c r="EX440" s="141"/>
      <c r="EY440" s="172" t="s">
        <v>71</v>
      </c>
      <c r="EZ440" s="160"/>
      <c r="FA440" s="141"/>
      <c r="FB440" s="146" t="str">
        <f t="shared" si="641"/>
        <v xml:space="preserve">                                                                                                                                                                                                                                                                                                                                                                                                                </v>
      </c>
      <c r="FC440" s="174" t="str">
        <f t="shared" si="599"/>
        <v>NG</v>
      </c>
      <c r="FD440" s="141"/>
      <c r="FE440" s="172" t="s">
        <v>71</v>
      </c>
      <c r="FF440" s="160"/>
      <c r="FG440" s="141"/>
      <c r="FH440" s="146" t="str">
        <f t="shared" si="642"/>
        <v xml:space="preserve">                                                                                                                                                                                                                                                                                                                                                                                                                </v>
      </c>
      <c r="FI440" s="174" t="str">
        <f t="shared" si="600"/>
        <v>NG</v>
      </c>
      <c r="FJ440" s="141"/>
      <c r="FK440" s="172" t="s">
        <v>71</v>
      </c>
      <c r="FL440" s="160"/>
      <c r="FM440" s="141"/>
      <c r="FN440" s="146" t="str">
        <f t="shared" si="643"/>
        <v xml:space="preserve">                                                                                                                                                                                                                                                                                                                                                                                                                </v>
      </c>
      <c r="FO440" s="174" t="str">
        <f t="shared" si="615"/>
        <v>NG</v>
      </c>
      <c r="FP440" s="141"/>
      <c r="FQ440" s="172" t="s">
        <v>71</v>
      </c>
      <c r="FR440" s="160"/>
      <c r="FS440" s="141"/>
      <c r="FT440" s="146" t="str">
        <f t="shared" si="644"/>
        <v xml:space="preserve">                                                                                                                                                                                                                                                                                                                                                                                                                </v>
      </c>
      <c r="FU440" s="174" t="str">
        <f t="shared" si="616"/>
        <v>NG</v>
      </c>
      <c r="FV440" s="141"/>
      <c r="FW440" s="172" t="s">
        <v>71</v>
      </c>
      <c r="FX440" s="160"/>
      <c r="FY440" s="141"/>
      <c r="FZ440" s="146" t="str">
        <f t="shared" si="645"/>
        <v xml:space="preserve">                                                                                                                                                                                                                                                                                                                                                                                                                </v>
      </c>
      <c r="GA440" s="174" t="str">
        <f t="shared" si="617"/>
        <v>NG</v>
      </c>
      <c r="GB440" s="141"/>
      <c r="GC440" s="172" t="s">
        <v>71</v>
      </c>
    </row>
    <row r="441" spans="2:185" s="52" customFormat="1" ht="76.5">
      <c r="B441" s="216">
        <f t="shared" si="646"/>
        <v>434</v>
      </c>
      <c r="C441" s="37"/>
      <c r="D441" s="37"/>
      <c r="E441" s="37"/>
      <c r="F441" s="49" t="s">
        <v>219</v>
      </c>
      <c r="G441" s="39"/>
      <c r="H441" s="40"/>
      <c r="I441" s="42"/>
      <c r="J441" s="42"/>
      <c r="K441" s="42"/>
      <c r="L441" s="42"/>
      <c r="M441" s="63" t="s">
        <v>337</v>
      </c>
      <c r="N441" s="47"/>
      <c r="O441" s="143"/>
      <c r="P441" s="45">
        <f t="shared" si="650"/>
        <v>404</v>
      </c>
      <c r="Q441" s="46">
        <v>400</v>
      </c>
      <c r="R441" s="41" t="str">
        <f t="shared" si="651"/>
        <v>NX</v>
      </c>
      <c r="S441" s="185" t="s">
        <v>220</v>
      </c>
      <c r="T441" s="43"/>
      <c r="U441" s="41" t="s">
        <v>80</v>
      </c>
      <c r="V441" s="44"/>
      <c r="W441" s="22">
        <v>3</v>
      </c>
      <c r="X441" s="47" t="s">
        <v>221</v>
      </c>
      <c r="Y441" s="47">
        <v>1</v>
      </c>
      <c r="Z441" s="47">
        <v>400</v>
      </c>
      <c r="AA441" s="42" t="s">
        <v>195</v>
      </c>
      <c r="AB441" s="42" t="s">
        <v>80</v>
      </c>
      <c r="AC441" s="166"/>
      <c r="AD441" s="160"/>
      <c r="AE441" s="141"/>
      <c r="AF441" s="146" t="str">
        <f t="shared" si="621"/>
        <v xml:space="preserve">                                                                                                                                                                                                                                                                                                                                                                                                                </v>
      </c>
      <c r="AG441" s="174" t="str">
        <f t="shared" si="601"/>
        <v>NG</v>
      </c>
      <c r="AH441" s="141"/>
      <c r="AI441" s="172" t="s">
        <v>71</v>
      </c>
      <c r="AJ441" s="160"/>
      <c r="AK441" s="141"/>
      <c r="AL441" s="146" t="str">
        <f t="shared" si="619"/>
        <v xml:space="preserve">                                                                                                                                                                                                                                                                                                                                                                                                                </v>
      </c>
      <c r="AM441" s="174" t="str">
        <f t="shared" si="648"/>
        <v>NG</v>
      </c>
      <c r="AN441" s="141"/>
      <c r="AO441" s="172" t="s">
        <v>71</v>
      </c>
      <c r="AP441" s="160"/>
      <c r="AQ441" s="141"/>
      <c r="AR441" s="146" t="str">
        <f t="shared" si="622"/>
        <v xml:space="preserve">                                                                                                                                                                                                                                                                                                                                                                                                                </v>
      </c>
      <c r="AS441" s="174" t="str">
        <f t="shared" si="602"/>
        <v>NG</v>
      </c>
      <c r="AT441" s="141"/>
      <c r="AU441" s="172" t="s">
        <v>71</v>
      </c>
      <c r="AV441" s="160"/>
      <c r="AW441" s="141"/>
      <c r="AX441" s="146" t="str">
        <f t="shared" si="623"/>
        <v xml:space="preserve">                                                                                                                                                                                                                                                                                                                                                                                                                </v>
      </c>
      <c r="AY441" s="174" t="str">
        <f t="shared" si="603"/>
        <v>NG</v>
      </c>
      <c r="AZ441" s="141"/>
      <c r="BA441" s="172" t="s">
        <v>71</v>
      </c>
      <c r="BB441" s="160"/>
      <c r="BC441" s="141"/>
      <c r="BD441" s="146" t="str">
        <f t="shared" si="624"/>
        <v xml:space="preserve">                                                                                                                                                                                                                                                                                                                                                                                                                </v>
      </c>
      <c r="BE441" s="174" t="str">
        <f t="shared" si="604"/>
        <v>NG</v>
      </c>
      <c r="BF441" s="141"/>
      <c r="BG441" s="172" t="s">
        <v>71</v>
      </c>
      <c r="BH441" s="160"/>
      <c r="BI441" s="141"/>
      <c r="BJ441" s="146" t="str">
        <f t="shared" si="625"/>
        <v xml:space="preserve">                                                                                                                                                                                                                                                                                                                                                                                                                </v>
      </c>
      <c r="BK441" s="174" t="str">
        <f t="shared" si="605"/>
        <v>NG</v>
      </c>
      <c r="BL441" s="141"/>
      <c r="BM441" s="172" t="s">
        <v>71</v>
      </c>
      <c r="BN441" s="160"/>
      <c r="BO441" s="141"/>
      <c r="BP441" s="146" t="str">
        <f t="shared" si="626"/>
        <v xml:space="preserve">                                                                                                                                                                                                                                                                                                                                                                                                                </v>
      </c>
      <c r="BQ441" s="174" t="str">
        <f t="shared" si="606"/>
        <v>NG</v>
      </c>
      <c r="BR441" s="141"/>
      <c r="BS441" s="172" t="s">
        <v>71</v>
      </c>
      <c r="BT441" s="160"/>
      <c r="BU441" s="141"/>
      <c r="BV441" s="146" t="str">
        <f t="shared" si="627"/>
        <v xml:space="preserve">                                                                                                                                                                                                                                                                                                                                                                                                                </v>
      </c>
      <c r="BW441" s="174" t="str">
        <f t="shared" si="607"/>
        <v>NG</v>
      </c>
      <c r="BX441" s="141"/>
      <c r="BY441" s="172" t="s">
        <v>71</v>
      </c>
      <c r="BZ441" s="160"/>
      <c r="CA441" s="141"/>
      <c r="CB441" s="146" t="str">
        <f t="shared" si="628"/>
        <v xml:space="preserve">                                                                                                                                                                                                                                                                                                                                                                                                                </v>
      </c>
      <c r="CC441" s="174" t="str">
        <f t="shared" si="608"/>
        <v>NG</v>
      </c>
      <c r="CD441" s="141"/>
      <c r="CE441" s="172" t="s">
        <v>71</v>
      </c>
      <c r="CF441" s="160"/>
      <c r="CG441" s="141"/>
      <c r="CH441" s="146" t="str">
        <f t="shared" si="629"/>
        <v xml:space="preserve">                                                                                                                                                                                                                                                                                                                                                                                                                </v>
      </c>
      <c r="CI441" s="174" t="str">
        <f t="shared" si="609"/>
        <v>NG</v>
      </c>
      <c r="CJ441" s="141"/>
      <c r="CK441" s="172" t="s">
        <v>71</v>
      </c>
      <c r="CL441" s="160"/>
      <c r="CM441" s="141"/>
      <c r="CN441" s="146" t="str">
        <f t="shared" si="630"/>
        <v xml:space="preserve">                                                                                                                                                                                                                                                                                                                                                                                                                </v>
      </c>
      <c r="CO441" s="174" t="str">
        <f t="shared" si="610"/>
        <v>NG</v>
      </c>
      <c r="CP441" s="141"/>
      <c r="CQ441" s="172" t="s">
        <v>71</v>
      </c>
      <c r="CR441" s="160"/>
      <c r="CS441" s="141"/>
      <c r="CT441" s="146" t="str">
        <f t="shared" si="631"/>
        <v xml:space="preserve">                                                                                                                                                                                                                                                                                                                                                                                                                </v>
      </c>
      <c r="CU441" s="174" t="str">
        <f t="shared" si="611"/>
        <v>NG</v>
      </c>
      <c r="CV441" s="141"/>
      <c r="CW441" s="172" t="s">
        <v>71</v>
      </c>
      <c r="CX441" s="160"/>
      <c r="CY441" s="141"/>
      <c r="CZ441" s="146" t="str">
        <f t="shared" si="632"/>
        <v xml:space="preserve">                                                                                                                                                                                                                                                                                                                                                                                                                </v>
      </c>
      <c r="DA441" s="174" t="str">
        <f t="shared" si="612"/>
        <v>NG</v>
      </c>
      <c r="DB441" s="141"/>
      <c r="DC441" s="172" t="s">
        <v>71</v>
      </c>
      <c r="DD441" s="160"/>
      <c r="DE441" s="141"/>
      <c r="DF441" s="146" t="str">
        <f t="shared" si="633"/>
        <v xml:space="preserve">                                                                                                                                                                                                                                                                                                                                                                                                                </v>
      </c>
      <c r="DG441" s="174" t="str">
        <f t="shared" si="613"/>
        <v>NG</v>
      </c>
      <c r="DH441" s="141"/>
      <c r="DI441" s="172" t="s">
        <v>71</v>
      </c>
      <c r="DJ441" s="160"/>
      <c r="DK441" s="141"/>
      <c r="DL441" s="146" t="str">
        <f t="shared" si="634"/>
        <v xml:space="preserve">                                                                                                                                                                                                                                                                                                                                                                                                                </v>
      </c>
      <c r="DM441" s="174" t="str">
        <f t="shared" si="614"/>
        <v>NG</v>
      </c>
      <c r="DN441" s="141"/>
      <c r="DO441" s="172" t="s">
        <v>71</v>
      </c>
      <c r="DP441" s="160"/>
      <c r="DQ441" s="141"/>
      <c r="DR441" s="146" t="str">
        <f t="shared" si="635"/>
        <v xml:space="preserve">                                                                                                                                                                                                                                                                                                                                                                                                                </v>
      </c>
      <c r="DS441" s="174" t="str">
        <f t="shared" ref="DS441:DS456" si="652">IF(OR(DQ$8="判定対象外",DR$8="判定対象外",DR441="-"),"-",IF(DQ441=DR441,"OK","NG"))</f>
        <v>NG</v>
      </c>
      <c r="DT441" s="141"/>
      <c r="DU441" s="172" t="s">
        <v>71</v>
      </c>
      <c r="DV441" s="160"/>
      <c r="DW441" s="141"/>
      <c r="DX441" s="146" t="str">
        <f t="shared" si="636"/>
        <v xml:space="preserve">                                                                                                                                                                                                                                                                                                                                                                                                                </v>
      </c>
      <c r="DY441" s="174" t="str">
        <f t="shared" ref="DY441:DY456" si="653">IF(OR(DW$8="判定対象外",DX$8="判定対象外",DX441="-"),"-",IF(DW441=DX441,"OK","NG"))</f>
        <v>NG</v>
      </c>
      <c r="DZ441" s="141"/>
      <c r="EA441" s="172" t="s">
        <v>71</v>
      </c>
      <c r="EB441" s="160"/>
      <c r="EC441" s="141"/>
      <c r="ED441" s="146" t="str">
        <f t="shared" si="637"/>
        <v xml:space="preserve">                                                                                                                                                                                                                                                                                                                                                                                                                </v>
      </c>
      <c r="EE441" s="174" t="str">
        <f t="shared" ref="EE441:EE456" si="654">IF(OR(EC$8="判定対象外",ED$8="判定対象外",ED441="-"),"-",IF(EC441=ED441,"OK","NG"))</f>
        <v>NG</v>
      </c>
      <c r="EF441" s="141"/>
      <c r="EG441" s="172" t="s">
        <v>71</v>
      </c>
      <c r="EH441" s="160"/>
      <c r="EI441" s="141"/>
      <c r="EJ441" s="146" t="str">
        <f t="shared" si="638"/>
        <v xml:space="preserve">                                                                                                                                                                                                                                                                                                                                                                                                                </v>
      </c>
      <c r="EK441" s="174" t="str">
        <f t="shared" ref="EK441:EK456" si="655">IF(OR(EI$8="判定対象外",EJ$8="判定対象外",EJ441="-"),"-",IF(EI441=EJ441,"OK","NG"))</f>
        <v>NG</v>
      </c>
      <c r="EL441" s="141"/>
      <c r="EM441" s="172" t="s">
        <v>71</v>
      </c>
      <c r="EN441" s="160"/>
      <c r="EO441" s="141"/>
      <c r="EP441" s="146" t="str">
        <f t="shared" si="639"/>
        <v xml:space="preserve">                                                                                                                                                                                                                                                                                                                                                                                                                </v>
      </c>
      <c r="EQ441" s="174" t="str">
        <f t="shared" ref="EQ441:EQ456" si="656">IF(OR(EO$8="判定対象外",EP$8="判定対象外",EP441="-"),"-",IF(EO441=EP441,"OK","NG"))</f>
        <v>NG</v>
      </c>
      <c r="ER441" s="141"/>
      <c r="ES441" s="172" t="s">
        <v>71</v>
      </c>
      <c r="ET441" s="160"/>
      <c r="EU441" s="141"/>
      <c r="EV441" s="146" t="str">
        <f t="shared" si="640"/>
        <v xml:space="preserve">                                                                                                                                                                                                                                                                                                                                                                                                                </v>
      </c>
      <c r="EW441" s="174" t="str">
        <f t="shared" ref="EW441:EW456" si="657">IF(OR(EU$8="判定対象外",EV$8="判定対象外",EV441="-"),"-",IF(EU441=EV441,"OK","NG"))</f>
        <v>NG</v>
      </c>
      <c r="EX441" s="141"/>
      <c r="EY441" s="172" t="s">
        <v>71</v>
      </c>
      <c r="EZ441" s="160"/>
      <c r="FA441" s="141"/>
      <c r="FB441" s="146" t="str">
        <f t="shared" si="641"/>
        <v xml:space="preserve">                                                                                                                                                                                                                                                                                                                                                                                                                </v>
      </c>
      <c r="FC441" s="174" t="str">
        <f t="shared" ref="FC441:FC456" si="658">IF(OR(FA$8="判定対象外",FB$8="判定対象外",FB441="-"),"-",IF(FA441=FB441,"OK","NG"))</f>
        <v>NG</v>
      </c>
      <c r="FD441" s="141"/>
      <c r="FE441" s="172" t="s">
        <v>71</v>
      </c>
      <c r="FF441" s="160"/>
      <c r="FG441" s="141"/>
      <c r="FH441" s="146" t="str">
        <f t="shared" si="642"/>
        <v xml:space="preserve">                                                                                                                                                                                                                                                                                                                                                                                                                </v>
      </c>
      <c r="FI441" s="174" t="str">
        <f t="shared" ref="FI441:FI456" si="659">IF(OR(FG$8="判定対象外",FH$8="判定対象外",FH441="-"),"-",IF(FG441=FH441,"OK","NG"))</f>
        <v>NG</v>
      </c>
      <c r="FJ441" s="141"/>
      <c r="FK441" s="172" t="s">
        <v>71</v>
      </c>
      <c r="FL441" s="160"/>
      <c r="FM441" s="141"/>
      <c r="FN441" s="146" t="str">
        <f t="shared" si="643"/>
        <v xml:space="preserve">                                                                                                                                                                                                                                                                                                                                                                                                                </v>
      </c>
      <c r="FO441" s="174" t="str">
        <f t="shared" si="615"/>
        <v>NG</v>
      </c>
      <c r="FP441" s="141"/>
      <c r="FQ441" s="172" t="s">
        <v>71</v>
      </c>
      <c r="FR441" s="160"/>
      <c r="FS441" s="141"/>
      <c r="FT441" s="146" t="str">
        <f t="shared" si="644"/>
        <v xml:space="preserve">                                                                                                                                                                                                                                                                                                                                                                                                                </v>
      </c>
      <c r="FU441" s="174" t="str">
        <f t="shared" si="616"/>
        <v>NG</v>
      </c>
      <c r="FV441" s="141"/>
      <c r="FW441" s="172" t="s">
        <v>71</v>
      </c>
      <c r="FX441" s="160"/>
      <c r="FY441" s="141"/>
      <c r="FZ441" s="146" t="str">
        <f t="shared" si="645"/>
        <v xml:space="preserve">                                                                                                                                                                                                                                                                                                                                                                                                                </v>
      </c>
      <c r="GA441" s="174" t="str">
        <f t="shared" si="617"/>
        <v>NG</v>
      </c>
      <c r="GB441" s="141"/>
      <c r="GC441" s="172" t="s">
        <v>71</v>
      </c>
    </row>
    <row r="442" spans="2:185" s="52" customFormat="1">
      <c r="B442" s="216">
        <f t="shared" si="646"/>
        <v>435</v>
      </c>
      <c r="C442" s="37"/>
      <c r="D442" s="37"/>
      <c r="E442" s="37"/>
      <c r="F442" s="49" t="s">
        <v>222</v>
      </c>
      <c r="G442" s="39"/>
      <c r="H442" s="40"/>
      <c r="I442" s="42"/>
      <c r="J442" s="42"/>
      <c r="K442" s="42"/>
      <c r="L442" s="42"/>
      <c r="M442" s="63" t="s">
        <v>336</v>
      </c>
      <c r="N442" s="47"/>
      <c r="O442" s="143"/>
      <c r="P442" s="45">
        <f t="shared" si="650"/>
        <v>405</v>
      </c>
      <c r="Q442" s="46">
        <v>400</v>
      </c>
      <c r="R442" s="41" t="str">
        <f t="shared" si="651"/>
        <v>NX</v>
      </c>
      <c r="S442" s="185" t="s">
        <v>223</v>
      </c>
      <c r="T442" s="43"/>
      <c r="U442" s="41" t="s">
        <v>80</v>
      </c>
      <c r="V442" s="44"/>
      <c r="W442" s="22">
        <v>3</v>
      </c>
      <c r="X442" s="47" t="s">
        <v>224</v>
      </c>
      <c r="Y442" s="47">
        <v>1</v>
      </c>
      <c r="Z442" s="47">
        <v>400</v>
      </c>
      <c r="AA442" s="42" t="s">
        <v>195</v>
      </c>
      <c r="AB442" s="42" t="s">
        <v>80</v>
      </c>
      <c r="AC442" s="166"/>
      <c r="AD442" s="160"/>
      <c r="AE442" s="141"/>
      <c r="AF442" s="146" t="str">
        <f t="shared" si="621"/>
        <v xml:space="preserve">                                                                                                                                                                                                                                                                                                                                                                                                                </v>
      </c>
      <c r="AG442" s="174" t="str">
        <f t="shared" si="601"/>
        <v>NG</v>
      </c>
      <c r="AH442" s="141"/>
      <c r="AI442" s="172" t="s">
        <v>71</v>
      </c>
      <c r="AJ442" s="160"/>
      <c r="AK442" s="141"/>
      <c r="AL442" s="146" t="str">
        <f t="shared" si="619"/>
        <v xml:space="preserve">                                                                                                                                                                                                                                                                                                                                                                                                                </v>
      </c>
      <c r="AM442" s="174" t="str">
        <f t="shared" si="648"/>
        <v>NG</v>
      </c>
      <c r="AN442" s="141"/>
      <c r="AO442" s="172" t="s">
        <v>71</v>
      </c>
      <c r="AP442" s="160"/>
      <c r="AQ442" s="141"/>
      <c r="AR442" s="146" t="str">
        <f t="shared" si="622"/>
        <v xml:space="preserve">                                                                                                                                                                                                                                                                                                                                                                                                                </v>
      </c>
      <c r="AS442" s="174" t="str">
        <f t="shared" si="602"/>
        <v>NG</v>
      </c>
      <c r="AT442" s="141"/>
      <c r="AU442" s="172" t="s">
        <v>71</v>
      </c>
      <c r="AV442" s="160"/>
      <c r="AW442" s="141"/>
      <c r="AX442" s="146" t="str">
        <f t="shared" si="623"/>
        <v xml:space="preserve">                                                                                                                                                                                                                                                                                                                                                                                                                </v>
      </c>
      <c r="AY442" s="174" t="str">
        <f t="shared" si="603"/>
        <v>NG</v>
      </c>
      <c r="AZ442" s="141"/>
      <c r="BA442" s="172" t="s">
        <v>71</v>
      </c>
      <c r="BB442" s="160"/>
      <c r="BC442" s="141"/>
      <c r="BD442" s="146" t="str">
        <f t="shared" si="624"/>
        <v xml:space="preserve">                                                                                                                                                                                                                                                                                                                                                                                                                </v>
      </c>
      <c r="BE442" s="174" t="str">
        <f t="shared" si="604"/>
        <v>NG</v>
      </c>
      <c r="BF442" s="141"/>
      <c r="BG442" s="172" t="s">
        <v>71</v>
      </c>
      <c r="BH442" s="160"/>
      <c r="BI442" s="141"/>
      <c r="BJ442" s="146" t="str">
        <f t="shared" si="625"/>
        <v xml:space="preserve">                                                                                                                                                                                                                                                                                                                                                                                                                </v>
      </c>
      <c r="BK442" s="174" t="str">
        <f t="shared" si="605"/>
        <v>NG</v>
      </c>
      <c r="BL442" s="141"/>
      <c r="BM442" s="172" t="s">
        <v>71</v>
      </c>
      <c r="BN442" s="160"/>
      <c r="BO442" s="141"/>
      <c r="BP442" s="146" t="str">
        <f t="shared" si="626"/>
        <v xml:space="preserve">                                                                                                                                                                                                                                                                                                                                                                                                                </v>
      </c>
      <c r="BQ442" s="174" t="str">
        <f t="shared" si="606"/>
        <v>NG</v>
      </c>
      <c r="BR442" s="141"/>
      <c r="BS442" s="172" t="s">
        <v>71</v>
      </c>
      <c r="BT442" s="160"/>
      <c r="BU442" s="141"/>
      <c r="BV442" s="146" t="str">
        <f t="shared" si="627"/>
        <v xml:space="preserve">                                                                                                                                                                                                                                                                                                                                                                                                                </v>
      </c>
      <c r="BW442" s="174" t="str">
        <f t="shared" si="607"/>
        <v>NG</v>
      </c>
      <c r="BX442" s="141"/>
      <c r="BY442" s="172" t="s">
        <v>71</v>
      </c>
      <c r="BZ442" s="160"/>
      <c r="CA442" s="141"/>
      <c r="CB442" s="146" t="str">
        <f t="shared" si="628"/>
        <v xml:space="preserve">                                                                                                                                                                                                                                                                                                                                                                                                                </v>
      </c>
      <c r="CC442" s="174" t="str">
        <f t="shared" si="608"/>
        <v>NG</v>
      </c>
      <c r="CD442" s="141"/>
      <c r="CE442" s="172" t="s">
        <v>71</v>
      </c>
      <c r="CF442" s="160"/>
      <c r="CG442" s="141"/>
      <c r="CH442" s="146" t="str">
        <f t="shared" si="629"/>
        <v xml:space="preserve">                                                                                                                                                                                                                                                                                                                                                                                                                </v>
      </c>
      <c r="CI442" s="174" t="str">
        <f t="shared" si="609"/>
        <v>NG</v>
      </c>
      <c r="CJ442" s="141"/>
      <c r="CK442" s="172" t="s">
        <v>71</v>
      </c>
      <c r="CL442" s="160"/>
      <c r="CM442" s="141"/>
      <c r="CN442" s="146" t="str">
        <f t="shared" si="630"/>
        <v xml:space="preserve">                                                                                                                                                                                                                                                                                                                                                                                                                </v>
      </c>
      <c r="CO442" s="174" t="str">
        <f t="shared" si="610"/>
        <v>NG</v>
      </c>
      <c r="CP442" s="141"/>
      <c r="CQ442" s="172" t="s">
        <v>71</v>
      </c>
      <c r="CR442" s="160"/>
      <c r="CS442" s="141"/>
      <c r="CT442" s="146" t="str">
        <f t="shared" si="631"/>
        <v xml:space="preserve">                                                                                                                                                                                                                                                                                                                                                                                                                </v>
      </c>
      <c r="CU442" s="174" t="str">
        <f t="shared" si="611"/>
        <v>NG</v>
      </c>
      <c r="CV442" s="141"/>
      <c r="CW442" s="172" t="s">
        <v>71</v>
      </c>
      <c r="CX442" s="160"/>
      <c r="CY442" s="141"/>
      <c r="CZ442" s="146" t="str">
        <f t="shared" si="632"/>
        <v xml:space="preserve">                                                                                                                                                                                                                                                                                                                                                                                                                </v>
      </c>
      <c r="DA442" s="174" t="str">
        <f t="shared" si="612"/>
        <v>NG</v>
      </c>
      <c r="DB442" s="141"/>
      <c r="DC442" s="172" t="s">
        <v>71</v>
      </c>
      <c r="DD442" s="160"/>
      <c r="DE442" s="141"/>
      <c r="DF442" s="146" t="str">
        <f t="shared" si="633"/>
        <v xml:space="preserve">                                                                                                                                                                                                                                                                                                                                                                                                                </v>
      </c>
      <c r="DG442" s="174" t="str">
        <f t="shared" si="613"/>
        <v>NG</v>
      </c>
      <c r="DH442" s="141"/>
      <c r="DI442" s="172" t="s">
        <v>71</v>
      </c>
      <c r="DJ442" s="160"/>
      <c r="DK442" s="141"/>
      <c r="DL442" s="146" t="str">
        <f t="shared" si="634"/>
        <v xml:space="preserve">                                                                                                                                                                                                                                                                                                                                                                                                                </v>
      </c>
      <c r="DM442" s="174" t="str">
        <f t="shared" si="614"/>
        <v>NG</v>
      </c>
      <c r="DN442" s="141"/>
      <c r="DO442" s="172" t="s">
        <v>71</v>
      </c>
      <c r="DP442" s="160"/>
      <c r="DQ442" s="141"/>
      <c r="DR442" s="146" t="str">
        <f t="shared" si="635"/>
        <v xml:space="preserve">                                                                                                                                                                                                                                                                                                                                                                                                                </v>
      </c>
      <c r="DS442" s="174" t="str">
        <f t="shared" si="652"/>
        <v>NG</v>
      </c>
      <c r="DT442" s="141"/>
      <c r="DU442" s="172" t="s">
        <v>71</v>
      </c>
      <c r="DV442" s="160"/>
      <c r="DW442" s="141"/>
      <c r="DX442" s="146" t="str">
        <f t="shared" si="636"/>
        <v xml:space="preserve">                                                                                                                                                                                                                                                                                                                                                                                                                </v>
      </c>
      <c r="DY442" s="174" t="str">
        <f t="shared" si="653"/>
        <v>NG</v>
      </c>
      <c r="DZ442" s="141"/>
      <c r="EA442" s="172" t="s">
        <v>71</v>
      </c>
      <c r="EB442" s="160"/>
      <c r="EC442" s="141"/>
      <c r="ED442" s="146" t="str">
        <f t="shared" si="637"/>
        <v xml:space="preserve">                                                                                                                                                                                                                                                                                                                                                                                                                </v>
      </c>
      <c r="EE442" s="174" t="str">
        <f t="shared" si="654"/>
        <v>NG</v>
      </c>
      <c r="EF442" s="141"/>
      <c r="EG442" s="172" t="s">
        <v>71</v>
      </c>
      <c r="EH442" s="160"/>
      <c r="EI442" s="141"/>
      <c r="EJ442" s="146" t="str">
        <f t="shared" si="638"/>
        <v xml:space="preserve">                                                                                                                                                                                                                                                                                                                                                                                                                </v>
      </c>
      <c r="EK442" s="174" t="str">
        <f t="shared" si="655"/>
        <v>NG</v>
      </c>
      <c r="EL442" s="141"/>
      <c r="EM442" s="172" t="s">
        <v>71</v>
      </c>
      <c r="EN442" s="160"/>
      <c r="EO442" s="141"/>
      <c r="EP442" s="146" t="str">
        <f t="shared" si="639"/>
        <v xml:space="preserve">                                                                                                                                                                                                                                                                                                                                                                                                                </v>
      </c>
      <c r="EQ442" s="174" t="str">
        <f t="shared" si="656"/>
        <v>NG</v>
      </c>
      <c r="ER442" s="141"/>
      <c r="ES442" s="172" t="s">
        <v>71</v>
      </c>
      <c r="ET442" s="160"/>
      <c r="EU442" s="141"/>
      <c r="EV442" s="146" t="str">
        <f t="shared" si="640"/>
        <v xml:space="preserve">                                                                                                                                                                                                                                                                                                                                                                                                                </v>
      </c>
      <c r="EW442" s="174" t="str">
        <f t="shared" si="657"/>
        <v>NG</v>
      </c>
      <c r="EX442" s="141"/>
      <c r="EY442" s="172" t="s">
        <v>71</v>
      </c>
      <c r="EZ442" s="160"/>
      <c r="FA442" s="141"/>
      <c r="FB442" s="146" t="str">
        <f t="shared" si="641"/>
        <v xml:space="preserve">                                                                                                                                                                                                                                                                                                                                                                                                                </v>
      </c>
      <c r="FC442" s="174" t="str">
        <f t="shared" si="658"/>
        <v>NG</v>
      </c>
      <c r="FD442" s="141"/>
      <c r="FE442" s="172" t="s">
        <v>71</v>
      </c>
      <c r="FF442" s="160"/>
      <c r="FG442" s="141"/>
      <c r="FH442" s="146" t="str">
        <f t="shared" si="642"/>
        <v xml:space="preserve">                                                                                                                                                                                                                                                                                                                                                                                                                </v>
      </c>
      <c r="FI442" s="174" t="str">
        <f t="shared" si="659"/>
        <v>NG</v>
      </c>
      <c r="FJ442" s="141"/>
      <c r="FK442" s="172" t="s">
        <v>71</v>
      </c>
      <c r="FL442" s="160"/>
      <c r="FM442" s="141"/>
      <c r="FN442" s="146" t="str">
        <f t="shared" si="643"/>
        <v xml:space="preserve">                                                                                                                                                                                                                                                                                                                                                                                                                </v>
      </c>
      <c r="FO442" s="174" t="str">
        <f t="shared" si="615"/>
        <v>NG</v>
      </c>
      <c r="FP442" s="141"/>
      <c r="FQ442" s="172" t="s">
        <v>71</v>
      </c>
      <c r="FR442" s="160"/>
      <c r="FS442" s="141"/>
      <c r="FT442" s="146" t="str">
        <f t="shared" si="644"/>
        <v xml:space="preserve">                                                                                                                                                                                                                                                                                                                                                                                                                </v>
      </c>
      <c r="FU442" s="174" t="str">
        <f t="shared" si="616"/>
        <v>NG</v>
      </c>
      <c r="FV442" s="141"/>
      <c r="FW442" s="172" t="s">
        <v>71</v>
      </c>
      <c r="FX442" s="160"/>
      <c r="FY442" s="141"/>
      <c r="FZ442" s="146" t="str">
        <f t="shared" si="645"/>
        <v xml:space="preserve">                                                                                                                                                                                                                                                                                                                                                                                                                </v>
      </c>
      <c r="GA442" s="174" t="str">
        <f t="shared" si="617"/>
        <v>NG</v>
      </c>
      <c r="GB442" s="141"/>
      <c r="GC442" s="172" t="s">
        <v>71</v>
      </c>
    </row>
    <row r="443" spans="2:185" s="52" customFormat="1">
      <c r="B443" s="216">
        <f t="shared" si="646"/>
        <v>436</v>
      </c>
      <c r="C443" s="37"/>
      <c r="D443" s="37"/>
      <c r="E443" s="37"/>
      <c r="F443" s="49" t="s">
        <v>225</v>
      </c>
      <c r="G443" s="39"/>
      <c r="H443" s="40"/>
      <c r="I443" s="42"/>
      <c r="J443" s="42"/>
      <c r="K443" s="42"/>
      <c r="L443" s="42"/>
      <c r="M443" s="63" t="s">
        <v>336</v>
      </c>
      <c r="N443" s="47"/>
      <c r="O443" s="143"/>
      <c r="P443" s="45">
        <f t="shared" si="650"/>
        <v>406</v>
      </c>
      <c r="Q443" s="46">
        <v>400</v>
      </c>
      <c r="R443" s="41" t="str">
        <f t="shared" si="651"/>
        <v>NX</v>
      </c>
      <c r="S443" s="185" t="s">
        <v>226</v>
      </c>
      <c r="T443" s="43"/>
      <c r="U443" s="41" t="s">
        <v>80</v>
      </c>
      <c r="V443" s="44"/>
      <c r="W443" s="22">
        <v>3</v>
      </c>
      <c r="X443" s="47" t="s">
        <v>227</v>
      </c>
      <c r="Y443" s="47">
        <v>1</v>
      </c>
      <c r="Z443" s="47">
        <v>400</v>
      </c>
      <c r="AA443" s="42" t="s">
        <v>195</v>
      </c>
      <c r="AB443" s="42" t="s">
        <v>80</v>
      </c>
      <c r="AC443" s="166"/>
      <c r="AD443" s="160"/>
      <c r="AE443" s="141"/>
      <c r="AF443" s="146" t="str">
        <f t="shared" si="621"/>
        <v xml:space="preserve">                                                                                                                                                                                                                                                                                                                                                                                                                </v>
      </c>
      <c r="AG443" s="174" t="str">
        <f t="shared" si="601"/>
        <v>NG</v>
      </c>
      <c r="AH443" s="141"/>
      <c r="AI443" s="172" t="s">
        <v>71</v>
      </c>
      <c r="AJ443" s="160"/>
      <c r="AK443" s="141"/>
      <c r="AL443" s="146" t="str">
        <f t="shared" si="619"/>
        <v xml:space="preserve">                                                                                                                                                                                                                                                                                                                                                                                                                </v>
      </c>
      <c r="AM443" s="174" t="str">
        <f t="shared" si="648"/>
        <v>NG</v>
      </c>
      <c r="AN443" s="141"/>
      <c r="AO443" s="172" t="s">
        <v>71</v>
      </c>
      <c r="AP443" s="160"/>
      <c r="AQ443" s="141"/>
      <c r="AR443" s="146" t="str">
        <f t="shared" si="622"/>
        <v xml:space="preserve">                                                                                                                                                                                                                                                                                                                                                                                                                </v>
      </c>
      <c r="AS443" s="174" t="str">
        <f t="shared" si="602"/>
        <v>NG</v>
      </c>
      <c r="AT443" s="141"/>
      <c r="AU443" s="172" t="s">
        <v>71</v>
      </c>
      <c r="AV443" s="160"/>
      <c r="AW443" s="141"/>
      <c r="AX443" s="146" t="str">
        <f t="shared" si="623"/>
        <v xml:space="preserve">                                                                                                                                                                                                                                                                                                                                                                                                                </v>
      </c>
      <c r="AY443" s="174" t="str">
        <f t="shared" si="603"/>
        <v>NG</v>
      </c>
      <c r="AZ443" s="141"/>
      <c r="BA443" s="172" t="s">
        <v>71</v>
      </c>
      <c r="BB443" s="160"/>
      <c r="BC443" s="141"/>
      <c r="BD443" s="146" t="str">
        <f t="shared" si="624"/>
        <v xml:space="preserve">                                                                                                                                                                                                                                                                                                                                                                                                                </v>
      </c>
      <c r="BE443" s="174" t="str">
        <f t="shared" si="604"/>
        <v>NG</v>
      </c>
      <c r="BF443" s="141"/>
      <c r="BG443" s="172" t="s">
        <v>71</v>
      </c>
      <c r="BH443" s="160"/>
      <c r="BI443" s="141"/>
      <c r="BJ443" s="146" t="str">
        <f t="shared" si="625"/>
        <v xml:space="preserve">                                                                                                                                                                                                                                                                                                                                                                                                                </v>
      </c>
      <c r="BK443" s="174" t="str">
        <f t="shared" si="605"/>
        <v>NG</v>
      </c>
      <c r="BL443" s="141"/>
      <c r="BM443" s="172" t="s">
        <v>71</v>
      </c>
      <c r="BN443" s="160"/>
      <c r="BO443" s="141"/>
      <c r="BP443" s="146" t="str">
        <f t="shared" si="626"/>
        <v xml:space="preserve">                                                                                                                                                                                                                                                                                                                                                                                                                </v>
      </c>
      <c r="BQ443" s="174" t="str">
        <f t="shared" si="606"/>
        <v>NG</v>
      </c>
      <c r="BR443" s="141"/>
      <c r="BS443" s="172" t="s">
        <v>71</v>
      </c>
      <c r="BT443" s="160"/>
      <c r="BU443" s="141"/>
      <c r="BV443" s="146" t="str">
        <f t="shared" si="627"/>
        <v xml:space="preserve">                                                                                                                                                                                                                                                                                                                                                                                                                </v>
      </c>
      <c r="BW443" s="174" t="str">
        <f t="shared" si="607"/>
        <v>NG</v>
      </c>
      <c r="BX443" s="141"/>
      <c r="BY443" s="172" t="s">
        <v>71</v>
      </c>
      <c r="BZ443" s="160"/>
      <c r="CA443" s="141"/>
      <c r="CB443" s="146" t="str">
        <f t="shared" si="628"/>
        <v xml:space="preserve">                                                                                                                                                                                                                                                                                                                                                                                                                </v>
      </c>
      <c r="CC443" s="174" t="str">
        <f t="shared" si="608"/>
        <v>NG</v>
      </c>
      <c r="CD443" s="141"/>
      <c r="CE443" s="172" t="s">
        <v>71</v>
      </c>
      <c r="CF443" s="160"/>
      <c r="CG443" s="141"/>
      <c r="CH443" s="146" t="str">
        <f t="shared" si="629"/>
        <v xml:space="preserve">                                                                                                                                                                                                                                                                                                                                                                                                                </v>
      </c>
      <c r="CI443" s="174" t="str">
        <f t="shared" si="609"/>
        <v>NG</v>
      </c>
      <c r="CJ443" s="141"/>
      <c r="CK443" s="172" t="s">
        <v>71</v>
      </c>
      <c r="CL443" s="160"/>
      <c r="CM443" s="141"/>
      <c r="CN443" s="146" t="str">
        <f t="shared" si="630"/>
        <v xml:space="preserve">                                                                                                                                                                                                                                                                                                                                                                                                                </v>
      </c>
      <c r="CO443" s="174" t="str">
        <f t="shared" si="610"/>
        <v>NG</v>
      </c>
      <c r="CP443" s="141"/>
      <c r="CQ443" s="172" t="s">
        <v>71</v>
      </c>
      <c r="CR443" s="160"/>
      <c r="CS443" s="141"/>
      <c r="CT443" s="146" t="str">
        <f t="shared" si="631"/>
        <v xml:space="preserve">                                                                                                                                                                                                                                                                                                                                                                                                                </v>
      </c>
      <c r="CU443" s="174" t="str">
        <f t="shared" si="611"/>
        <v>NG</v>
      </c>
      <c r="CV443" s="141"/>
      <c r="CW443" s="172" t="s">
        <v>71</v>
      </c>
      <c r="CX443" s="160"/>
      <c r="CY443" s="141"/>
      <c r="CZ443" s="146" t="str">
        <f t="shared" si="632"/>
        <v xml:space="preserve">                                                                                                                                                                                                                                                                                                                                                                                                                </v>
      </c>
      <c r="DA443" s="174" t="str">
        <f t="shared" si="612"/>
        <v>NG</v>
      </c>
      <c r="DB443" s="141"/>
      <c r="DC443" s="172" t="s">
        <v>71</v>
      </c>
      <c r="DD443" s="160"/>
      <c r="DE443" s="141"/>
      <c r="DF443" s="146" t="str">
        <f t="shared" si="633"/>
        <v xml:space="preserve">                                                                                                                                                                                                                                                                                                                                                                                                                </v>
      </c>
      <c r="DG443" s="174" t="str">
        <f t="shared" si="613"/>
        <v>NG</v>
      </c>
      <c r="DH443" s="141"/>
      <c r="DI443" s="172" t="s">
        <v>71</v>
      </c>
      <c r="DJ443" s="160"/>
      <c r="DK443" s="141"/>
      <c r="DL443" s="146" t="str">
        <f t="shared" si="634"/>
        <v xml:space="preserve">                                                                                                                                                                                                                                                                                                                                                                                                                </v>
      </c>
      <c r="DM443" s="174" t="str">
        <f t="shared" si="614"/>
        <v>NG</v>
      </c>
      <c r="DN443" s="141"/>
      <c r="DO443" s="172" t="s">
        <v>71</v>
      </c>
      <c r="DP443" s="160"/>
      <c r="DQ443" s="141"/>
      <c r="DR443" s="146" t="str">
        <f t="shared" si="635"/>
        <v xml:space="preserve">                                                                                                                                                                                                                                                                                                                                                                                                                </v>
      </c>
      <c r="DS443" s="174" t="str">
        <f t="shared" si="652"/>
        <v>NG</v>
      </c>
      <c r="DT443" s="141"/>
      <c r="DU443" s="172" t="s">
        <v>71</v>
      </c>
      <c r="DV443" s="160"/>
      <c r="DW443" s="141"/>
      <c r="DX443" s="146" t="str">
        <f t="shared" si="636"/>
        <v xml:space="preserve">                                                                                                                                                                                                                                                                                                                                                                                                                </v>
      </c>
      <c r="DY443" s="174" t="str">
        <f t="shared" si="653"/>
        <v>NG</v>
      </c>
      <c r="DZ443" s="141"/>
      <c r="EA443" s="172" t="s">
        <v>71</v>
      </c>
      <c r="EB443" s="160"/>
      <c r="EC443" s="141"/>
      <c r="ED443" s="146" t="str">
        <f t="shared" si="637"/>
        <v xml:space="preserve">                                                                                                                                                                                                                                                                                                                                                                                                                </v>
      </c>
      <c r="EE443" s="174" t="str">
        <f t="shared" si="654"/>
        <v>NG</v>
      </c>
      <c r="EF443" s="141"/>
      <c r="EG443" s="172" t="s">
        <v>71</v>
      </c>
      <c r="EH443" s="160"/>
      <c r="EI443" s="141"/>
      <c r="EJ443" s="146" t="str">
        <f t="shared" si="638"/>
        <v xml:space="preserve">                                                                                                                                                                                                                                                                                                                                                                                                                </v>
      </c>
      <c r="EK443" s="174" t="str">
        <f t="shared" si="655"/>
        <v>NG</v>
      </c>
      <c r="EL443" s="141"/>
      <c r="EM443" s="172" t="s">
        <v>71</v>
      </c>
      <c r="EN443" s="160"/>
      <c r="EO443" s="141"/>
      <c r="EP443" s="146" t="str">
        <f t="shared" si="639"/>
        <v xml:space="preserve">                                                                                                                                                                                                                                                                                                                                                                                                                </v>
      </c>
      <c r="EQ443" s="174" t="str">
        <f t="shared" si="656"/>
        <v>NG</v>
      </c>
      <c r="ER443" s="141"/>
      <c r="ES443" s="172" t="s">
        <v>71</v>
      </c>
      <c r="ET443" s="160"/>
      <c r="EU443" s="141"/>
      <c r="EV443" s="146" t="str">
        <f t="shared" si="640"/>
        <v xml:space="preserve">                                                                                                                                                                                                                                                                                                                                                                                                                </v>
      </c>
      <c r="EW443" s="174" t="str">
        <f t="shared" si="657"/>
        <v>NG</v>
      </c>
      <c r="EX443" s="141"/>
      <c r="EY443" s="172" t="s">
        <v>71</v>
      </c>
      <c r="EZ443" s="160"/>
      <c r="FA443" s="141"/>
      <c r="FB443" s="146" t="str">
        <f t="shared" si="641"/>
        <v xml:space="preserve">                                                                                                                                                                                                                                                                                                                                                                                                                </v>
      </c>
      <c r="FC443" s="174" t="str">
        <f t="shared" si="658"/>
        <v>NG</v>
      </c>
      <c r="FD443" s="141"/>
      <c r="FE443" s="172" t="s">
        <v>71</v>
      </c>
      <c r="FF443" s="160"/>
      <c r="FG443" s="141"/>
      <c r="FH443" s="146" t="str">
        <f t="shared" si="642"/>
        <v xml:space="preserve">                                                                                                                                                                                                                                                                                                                                                                                                                </v>
      </c>
      <c r="FI443" s="174" t="str">
        <f t="shared" si="659"/>
        <v>NG</v>
      </c>
      <c r="FJ443" s="141"/>
      <c r="FK443" s="172" t="s">
        <v>71</v>
      </c>
      <c r="FL443" s="160"/>
      <c r="FM443" s="141"/>
      <c r="FN443" s="146" t="str">
        <f t="shared" si="643"/>
        <v xml:space="preserve">                                                                                                                                                                                                                                                                                                                                                                                                                </v>
      </c>
      <c r="FO443" s="174" t="str">
        <f t="shared" si="615"/>
        <v>NG</v>
      </c>
      <c r="FP443" s="141"/>
      <c r="FQ443" s="172" t="s">
        <v>71</v>
      </c>
      <c r="FR443" s="160"/>
      <c r="FS443" s="141"/>
      <c r="FT443" s="146" t="str">
        <f t="shared" si="644"/>
        <v xml:space="preserve">                                                                                                                                                                                                                                                                                                                                                                                                                </v>
      </c>
      <c r="FU443" s="174" t="str">
        <f t="shared" si="616"/>
        <v>NG</v>
      </c>
      <c r="FV443" s="141"/>
      <c r="FW443" s="172" t="s">
        <v>71</v>
      </c>
      <c r="FX443" s="160"/>
      <c r="FY443" s="141"/>
      <c r="FZ443" s="146" t="str">
        <f t="shared" si="645"/>
        <v xml:space="preserve">                                                                                                                                                                                                                                                                                                                                                                                                                </v>
      </c>
      <c r="GA443" s="174" t="str">
        <f t="shared" si="617"/>
        <v>NG</v>
      </c>
      <c r="GB443" s="141"/>
      <c r="GC443" s="172" t="s">
        <v>71</v>
      </c>
    </row>
    <row r="444" spans="2:185" s="52" customFormat="1" ht="89.25">
      <c r="B444" s="216">
        <f t="shared" si="646"/>
        <v>437</v>
      </c>
      <c r="C444" s="37"/>
      <c r="D444" s="37"/>
      <c r="E444" s="37"/>
      <c r="F444" s="49" t="s">
        <v>228</v>
      </c>
      <c r="G444" s="39"/>
      <c r="H444" s="40"/>
      <c r="I444" s="42"/>
      <c r="J444" s="42"/>
      <c r="K444" s="42"/>
      <c r="L444" s="42"/>
      <c r="M444" s="63" t="s">
        <v>338</v>
      </c>
      <c r="N444" s="47"/>
      <c r="O444" s="143"/>
      <c r="P444" s="45">
        <f t="shared" si="650"/>
        <v>407</v>
      </c>
      <c r="Q444" s="46">
        <v>1</v>
      </c>
      <c r="R444" s="41" t="str">
        <f t="shared" si="651"/>
        <v>X</v>
      </c>
      <c r="S444" s="185" t="s">
        <v>229</v>
      </c>
      <c r="T444" s="43"/>
      <c r="U444" s="41" t="s">
        <v>80</v>
      </c>
      <c r="V444" s="44"/>
      <c r="W444" s="22">
        <v>3</v>
      </c>
      <c r="X444" s="47" t="s">
        <v>230</v>
      </c>
      <c r="Y444" s="47">
        <v>1</v>
      </c>
      <c r="Z444" s="47">
        <v>1</v>
      </c>
      <c r="AA444" s="42" t="s">
        <v>163</v>
      </c>
      <c r="AB444" s="42" t="s">
        <v>57</v>
      </c>
      <c r="AC444" s="217"/>
      <c r="AD444" s="160"/>
      <c r="AE444" s="162"/>
      <c r="AF444" s="203" t="str">
        <f t="shared" si="621"/>
        <v xml:space="preserve"> </v>
      </c>
      <c r="AG444" s="174" t="str">
        <f t="shared" si="601"/>
        <v>NG</v>
      </c>
      <c r="AH444" s="162"/>
      <c r="AI444" s="172" t="s">
        <v>71</v>
      </c>
      <c r="AJ444" s="160"/>
      <c r="AK444" s="162"/>
      <c r="AL444" s="203" t="str">
        <f t="shared" si="619"/>
        <v xml:space="preserve"> </v>
      </c>
      <c r="AM444" s="174" t="str">
        <f t="shared" si="648"/>
        <v>NG</v>
      </c>
      <c r="AN444" s="162"/>
      <c r="AO444" s="172" t="s">
        <v>71</v>
      </c>
      <c r="AP444" s="160"/>
      <c r="AQ444" s="162"/>
      <c r="AR444" s="203" t="str">
        <f t="shared" si="622"/>
        <v xml:space="preserve"> </v>
      </c>
      <c r="AS444" s="174" t="str">
        <f t="shared" si="602"/>
        <v>NG</v>
      </c>
      <c r="AT444" s="162"/>
      <c r="AU444" s="172" t="s">
        <v>71</v>
      </c>
      <c r="AV444" s="160"/>
      <c r="AW444" s="162"/>
      <c r="AX444" s="203" t="str">
        <f t="shared" si="623"/>
        <v xml:space="preserve"> </v>
      </c>
      <c r="AY444" s="174" t="str">
        <f t="shared" si="603"/>
        <v>NG</v>
      </c>
      <c r="AZ444" s="162"/>
      <c r="BA444" s="172" t="s">
        <v>71</v>
      </c>
      <c r="BB444" s="160"/>
      <c r="BC444" s="162"/>
      <c r="BD444" s="203" t="str">
        <f t="shared" si="624"/>
        <v xml:space="preserve"> </v>
      </c>
      <c r="BE444" s="174" t="str">
        <f t="shared" si="604"/>
        <v>NG</v>
      </c>
      <c r="BF444" s="162"/>
      <c r="BG444" s="172" t="s">
        <v>71</v>
      </c>
      <c r="BH444" s="160"/>
      <c r="BI444" s="162"/>
      <c r="BJ444" s="203" t="str">
        <f t="shared" si="625"/>
        <v xml:space="preserve"> </v>
      </c>
      <c r="BK444" s="174" t="str">
        <f t="shared" si="605"/>
        <v>NG</v>
      </c>
      <c r="BL444" s="162"/>
      <c r="BM444" s="172" t="s">
        <v>71</v>
      </c>
      <c r="BN444" s="160"/>
      <c r="BO444" s="162"/>
      <c r="BP444" s="203" t="str">
        <f t="shared" si="626"/>
        <v xml:space="preserve"> </v>
      </c>
      <c r="BQ444" s="174" t="str">
        <f t="shared" si="606"/>
        <v>NG</v>
      </c>
      <c r="BR444" s="162"/>
      <c r="BS444" s="172" t="s">
        <v>71</v>
      </c>
      <c r="BT444" s="160"/>
      <c r="BU444" s="162"/>
      <c r="BV444" s="203" t="str">
        <f t="shared" si="627"/>
        <v xml:space="preserve"> </v>
      </c>
      <c r="BW444" s="174" t="str">
        <f t="shared" si="607"/>
        <v>NG</v>
      </c>
      <c r="BX444" s="162"/>
      <c r="BY444" s="172" t="s">
        <v>71</v>
      </c>
      <c r="BZ444" s="160"/>
      <c r="CA444" s="162"/>
      <c r="CB444" s="203" t="str">
        <f t="shared" si="628"/>
        <v xml:space="preserve"> </v>
      </c>
      <c r="CC444" s="174" t="str">
        <f t="shared" si="608"/>
        <v>NG</v>
      </c>
      <c r="CD444" s="162"/>
      <c r="CE444" s="172" t="s">
        <v>71</v>
      </c>
      <c r="CF444" s="160"/>
      <c r="CG444" s="162"/>
      <c r="CH444" s="203" t="str">
        <f t="shared" si="629"/>
        <v xml:space="preserve"> </v>
      </c>
      <c r="CI444" s="174" t="str">
        <f t="shared" si="609"/>
        <v>NG</v>
      </c>
      <c r="CJ444" s="162"/>
      <c r="CK444" s="172" t="s">
        <v>71</v>
      </c>
      <c r="CL444" s="160"/>
      <c r="CM444" s="162"/>
      <c r="CN444" s="203" t="str">
        <f t="shared" si="630"/>
        <v xml:space="preserve"> </v>
      </c>
      <c r="CO444" s="174" t="str">
        <f t="shared" si="610"/>
        <v>NG</v>
      </c>
      <c r="CP444" s="162"/>
      <c r="CQ444" s="172" t="s">
        <v>71</v>
      </c>
      <c r="CR444" s="160"/>
      <c r="CS444" s="162"/>
      <c r="CT444" s="203" t="str">
        <f t="shared" si="631"/>
        <v xml:space="preserve"> </v>
      </c>
      <c r="CU444" s="174" t="str">
        <f t="shared" si="611"/>
        <v>NG</v>
      </c>
      <c r="CV444" s="162"/>
      <c r="CW444" s="172" t="s">
        <v>71</v>
      </c>
      <c r="CX444" s="160"/>
      <c r="CY444" s="162"/>
      <c r="CZ444" s="203" t="str">
        <f t="shared" si="632"/>
        <v xml:space="preserve"> </v>
      </c>
      <c r="DA444" s="174" t="str">
        <f t="shared" si="612"/>
        <v>NG</v>
      </c>
      <c r="DB444" s="162"/>
      <c r="DC444" s="172" t="s">
        <v>71</v>
      </c>
      <c r="DD444" s="160"/>
      <c r="DE444" s="162"/>
      <c r="DF444" s="203" t="str">
        <f t="shared" si="633"/>
        <v xml:space="preserve"> </v>
      </c>
      <c r="DG444" s="174" t="str">
        <f t="shared" si="613"/>
        <v>NG</v>
      </c>
      <c r="DH444" s="162"/>
      <c r="DI444" s="172" t="s">
        <v>71</v>
      </c>
      <c r="DJ444" s="160"/>
      <c r="DK444" s="162"/>
      <c r="DL444" s="203" t="str">
        <f t="shared" si="634"/>
        <v xml:space="preserve"> </v>
      </c>
      <c r="DM444" s="174" t="str">
        <f t="shared" si="614"/>
        <v>NG</v>
      </c>
      <c r="DN444" s="162"/>
      <c r="DO444" s="172" t="s">
        <v>71</v>
      </c>
      <c r="DP444" s="160"/>
      <c r="DQ444" s="162"/>
      <c r="DR444" s="203" t="str">
        <f t="shared" si="635"/>
        <v xml:space="preserve"> </v>
      </c>
      <c r="DS444" s="174" t="str">
        <f t="shared" si="652"/>
        <v>NG</v>
      </c>
      <c r="DT444" s="162"/>
      <c r="DU444" s="172" t="s">
        <v>71</v>
      </c>
      <c r="DV444" s="160"/>
      <c r="DW444" s="162"/>
      <c r="DX444" s="203" t="str">
        <f t="shared" si="636"/>
        <v xml:space="preserve"> </v>
      </c>
      <c r="DY444" s="174" t="str">
        <f t="shared" si="653"/>
        <v>NG</v>
      </c>
      <c r="DZ444" s="162"/>
      <c r="EA444" s="172" t="s">
        <v>71</v>
      </c>
      <c r="EB444" s="160"/>
      <c r="EC444" s="162"/>
      <c r="ED444" s="203" t="str">
        <f t="shared" si="637"/>
        <v xml:space="preserve"> </v>
      </c>
      <c r="EE444" s="174" t="str">
        <f t="shared" si="654"/>
        <v>NG</v>
      </c>
      <c r="EF444" s="162"/>
      <c r="EG444" s="172" t="s">
        <v>71</v>
      </c>
      <c r="EH444" s="160"/>
      <c r="EI444" s="162"/>
      <c r="EJ444" s="203" t="str">
        <f t="shared" si="638"/>
        <v xml:space="preserve"> </v>
      </c>
      <c r="EK444" s="174" t="str">
        <f t="shared" si="655"/>
        <v>NG</v>
      </c>
      <c r="EL444" s="162"/>
      <c r="EM444" s="172" t="s">
        <v>71</v>
      </c>
      <c r="EN444" s="160"/>
      <c r="EO444" s="162"/>
      <c r="EP444" s="203" t="str">
        <f t="shared" si="639"/>
        <v xml:space="preserve"> </v>
      </c>
      <c r="EQ444" s="174" t="str">
        <f t="shared" si="656"/>
        <v>NG</v>
      </c>
      <c r="ER444" s="162"/>
      <c r="ES444" s="172" t="s">
        <v>71</v>
      </c>
      <c r="ET444" s="160"/>
      <c r="EU444" s="162"/>
      <c r="EV444" s="203" t="str">
        <f t="shared" si="640"/>
        <v xml:space="preserve"> </v>
      </c>
      <c r="EW444" s="174" t="str">
        <f t="shared" si="657"/>
        <v>NG</v>
      </c>
      <c r="EX444" s="162"/>
      <c r="EY444" s="172" t="s">
        <v>71</v>
      </c>
      <c r="EZ444" s="160"/>
      <c r="FA444" s="162"/>
      <c r="FB444" s="203" t="str">
        <f t="shared" si="641"/>
        <v xml:space="preserve"> </v>
      </c>
      <c r="FC444" s="174" t="str">
        <f t="shared" si="658"/>
        <v>NG</v>
      </c>
      <c r="FD444" s="162"/>
      <c r="FE444" s="172" t="s">
        <v>71</v>
      </c>
      <c r="FF444" s="160"/>
      <c r="FG444" s="162"/>
      <c r="FH444" s="203" t="str">
        <f t="shared" si="642"/>
        <v xml:space="preserve"> </v>
      </c>
      <c r="FI444" s="174" t="str">
        <f t="shared" si="659"/>
        <v>NG</v>
      </c>
      <c r="FJ444" s="162"/>
      <c r="FK444" s="172" t="s">
        <v>71</v>
      </c>
      <c r="FL444" s="160"/>
      <c r="FM444" s="162"/>
      <c r="FN444" s="203" t="str">
        <f t="shared" si="643"/>
        <v xml:space="preserve"> </v>
      </c>
      <c r="FO444" s="174" t="str">
        <f t="shared" si="615"/>
        <v>NG</v>
      </c>
      <c r="FP444" s="162"/>
      <c r="FQ444" s="172" t="s">
        <v>71</v>
      </c>
      <c r="FR444" s="160"/>
      <c r="FS444" s="162"/>
      <c r="FT444" s="203" t="str">
        <f t="shared" si="644"/>
        <v xml:space="preserve"> </v>
      </c>
      <c r="FU444" s="174" t="str">
        <f t="shared" si="616"/>
        <v>NG</v>
      </c>
      <c r="FV444" s="162"/>
      <c r="FW444" s="172" t="s">
        <v>71</v>
      </c>
      <c r="FX444" s="160"/>
      <c r="FY444" s="162"/>
      <c r="FZ444" s="203" t="str">
        <f t="shared" si="645"/>
        <v xml:space="preserve"> </v>
      </c>
      <c r="GA444" s="174" t="str">
        <f t="shared" si="617"/>
        <v>NG</v>
      </c>
      <c r="GB444" s="162"/>
      <c r="GC444" s="172" t="s">
        <v>71</v>
      </c>
    </row>
    <row r="445" spans="2:185" s="52" customFormat="1">
      <c r="B445" s="216">
        <f t="shared" si="646"/>
        <v>438</v>
      </c>
      <c r="C445" s="37"/>
      <c r="D445" s="37"/>
      <c r="E445" s="37"/>
      <c r="F445" s="49" t="s">
        <v>231</v>
      </c>
      <c r="G445" s="39"/>
      <c r="H445" s="40"/>
      <c r="I445" s="42"/>
      <c r="J445" s="42"/>
      <c r="K445" s="42"/>
      <c r="L445" s="42"/>
      <c r="M445" s="63"/>
      <c r="N445" s="47"/>
      <c r="O445" s="143"/>
      <c r="P445" s="45">
        <f t="shared" si="650"/>
        <v>408</v>
      </c>
      <c r="Q445" s="46">
        <v>128</v>
      </c>
      <c r="R445" s="41" t="str">
        <f t="shared" si="651"/>
        <v>X</v>
      </c>
      <c r="S445" s="185" t="s">
        <v>232</v>
      </c>
      <c r="T445" s="43"/>
      <c r="U445" s="41" t="s">
        <v>80</v>
      </c>
      <c r="V445" s="44"/>
      <c r="W445" s="22">
        <v>3</v>
      </c>
      <c r="X445" s="47" t="s">
        <v>233</v>
      </c>
      <c r="Y445" s="47">
        <v>1</v>
      </c>
      <c r="Z445" s="47">
        <v>128</v>
      </c>
      <c r="AA445" s="42" t="s">
        <v>163</v>
      </c>
      <c r="AB445" s="42" t="s">
        <v>57</v>
      </c>
      <c r="AC445" s="166"/>
      <c r="AD445" s="160"/>
      <c r="AE445" s="141"/>
      <c r="AF445" s="203" t="str">
        <f t="shared" si="621"/>
        <v xml:space="preserve">                                                                                                                                </v>
      </c>
      <c r="AG445" s="174" t="str">
        <f t="shared" si="601"/>
        <v>NG</v>
      </c>
      <c r="AH445" s="141"/>
      <c r="AI445" s="276" t="str">
        <f>IF(OR(AE$8="判定対象外",AH$8="判定対象外",AH445="-"),"-",IF(AE445=AH445,"OK","NG"))</f>
        <v>OK</v>
      </c>
      <c r="AJ445" s="160"/>
      <c r="AK445" s="141"/>
      <c r="AL445" s="203" t="str">
        <f t="shared" si="619"/>
        <v xml:space="preserve">                                                                                                                                </v>
      </c>
      <c r="AM445" s="174" t="str">
        <f t="shared" si="648"/>
        <v>NG</v>
      </c>
      <c r="AN445" s="141"/>
      <c r="AO445" s="276" t="str">
        <f>IF(OR(AK$8="判定対象外",AN$8="判定対象外",AN445="-"),"-",IF(AK445=AN445,"OK","NG"))</f>
        <v>OK</v>
      </c>
      <c r="AP445" s="160"/>
      <c r="AQ445" s="141"/>
      <c r="AR445" s="203" t="str">
        <f t="shared" si="622"/>
        <v xml:space="preserve">                                                                                                                                </v>
      </c>
      <c r="AS445" s="174" t="str">
        <f t="shared" si="602"/>
        <v>NG</v>
      </c>
      <c r="AT445" s="141"/>
      <c r="AU445" s="276" t="str">
        <f>IF(OR(AQ$8="判定対象外",AT$8="判定対象外",AT445="-"),"-",IF(AQ445=AT445,"OK","NG"))</f>
        <v>OK</v>
      </c>
      <c r="AV445" s="160"/>
      <c r="AW445" s="141"/>
      <c r="AX445" s="203" t="str">
        <f t="shared" si="623"/>
        <v xml:space="preserve">                                                                                                                                </v>
      </c>
      <c r="AY445" s="174" t="str">
        <f t="shared" si="603"/>
        <v>NG</v>
      </c>
      <c r="AZ445" s="141"/>
      <c r="BA445" s="276" t="str">
        <f>IF(OR(AW$8="判定対象外",AZ$8="判定対象外",AZ445="-"),"-",IF(AW445=AZ445,"OK","NG"))</f>
        <v>OK</v>
      </c>
      <c r="BB445" s="160"/>
      <c r="BC445" s="141"/>
      <c r="BD445" s="203" t="str">
        <f t="shared" si="624"/>
        <v xml:space="preserve">                                                                                                                                </v>
      </c>
      <c r="BE445" s="174" t="str">
        <f t="shared" si="604"/>
        <v>NG</v>
      </c>
      <c r="BF445" s="141"/>
      <c r="BG445" s="276" t="str">
        <f>IF(OR(BC$8="判定対象外",BF$8="判定対象外",BF445="-"),"-",IF(BC445=BF445,"OK","NG"))</f>
        <v>OK</v>
      </c>
      <c r="BH445" s="160"/>
      <c r="BI445" s="141"/>
      <c r="BJ445" s="203" t="str">
        <f t="shared" si="625"/>
        <v xml:space="preserve">                                                                                                                                </v>
      </c>
      <c r="BK445" s="174" t="str">
        <f t="shared" si="605"/>
        <v>NG</v>
      </c>
      <c r="BL445" s="141"/>
      <c r="BM445" s="276" t="str">
        <f>IF(OR(BI$8="判定対象外",BL$8="判定対象外",BL445="-"),"-",IF(BI445=BL445,"OK","NG"))</f>
        <v>OK</v>
      </c>
      <c r="BN445" s="160"/>
      <c r="BO445" s="141"/>
      <c r="BP445" s="203" t="str">
        <f t="shared" si="626"/>
        <v xml:space="preserve">                                                                                                                                </v>
      </c>
      <c r="BQ445" s="174" t="str">
        <f t="shared" si="606"/>
        <v>NG</v>
      </c>
      <c r="BR445" s="141"/>
      <c r="BS445" s="276" t="str">
        <f>IF(OR(BO$8="判定対象外",BR$8="判定対象外",BR445="-"),"-",IF(BO445=BR445,"OK","NG"))</f>
        <v>OK</v>
      </c>
      <c r="BT445" s="160"/>
      <c r="BU445" s="141"/>
      <c r="BV445" s="203" t="str">
        <f t="shared" si="627"/>
        <v xml:space="preserve">                                                                                                                                </v>
      </c>
      <c r="BW445" s="174" t="str">
        <f t="shared" si="607"/>
        <v>NG</v>
      </c>
      <c r="BX445" s="141"/>
      <c r="BY445" s="276" t="str">
        <f>IF(OR(BU$8="判定対象外",BX$8="判定対象外",BX445="-"),"-",IF(BU445=BX445,"OK","NG"))</f>
        <v>OK</v>
      </c>
      <c r="BZ445" s="160"/>
      <c r="CA445" s="141"/>
      <c r="CB445" s="203" t="str">
        <f t="shared" si="628"/>
        <v xml:space="preserve">                                                                                                                                </v>
      </c>
      <c r="CC445" s="174" t="str">
        <f t="shared" si="608"/>
        <v>NG</v>
      </c>
      <c r="CD445" s="141"/>
      <c r="CE445" s="276" t="str">
        <f>IF(OR(CA$8="判定対象外",CD$8="判定対象外",CD445="-"),"-",IF(CA445=CD445,"OK","NG"))</f>
        <v>OK</v>
      </c>
      <c r="CF445" s="160"/>
      <c r="CG445" s="141"/>
      <c r="CH445" s="203" t="str">
        <f t="shared" si="629"/>
        <v xml:space="preserve">                                                                                                                                </v>
      </c>
      <c r="CI445" s="174" t="str">
        <f t="shared" si="609"/>
        <v>NG</v>
      </c>
      <c r="CJ445" s="141"/>
      <c r="CK445" s="276" t="str">
        <f>IF(OR(CG$8="判定対象外",CJ$8="判定対象外",CJ445="-"),"-",IF(CG445=CJ445,"OK","NG"))</f>
        <v>OK</v>
      </c>
      <c r="CL445" s="160"/>
      <c r="CM445" s="141"/>
      <c r="CN445" s="203" t="str">
        <f t="shared" si="630"/>
        <v xml:space="preserve">                                                                                                                                </v>
      </c>
      <c r="CO445" s="174" t="str">
        <f t="shared" si="610"/>
        <v>NG</v>
      </c>
      <c r="CP445" s="141"/>
      <c r="CQ445" s="276" t="str">
        <f>IF(OR(CM$8="判定対象外",CP$8="判定対象外",CP445="-"),"-",IF(CM445=CP445,"OK","NG"))</f>
        <v>OK</v>
      </c>
      <c r="CR445" s="160"/>
      <c r="CS445" s="141"/>
      <c r="CT445" s="203" t="str">
        <f t="shared" si="631"/>
        <v xml:space="preserve">                                                                                                                                </v>
      </c>
      <c r="CU445" s="174" t="str">
        <f t="shared" si="611"/>
        <v>NG</v>
      </c>
      <c r="CV445" s="141"/>
      <c r="CW445" s="276" t="str">
        <f>IF(OR(CS$8="判定対象外",CV$8="判定対象外",CV445="-"),"-",IF(CS445=CV445,"OK","NG"))</f>
        <v>OK</v>
      </c>
      <c r="CX445" s="160"/>
      <c r="CY445" s="141"/>
      <c r="CZ445" s="203" t="str">
        <f t="shared" si="632"/>
        <v xml:space="preserve">                                                                                                                                </v>
      </c>
      <c r="DA445" s="174" t="str">
        <f t="shared" si="612"/>
        <v>NG</v>
      </c>
      <c r="DB445" s="141"/>
      <c r="DC445" s="276" t="str">
        <f>IF(OR(CY$8="判定対象外",DB$8="判定対象外",DB445="-"),"-",IF(CY445=DB445,"OK","NG"))</f>
        <v>OK</v>
      </c>
      <c r="DD445" s="160"/>
      <c r="DE445" s="141"/>
      <c r="DF445" s="203" t="str">
        <f t="shared" si="633"/>
        <v xml:space="preserve">                                                                                                                                </v>
      </c>
      <c r="DG445" s="174" t="str">
        <f t="shared" si="613"/>
        <v>NG</v>
      </c>
      <c r="DH445" s="141"/>
      <c r="DI445" s="276" t="str">
        <f>IF(OR(DE$8="判定対象外",DH$8="判定対象外",DH445="-"),"-",IF(DE445=DH445,"OK","NG"))</f>
        <v>OK</v>
      </c>
      <c r="DJ445" s="160"/>
      <c r="DK445" s="141"/>
      <c r="DL445" s="203" t="str">
        <f t="shared" si="634"/>
        <v xml:space="preserve">                                                                                                                                </v>
      </c>
      <c r="DM445" s="174" t="str">
        <f t="shared" si="614"/>
        <v>NG</v>
      </c>
      <c r="DN445" s="141"/>
      <c r="DO445" s="276" t="str">
        <f>IF(OR(DK$8="判定対象外",DN$8="判定対象外",DN445="-"),"-",IF(DK445=DN445,"OK","NG"))</f>
        <v>OK</v>
      </c>
      <c r="DP445" s="160"/>
      <c r="DQ445" s="141"/>
      <c r="DR445" s="203" t="str">
        <f t="shared" si="635"/>
        <v xml:space="preserve">                                                                                                                                </v>
      </c>
      <c r="DS445" s="174" t="str">
        <f t="shared" si="652"/>
        <v>NG</v>
      </c>
      <c r="DT445" s="141"/>
      <c r="DU445" s="276" t="str">
        <f>IF(OR(DQ$8="判定対象外",DT$8="判定対象外",DT445="-"),"-",IF(DQ445=DT445,"OK","NG"))</f>
        <v>OK</v>
      </c>
      <c r="DV445" s="160"/>
      <c r="DW445" s="141"/>
      <c r="DX445" s="203" t="str">
        <f t="shared" si="636"/>
        <v xml:space="preserve">                                                                                                                                </v>
      </c>
      <c r="DY445" s="174" t="str">
        <f t="shared" si="653"/>
        <v>NG</v>
      </c>
      <c r="DZ445" s="141"/>
      <c r="EA445" s="276" t="str">
        <f>IF(OR(DW$8="判定対象外",DZ$8="判定対象外",DZ445="-"),"-",IF(DW445=DZ445,"OK","NG"))</f>
        <v>OK</v>
      </c>
      <c r="EB445" s="160"/>
      <c r="EC445" s="141"/>
      <c r="ED445" s="203" t="str">
        <f t="shared" si="637"/>
        <v xml:space="preserve">                                                                                                                                </v>
      </c>
      <c r="EE445" s="174" t="str">
        <f t="shared" si="654"/>
        <v>NG</v>
      </c>
      <c r="EF445" s="141"/>
      <c r="EG445" s="276" t="str">
        <f>IF(OR(EC$8="判定対象外",EF$8="判定対象外",EF445="-"),"-",IF(EC445=EF445,"OK","NG"))</f>
        <v>OK</v>
      </c>
      <c r="EH445" s="160"/>
      <c r="EI445" s="141"/>
      <c r="EJ445" s="203" t="str">
        <f t="shared" si="638"/>
        <v xml:space="preserve">                                                                                                                                </v>
      </c>
      <c r="EK445" s="174" t="str">
        <f t="shared" si="655"/>
        <v>NG</v>
      </c>
      <c r="EL445" s="141"/>
      <c r="EM445" s="276" t="str">
        <f>IF(OR(EI$8="判定対象外",EL$8="判定対象外",EL445="-"),"-",IF(EI445=EL445,"OK","NG"))</f>
        <v>OK</v>
      </c>
      <c r="EN445" s="160"/>
      <c r="EO445" s="141"/>
      <c r="EP445" s="203" t="str">
        <f t="shared" si="639"/>
        <v xml:space="preserve">                                                                                                                                </v>
      </c>
      <c r="EQ445" s="174" t="str">
        <f t="shared" si="656"/>
        <v>NG</v>
      </c>
      <c r="ER445" s="141"/>
      <c r="ES445" s="276" t="str">
        <f>IF(OR(EO$8="判定対象外",ER$8="判定対象外",ER445="-"),"-",IF(EO445=ER445,"OK","NG"))</f>
        <v>OK</v>
      </c>
      <c r="ET445" s="160"/>
      <c r="EU445" s="141"/>
      <c r="EV445" s="203" t="str">
        <f t="shared" si="640"/>
        <v xml:space="preserve">                                                                                                                                </v>
      </c>
      <c r="EW445" s="174" t="str">
        <f t="shared" si="657"/>
        <v>NG</v>
      </c>
      <c r="EX445" s="141"/>
      <c r="EY445" s="276" t="str">
        <f>IF(OR(EU$8="判定対象外",EX$8="判定対象外",EX445="-"),"-",IF(EU445=EX445,"OK","NG"))</f>
        <v>OK</v>
      </c>
      <c r="EZ445" s="160"/>
      <c r="FA445" s="141"/>
      <c r="FB445" s="203" t="str">
        <f t="shared" si="641"/>
        <v xml:space="preserve">                                                                                                                                </v>
      </c>
      <c r="FC445" s="174" t="str">
        <f t="shared" si="658"/>
        <v>NG</v>
      </c>
      <c r="FD445" s="141"/>
      <c r="FE445" s="276" t="str">
        <f>IF(OR(FA$8="判定対象外",FD$8="判定対象外",FD445="-"),"-",IF(FA445=FD445,"OK","NG"))</f>
        <v>OK</v>
      </c>
      <c r="FF445" s="160"/>
      <c r="FG445" s="141"/>
      <c r="FH445" s="203" t="str">
        <f t="shared" si="642"/>
        <v xml:space="preserve">                                                                                                                                </v>
      </c>
      <c r="FI445" s="174" t="str">
        <f t="shared" si="659"/>
        <v>NG</v>
      </c>
      <c r="FJ445" s="141"/>
      <c r="FK445" s="276" t="str">
        <f>IF(OR(FG$8="判定対象外",FJ$8="判定対象外",FJ445="-"),"-",IF(FG445=FJ445,"OK","NG"))</f>
        <v>OK</v>
      </c>
      <c r="FL445" s="160"/>
      <c r="FM445" s="141"/>
      <c r="FN445" s="203" t="str">
        <f t="shared" si="643"/>
        <v xml:space="preserve">                                                                                                                                </v>
      </c>
      <c r="FO445" s="174" t="str">
        <f t="shared" si="615"/>
        <v>NG</v>
      </c>
      <c r="FP445" s="141"/>
      <c r="FQ445" s="276" t="str">
        <f>IF(OR(FM$8="判定対象外",FP$8="判定対象外",FP445="-"),"-",IF(FM445=FP445,"OK","NG"))</f>
        <v>OK</v>
      </c>
      <c r="FR445" s="160"/>
      <c r="FS445" s="141"/>
      <c r="FT445" s="203" t="str">
        <f t="shared" si="644"/>
        <v xml:space="preserve">                                                                                                                                </v>
      </c>
      <c r="FU445" s="174" t="str">
        <f t="shared" si="616"/>
        <v>NG</v>
      </c>
      <c r="FV445" s="141"/>
      <c r="FW445" s="276" t="str">
        <f>IF(OR(FS$8="判定対象外",FV$8="判定対象外",FV445="-"),"-",IF(FS445=FV445,"OK","NG"))</f>
        <v>OK</v>
      </c>
      <c r="FX445" s="160"/>
      <c r="FY445" s="141"/>
      <c r="FZ445" s="203" t="str">
        <f t="shared" si="645"/>
        <v xml:space="preserve">                                                                                                                                </v>
      </c>
      <c r="GA445" s="174" t="str">
        <f t="shared" si="617"/>
        <v>NG</v>
      </c>
      <c r="GB445" s="141"/>
      <c r="GC445" s="276" t="str">
        <f>IF(OR(FY$8="判定対象外",GB$8="判定対象外",GB445="-"),"-",IF(FY445=GB445,"OK","NG"))</f>
        <v>OK</v>
      </c>
    </row>
    <row r="446" spans="2:185" s="52" customFormat="1" ht="114.75">
      <c r="B446" s="216">
        <f t="shared" si="646"/>
        <v>439</v>
      </c>
      <c r="C446" s="37"/>
      <c r="D446" s="37"/>
      <c r="E446" s="37"/>
      <c r="F446" s="49" t="s">
        <v>339</v>
      </c>
      <c r="G446" s="39"/>
      <c r="H446" s="40"/>
      <c r="I446" s="42"/>
      <c r="J446" s="42"/>
      <c r="K446" s="42"/>
      <c r="L446" s="42"/>
      <c r="M446" s="63" t="s">
        <v>340</v>
      </c>
      <c r="N446" s="47"/>
      <c r="O446" s="143"/>
      <c r="P446" s="45">
        <f t="shared" si="650"/>
        <v>409</v>
      </c>
      <c r="Q446" s="46">
        <v>1</v>
      </c>
      <c r="R446" s="41" t="str">
        <f t="shared" si="651"/>
        <v>X</v>
      </c>
      <c r="S446" s="185" t="s">
        <v>234</v>
      </c>
      <c r="T446" s="43"/>
      <c r="U446" s="41" t="s">
        <v>80</v>
      </c>
      <c r="V446" s="44"/>
      <c r="W446" s="22">
        <v>3</v>
      </c>
      <c r="X446" s="47" t="s">
        <v>235</v>
      </c>
      <c r="Y446" s="47">
        <v>1</v>
      </c>
      <c r="Z446" s="47">
        <v>1</v>
      </c>
      <c r="AA446" s="42" t="s">
        <v>163</v>
      </c>
      <c r="AB446" s="42" t="s">
        <v>57</v>
      </c>
      <c r="AC446" s="217"/>
      <c r="AD446" s="160"/>
      <c r="AE446" s="162"/>
      <c r="AF446" s="203" t="str">
        <f t="shared" si="621"/>
        <v xml:space="preserve"> </v>
      </c>
      <c r="AG446" s="174" t="str">
        <f t="shared" si="601"/>
        <v>NG</v>
      </c>
      <c r="AH446" s="162"/>
      <c r="AI446" s="276" t="str">
        <f>IF(OR(AE$8="判定対象外",AH$8="判定対象外",AH446="-"),"-",IF(AE446=AH446,"OK","NG"))</f>
        <v>OK</v>
      </c>
      <c r="AJ446" s="160"/>
      <c r="AK446" s="162"/>
      <c r="AL446" s="203" t="str">
        <f t="shared" si="619"/>
        <v xml:space="preserve"> </v>
      </c>
      <c r="AM446" s="174" t="str">
        <f t="shared" si="648"/>
        <v>NG</v>
      </c>
      <c r="AN446" s="162"/>
      <c r="AO446" s="276" t="str">
        <f>IF(OR(AK$8="判定対象外",AN$8="判定対象外",AN446="-"),"-",IF(AK446=AN446,"OK","NG"))</f>
        <v>OK</v>
      </c>
      <c r="AP446" s="160"/>
      <c r="AQ446" s="162"/>
      <c r="AR446" s="203" t="str">
        <f t="shared" si="622"/>
        <v xml:space="preserve"> </v>
      </c>
      <c r="AS446" s="174" t="str">
        <f t="shared" si="602"/>
        <v>NG</v>
      </c>
      <c r="AT446" s="162"/>
      <c r="AU446" s="276" t="str">
        <f>IF(OR(AQ$8="判定対象外",AT$8="判定対象外",AT446="-"),"-",IF(AQ446=AT446,"OK","NG"))</f>
        <v>OK</v>
      </c>
      <c r="AV446" s="160"/>
      <c r="AW446" s="162"/>
      <c r="AX446" s="203" t="str">
        <f t="shared" si="623"/>
        <v xml:space="preserve"> </v>
      </c>
      <c r="AY446" s="174" t="str">
        <f t="shared" si="603"/>
        <v>NG</v>
      </c>
      <c r="AZ446" s="162"/>
      <c r="BA446" s="276" t="str">
        <f>IF(OR(AW$8="判定対象外",AZ$8="判定対象外",AZ446="-"),"-",IF(AW446=AZ446,"OK","NG"))</f>
        <v>OK</v>
      </c>
      <c r="BB446" s="160"/>
      <c r="BC446" s="162"/>
      <c r="BD446" s="203" t="str">
        <f t="shared" si="624"/>
        <v xml:space="preserve"> </v>
      </c>
      <c r="BE446" s="174" t="str">
        <f t="shared" si="604"/>
        <v>NG</v>
      </c>
      <c r="BF446" s="162"/>
      <c r="BG446" s="276" t="str">
        <f>IF(OR(BC$8="判定対象外",BF$8="判定対象外",BF446="-"),"-",IF(BC446=BF446,"OK","NG"))</f>
        <v>OK</v>
      </c>
      <c r="BH446" s="160"/>
      <c r="BI446" s="162"/>
      <c r="BJ446" s="203" t="str">
        <f t="shared" si="625"/>
        <v xml:space="preserve"> </v>
      </c>
      <c r="BK446" s="174" t="str">
        <f t="shared" si="605"/>
        <v>NG</v>
      </c>
      <c r="BL446" s="162"/>
      <c r="BM446" s="276" t="str">
        <f>IF(OR(BI$8="判定対象外",BL$8="判定対象外",BL446="-"),"-",IF(BI446=BL446,"OK","NG"))</f>
        <v>OK</v>
      </c>
      <c r="BN446" s="160"/>
      <c r="BO446" s="162"/>
      <c r="BP446" s="203" t="str">
        <f t="shared" si="626"/>
        <v xml:space="preserve"> </v>
      </c>
      <c r="BQ446" s="174" t="str">
        <f t="shared" si="606"/>
        <v>NG</v>
      </c>
      <c r="BR446" s="162"/>
      <c r="BS446" s="276" t="str">
        <f>IF(OR(BO$8="判定対象外",BR$8="判定対象外",BR446="-"),"-",IF(BO446=BR446,"OK","NG"))</f>
        <v>OK</v>
      </c>
      <c r="BT446" s="160"/>
      <c r="BU446" s="162"/>
      <c r="BV446" s="203" t="str">
        <f t="shared" si="627"/>
        <v xml:space="preserve"> </v>
      </c>
      <c r="BW446" s="174" t="str">
        <f t="shared" si="607"/>
        <v>NG</v>
      </c>
      <c r="BX446" s="162"/>
      <c r="BY446" s="276" t="str">
        <f>IF(OR(BU$8="判定対象外",BX$8="判定対象外",BX446="-"),"-",IF(BU446=BX446,"OK","NG"))</f>
        <v>OK</v>
      </c>
      <c r="BZ446" s="160"/>
      <c r="CA446" s="162"/>
      <c r="CB446" s="203" t="str">
        <f t="shared" si="628"/>
        <v xml:space="preserve"> </v>
      </c>
      <c r="CC446" s="174" t="str">
        <f t="shared" si="608"/>
        <v>NG</v>
      </c>
      <c r="CD446" s="162"/>
      <c r="CE446" s="276" t="str">
        <f>IF(OR(CA$8="判定対象外",CD$8="判定対象外",CD446="-"),"-",IF(CA446=CD446,"OK","NG"))</f>
        <v>OK</v>
      </c>
      <c r="CF446" s="160"/>
      <c r="CG446" s="162"/>
      <c r="CH446" s="203" t="str">
        <f t="shared" si="629"/>
        <v xml:space="preserve"> </v>
      </c>
      <c r="CI446" s="174" t="str">
        <f t="shared" si="609"/>
        <v>NG</v>
      </c>
      <c r="CJ446" s="162"/>
      <c r="CK446" s="276" t="str">
        <f>IF(OR(CG$8="判定対象外",CJ$8="判定対象外",CJ446="-"),"-",IF(CG446=CJ446,"OK","NG"))</f>
        <v>OK</v>
      </c>
      <c r="CL446" s="160"/>
      <c r="CM446" s="162"/>
      <c r="CN446" s="203" t="str">
        <f t="shared" si="630"/>
        <v xml:space="preserve"> </v>
      </c>
      <c r="CO446" s="174" t="str">
        <f t="shared" si="610"/>
        <v>NG</v>
      </c>
      <c r="CP446" s="162"/>
      <c r="CQ446" s="276" t="str">
        <f>IF(OR(CM$8="判定対象外",CP$8="判定対象外",CP446="-"),"-",IF(CM446=CP446,"OK","NG"))</f>
        <v>OK</v>
      </c>
      <c r="CR446" s="160"/>
      <c r="CS446" s="162"/>
      <c r="CT446" s="203" t="str">
        <f t="shared" si="631"/>
        <v xml:space="preserve"> </v>
      </c>
      <c r="CU446" s="174" t="str">
        <f t="shared" si="611"/>
        <v>NG</v>
      </c>
      <c r="CV446" s="162"/>
      <c r="CW446" s="276" t="str">
        <f>IF(OR(CS$8="判定対象外",CV$8="判定対象外",CV446="-"),"-",IF(CS446=CV446,"OK","NG"))</f>
        <v>OK</v>
      </c>
      <c r="CX446" s="160"/>
      <c r="CY446" s="162"/>
      <c r="CZ446" s="203" t="str">
        <f t="shared" si="632"/>
        <v xml:space="preserve"> </v>
      </c>
      <c r="DA446" s="174" t="str">
        <f t="shared" si="612"/>
        <v>NG</v>
      </c>
      <c r="DB446" s="162"/>
      <c r="DC446" s="276" t="str">
        <f>IF(OR(CY$8="判定対象外",DB$8="判定対象外",DB446="-"),"-",IF(CY446=DB446,"OK","NG"))</f>
        <v>OK</v>
      </c>
      <c r="DD446" s="160"/>
      <c r="DE446" s="162"/>
      <c r="DF446" s="203" t="str">
        <f t="shared" si="633"/>
        <v xml:space="preserve"> </v>
      </c>
      <c r="DG446" s="174" t="str">
        <f t="shared" si="613"/>
        <v>NG</v>
      </c>
      <c r="DH446" s="162"/>
      <c r="DI446" s="276" t="str">
        <f>IF(OR(DE$8="判定対象外",DH$8="判定対象外",DH446="-"),"-",IF(DE446=DH446,"OK","NG"))</f>
        <v>OK</v>
      </c>
      <c r="DJ446" s="160"/>
      <c r="DK446" s="162"/>
      <c r="DL446" s="203" t="str">
        <f t="shared" si="634"/>
        <v xml:space="preserve"> </v>
      </c>
      <c r="DM446" s="174" t="str">
        <f t="shared" si="614"/>
        <v>NG</v>
      </c>
      <c r="DN446" s="162"/>
      <c r="DO446" s="276" t="str">
        <f>IF(OR(DK$8="判定対象外",DN$8="判定対象外",DN446="-"),"-",IF(DK446=DN446,"OK","NG"))</f>
        <v>OK</v>
      </c>
      <c r="DP446" s="160"/>
      <c r="DQ446" s="162"/>
      <c r="DR446" s="203" t="str">
        <f t="shared" si="635"/>
        <v xml:space="preserve"> </v>
      </c>
      <c r="DS446" s="174" t="str">
        <f t="shared" si="652"/>
        <v>NG</v>
      </c>
      <c r="DT446" s="162"/>
      <c r="DU446" s="276" t="str">
        <f>IF(OR(DQ$8="判定対象外",DT$8="判定対象外",DT446="-"),"-",IF(DQ446=DT446,"OK","NG"))</f>
        <v>OK</v>
      </c>
      <c r="DV446" s="160"/>
      <c r="DW446" s="162"/>
      <c r="DX446" s="203" t="str">
        <f t="shared" si="636"/>
        <v xml:space="preserve"> </v>
      </c>
      <c r="DY446" s="174" t="str">
        <f t="shared" si="653"/>
        <v>NG</v>
      </c>
      <c r="DZ446" s="162"/>
      <c r="EA446" s="276" t="str">
        <f>IF(OR(DW$8="判定対象外",DZ$8="判定対象外",DZ446="-"),"-",IF(DW446=DZ446,"OK","NG"))</f>
        <v>OK</v>
      </c>
      <c r="EB446" s="160"/>
      <c r="EC446" s="162"/>
      <c r="ED446" s="203" t="str">
        <f t="shared" si="637"/>
        <v xml:space="preserve"> </v>
      </c>
      <c r="EE446" s="174" t="str">
        <f t="shared" si="654"/>
        <v>NG</v>
      </c>
      <c r="EF446" s="162"/>
      <c r="EG446" s="276" t="str">
        <f>IF(OR(EC$8="判定対象外",EF$8="判定対象外",EF446="-"),"-",IF(EC446=EF446,"OK","NG"))</f>
        <v>OK</v>
      </c>
      <c r="EH446" s="160"/>
      <c r="EI446" s="162"/>
      <c r="EJ446" s="203" t="str">
        <f t="shared" si="638"/>
        <v xml:space="preserve"> </v>
      </c>
      <c r="EK446" s="174" t="str">
        <f t="shared" si="655"/>
        <v>NG</v>
      </c>
      <c r="EL446" s="162"/>
      <c r="EM446" s="276" t="str">
        <f>IF(OR(EI$8="判定対象外",EL$8="判定対象外",EL446="-"),"-",IF(EI446=EL446,"OK","NG"))</f>
        <v>OK</v>
      </c>
      <c r="EN446" s="160"/>
      <c r="EO446" s="162"/>
      <c r="EP446" s="203" t="str">
        <f t="shared" si="639"/>
        <v xml:space="preserve"> </v>
      </c>
      <c r="EQ446" s="174" t="str">
        <f t="shared" si="656"/>
        <v>NG</v>
      </c>
      <c r="ER446" s="162"/>
      <c r="ES446" s="276" t="str">
        <f>IF(OR(EO$8="判定対象外",ER$8="判定対象外",ER446="-"),"-",IF(EO446=ER446,"OK","NG"))</f>
        <v>OK</v>
      </c>
      <c r="ET446" s="160"/>
      <c r="EU446" s="162"/>
      <c r="EV446" s="203" t="str">
        <f t="shared" si="640"/>
        <v xml:space="preserve"> </v>
      </c>
      <c r="EW446" s="174" t="str">
        <f t="shared" si="657"/>
        <v>NG</v>
      </c>
      <c r="EX446" s="162"/>
      <c r="EY446" s="276" t="str">
        <f>IF(OR(EU$8="判定対象外",EX$8="判定対象外",EX446="-"),"-",IF(EU446=EX446,"OK","NG"))</f>
        <v>OK</v>
      </c>
      <c r="EZ446" s="160"/>
      <c r="FA446" s="162"/>
      <c r="FB446" s="203" t="str">
        <f t="shared" si="641"/>
        <v xml:space="preserve"> </v>
      </c>
      <c r="FC446" s="174" t="str">
        <f t="shared" si="658"/>
        <v>NG</v>
      </c>
      <c r="FD446" s="162"/>
      <c r="FE446" s="276" t="str">
        <f>IF(OR(FA$8="判定対象外",FD$8="判定対象外",FD446="-"),"-",IF(FA446=FD446,"OK","NG"))</f>
        <v>OK</v>
      </c>
      <c r="FF446" s="160"/>
      <c r="FG446" s="162"/>
      <c r="FH446" s="203" t="str">
        <f t="shared" si="642"/>
        <v xml:space="preserve"> </v>
      </c>
      <c r="FI446" s="174" t="str">
        <f t="shared" si="659"/>
        <v>NG</v>
      </c>
      <c r="FJ446" s="162"/>
      <c r="FK446" s="276" t="str">
        <f>IF(OR(FG$8="判定対象外",FJ$8="判定対象外",FJ446="-"),"-",IF(FG446=FJ446,"OK","NG"))</f>
        <v>OK</v>
      </c>
      <c r="FL446" s="160"/>
      <c r="FM446" s="162"/>
      <c r="FN446" s="203" t="str">
        <f t="shared" si="643"/>
        <v xml:space="preserve"> </v>
      </c>
      <c r="FO446" s="174" t="str">
        <f t="shared" si="615"/>
        <v>NG</v>
      </c>
      <c r="FP446" s="162"/>
      <c r="FQ446" s="276" t="str">
        <f>IF(OR(FM$8="判定対象外",FP$8="判定対象外",FP446="-"),"-",IF(FM446=FP446,"OK","NG"))</f>
        <v>OK</v>
      </c>
      <c r="FR446" s="160"/>
      <c r="FS446" s="162"/>
      <c r="FT446" s="203" t="str">
        <f t="shared" si="644"/>
        <v xml:space="preserve"> </v>
      </c>
      <c r="FU446" s="174" t="str">
        <f t="shared" si="616"/>
        <v>NG</v>
      </c>
      <c r="FV446" s="162"/>
      <c r="FW446" s="276" t="str">
        <f>IF(OR(FS$8="判定対象外",FV$8="判定対象外",FV446="-"),"-",IF(FS446=FV446,"OK","NG"))</f>
        <v>OK</v>
      </c>
      <c r="FX446" s="160"/>
      <c r="FY446" s="162"/>
      <c r="FZ446" s="203" t="str">
        <f t="shared" si="645"/>
        <v xml:space="preserve"> </v>
      </c>
      <c r="GA446" s="174" t="str">
        <f t="shared" si="617"/>
        <v>NG</v>
      </c>
      <c r="GB446" s="162"/>
      <c r="GC446" s="276" t="str">
        <f>IF(OR(FY$8="判定対象外",GB$8="判定対象外",GB446="-"),"-",IF(FY446=GB446,"OK","NG"))</f>
        <v>OK</v>
      </c>
    </row>
    <row r="447" spans="2:185" s="52" customFormat="1" ht="127.5">
      <c r="B447" s="216">
        <f t="shared" si="646"/>
        <v>440</v>
      </c>
      <c r="C447" s="37"/>
      <c r="D447" s="37"/>
      <c r="E447" s="37"/>
      <c r="F447" s="49" t="s">
        <v>341</v>
      </c>
      <c r="G447" s="39"/>
      <c r="H447" s="40"/>
      <c r="I447" s="42"/>
      <c r="J447" s="42" t="s">
        <v>316</v>
      </c>
      <c r="K447" s="42"/>
      <c r="L447" s="42"/>
      <c r="M447" s="163" t="s">
        <v>342</v>
      </c>
      <c r="N447" s="47"/>
      <c r="O447" s="143"/>
      <c r="P447" s="45">
        <f t="shared" si="650"/>
        <v>410</v>
      </c>
      <c r="Q447" s="46">
        <v>1</v>
      </c>
      <c r="R447" s="41" t="str">
        <f t="shared" si="651"/>
        <v>X</v>
      </c>
      <c r="S447" s="185" t="s">
        <v>236</v>
      </c>
      <c r="T447" s="43"/>
      <c r="U447" s="41" t="s">
        <v>80</v>
      </c>
      <c r="V447" s="44"/>
      <c r="W447" s="22">
        <v>3</v>
      </c>
      <c r="X447" s="47" t="s">
        <v>237</v>
      </c>
      <c r="Y447" s="47">
        <v>1</v>
      </c>
      <c r="Z447" s="47">
        <v>1</v>
      </c>
      <c r="AA447" s="42" t="s">
        <v>163</v>
      </c>
      <c r="AB447" s="42" t="s">
        <v>57</v>
      </c>
      <c r="AC447" s="217"/>
      <c r="AD447" s="160"/>
      <c r="AE447" s="162"/>
      <c r="AF447" s="203" t="str">
        <f t="shared" si="621"/>
        <v xml:space="preserve"> </v>
      </c>
      <c r="AG447" s="174" t="str">
        <f t="shared" si="601"/>
        <v>NG</v>
      </c>
      <c r="AH447" s="162"/>
      <c r="AI447" s="276" t="str">
        <f>IF(OR(AE$8="判定対象外",AH$8="判定対象外",AH447="-"),"-",IF(AE447=AH447,"OK","NG"))</f>
        <v>OK</v>
      </c>
      <c r="AJ447" s="160"/>
      <c r="AK447" s="162"/>
      <c r="AL447" s="203" t="str">
        <f t="shared" si="619"/>
        <v xml:space="preserve"> </v>
      </c>
      <c r="AM447" s="174" t="str">
        <f t="shared" si="648"/>
        <v>NG</v>
      </c>
      <c r="AN447" s="162"/>
      <c r="AO447" s="276" t="str">
        <f>IF(OR(AK$8="判定対象外",AN$8="判定対象外",AN447="-"),"-",IF(AK447=AN447,"OK","NG"))</f>
        <v>OK</v>
      </c>
      <c r="AP447" s="160"/>
      <c r="AQ447" s="162"/>
      <c r="AR447" s="203" t="str">
        <f t="shared" si="622"/>
        <v xml:space="preserve"> </v>
      </c>
      <c r="AS447" s="174" t="str">
        <f t="shared" si="602"/>
        <v>NG</v>
      </c>
      <c r="AT447" s="162"/>
      <c r="AU447" s="276" t="str">
        <f>IF(OR(AQ$8="判定対象外",AT$8="判定対象外",AT447="-"),"-",IF(AQ447=AT447,"OK","NG"))</f>
        <v>OK</v>
      </c>
      <c r="AV447" s="160"/>
      <c r="AW447" s="162"/>
      <c r="AX447" s="203" t="str">
        <f t="shared" si="623"/>
        <v xml:space="preserve"> </v>
      </c>
      <c r="AY447" s="174" t="str">
        <f t="shared" si="603"/>
        <v>NG</v>
      </c>
      <c r="AZ447" s="162"/>
      <c r="BA447" s="276" t="str">
        <f>IF(OR(AW$8="判定対象外",AZ$8="判定対象外",AZ447="-"),"-",IF(AW447=AZ447,"OK","NG"))</f>
        <v>OK</v>
      </c>
      <c r="BB447" s="160"/>
      <c r="BC447" s="162"/>
      <c r="BD447" s="203" t="str">
        <f t="shared" si="624"/>
        <v xml:space="preserve"> </v>
      </c>
      <c r="BE447" s="174" t="str">
        <f t="shared" si="604"/>
        <v>NG</v>
      </c>
      <c r="BF447" s="162"/>
      <c r="BG447" s="276" t="str">
        <f>IF(OR(BC$8="判定対象外",BF$8="判定対象外",BF447="-"),"-",IF(BC447=BF447,"OK","NG"))</f>
        <v>OK</v>
      </c>
      <c r="BH447" s="160"/>
      <c r="BI447" s="162"/>
      <c r="BJ447" s="203" t="str">
        <f t="shared" si="625"/>
        <v xml:space="preserve"> </v>
      </c>
      <c r="BK447" s="174" t="str">
        <f t="shared" si="605"/>
        <v>NG</v>
      </c>
      <c r="BL447" s="162"/>
      <c r="BM447" s="276" t="str">
        <f>IF(OR(BI$8="判定対象外",BL$8="判定対象外",BL447="-"),"-",IF(BI447=BL447,"OK","NG"))</f>
        <v>OK</v>
      </c>
      <c r="BN447" s="160"/>
      <c r="BO447" s="162"/>
      <c r="BP447" s="203" t="str">
        <f t="shared" si="626"/>
        <v xml:space="preserve"> </v>
      </c>
      <c r="BQ447" s="174" t="str">
        <f t="shared" si="606"/>
        <v>NG</v>
      </c>
      <c r="BR447" s="162"/>
      <c r="BS447" s="276" t="str">
        <f>IF(OR(BO$8="判定対象外",BR$8="判定対象外",BR447="-"),"-",IF(BO447=BR447,"OK","NG"))</f>
        <v>OK</v>
      </c>
      <c r="BT447" s="160"/>
      <c r="BU447" s="162"/>
      <c r="BV447" s="203" t="str">
        <f t="shared" si="627"/>
        <v xml:space="preserve"> </v>
      </c>
      <c r="BW447" s="174" t="str">
        <f t="shared" si="607"/>
        <v>NG</v>
      </c>
      <c r="BX447" s="162"/>
      <c r="BY447" s="276" t="str">
        <f>IF(OR(BU$8="判定対象外",BX$8="判定対象外",BX447="-"),"-",IF(BU447=BX447,"OK","NG"))</f>
        <v>OK</v>
      </c>
      <c r="BZ447" s="160"/>
      <c r="CA447" s="162"/>
      <c r="CB447" s="203" t="str">
        <f t="shared" si="628"/>
        <v xml:space="preserve"> </v>
      </c>
      <c r="CC447" s="174" t="str">
        <f t="shared" si="608"/>
        <v>NG</v>
      </c>
      <c r="CD447" s="162"/>
      <c r="CE447" s="276" t="str">
        <f>IF(OR(CA$8="判定対象外",CD$8="判定対象外",CD447="-"),"-",IF(CA447=CD447,"OK","NG"))</f>
        <v>OK</v>
      </c>
      <c r="CF447" s="160"/>
      <c r="CG447" s="162"/>
      <c r="CH447" s="203" t="str">
        <f t="shared" si="629"/>
        <v xml:space="preserve"> </v>
      </c>
      <c r="CI447" s="174" t="str">
        <f t="shared" si="609"/>
        <v>NG</v>
      </c>
      <c r="CJ447" s="162"/>
      <c r="CK447" s="276" t="str">
        <f>IF(OR(CG$8="判定対象外",CJ$8="判定対象外",CJ447="-"),"-",IF(CG447=CJ447,"OK","NG"))</f>
        <v>OK</v>
      </c>
      <c r="CL447" s="160"/>
      <c r="CM447" s="162"/>
      <c r="CN447" s="203" t="str">
        <f t="shared" si="630"/>
        <v xml:space="preserve"> </v>
      </c>
      <c r="CO447" s="174" t="str">
        <f t="shared" si="610"/>
        <v>NG</v>
      </c>
      <c r="CP447" s="162"/>
      <c r="CQ447" s="276" t="str">
        <f>IF(OR(CM$8="判定対象外",CP$8="判定対象外",CP447="-"),"-",IF(CM447=CP447,"OK","NG"))</f>
        <v>OK</v>
      </c>
      <c r="CR447" s="160"/>
      <c r="CS447" s="162"/>
      <c r="CT447" s="203" t="str">
        <f t="shared" si="631"/>
        <v xml:space="preserve"> </v>
      </c>
      <c r="CU447" s="174" t="str">
        <f t="shared" si="611"/>
        <v>NG</v>
      </c>
      <c r="CV447" s="162"/>
      <c r="CW447" s="276" t="str">
        <f>IF(OR(CS$8="判定対象外",CV$8="判定対象外",CV447="-"),"-",IF(CS447=CV447,"OK","NG"))</f>
        <v>OK</v>
      </c>
      <c r="CX447" s="160"/>
      <c r="CY447" s="162"/>
      <c r="CZ447" s="203" t="str">
        <f t="shared" si="632"/>
        <v xml:space="preserve"> </v>
      </c>
      <c r="DA447" s="174" t="str">
        <f t="shared" si="612"/>
        <v>NG</v>
      </c>
      <c r="DB447" s="162"/>
      <c r="DC447" s="276" t="str">
        <f>IF(OR(CY$8="判定対象外",DB$8="判定対象外",DB447="-"),"-",IF(CY447=DB447,"OK","NG"))</f>
        <v>OK</v>
      </c>
      <c r="DD447" s="160"/>
      <c r="DE447" s="162"/>
      <c r="DF447" s="203" t="str">
        <f t="shared" si="633"/>
        <v xml:space="preserve"> </v>
      </c>
      <c r="DG447" s="174" t="str">
        <f t="shared" si="613"/>
        <v>NG</v>
      </c>
      <c r="DH447" s="162"/>
      <c r="DI447" s="276" t="str">
        <f>IF(OR(DE$8="判定対象外",DH$8="判定対象外",DH447="-"),"-",IF(DE447=DH447,"OK","NG"))</f>
        <v>OK</v>
      </c>
      <c r="DJ447" s="160"/>
      <c r="DK447" s="162"/>
      <c r="DL447" s="203" t="str">
        <f t="shared" si="634"/>
        <v xml:space="preserve"> </v>
      </c>
      <c r="DM447" s="174" t="str">
        <f t="shared" si="614"/>
        <v>NG</v>
      </c>
      <c r="DN447" s="162"/>
      <c r="DO447" s="276" t="str">
        <f>IF(OR(DK$8="判定対象外",DN$8="判定対象外",DN447="-"),"-",IF(DK447=DN447,"OK","NG"))</f>
        <v>OK</v>
      </c>
      <c r="DP447" s="160"/>
      <c r="DQ447" s="162"/>
      <c r="DR447" s="203" t="str">
        <f t="shared" si="635"/>
        <v xml:space="preserve"> </v>
      </c>
      <c r="DS447" s="174" t="str">
        <f t="shared" si="652"/>
        <v>NG</v>
      </c>
      <c r="DT447" s="162"/>
      <c r="DU447" s="276" t="str">
        <f>IF(OR(DQ$8="判定対象外",DT$8="判定対象外",DT447="-"),"-",IF(DQ447=DT447,"OK","NG"))</f>
        <v>OK</v>
      </c>
      <c r="DV447" s="160"/>
      <c r="DW447" s="162"/>
      <c r="DX447" s="203" t="str">
        <f t="shared" si="636"/>
        <v xml:space="preserve"> </v>
      </c>
      <c r="DY447" s="174" t="str">
        <f t="shared" si="653"/>
        <v>NG</v>
      </c>
      <c r="DZ447" s="162"/>
      <c r="EA447" s="276" t="str">
        <f>IF(OR(DW$8="判定対象外",DZ$8="判定対象外",DZ447="-"),"-",IF(DW447=DZ447,"OK","NG"))</f>
        <v>OK</v>
      </c>
      <c r="EB447" s="160"/>
      <c r="EC447" s="162"/>
      <c r="ED447" s="203" t="str">
        <f t="shared" si="637"/>
        <v xml:space="preserve"> </v>
      </c>
      <c r="EE447" s="174" t="str">
        <f t="shared" si="654"/>
        <v>NG</v>
      </c>
      <c r="EF447" s="162"/>
      <c r="EG447" s="276" t="str">
        <f>IF(OR(EC$8="判定対象外",EF$8="判定対象外",EF447="-"),"-",IF(EC447=EF447,"OK","NG"))</f>
        <v>OK</v>
      </c>
      <c r="EH447" s="160"/>
      <c r="EI447" s="162"/>
      <c r="EJ447" s="203" t="str">
        <f t="shared" si="638"/>
        <v xml:space="preserve"> </v>
      </c>
      <c r="EK447" s="174" t="str">
        <f t="shared" si="655"/>
        <v>NG</v>
      </c>
      <c r="EL447" s="162"/>
      <c r="EM447" s="276" t="str">
        <f>IF(OR(EI$8="判定対象外",EL$8="判定対象外",EL447="-"),"-",IF(EI447=EL447,"OK","NG"))</f>
        <v>OK</v>
      </c>
      <c r="EN447" s="160"/>
      <c r="EO447" s="162"/>
      <c r="EP447" s="203" t="str">
        <f t="shared" si="639"/>
        <v xml:space="preserve"> </v>
      </c>
      <c r="EQ447" s="174" t="str">
        <f t="shared" si="656"/>
        <v>NG</v>
      </c>
      <c r="ER447" s="162"/>
      <c r="ES447" s="276" t="str">
        <f>IF(OR(EO$8="判定対象外",ER$8="判定対象外",ER447="-"),"-",IF(EO447=ER447,"OK","NG"))</f>
        <v>OK</v>
      </c>
      <c r="ET447" s="160"/>
      <c r="EU447" s="162"/>
      <c r="EV447" s="203" t="str">
        <f t="shared" si="640"/>
        <v xml:space="preserve"> </v>
      </c>
      <c r="EW447" s="174" t="str">
        <f t="shared" si="657"/>
        <v>NG</v>
      </c>
      <c r="EX447" s="162"/>
      <c r="EY447" s="276" t="str">
        <f>IF(OR(EU$8="判定対象外",EX$8="判定対象外",EX447="-"),"-",IF(EU447=EX447,"OK","NG"))</f>
        <v>OK</v>
      </c>
      <c r="EZ447" s="160"/>
      <c r="FA447" s="162"/>
      <c r="FB447" s="203" t="str">
        <f t="shared" si="641"/>
        <v xml:space="preserve"> </v>
      </c>
      <c r="FC447" s="174" t="str">
        <f t="shared" si="658"/>
        <v>NG</v>
      </c>
      <c r="FD447" s="162"/>
      <c r="FE447" s="276" t="str">
        <f>IF(OR(FA$8="判定対象外",FD$8="判定対象外",FD447="-"),"-",IF(FA447=FD447,"OK","NG"))</f>
        <v>OK</v>
      </c>
      <c r="FF447" s="160"/>
      <c r="FG447" s="162"/>
      <c r="FH447" s="203" t="str">
        <f t="shared" si="642"/>
        <v xml:space="preserve"> </v>
      </c>
      <c r="FI447" s="174" t="str">
        <f t="shared" si="659"/>
        <v>NG</v>
      </c>
      <c r="FJ447" s="162"/>
      <c r="FK447" s="276" t="str">
        <f>IF(OR(FG$8="判定対象外",FJ$8="判定対象外",FJ447="-"),"-",IF(FG447=FJ447,"OK","NG"))</f>
        <v>OK</v>
      </c>
      <c r="FL447" s="160"/>
      <c r="FM447" s="162"/>
      <c r="FN447" s="203" t="str">
        <f t="shared" si="643"/>
        <v xml:space="preserve"> </v>
      </c>
      <c r="FO447" s="174" t="str">
        <f t="shared" si="615"/>
        <v>NG</v>
      </c>
      <c r="FP447" s="162"/>
      <c r="FQ447" s="276" t="str">
        <f>IF(OR(FM$8="判定対象外",FP$8="判定対象外",FP447="-"),"-",IF(FM447=FP447,"OK","NG"))</f>
        <v>OK</v>
      </c>
      <c r="FR447" s="160"/>
      <c r="FS447" s="162"/>
      <c r="FT447" s="203" t="str">
        <f t="shared" si="644"/>
        <v xml:space="preserve"> </v>
      </c>
      <c r="FU447" s="174" t="str">
        <f t="shared" si="616"/>
        <v>NG</v>
      </c>
      <c r="FV447" s="162"/>
      <c r="FW447" s="276" t="str">
        <f>IF(OR(FS$8="判定対象外",FV$8="判定対象外",FV447="-"),"-",IF(FS447=FV447,"OK","NG"))</f>
        <v>OK</v>
      </c>
      <c r="FX447" s="160"/>
      <c r="FY447" s="162"/>
      <c r="FZ447" s="203" t="str">
        <f t="shared" si="645"/>
        <v xml:space="preserve"> </v>
      </c>
      <c r="GA447" s="174" t="str">
        <f t="shared" si="617"/>
        <v>NG</v>
      </c>
      <c r="GB447" s="162"/>
      <c r="GC447" s="276" t="str">
        <f>IF(OR(FY$8="判定対象外",GB$8="判定対象外",GB447="-"),"-",IF(FY447=GB447,"OK","NG"))</f>
        <v>OK</v>
      </c>
    </row>
    <row r="448" spans="2:185" s="52" customFormat="1" ht="330" customHeight="1">
      <c r="B448" s="216">
        <f t="shared" si="646"/>
        <v>441</v>
      </c>
      <c r="C448" s="37"/>
      <c r="D448" s="37"/>
      <c r="E448" s="25"/>
      <c r="F448" s="218" t="s">
        <v>288</v>
      </c>
      <c r="G448" s="27"/>
      <c r="H448" s="28"/>
      <c r="I448" s="42"/>
      <c r="J448" s="42" t="s">
        <v>316</v>
      </c>
      <c r="K448" s="42"/>
      <c r="L448" s="42"/>
      <c r="M448" s="161" t="s">
        <v>343</v>
      </c>
      <c r="N448" s="39"/>
      <c r="O448" s="143"/>
      <c r="P448" s="45">
        <f t="shared" si="650"/>
        <v>411</v>
      </c>
      <c r="Q448" s="46">
        <v>2</v>
      </c>
      <c r="R448" s="41" t="str">
        <f t="shared" si="651"/>
        <v>X</v>
      </c>
      <c r="S448" s="185" t="s">
        <v>238</v>
      </c>
      <c r="T448" s="43"/>
      <c r="U448" s="41" t="s">
        <v>80</v>
      </c>
      <c r="V448" s="44"/>
      <c r="W448" s="22">
        <v>3</v>
      </c>
      <c r="X448" s="47" t="s">
        <v>239</v>
      </c>
      <c r="Y448" s="47">
        <v>2</v>
      </c>
      <c r="Z448" s="47">
        <v>2</v>
      </c>
      <c r="AA448" s="42" t="s">
        <v>81</v>
      </c>
      <c r="AB448" s="42" t="s">
        <v>80</v>
      </c>
      <c r="AC448" s="164"/>
      <c r="AD448" s="160"/>
      <c r="AE448" s="162"/>
      <c r="AF448" s="167" t="str">
        <f t="shared" si="621"/>
        <v xml:space="preserve">  </v>
      </c>
      <c r="AG448" s="174" t="str">
        <f t="shared" si="601"/>
        <v>NG</v>
      </c>
      <c r="AH448" s="162"/>
      <c r="AI448" s="276" t="str">
        <f>IF(OR(AE$8="判定対象外",AH$8="判定対象外",AH448="-"),"-",IF(AE448=AH448,"OK","NG"))</f>
        <v>OK</v>
      </c>
      <c r="AJ448" s="160"/>
      <c r="AK448" s="162"/>
      <c r="AL448" s="167" t="str">
        <f t="shared" si="619"/>
        <v xml:space="preserve">  </v>
      </c>
      <c r="AM448" s="174" t="str">
        <f t="shared" si="648"/>
        <v>NG</v>
      </c>
      <c r="AN448" s="162"/>
      <c r="AO448" s="276" t="str">
        <f>IF(OR(AK$8="判定対象外",AN$8="判定対象外",AN448="-"),"-",IF(AK448=AN448,"OK","NG"))</f>
        <v>OK</v>
      </c>
      <c r="AP448" s="160"/>
      <c r="AQ448" s="162"/>
      <c r="AR448" s="167" t="str">
        <f t="shared" si="622"/>
        <v xml:space="preserve">  </v>
      </c>
      <c r="AS448" s="174" t="str">
        <f t="shared" si="602"/>
        <v>NG</v>
      </c>
      <c r="AT448" s="162"/>
      <c r="AU448" s="276" t="str">
        <f>IF(OR(AQ$8="判定対象外",AT$8="判定対象外",AT448="-"),"-",IF(AQ448=AT448,"OK","NG"))</f>
        <v>OK</v>
      </c>
      <c r="AV448" s="160"/>
      <c r="AW448" s="162"/>
      <c r="AX448" s="167" t="str">
        <f t="shared" si="623"/>
        <v xml:space="preserve">  </v>
      </c>
      <c r="AY448" s="174" t="str">
        <f t="shared" si="603"/>
        <v>NG</v>
      </c>
      <c r="AZ448" s="162"/>
      <c r="BA448" s="276" t="str">
        <f>IF(OR(AW$8="判定対象外",AZ$8="判定対象外",AZ448="-"),"-",IF(AW448=AZ448,"OK","NG"))</f>
        <v>OK</v>
      </c>
      <c r="BB448" s="160"/>
      <c r="BC448" s="162"/>
      <c r="BD448" s="167" t="str">
        <f t="shared" si="624"/>
        <v xml:space="preserve">  </v>
      </c>
      <c r="BE448" s="174" t="str">
        <f t="shared" si="604"/>
        <v>NG</v>
      </c>
      <c r="BF448" s="162"/>
      <c r="BG448" s="276" t="str">
        <f>IF(OR(BC$8="判定対象外",BF$8="判定対象外",BF448="-"),"-",IF(BC448=BF448,"OK","NG"))</f>
        <v>OK</v>
      </c>
      <c r="BH448" s="160"/>
      <c r="BI448" s="162"/>
      <c r="BJ448" s="167" t="str">
        <f t="shared" si="625"/>
        <v xml:space="preserve">  </v>
      </c>
      <c r="BK448" s="174" t="str">
        <f t="shared" si="605"/>
        <v>NG</v>
      </c>
      <c r="BL448" s="162"/>
      <c r="BM448" s="276" t="str">
        <f>IF(OR(BI$8="判定対象外",BL$8="判定対象外",BL448="-"),"-",IF(BI448=BL448,"OK","NG"))</f>
        <v>OK</v>
      </c>
      <c r="BN448" s="160"/>
      <c r="BO448" s="162"/>
      <c r="BP448" s="167" t="str">
        <f t="shared" si="626"/>
        <v xml:space="preserve">  </v>
      </c>
      <c r="BQ448" s="174" t="str">
        <f t="shared" si="606"/>
        <v>NG</v>
      </c>
      <c r="BR448" s="162"/>
      <c r="BS448" s="276" t="str">
        <f>IF(OR(BO$8="判定対象外",BR$8="判定対象外",BR448="-"),"-",IF(BO448=BR448,"OK","NG"))</f>
        <v>OK</v>
      </c>
      <c r="BT448" s="160"/>
      <c r="BU448" s="162"/>
      <c r="BV448" s="167" t="str">
        <f t="shared" si="627"/>
        <v xml:space="preserve">  </v>
      </c>
      <c r="BW448" s="174" t="str">
        <f t="shared" si="607"/>
        <v>NG</v>
      </c>
      <c r="BX448" s="162"/>
      <c r="BY448" s="276" t="str">
        <f>IF(OR(BU$8="判定対象外",BX$8="判定対象外",BX448="-"),"-",IF(BU448=BX448,"OK","NG"))</f>
        <v>OK</v>
      </c>
      <c r="BZ448" s="160"/>
      <c r="CA448" s="162"/>
      <c r="CB448" s="167" t="str">
        <f t="shared" si="628"/>
        <v xml:space="preserve">  </v>
      </c>
      <c r="CC448" s="174" t="str">
        <f t="shared" si="608"/>
        <v>NG</v>
      </c>
      <c r="CD448" s="162"/>
      <c r="CE448" s="276" t="str">
        <f>IF(OR(CA$8="判定対象外",CD$8="判定対象外",CD448="-"),"-",IF(CA448=CD448,"OK","NG"))</f>
        <v>OK</v>
      </c>
      <c r="CF448" s="160"/>
      <c r="CG448" s="162"/>
      <c r="CH448" s="167" t="str">
        <f t="shared" si="629"/>
        <v xml:space="preserve">  </v>
      </c>
      <c r="CI448" s="174" t="str">
        <f t="shared" si="609"/>
        <v>NG</v>
      </c>
      <c r="CJ448" s="162"/>
      <c r="CK448" s="276" t="str">
        <f>IF(OR(CG$8="判定対象外",CJ$8="判定対象外",CJ448="-"),"-",IF(CG448=CJ448,"OK","NG"))</f>
        <v>OK</v>
      </c>
      <c r="CL448" s="160"/>
      <c r="CM448" s="162"/>
      <c r="CN448" s="167" t="str">
        <f t="shared" si="630"/>
        <v xml:space="preserve">  </v>
      </c>
      <c r="CO448" s="174" t="str">
        <f t="shared" si="610"/>
        <v>NG</v>
      </c>
      <c r="CP448" s="162"/>
      <c r="CQ448" s="276" t="str">
        <f>IF(OR(CM$8="判定対象外",CP$8="判定対象外",CP448="-"),"-",IF(CM448=CP448,"OK","NG"))</f>
        <v>OK</v>
      </c>
      <c r="CR448" s="160"/>
      <c r="CS448" s="162"/>
      <c r="CT448" s="167" t="str">
        <f t="shared" si="631"/>
        <v xml:space="preserve">  </v>
      </c>
      <c r="CU448" s="174" t="str">
        <f t="shared" si="611"/>
        <v>NG</v>
      </c>
      <c r="CV448" s="162"/>
      <c r="CW448" s="276" t="str">
        <f>IF(OR(CS$8="判定対象外",CV$8="判定対象外",CV448="-"),"-",IF(CS448=CV448,"OK","NG"))</f>
        <v>OK</v>
      </c>
      <c r="CX448" s="160"/>
      <c r="CY448" s="162"/>
      <c r="CZ448" s="167" t="str">
        <f t="shared" si="632"/>
        <v xml:space="preserve">  </v>
      </c>
      <c r="DA448" s="174" t="str">
        <f t="shared" si="612"/>
        <v>NG</v>
      </c>
      <c r="DB448" s="162"/>
      <c r="DC448" s="276" t="str">
        <f>IF(OR(CY$8="判定対象外",DB$8="判定対象外",DB448="-"),"-",IF(CY448=DB448,"OK","NG"))</f>
        <v>OK</v>
      </c>
      <c r="DD448" s="160"/>
      <c r="DE448" s="162"/>
      <c r="DF448" s="167" t="str">
        <f t="shared" si="633"/>
        <v xml:space="preserve">  </v>
      </c>
      <c r="DG448" s="174" t="str">
        <f t="shared" si="613"/>
        <v>NG</v>
      </c>
      <c r="DH448" s="162"/>
      <c r="DI448" s="276" t="str">
        <f>IF(OR(DE$8="判定対象外",DH$8="判定対象外",DH448="-"),"-",IF(DE448=DH448,"OK","NG"))</f>
        <v>OK</v>
      </c>
      <c r="DJ448" s="160"/>
      <c r="DK448" s="162"/>
      <c r="DL448" s="167" t="str">
        <f t="shared" si="634"/>
        <v xml:space="preserve">  </v>
      </c>
      <c r="DM448" s="174" t="str">
        <f t="shared" si="614"/>
        <v>NG</v>
      </c>
      <c r="DN448" s="162"/>
      <c r="DO448" s="276" t="str">
        <f>IF(OR(DK$8="判定対象外",DN$8="判定対象外",DN448="-"),"-",IF(DK448=DN448,"OK","NG"))</f>
        <v>OK</v>
      </c>
      <c r="DP448" s="160"/>
      <c r="DQ448" s="162"/>
      <c r="DR448" s="167" t="str">
        <f t="shared" si="635"/>
        <v xml:space="preserve">  </v>
      </c>
      <c r="DS448" s="174" t="str">
        <f t="shared" si="652"/>
        <v>NG</v>
      </c>
      <c r="DT448" s="162"/>
      <c r="DU448" s="276" t="str">
        <f>IF(OR(DQ$8="判定対象外",DT$8="判定対象外",DT448="-"),"-",IF(DQ448=DT448,"OK","NG"))</f>
        <v>OK</v>
      </c>
      <c r="DV448" s="160"/>
      <c r="DW448" s="162"/>
      <c r="DX448" s="167" t="str">
        <f t="shared" si="636"/>
        <v xml:space="preserve">  </v>
      </c>
      <c r="DY448" s="174" t="str">
        <f t="shared" si="653"/>
        <v>NG</v>
      </c>
      <c r="DZ448" s="162"/>
      <c r="EA448" s="276" t="str">
        <f>IF(OR(DW$8="判定対象外",DZ$8="判定対象外",DZ448="-"),"-",IF(DW448=DZ448,"OK","NG"))</f>
        <v>OK</v>
      </c>
      <c r="EB448" s="160"/>
      <c r="EC448" s="162"/>
      <c r="ED448" s="167" t="str">
        <f t="shared" si="637"/>
        <v xml:space="preserve">  </v>
      </c>
      <c r="EE448" s="174" t="str">
        <f t="shared" si="654"/>
        <v>NG</v>
      </c>
      <c r="EF448" s="162"/>
      <c r="EG448" s="276" t="str">
        <f>IF(OR(EC$8="判定対象外",EF$8="判定対象外",EF448="-"),"-",IF(EC448=EF448,"OK","NG"))</f>
        <v>OK</v>
      </c>
      <c r="EH448" s="160"/>
      <c r="EI448" s="162"/>
      <c r="EJ448" s="167" t="str">
        <f t="shared" si="638"/>
        <v xml:space="preserve">  </v>
      </c>
      <c r="EK448" s="174" t="str">
        <f t="shared" si="655"/>
        <v>NG</v>
      </c>
      <c r="EL448" s="162"/>
      <c r="EM448" s="276" t="str">
        <f>IF(OR(EI$8="判定対象外",EL$8="判定対象外",EL448="-"),"-",IF(EI448=EL448,"OK","NG"))</f>
        <v>OK</v>
      </c>
      <c r="EN448" s="160"/>
      <c r="EO448" s="162"/>
      <c r="EP448" s="167" t="str">
        <f t="shared" si="639"/>
        <v xml:space="preserve">  </v>
      </c>
      <c r="EQ448" s="174" t="str">
        <f t="shared" si="656"/>
        <v>NG</v>
      </c>
      <c r="ER448" s="162"/>
      <c r="ES448" s="276" t="str">
        <f>IF(OR(EO$8="判定対象外",ER$8="判定対象外",ER448="-"),"-",IF(EO448=ER448,"OK","NG"))</f>
        <v>OK</v>
      </c>
      <c r="ET448" s="160"/>
      <c r="EU448" s="162"/>
      <c r="EV448" s="167" t="str">
        <f t="shared" si="640"/>
        <v xml:space="preserve">  </v>
      </c>
      <c r="EW448" s="174" t="str">
        <f t="shared" si="657"/>
        <v>NG</v>
      </c>
      <c r="EX448" s="162"/>
      <c r="EY448" s="276" t="str">
        <f>IF(OR(EU$8="判定対象外",EX$8="判定対象外",EX448="-"),"-",IF(EU448=EX448,"OK","NG"))</f>
        <v>OK</v>
      </c>
      <c r="EZ448" s="160"/>
      <c r="FA448" s="162"/>
      <c r="FB448" s="167" t="str">
        <f t="shared" si="641"/>
        <v xml:space="preserve">  </v>
      </c>
      <c r="FC448" s="174" t="str">
        <f t="shared" si="658"/>
        <v>NG</v>
      </c>
      <c r="FD448" s="162"/>
      <c r="FE448" s="276" t="str">
        <f>IF(OR(FA$8="判定対象外",FD$8="判定対象外",FD448="-"),"-",IF(FA448=FD448,"OK","NG"))</f>
        <v>OK</v>
      </c>
      <c r="FF448" s="160"/>
      <c r="FG448" s="162"/>
      <c r="FH448" s="167" t="str">
        <f t="shared" si="642"/>
        <v xml:space="preserve">  </v>
      </c>
      <c r="FI448" s="174" t="str">
        <f t="shared" si="659"/>
        <v>NG</v>
      </c>
      <c r="FJ448" s="162"/>
      <c r="FK448" s="276" t="str">
        <f>IF(OR(FG$8="判定対象外",FJ$8="判定対象外",FJ448="-"),"-",IF(FG448=FJ448,"OK","NG"))</f>
        <v>OK</v>
      </c>
      <c r="FL448" s="160"/>
      <c r="FM448" s="162"/>
      <c r="FN448" s="167" t="str">
        <f t="shared" si="643"/>
        <v xml:space="preserve">  </v>
      </c>
      <c r="FO448" s="174" t="str">
        <f t="shared" si="615"/>
        <v>NG</v>
      </c>
      <c r="FP448" s="162"/>
      <c r="FQ448" s="276" t="str">
        <f>IF(OR(FM$8="判定対象外",FP$8="判定対象外",FP448="-"),"-",IF(FM448=FP448,"OK","NG"))</f>
        <v>OK</v>
      </c>
      <c r="FR448" s="160"/>
      <c r="FS448" s="162"/>
      <c r="FT448" s="167" t="str">
        <f t="shared" si="644"/>
        <v xml:space="preserve">  </v>
      </c>
      <c r="FU448" s="174" t="str">
        <f t="shared" si="616"/>
        <v>NG</v>
      </c>
      <c r="FV448" s="162"/>
      <c r="FW448" s="276" t="str">
        <f>IF(OR(FS$8="判定対象外",FV$8="判定対象外",FV448="-"),"-",IF(FS448=FV448,"OK","NG"))</f>
        <v>OK</v>
      </c>
      <c r="FX448" s="160"/>
      <c r="FY448" s="162"/>
      <c r="FZ448" s="167" t="str">
        <f t="shared" si="645"/>
        <v xml:space="preserve">  </v>
      </c>
      <c r="GA448" s="174" t="str">
        <f t="shared" si="617"/>
        <v>NG</v>
      </c>
      <c r="GB448" s="162"/>
      <c r="GC448" s="276" t="str">
        <f>IF(OR(FY$8="判定対象外",GB$8="判定対象外",GB448="-"),"-",IF(FY448=GB448,"OK","NG"))</f>
        <v>OK</v>
      </c>
    </row>
    <row r="449" spans="1:185" s="52" customFormat="1" ht="25.5">
      <c r="B449" s="216">
        <f t="shared" si="646"/>
        <v>442</v>
      </c>
      <c r="C449" s="37"/>
      <c r="D449" s="37"/>
      <c r="E449" s="25"/>
      <c r="F449" s="184" t="s">
        <v>344</v>
      </c>
      <c r="G449" s="27"/>
      <c r="H449" s="28"/>
      <c r="I449" s="42"/>
      <c r="J449" s="42"/>
      <c r="K449" s="42"/>
      <c r="L449" s="42"/>
      <c r="M449" s="63" t="s">
        <v>345</v>
      </c>
      <c r="N449" s="39"/>
      <c r="O449" s="143"/>
      <c r="P449" s="45">
        <f t="shared" si="650"/>
        <v>412</v>
      </c>
      <c r="Q449" s="46">
        <v>7</v>
      </c>
      <c r="R449" s="41" t="str">
        <f t="shared" si="651"/>
        <v>X</v>
      </c>
      <c r="S449" s="185" t="s">
        <v>240</v>
      </c>
      <c r="T449" s="43"/>
      <c r="U449" s="41" t="s">
        <v>80</v>
      </c>
      <c r="V449" s="44"/>
      <c r="W449" s="22">
        <v>3</v>
      </c>
      <c r="X449" s="47" t="s">
        <v>241</v>
      </c>
      <c r="Y449" s="47">
        <v>7</v>
      </c>
      <c r="Z449" s="47">
        <v>7</v>
      </c>
      <c r="AA449" s="42" t="s">
        <v>81</v>
      </c>
      <c r="AB449" s="42" t="s">
        <v>80</v>
      </c>
      <c r="AC449" s="219"/>
      <c r="AD449" s="160"/>
      <c r="AE449" s="141"/>
      <c r="AF449" s="203" t="str">
        <f t="shared" si="621"/>
        <v xml:space="preserve">       </v>
      </c>
      <c r="AG449" s="174" t="str">
        <f t="shared" si="601"/>
        <v>NG</v>
      </c>
      <c r="AH449" s="141"/>
      <c r="AI449" s="172" t="s">
        <v>71</v>
      </c>
      <c r="AJ449" s="160"/>
      <c r="AK449" s="141"/>
      <c r="AL449" s="203" t="str">
        <f t="shared" si="619"/>
        <v xml:space="preserve">       </v>
      </c>
      <c r="AM449" s="174" t="str">
        <f t="shared" si="648"/>
        <v>NG</v>
      </c>
      <c r="AN449" s="141"/>
      <c r="AO449" s="172" t="s">
        <v>71</v>
      </c>
      <c r="AP449" s="160"/>
      <c r="AQ449" s="141"/>
      <c r="AR449" s="203" t="str">
        <f t="shared" si="622"/>
        <v xml:space="preserve">       </v>
      </c>
      <c r="AS449" s="174" t="str">
        <f t="shared" si="602"/>
        <v>NG</v>
      </c>
      <c r="AT449" s="141"/>
      <c r="AU449" s="172" t="s">
        <v>71</v>
      </c>
      <c r="AV449" s="160"/>
      <c r="AW449" s="141"/>
      <c r="AX449" s="203" t="str">
        <f t="shared" si="623"/>
        <v xml:space="preserve">       </v>
      </c>
      <c r="AY449" s="174" t="str">
        <f t="shared" si="603"/>
        <v>NG</v>
      </c>
      <c r="AZ449" s="141"/>
      <c r="BA449" s="172" t="s">
        <v>71</v>
      </c>
      <c r="BB449" s="160"/>
      <c r="BC449" s="141"/>
      <c r="BD449" s="203" t="str">
        <f t="shared" si="624"/>
        <v xml:space="preserve">       </v>
      </c>
      <c r="BE449" s="174" t="str">
        <f t="shared" si="604"/>
        <v>NG</v>
      </c>
      <c r="BF449" s="141"/>
      <c r="BG449" s="172" t="s">
        <v>71</v>
      </c>
      <c r="BH449" s="160"/>
      <c r="BI449" s="141"/>
      <c r="BJ449" s="203" t="str">
        <f t="shared" si="625"/>
        <v xml:space="preserve">       </v>
      </c>
      <c r="BK449" s="174" t="str">
        <f t="shared" si="605"/>
        <v>NG</v>
      </c>
      <c r="BL449" s="141"/>
      <c r="BM449" s="172" t="s">
        <v>71</v>
      </c>
      <c r="BN449" s="160"/>
      <c r="BO449" s="141"/>
      <c r="BP449" s="203" t="str">
        <f t="shared" si="626"/>
        <v xml:space="preserve">       </v>
      </c>
      <c r="BQ449" s="174" t="str">
        <f t="shared" si="606"/>
        <v>NG</v>
      </c>
      <c r="BR449" s="141"/>
      <c r="BS449" s="172" t="s">
        <v>71</v>
      </c>
      <c r="BT449" s="160"/>
      <c r="BU449" s="141"/>
      <c r="BV449" s="203" t="str">
        <f t="shared" si="627"/>
        <v xml:space="preserve">       </v>
      </c>
      <c r="BW449" s="174" t="str">
        <f t="shared" si="607"/>
        <v>NG</v>
      </c>
      <c r="BX449" s="141"/>
      <c r="BY449" s="172" t="s">
        <v>71</v>
      </c>
      <c r="BZ449" s="160"/>
      <c r="CA449" s="141"/>
      <c r="CB449" s="203" t="str">
        <f t="shared" si="628"/>
        <v xml:space="preserve">       </v>
      </c>
      <c r="CC449" s="174" t="str">
        <f t="shared" si="608"/>
        <v>NG</v>
      </c>
      <c r="CD449" s="141"/>
      <c r="CE449" s="172" t="s">
        <v>71</v>
      </c>
      <c r="CF449" s="160"/>
      <c r="CG449" s="141"/>
      <c r="CH449" s="203" t="str">
        <f t="shared" si="629"/>
        <v xml:space="preserve">       </v>
      </c>
      <c r="CI449" s="174" t="str">
        <f t="shared" si="609"/>
        <v>NG</v>
      </c>
      <c r="CJ449" s="141"/>
      <c r="CK449" s="172" t="s">
        <v>71</v>
      </c>
      <c r="CL449" s="160"/>
      <c r="CM449" s="141"/>
      <c r="CN449" s="203" t="str">
        <f t="shared" si="630"/>
        <v xml:space="preserve">       </v>
      </c>
      <c r="CO449" s="174" t="str">
        <f t="shared" si="610"/>
        <v>NG</v>
      </c>
      <c r="CP449" s="141"/>
      <c r="CQ449" s="172" t="s">
        <v>71</v>
      </c>
      <c r="CR449" s="160"/>
      <c r="CS449" s="141"/>
      <c r="CT449" s="203" t="str">
        <f t="shared" si="631"/>
        <v xml:space="preserve">       </v>
      </c>
      <c r="CU449" s="174" t="str">
        <f t="shared" si="611"/>
        <v>NG</v>
      </c>
      <c r="CV449" s="141"/>
      <c r="CW449" s="172" t="s">
        <v>71</v>
      </c>
      <c r="CX449" s="160"/>
      <c r="CY449" s="141"/>
      <c r="CZ449" s="203" t="str">
        <f t="shared" si="632"/>
        <v xml:space="preserve">       </v>
      </c>
      <c r="DA449" s="174" t="str">
        <f t="shared" si="612"/>
        <v>NG</v>
      </c>
      <c r="DB449" s="141"/>
      <c r="DC449" s="172" t="s">
        <v>71</v>
      </c>
      <c r="DD449" s="160"/>
      <c r="DE449" s="141"/>
      <c r="DF449" s="203" t="str">
        <f t="shared" si="633"/>
        <v xml:space="preserve">       </v>
      </c>
      <c r="DG449" s="174" t="str">
        <f t="shared" si="613"/>
        <v>NG</v>
      </c>
      <c r="DH449" s="141"/>
      <c r="DI449" s="172" t="s">
        <v>71</v>
      </c>
      <c r="DJ449" s="160"/>
      <c r="DK449" s="141"/>
      <c r="DL449" s="203" t="str">
        <f t="shared" si="634"/>
        <v xml:space="preserve">       </v>
      </c>
      <c r="DM449" s="174" t="str">
        <f t="shared" si="614"/>
        <v>NG</v>
      </c>
      <c r="DN449" s="141"/>
      <c r="DO449" s="172" t="s">
        <v>71</v>
      </c>
      <c r="DP449" s="160"/>
      <c r="DQ449" s="141"/>
      <c r="DR449" s="203" t="str">
        <f t="shared" si="635"/>
        <v xml:space="preserve">       </v>
      </c>
      <c r="DS449" s="174" t="str">
        <f t="shared" si="652"/>
        <v>NG</v>
      </c>
      <c r="DT449" s="141"/>
      <c r="DU449" s="172" t="s">
        <v>71</v>
      </c>
      <c r="DV449" s="160"/>
      <c r="DW449" s="141"/>
      <c r="DX449" s="203" t="str">
        <f t="shared" si="636"/>
        <v xml:space="preserve">       </v>
      </c>
      <c r="DY449" s="174" t="str">
        <f t="shared" si="653"/>
        <v>NG</v>
      </c>
      <c r="DZ449" s="141"/>
      <c r="EA449" s="172" t="s">
        <v>71</v>
      </c>
      <c r="EB449" s="160"/>
      <c r="EC449" s="141"/>
      <c r="ED449" s="203" t="str">
        <f t="shared" si="637"/>
        <v xml:space="preserve">       </v>
      </c>
      <c r="EE449" s="174" t="str">
        <f t="shared" si="654"/>
        <v>NG</v>
      </c>
      <c r="EF449" s="141"/>
      <c r="EG449" s="172" t="s">
        <v>71</v>
      </c>
      <c r="EH449" s="160"/>
      <c r="EI449" s="141"/>
      <c r="EJ449" s="203" t="str">
        <f t="shared" si="638"/>
        <v xml:space="preserve">       </v>
      </c>
      <c r="EK449" s="174" t="str">
        <f t="shared" si="655"/>
        <v>NG</v>
      </c>
      <c r="EL449" s="141"/>
      <c r="EM449" s="172" t="s">
        <v>71</v>
      </c>
      <c r="EN449" s="160"/>
      <c r="EO449" s="141"/>
      <c r="EP449" s="203" t="str">
        <f t="shared" si="639"/>
        <v xml:space="preserve">       </v>
      </c>
      <c r="EQ449" s="174" t="str">
        <f t="shared" si="656"/>
        <v>NG</v>
      </c>
      <c r="ER449" s="141"/>
      <c r="ES449" s="172" t="s">
        <v>71</v>
      </c>
      <c r="ET449" s="160"/>
      <c r="EU449" s="141"/>
      <c r="EV449" s="203" t="str">
        <f t="shared" si="640"/>
        <v xml:space="preserve">       </v>
      </c>
      <c r="EW449" s="174" t="str">
        <f t="shared" si="657"/>
        <v>NG</v>
      </c>
      <c r="EX449" s="141"/>
      <c r="EY449" s="172" t="s">
        <v>71</v>
      </c>
      <c r="EZ449" s="160"/>
      <c r="FA449" s="141"/>
      <c r="FB449" s="203" t="str">
        <f t="shared" si="641"/>
        <v xml:space="preserve">       </v>
      </c>
      <c r="FC449" s="174" t="str">
        <f t="shared" si="658"/>
        <v>NG</v>
      </c>
      <c r="FD449" s="141"/>
      <c r="FE449" s="172" t="s">
        <v>71</v>
      </c>
      <c r="FF449" s="160"/>
      <c r="FG449" s="141"/>
      <c r="FH449" s="203" t="str">
        <f t="shared" si="642"/>
        <v xml:space="preserve">       </v>
      </c>
      <c r="FI449" s="174" t="str">
        <f t="shared" si="659"/>
        <v>NG</v>
      </c>
      <c r="FJ449" s="141"/>
      <c r="FK449" s="172" t="s">
        <v>71</v>
      </c>
      <c r="FL449" s="160"/>
      <c r="FM449" s="141"/>
      <c r="FN449" s="203" t="str">
        <f t="shared" si="643"/>
        <v xml:space="preserve">       </v>
      </c>
      <c r="FO449" s="174" t="str">
        <f t="shared" si="615"/>
        <v>NG</v>
      </c>
      <c r="FP449" s="141"/>
      <c r="FQ449" s="172" t="s">
        <v>71</v>
      </c>
      <c r="FR449" s="160"/>
      <c r="FS449" s="141"/>
      <c r="FT449" s="203" t="str">
        <f t="shared" si="644"/>
        <v xml:space="preserve">       </v>
      </c>
      <c r="FU449" s="174" t="str">
        <f t="shared" si="616"/>
        <v>NG</v>
      </c>
      <c r="FV449" s="141"/>
      <c r="FW449" s="172" t="s">
        <v>71</v>
      </c>
      <c r="FX449" s="160"/>
      <c r="FY449" s="141"/>
      <c r="FZ449" s="203" t="str">
        <f t="shared" si="645"/>
        <v xml:space="preserve">       </v>
      </c>
      <c r="GA449" s="174" t="str">
        <f t="shared" si="617"/>
        <v>NG</v>
      </c>
      <c r="GB449" s="141"/>
      <c r="GC449" s="172" t="s">
        <v>71</v>
      </c>
    </row>
    <row r="450" spans="1:185" s="237" customFormat="1" ht="25.5">
      <c r="B450" s="216">
        <f t="shared" si="646"/>
        <v>443</v>
      </c>
      <c r="C450" s="220"/>
      <c r="D450" s="220"/>
      <c r="E450" s="221"/>
      <c r="F450" s="222" t="s">
        <v>346</v>
      </c>
      <c r="G450" s="223"/>
      <c r="H450" s="224"/>
      <c r="I450" s="225"/>
      <c r="J450" s="225"/>
      <c r="K450" s="226"/>
      <c r="L450" s="226"/>
      <c r="M450" s="227" t="s">
        <v>345</v>
      </c>
      <c r="N450" s="228"/>
      <c r="O450" s="229"/>
      <c r="P450" s="45">
        <f t="shared" si="650"/>
        <v>413</v>
      </c>
      <c r="Q450" s="230">
        <v>10</v>
      </c>
      <c r="R450" s="41" t="str">
        <f t="shared" si="651"/>
        <v>X</v>
      </c>
      <c r="S450" s="185" t="s">
        <v>242</v>
      </c>
      <c r="T450" s="231"/>
      <c r="U450" s="41" t="s">
        <v>80</v>
      </c>
      <c r="V450" s="229"/>
      <c r="W450" s="232">
        <v>3</v>
      </c>
      <c r="X450" s="194" t="s">
        <v>243</v>
      </c>
      <c r="Y450" s="194">
        <v>10</v>
      </c>
      <c r="Z450" s="194">
        <v>10</v>
      </c>
      <c r="AA450" s="225" t="s">
        <v>163</v>
      </c>
      <c r="AB450" s="225" t="s">
        <v>57</v>
      </c>
      <c r="AC450" s="219"/>
      <c r="AD450" s="233"/>
      <c r="AE450" s="268"/>
      <c r="AF450" s="235" t="str">
        <f t="shared" si="621"/>
        <v xml:space="preserve">          </v>
      </c>
      <c r="AG450" s="174" t="str">
        <f t="shared" si="601"/>
        <v>NG</v>
      </c>
      <c r="AH450" s="268"/>
      <c r="AI450" s="172" t="s">
        <v>71</v>
      </c>
      <c r="AJ450" s="233"/>
      <c r="AK450" s="234"/>
      <c r="AL450" s="235" t="str">
        <f t="shared" si="619"/>
        <v xml:space="preserve">          </v>
      </c>
      <c r="AM450" s="174" t="str">
        <f t="shared" si="648"/>
        <v>NG</v>
      </c>
      <c r="AN450" s="268"/>
      <c r="AO450" s="172" t="s">
        <v>71</v>
      </c>
      <c r="AP450" s="233"/>
      <c r="AQ450" s="268"/>
      <c r="AR450" s="235" t="str">
        <f t="shared" si="622"/>
        <v xml:space="preserve">          </v>
      </c>
      <c r="AS450" s="174" t="str">
        <f t="shared" si="602"/>
        <v>NG</v>
      </c>
      <c r="AT450" s="268"/>
      <c r="AU450" s="172" t="s">
        <v>71</v>
      </c>
      <c r="AV450" s="233"/>
      <c r="AW450" s="268"/>
      <c r="AX450" s="235" t="str">
        <f t="shared" si="623"/>
        <v xml:space="preserve">          </v>
      </c>
      <c r="AY450" s="174" t="str">
        <f t="shared" si="603"/>
        <v>NG</v>
      </c>
      <c r="AZ450" s="268"/>
      <c r="BA450" s="172" t="s">
        <v>71</v>
      </c>
      <c r="BB450" s="233"/>
      <c r="BC450" s="268"/>
      <c r="BD450" s="235" t="str">
        <f t="shared" si="624"/>
        <v xml:space="preserve">          </v>
      </c>
      <c r="BE450" s="174" t="str">
        <f t="shared" si="604"/>
        <v>NG</v>
      </c>
      <c r="BF450" s="268"/>
      <c r="BG450" s="172" t="s">
        <v>71</v>
      </c>
      <c r="BH450" s="233"/>
      <c r="BI450" s="268"/>
      <c r="BJ450" s="235" t="str">
        <f t="shared" si="625"/>
        <v xml:space="preserve">          </v>
      </c>
      <c r="BK450" s="174" t="str">
        <f t="shared" si="605"/>
        <v>NG</v>
      </c>
      <c r="BL450" s="268"/>
      <c r="BM450" s="172" t="s">
        <v>71</v>
      </c>
      <c r="BN450" s="233"/>
      <c r="BO450" s="268"/>
      <c r="BP450" s="235" t="str">
        <f t="shared" si="626"/>
        <v xml:space="preserve">          </v>
      </c>
      <c r="BQ450" s="174" t="str">
        <f t="shared" si="606"/>
        <v>NG</v>
      </c>
      <c r="BR450" s="268"/>
      <c r="BS450" s="172" t="s">
        <v>71</v>
      </c>
      <c r="BT450" s="233"/>
      <c r="BU450" s="268"/>
      <c r="BV450" s="235" t="str">
        <f t="shared" si="627"/>
        <v xml:space="preserve">          </v>
      </c>
      <c r="BW450" s="174" t="str">
        <f t="shared" si="607"/>
        <v>NG</v>
      </c>
      <c r="BX450" s="268"/>
      <c r="BY450" s="172" t="s">
        <v>71</v>
      </c>
      <c r="BZ450" s="233"/>
      <c r="CA450" s="268"/>
      <c r="CB450" s="235" t="str">
        <f t="shared" si="628"/>
        <v xml:space="preserve">          </v>
      </c>
      <c r="CC450" s="174" t="str">
        <f t="shared" si="608"/>
        <v>NG</v>
      </c>
      <c r="CD450" s="268"/>
      <c r="CE450" s="172" t="s">
        <v>71</v>
      </c>
      <c r="CF450" s="233"/>
      <c r="CG450" s="268"/>
      <c r="CH450" s="235" t="str">
        <f t="shared" si="629"/>
        <v xml:space="preserve">          </v>
      </c>
      <c r="CI450" s="174" t="str">
        <f t="shared" si="609"/>
        <v>NG</v>
      </c>
      <c r="CJ450" s="268"/>
      <c r="CK450" s="172" t="s">
        <v>71</v>
      </c>
      <c r="CL450" s="233"/>
      <c r="CM450" s="268"/>
      <c r="CN450" s="235" t="str">
        <f t="shared" si="630"/>
        <v xml:space="preserve">          </v>
      </c>
      <c r="CO450" s="174" t="str">
        <f t="shared" si="610"/>
        <v>NG</v>
      </c>
      <c r="CP450" s="268"/>
      <c r="CQ450" s="172" t="s">
        <v>71</v>
      </c>
      <c r="CR450" s="233"/>
      <c r="CS450" s="268"/>
      <c r="CT450" s="235" t="str">
        <f t="shared" si="631"/>
        <v xml:space="preserve">          </v>
      </c>
      <c r="CU450" s="174" t="str">
        <f t="shared" si="611"/>
        <v>NG</v>
      </c>
      <c r="CV450" s="268"/>
      <c r="CW450" s="172" t="s">
        <v>71</v>
      </c>
      <c r="CX450" s="233"/>
      <c r="CY450" s="268"/>
      <c r="CZ450" s="235" t="str">
        <f t="shared" si="632"/>
        <v xml:space="preserve">          </v>
      </c>
      <c r="DA450" s="174" t="str">
        <f t="shared" si="612"/>
        <v>NG</v>
      </c>
      <c r="DB450" s="268"/>
      <c r="DC450" s="172" t="s">
        <v>71</v>
      </c>
      <c r="DD450" s="233"/>
      <c r="DE450" s="268"/>
      <c r="DF450" s="235" t="str">
        <f t="shared" si="633"/>
        <v xml:space="preserve">          </v>
      </c>
      <c r="DG450" s="174" t="str">
        <f t="shared" si="613"/>
        <v>NG</v>
      </c>
      <c r="DH450" s="268"/>
      <c r="DI450" s="172" t="s">
        <v>71</v>
      </c>
      <c r="DJ450" s="233"/>
      <c r="DK450" s="268"/>
      <c r="DL450" s="235" t="str">
        <f t="shared" si="634"/>
        <v xml:space="preserve">          </v>
      </c>
      <c r="DM450" s="174" t="str">
        <f t="shared" si="614"/>
        <v>NG</v>
      </c>
      <c r="DN450" s="268"/>
      <c r="DO450" s="172" t="s">
        <v>71</v>
      </c>
      <c r="DP450" s="233"/>
      <c r="DQ450" s="268"/>
      <c r="DR450" s="235" t="str">
        <f t="shared" si="635"/>
        <v xml:space="preserve">          </v>
      </c>
      <c r="DS450" s="174" t="str">
        <f t="shared" si="652"/>
        <v>NG</v>
      </c>
      <c r="DT450" s="268"/>
      <c r="DU450" s="172" t="s">
        <v>71</v>
      </c>
      <c r="DV450" s="233"/>
      <c r="DW450" s="268"/>
      <c r="DX450" s="235" t="str">
        <f t="shared" si="636"/>
        <v xml:space="preserve">          </v>
      </c>
      <c r="DY450" s="174" t="str">
        <f t="shared" si="653"/>
        <v>NG</v>
      </c>
      <c r="DZ450" s="268"/>
      <c r="EA450" s="172" t="s">
        <v>71</v>
      </c>
      <c r="EB450" s="233"/>
      <c r="EC450" s="268"/>
      <c r="ED450" s="235" t="str">
        <f t="shared" si="637"/>
        <v xml:space="preserve">          </v>
      </c>
      <c r="EE450" s="174" t="str">
        <f t="shared" si="654"/>
        <v>NG</v>
      </c>
      <c r="EF450" s="268"/>
      <c r="EG450" s="172" t="s">
        <v>71</v>
      </c>
      <c r="EH450" s="233"/>
      <c r="EI450" s="268"/>
      <c r="EJ450" s="235" t="str">
        <f t="shared" si="638"/>
        <v xml:space="preserve">          </v>
      </c>
      <c r="EK450" s="174" t="str">
        <f t="shared" si="655"/>
        <v>NG</v>
      </c>
      <c r="EL450" s="268"/>
      <c r="EM450" s="172" t="s">
        <v>71</v>
      </c>
      <c r="EN450" s="233"/>
      <c r="EO450" s="268"/>
      <c r="EP450" s="235" t="str">
        <f t="shared" si="639"/>
        <v xml:space="preserve">          </v>
      </c>
      <c r="EQ450" s="174" t="str">
        <f t="shared" si="656"/>
        <v>NG</v>
      </c>
      <c r="ER450" s="268"/>
      <c r="ES450" s="172" t="s">
        <v>71</v>
      </c>
      <c r="ET450" s="233"/>
      <c r="EU450" s="268"/>
      <c r="EV450" s="235" t="str">
        <f t="shared" si="640"/>
        <v xml:space="preserve">          </v>
      </c>
      <c r="EW450" s="174" t="str">
        <f t="shared" si="657"/>
        <v>NG</v>
      </c>
      <c r="EX450" s="268"/>
      <c r="EY450" s="172" t="s">
        <v>71</v>
      </c>
      <c r="EZ450" s="233"/>
      <c r="FA450" s="268"/>
      <c r="FB450" s="235" t="str">
        <f t="shared" si="641"/>
        <v xml:space="preserve">          </v>
      </c>
      <c r="FC450" s="174" t="str">
        <f t="shared" si="658"/>
        <v>NG</v>
      </c>
      <c r="FD450" s="268"/>
      <c r="FE450" s="172" t="s">
        <v>71</v>
      </c>
      <c r="FF450" s="233"/>
      <c r="FG450" s="268"/>
      <c r="FH450" s="235" t="str">
        <f t="shared" si="642"/>
        <v xml:space="preserve">          </v>
      </c>
      <c r="FI450" s="174" t="str">
        <f t="shared" si="659"/>
        <v>NG</v>
      </c>
      <c r="FJ450" s="268"/>
      <c r="FK450" s="172" t="s">
        <v>71</v>
      </c>
      <c r="FL450" s="233"/>
      <c r="FM450" s="268"/>
      <c r="FN450" s="235" t="str">
        <f t="shared" si="643"/>
        <v xml:space="preserve">          </v>
      </c>
      <c r="FO450" s="174" t="str">
        <f t="shared" si="615"/>
        <v>NG</v>
      </c>
      <c r="FP450" s="268"/>
      <c r="FQ450" s="172" t="s">
        <v>71</v>
      </c>
      <c r="FR450" s="233"/>
      <c r="FS450" s="268"/>
      <c r="FT450" s="235" t="str">
        <f t="shared" si="644"/>
        <v xml:space="preserve">          </v>
      </c>
      <c r="FU450" s="174" t="str">
        <f t="shared" si="616"/>
        <v>NG</v>
      </c>
      <c r="FV450" s="268"/>
      <c r="FW450" s="172" t="s">
        <v>71</v>
      </c>
      <c r="FX450" s="233"/>
      <c r="FY450" s="268"/>
      <c r="FZ450" s="235" t="str">
        <f t="shared" si="645"/>
        <v xml:space="preserve">          </v>
      </c>
      <c r="GA450" s="174" t="str">
        <f t="shared" si="617"/>
        <v>NG</v>
      </c>
      <c r="GB450" s="268"/>
      <c r="GC450" s="172" t="s">
        <v>71</v>
      </c>
    </row>
    <row r="451" spans="1:185" s="237" customFormat="1" ht="25.5">
      <c r="B451" s="216">
        <f t="shared" si="646"/>
        <v>444</v>
      </c>
      <c r="C451" s="220"/>
      <c r="D451" s="220"/>
      <c r="E451" s="220"/>
      <c r="F451" s="238" t="s">
        <v>244</v>
      </c>
      <c r="G451" s="168"/>
      <c r="H451" s="239"/>
      <c r="I451" s="225"/>
      <c r="J451" s="225"/>
      <c r="K451" s="226"/>
      <c r="L451" s="226"/>
      <c r="M451" s="227" t="s">
        <v>345</v>
      </c>
      <c r="N451" s="228"/>
      <c r="O451" s="229"/>
      <c r="P451" s="45">
        <f t="shared" si="650"/>
        <v>414</v>
      </c>
      <c r="Q451" s="230">
        <v>3</v>
      </c>
      <c r="R451" s="41" t="str">
        <f t="shared" si="651"/>
        <v>X</v>
      </c>
      <c r="S451" s="185" t="s">
        <v>245</v>
      </c>
      <c r="T451" s="231"/>
      <c r="U451" s="41" t="s">
        <v>80</v>
      </c>
      <c r="V451" s="229"/>
      <c r="W451" s="232">
        <v>3</v>
      </c>
      <c r="X451" s="194" t="s">
        <v>246</v>
      </c>
      <c r="Y451" s="194">
        <v>3</v>
      </c>
      <c r="Z451" s="194">
        <v>3</v>
      </c>
      <c r="AA451" s="225" t="s">
        <v>163</v>
      </c>
      <c r="AB451" s="225" t="s">
        <v>57</v>
      </c>
      <c r="AC451" s="219"/>
      <c r="AD451" s="233"/>
      <c r="AE451" s="268"/>
      <c r="AF451" s="235" t="str">
        <f t="shared" si="621"/>
        <v xml:space="preserve">   </v>
      </c>
      <c r="AG451" s="174" t="str">
        <f t="shared" si="601"/>
        <v>NG</v>
      </c>
      <c r="AH451" s="268"/>
      <c r="AI451" s="172" t="s">
        <v>71</v>
      </c>
      <c r="AJ451" s="233"/>
      <c r="AK451" s="234"/>
      <c r="AL451" s="235" t="str">
        <f t="shared" si="619"/>
        <v xml:space="preserve">   </v>
      </c>
      <c r="AM451" s="174" t="str">
        <f t="shared" si="648"/>
        <v>NG</v>
      </c>
      <c r="AN451" s="268"/>
      <c r="AO451" s="172" t="s">
        <v>71</v>
      </c>
      <c r="AP451" s="233"/>
      <c r="AQ451" s="268"/>
      <c r="AR451" s="235" t="str">
        <f t="shared" si="622"/>
        <v xml:space="preserve">   </v>
      </c>
      <c r="AS451" s="174" t="str">
        <f t="shared" si="602"/>
        <v>NG</v>
      </c>
      <c r="AT451" s="268"/>
      <c r="AU451" s="172" t="s">
        <v>71</v>
      </c>
      <c r="AV451" s="233"/>
      <c r="AW451" s="268"/>
      <c r="AX451" s="235" t="str">
        <f t="shared" si="623"/>
        <v xml:space="preserve">   </v>
      </c>
      <c r="AY451" s="174" t="str">
        <f t="shared" si="603"/>
        <v>NG</v>
      </c>
      <c r="AZ451" s="268"/>
      <c r="BA451" s="172" t="s">
        <v>71</v>
      </c>
      <c r="BB451" s="233"/>
      <c r="BC451" s="268"/>
      <c r="BD451" s="235" t="str">
        <f t="shared" si="624"/>
        <v xml:space="preserve">   </v>
      </c>
      <c r="BE451" s="174" t="str">
        <f t="shared" si="604"/>
        <v>NG</v>
      </c>
      <c r="BF451" s="268"/>
      <c r="BG451" s="172" t="s">
        <v>71</v>
      </c>
      <c r="BH451" s="233"/>
      <c r="BI451" s="268"/>
      <c r="BJ451" s="235" t="str">
        <f t="shared" si="625"/>
        <v xml:space="preserve">   </v>
      </c>
      <c r="BK451" s="174" t="str">
        <f t="shared" si="605"/>
        <v>NG</v>
      </c>
      <c r="BL451" s="268"/>
      <c r="BM451" s="172" t="s">
        <v>71</v>
      </c>
      <c r="BN451" s="233"/>
      <c r="BO451" s="268"/>
      <c r="BP451" s="235" t="str">
        <f t="shared" si="626"/>
        <v xml:space="preserve">   </v>
      </c>
      <c r="BQ451" s="174" t="str">
        <f t="shared" si="606"/>
        <v>NG</v>
      </c>
      <c r="BR451" s="268"/>
      <c r="BS451" s="172" t="s">
        <v>71</v>
      </c>
      <c r="BT451" s="233"/>
      <c r="BU451" s="268"/>
      <c r="BV451" s="235" t="str">
        <f t="shared" si="627"/>
        <v xml:space="preserve">   </v>
      </c>
      <c r="BW451" s="174" t="str">
        <f t="shared" si="607"/>
        <v>NG</v>
      </c>
      <c r="BX451" s="268"/>
      <c r="BY451" s="172" t="s">
        <v>71</v>
      </c>
      <c r="BZ451" s="233"/>
      <c r="CA451" s="268"/>
      <c r="CB451" s="235" t="str">
        <f t="shared" si="628"/>
        <v xml:space="preserve">   </v>
      </c>
      <c r="CC451" s="174" t="str">
        <f t="shared" si="608"/>
        <v>NG</v>
      </c>
      <c r="CD451" s="268"/>
      <c r="CE451" s="172" t="s">
        <v>71</v>
      </c>
      <c r="CF451" s="233"/>
      <c r="CG451" s="268"/>
      <c r="CH451" s="235" t="str">
        <f t="shared" si="629"/>
        <v xml:space="preserve">   </v>
      </c>
      <c r="CI451" s="174" t="str">
        <f t="shared" si="609"/>
        <v>NG</v>
      </c>
      <c r="CJ451" s="268"/>
      <c r="CK451" s="172" t="s">
        <v>71</v>
      </c>
      <c r="CL451" s="233"/>
      <c r="CM451" s="268"/>
      <c r="CN451" s="235" t="str">
        <f t="shared" si="630"/>
        <v xml:space="preserve">   </v>
      </c>
      <c r="CO451" s="174" t="str">
        <f t="shared" si="610"/>
        <v>NG</v>
      </c>
      <c r="CP451" s="268"/>
      <c r="CQ451" s="172" t="s">
        <v>71</v>
      </c>
      <c r="CR451" s="233"/>
      <c r="CS451" s="268"/>
      <c r="CT451" s="235" t="str">
        <f t="shared" si="631"/>
        <v xml:space="preserve">   </v>
      </c>
      <c r="CU451" s="174" t="str">
        <f t="shared" si="611"/>
        <v>NG</v>
      </c>
      <c r="CV451" s="268"/>
      <c r="CW451" s="172" t="s">
        <v>71</v>
      </c>
      <c r="CX451" s="233"/>
      <c r="CY451" s="268"/>
      <c r="CZ451" s="235" t="str">
        <f t="shared" si="632"/>
        <v xml:space="preserve">   </v>
      </c>
      <c r="DA451" s="174" t="str">
        <f t="shared" si="612"/>
        <v>NG</v>
      </c>
      <c r="DB451" s="268"/>
      <c r="DC451" s="172" t="s">
        <v>71</v>
      </c>
      <c r="DD451" s="233"/>
      <c r="DE451" s="268"/>
      <c r="DF451" s="235" t="str">
        <f t="shared" si="633"/>
        <v xml:space="preserve">   </v>
      </c>
      <c r="DG451" s="174" t="str">
        <f t="shared" si="613"/>
        <v>NG</v>
      </c>
      <c r="DH451" s="268"/>
      <c r="DI451" s="172" t="s">
        <v>71</v>
      </c>
      <c r="DJ451" s="233"/>
      <c r="DK451" s="268"/>
      <c r="DL451" s="235" t="str">
        <f t="shared" si="634"/>
        <v xml:space="preserve">   </v>
      </c>
      <c r="DM451" s="174" t="str">
        <f t="shared" si="614"/>
        <v>NG</v>
      </c>
      <c r="DN451" s="268"/>
      <c r="DO451" s="172" t="s">
        <v>71</v>
      </c>
      <c r="DP451" s="233"/>
      <c r="DQ451" s="268"/>
      <c r="DR451" s="235" t="str">
        <f t="shared" si="635"/>
        <v xml:space="preserve">   </v>
      </c>
      <c r="DS451" s="174" t="str">
        <f t="shared" si="652"/>
        <v>NG</v>
      </c>
      <c r="DT451" s="268"/>
      <c r="DU451" s="172" t="s">
        <v>71</v>
      </c>
      <c r="DV451" s="233"/>
      <c r="DW451" s="268"/>
      <c r="DX451" s="235" t="str">
        <f t="shared" si="636"/>
        <v xml:space="preserve">   </v>
      </c>
      <c r="DY451" s="174" t="str">
        <f t="shared" si="653"/>
        <v>NG</v>
      </c>
      <c r="DZ451" s="268"/>
      <c r="EA451" s="172" t="s">
        <v>71</v>
      </c>
      <c r="EB451" s="233"/>
      <c r="EC451" s="268"/>
      <c r="ED451" s="235" t="str">
        <f t="shared" si="637"/>
        <v xml:space="preserve">   </v>
      </c>
      <c r="EE451" s="174" t="str">
        <f t="shared" si="654"/>
        <v>NG</v>
      </c>
      <c r="EF451" s="268"/>
      <c r="EG451" s="172" t="s">
        <v>71</v>
      </c>
      <c r="EH451" s="233"/>
      <c r="EI451" s="268"/>
      <c r="EJ451" s="235" t="str">
        <f t="shared" si="638"/>
        <v xml:space="preserve">   </v>
      </c>
      <c r="EK451" s="174" t="str">
        <f t="shared" si="655"/>
        <v>NG</v>
      </c>
      <c r="EL451" s="268"/>
      <c r="EM451" s="172" t="s">
        <v>71</v>
      </c>
      <c r="EN451" s="233"/>
      <c r="EO451" s="268"/>
      <c r="EP451" s="235" t="str">
        <f t="shared" si="639"/>
        <v xml:space="preserve">   </v>
      </c>
      <c r="EQ451" s="174" t="str">
        <f t="shared" si="656"/>
        <v>NG</v>
      </c>
      <c r="ER451" s="268"/>
      <c r="ES451" s="172" t="s">
        <v>71</v>
      </c>
      <c r="ET451" s="233"/>
      <c r="EU451" s="268"/>
      <c r="EV451" s="235" t="str">
        <f t="shared" si="640"/>
        <v xml:space="preserve">   </v>
      </c>
      <c r="EW451" s="174" t="str">
        <f t="shared" si="657"/>
        <v>NG</v>
      </c>
      <c r="EX451" s="268"/>
      <c r="EY451" s="172" t="s">
        <v>71</v>
      </c>
      <c r="EZ451" s="233"/>
      <c r="FA451" s="268"/>
      <c r="FB451" s="235" t="str">
        <f t="shared" si="641"/>
        <v xml:space="preserve">   </v>
      </c>
      <c r="FC451" s="174" t="str">
        <f t="shared" si="658"/>
        <v>NG</v>
      </c>
      <c r="FD451" s="268"/>
      <c r="FE451" s="172" t="s">
        <v>71</v>
      </c>
      <c r="FF451" s="233"/>
      <c r="FG451" s="268"/>
      <c r="FH451" s="235" t="str">
        <f t="shared" si="642"/>
        <v xml:space="preserve">   </v>
      </c>
      <c r="FI451" s="174" t="str">
        <f t="shared" si="659"/>
        <v>NG</v>
      </c>
      <c r="FJ451" s="268"/>
      <c r="FK451" s="172" t="s">
        <v>71</v>
      </c>
      <c r="FL451" s="233"/>
      <c r="FM451" s="268"/>
      <c r="FN451" s="235" t="str">
        <f t="shared" si="643"/>
        <v xml:space="preserve">   </v>
      </c>
      <c r="FO451" s="174" t="str">
        <f t="shared" si="615"/>
        <v>NG</v>
      </c>
      <c r="FP451" s="268"/>
      <c r="FQ451" s="172" t="s">
        <v>71</v>
      </c>
      <c r="FR451" s="233"/>
      <c r="FS451" s="268"/>
      <c r="FT451" s="235" t="str">
        <f t="shared" si="644"/>
        <v xml:space="preserve">   </v>
      </c>
      <c r="FU451" s="174" t="str">
        <f t="shared" si="616"/>
        <v>NG</v>
      </c>
      <c r="FV451" s="268"/>
      <c r="FW451" s="172" t="s">
        <v>71</v>
      </c>
      <c r="FX451" s="233"/>
      <c r="FY451" s="268"/>
      <c r="FZ451" s="235" t="str">
        <f t="shared" si="645"/>
        <v xml:space="preserve">   </v>
      </c>
      <c r="GA451" s="174" t="str">
        <f t="shared" si="617"/>
        <v>NG</v>
      </c>
      <c r="GB451" s="268"/>
      <c r="GC451" s="172" t="s">
        <v>71</v>
      </c>
    </row>
    <row r="452" spans="1:185" s="237" customFormat="1" ht="25.5">
      <c r="B452" s="216">
        <f t="shared" si="646"/>
        <v>445</v>
      </c>
      <c r="C452" s="220"/>
      <c r="D452" s="220"/>
      <c r="E452" s="220"/>
      <c r="F452" s="238" t="s">
        <v>347</v>
      </c>
      <c r="G452" s="168"/>
      <c r="H452" s="239"/>
      <c r="I452" s="225"/>
      <c r="J452" s="225"/>
      <c r="K452" s="226"/>
      <c r="L452" s="226"/>
      <c r="M452" s="227" t="s">
        <v>345</v>
      </c>
      <c r="N452" s="228"/>
      <c r="O452" s="229"/>
      <c r="P452" s="45">
        <f t="shared" si="650"/>
        <v>415</v>
      </c>
      <c r="Q452" s="230">
        <v>2</v>
      </c>
      <c r="R452" s="41" t="str">
        <f t="shared" si="651"/>
        <v>X</v>
      </c>
      <c r="S452" s="185" t="s">
        <v>247</v>
      </c>
      <c r="T452" s="231"/>
      <c r="U452" s="41" t="s">
        <v>80</v>
      </c>
      <c r="V452" s="229"/>
      <c r="W452" s="232">
        <v>3</v>
      </c>
      <c r="X452" s="194" t="s">
        <v>248</v>
      </c>
      <c r="Y452" s="194">
        <v>2</v>
      </c>
      <c r="Z452" s="194">
        <v>2</v>
      </c>
      <c r="AA452" s="225" t="s">
        <v>163</v>
      </c>
      <c r="AB452" s="225" t="s">
        <v>57</v>
      </c>
      <c r="AC452" s="219"/>
      <c r="AD452" s="233"/>
      <c r="AE452" s="268"/>
      <c r="AF452" s="235" t="str">
        <f t="shared" si="621"/>
        <v xml:space="preserve">  </v>
      </c>
      <c r="AG452" s="174" t="str">
        <f t="shared" si="601"/>
        <v>NG</v>
      </c>
      <c r="AH452" s="268"/>
      <c r="AI452" s="172" t="s">
        <v>71</v>
      </c>
      <c r="AJ452" s="233"/>
      <c r="AK452" s="234"/>
      <c r="AL452" s="235" t="str">
        <f t="shared" si="619"/>
        <v xml:space="preserve">  </v>
      </c>
      <c r="AM452" s="174" t="str">
        <f t="shared" si="648"/>
        <v>NG</v>
      </c>
      <c r="AN452" s="268"/>
      <c r="AO452" s="172" t="s">
        <v>71</v>
      </c>
      <c r="AP452" s="233"/>
      <c r="AQ452" s="268"/>
      <c r="AR452" s="235" t="str">
        <f t="shared" si="622"/>
        <v xml:space="preserve">  </v>
      </c>
      <c r="AS452" s="174" t="str">
        <f t="shared" si="602"/>
        <v>NG</v>
      </c>
      <c r="AT452" s="268"/>
      <c r="AU452" s="172" t="s">
        <v>71</v>
      </c>
      <c r="AV452" s="233"/>
      <c r="AW452" s="268"/>
      <c r="AX452" s="235" t="str">
        <f t="shared" si="623"/>
        <v xml:space="preserve">  </v>
      </c>
      <c r="AY452" s="174" t="str">
        <f t="shared" si="603"/>
        <v>NG</v>
      </c>
      <c r="AZ452" s="268"/>
      <c r="BA452" s="172" t="s">
        <v>71</v>
      </c>
      <c r="BB452" s="233"/>
      <c r="BC452" s="268"/>
      <c r="BD452" s="235" t="str">
        <f t="shared" si="624"/>
        <v xml:space="preserve">  </v>
      </c>
      <c r="BE452" s="174" t="str">
        <f t="shared" si="604"/>
        <v>NG</v>
      </c>
      <c r="BF452" s="268"/>
      <c r="BG452" s="172" t="s">
        <v>71</v>
      </c>
      <c r="BH452" s="233"/>
      <c r="BI452" s="268"/>
      <c r="BJ452" s="235" t="str">
        <f t="shared" si="625"/>
        <v xml:space="preserve">  </v>
      </c>
      <c r="BK452" s="174" t="str">
        <f t="shared" si="605"/>
        <v>NG</v>
      </c>
      <c r="BL452" s="268"/>
      <c r="BM452" s="172" t="s">
        <v>71</v>
      </c>
      <c r="BN452" s="233"/>
      <c r="BO452" s="268"/>
      <c r="BP452" s="235" t="str">
        <f t="shared" si="626"/>
        <v xml:space="preserve">  </v>
      </c>
      <c r="BQ452" s="174" t="str">
        <f t="shared" si="606"/>
        <v>NG</v>
      </c>
      <c r="BR452" s="268"/>
      <c r="BS452" s="172" t="s">
        <v>71</v>
      </c>
      <c r="BT452" s="233"/>
      <c r="BU452" s="268"/>
      <c r="BV452" s="235" t="str">
        <f t="shared" si="627"/>
        <v xml:space="preserve">  </v>
      </c>
      <c r="BW452" s="174" t="str">
        <f t="shared" si="607"/>
        <v>NG</v>
      </c>
      <c r="BX452" s="268"/>
      <c r="BY452" s="172" t="s">
        <v>71</v>
      </c>
      <c r="BZ452" s="233"/>
      <c r="CA452" s="268"/>
      <c r="CB452" s="235" t="str">
        <f t="shared" si="628"/>
        <v xml:space="preserve">  </v>
      </c>
      <c r="CC452" s="174" t="str">
        <f t="shared" si="608"/>
        <v>NG</v>
      </c>
      <c r="CD452" s="268"/>
      <c r="CE452" s="172" t="s">
        <v>71</v>
      </c>
      <c r="CF452" s="233"/>
      <c r="CG452" s="268"/>
      <c r="CH452" s="235" t="str">
        <f t="shared" si="629"/>
        <v xml:space="preserve">  </v>
      </c>
      <c r="CI452" s="174" t="str">
        <f t="shared" si="609"/>
        <v>NG</v>
      </c>
      <c r="CJ452" s="268"/>
      <c r="CK452" s="172" t="s">
        <v>71</v>
      </c>
      <c r="CL452" s="233"/>
      <c r="CM452" s="268"/>
      <c r="CN452" s="235" t="str">
        <f t="shared" si="630"/>
        <v xml:space="preserve">  </v>
      </c>
      <c r="CO452" s="174" t="str">
        <f t="shared" si="610"/>
        <v>NG</v>
      </c>
      <c r="CP452" s="268"/>
      <c r="CQ452" s="172" t="s">
        <v>71</v>
      </c>
      <c r="CR452" s="233"/>
      <c r="CS452" s="268"/>
      <c r="CT452" s="235" t="str">
        <f t="shared" si="631"/>
        <v xml:space="preserve">  </v>
      </c>
      <c r="CU452" s="174" t="str">
        <f t="shared" si="611"/>
        <v>NG</v>
      </c>
      <c r="CV452" s="268"/>
      <c r="CW452" s="172" t="s">
        <v>71</v>
      </c>
      <c r="CX452" s="233"/>
      <c r="CY452" s="268"/>
      <c r="CZ452" s="235" t="str">
        <f t="shared" si="632"/>
        <v xml:space="preserve">  </v>
      </c>
      <c r="DA452" s="174" t="str">
        <f t="shared" si="612"/>
        <v>NG</v>
      </c>
      <c r="DB452" s="268"/>
      <c r="DC452" s="172" t="s">
        <v>71</v>
      </c>
      <c r="DD452" s="233"/>
      <c r="DE452" s="268"/>
      <c r="DF452" s="235" t="str">
        <f t="shared" si="633"/>
        <v xml:space="preserve">  </v>
      </c>
      <c r="DG452" s="174" t="str">
        <f t="shared" si="613"/>
        <v>NG</v>
      </c>
      <c r="DH452" s="268"/>
      <c r="DI452" s="172" t="s">
        <v>71</v>
      </c>
      <c r="DJ452" s="233"/>
      <c r="DK452" s="268"/>
      <c r="DL452" s="235" t="str">
        <f t="shared" si="634"/>
        <v xml:space="preserve">  </v>
      </c>
      <c r="DM452" s="174" t="str">
        <f t="shared" si="614"/>
        <v>NG</v>
      </c>
      <c r="DN452" s="268"/>
      <c r="DO452" s="172" t="s">
        <v>71</v>
      </c>
      <c r="DP452" s="233"/>
      <c r="DQ452" s="268"/>
      <c r="DR452" s="235" t="str">
        <f t="shared" si="635"/>
        <v xml:space="preserve">  </v>
      </c>
      <c r="DS452" s="174" t="str">
        <f t="shared" si="652"/>
        <v>NG</v>
      </c>
      <c r="DT452" s="268"/>
      <c r="DU452" s="172" t="s">
        <v>71</v>
      </c>
      <c r="DV452" s="233"/>
      <c r="DW452" s="268"/>
      <c r="DX452" s="235" t="str">
        <f t="shared" si="636"/>
        <v xml:space="preserve">  </v>
      </c>
      <c r="DY452" s="174" t="str">
        <f t="shared" si="653"/>
        <v>NG</v>
      </c>
      <c r="DZ452" s="268"/>
      <c r="EA452" s="172" t="s">
        <v>71</v>
      </c>
      <c r="EB452" s="233"/>
      <c r="EC452" s="268"/>
      <c r="ED452" s="235" t="str">
        <f t="shared" si="637"/>
        <v xml:space="preserve">  </v>
      </c>
      <c r="EE452" s="174" t="str">
        <f t="shared" si="654"/>
        <v>NG</v>
      </c>
      <c r="EF452" s="268"/>
      <c r="EG452" s="172" t="s">
        <v>71</v>
      </c>
      <c r="EH452" s="233"/>
      <c r="EI452" s="268"/>
      <c r="EJ452" s="235" t="str">
        <f t="shared" si="638"/>
        <v xml:space="preserve">  </v>
      </c>
      <c r="EK452" s="174" t="str">
        <f t="shared" si="655"/>
        <v>NG</v>
      </c>
      <c r="EL452" s="268"/>
      <c r="EM452" s="172" t="s">
        <v>71</v>
      </c>
      <c r="EN452" s="233"/>
      <c r="EO452" s="268"/>
      <c r="EP452" s="235" t="str">
        <f t="shared" si="639"/>
        <v xml:space="preserve">  </v>
      </c>
      <c r="EQ452" s="174" t="str">
        <f t="shared" si="656"/>
        <v>NG</v>
      </c>
      <c r="ER452" s="268"/>
      <c r="ES452" s="172" t="s">
        <v>71</v>
      </c>
      <c r="ET452" s="233"/>
      <c r="EU452" s="268"/>
      <c r="EV452" s="235" t="str">
        <f t="shared" si="640"/>
        <v xml:space="preserve">  </v>
      </c>
      <c r="EW452" s="174" t="str">
        <f t="shared" si="657"/>
        <v>NG</v>
      </c>
      <c r="EX452" s="268"/>
      <c r="EY452" s="172" t="s">
        <v>71</v>
      </c>
      <c r="EZ452" s="233"/>
      <c r="FA452" s="268"/>
      <c r="FB452" s="235" t="str">
        <f t="shared" si="641"/>
        <v xml:space="preserve">  </v>
      </c>
      <c r="FC452" s="174" t="str">
        <f t="shared" si="658"/>
        <v>NG</v>
      </c>
      <c r="FD452" s="268"/>
      <c r="FE452" s="172" t="s">
        <v>71</v>
      </c>
      <c r="FF452" s="233"/>
      <c r="FG452" s="268"/>
      <c r="FH452" s="235" t="str">
        <f t="shared" si="642"/>
        <v xml:space="preserve">  </v>
      </c>
      <c r="FI452" s="174" t="str">
        <f t="shared" si="659"/>
        <v>NG</v>
      </c>
      <c r="FJ452" s="268"/>
      <c r="FK452" s="172" t="s">
        <v>71</v>
      </c>
      <c r="FL452" s="233"/>
      <c r="FM452" s="268"/>
      <c r="FN452" s="235" t="str">
        <f t="shared" si="643"/>
        <v xml:space="preserve">  </v>
      </c>
      <c r="FO452" s="174" t="str">
        <f t="shared" si="615"/>
        <v>NG</v>
      </c>
      <c r="FP452" s="268"/>
      <c r="FQ452" s="172" t="s">
        <v>71</v>
      </c>
      <c r="FR452" s="233"/>
      <c r="FS452" s="268"/>
      <c r="FT452" s="235" t="str">
        <f t="shared" si="644"/>
        <v xml:space="preserve">  </v>
      </c>
      <c r="FU452" s="174" t="str">
        <f t="shared" si="616"/>
        <v>NG</v>
      </c>
      <c r="FV452" s="268"/>
      <c r="FW452" s="172" t="s">
        <v>71</v>
      </c>
      <c r="FX452" s="233"/>
      <c r="FY452" s="268"/>
      <c r="FZ452" s="235" t="str">
        <f t="shared" si="645"/>
        <v xml:space="preserve">  </v>
      </c>
      <c r="GA452" s="174" t="str">
        <f t="shared" si="617"/>
        <v>NG</v>
      </c>
      <c r="GB452" s="268"/>
      <c r="GC452" s="172" t="s">
        <v>71</v>
      </c>
    </row>
    <row r="453" spans="1:185" s="237" customFormat="1" ht="51.75" customHeight="1">
      <c r="B453" s="216">
        <f t="shared" si="646"/>
        <v>446</v>
      </c>
      <c r="C453" s="220"/>
      <c r="D453" s="220"/>
      <c r="E453" s="220"/>
      <c r="F453" s="240" t="s">
        <v>348</v>
      </c>
      <c r="G453" s="241"/>
      <c r="H453" s="242"/>
      <c r="I453" s="225"/>
      <c r="J453" s="225"/>
      <c r="K453" s="226"/>
      <c r="L453" s="226"/>
      <c r="M453" s="227" t="s">
        <v>349</v>
      </c>
      <c r="N453" s="228"/>
      <c r="O453" s="229"/>
      <c r="P453" s="45">
        <f t="shared" si="650"/>
        <v>416</v>
      </c>
      <c r="Q453" s="230">
        <v>5</v>
      </c>
      <c r="R453" s="41" t="str">
        <f t="shared" si="651"/>
        <v>X</v>
      </c>
      <c r="S453" s="185" t="s">
        <v>249</v>
      </c>
      <c r="T453" s="231"/>
      <c r="U453" s="41" t="s">
        <v>80</v>
      </c>
      <c r="V453" s="229"/>
      <c r="W453" s="232">
        <v>3</v>
      </c>
      <c r="X453" s="194" t="s">
        <v>250</v>
      </c>
      <c r="Y453" s="194">
        <v>5</v>
      </c>
      <c r="Z453" s="194">
        <v>5</v>
      </c>
      <c r="AA453" s="225" t="s">
        <v>163</v>
      </c>
      <c r="AB453" s="225" t="s">
        <v>57</v>
      </c>
      <c r="AC453" s="243"/>
      <c r="AD453" s="233"/>
      <c r="AE453" s="297"/>
      <c r="AF453" s="235" t="str">
        <f t="shared" si="621"/>
        <v xml:space="preserve">     </v>
      </c>
      <c r="AG453" s="174" t="str">
        <f t="shared" si="601"/>
        <v>NG</v>
      </c>
      <c r="AH453" s="297"/>
      <c r="AI453" s="276" t="str">
        <f>IF(OR(AE$8="判定対象外",AH$8="判定対象外",AH453="-"),"-",IF(AE453=AH453,"OK","NG"))</f>
        <v>OK</v>
      </c>
      <c r="AJ453" s="233"/>
      <c r="AK453" s="236"/>
      <c r="AL453" s="235" t="str">
        <f t="shared" si="619"/>
        <v xml:space="preserve">     </v>
      </c>
      <c r="AM453" s="174" t="str">
        <f t="shared" si="648"/>
        <v>NG</v>
      </c>
      <c r="AN453" s="297"/>
      <c r="AO453" s="276" t="str">
        <f>IF(OR(AK$8="判定対象外",AN$8="判定対象外",AN453="-"),"-",IF(AK453=AN453,"OK","NG"))</f>
        <v>OK</v>
      </c>
      <c r="AP453" s="233"/>
      <c r="AQ453" s="297"/>
      <c r="AR453" s="235" t="str">
        <f t="shared" si="622"/>
        <v xml:space="preserve">     </v>
      </c>
      <c r="AS453" s="174" t="str">
        <f t="shared" si="602"/>
        <v>NG</v>
      </c>
      <c r="AT453" s="297"/>
      <c r="AU453" s="276" t="str">
        <f>IF(OR(AQ$8="判定対象外",AT$8="判定対象外",AT453="-"),"-",IF(AQ453=AT453,"OK","NG"))</f>
        <v>OK</v>
      </c>
      <c r="AV453" s="233"/>
      <c r="AW453" s="297"/>
      <c r="AX453" s="235" t="str">
        <f t="shared" si="623"/>
        <v xml:space="preserve">     </v>
      </c>
      <c r="AY453" s="174" t="str">
        <f t="shared" si="603"/>
        <v>NG</v>
      </c>
      <c r="AZ453" s="297"/>
      <c r="BA453" s="276" t="str">
        <f>IF(OR(AW$8="判定対象外",AZ$8="判定対象外",AZ453="-"),"-",IF(AW453=AZ453,"OK","NG"))</f>
        <v>OK</v>
      </c>
      <c r="BB453" s="233"/>
      <c r="BC453" s="297"/>
      <c r="BD453" s="235" t="str">
        <f t="shared" si="624"/>
        <v xml:space="preserve">     </v>
      </c>
      <c r="BE453" s="174" t="str">
        <f t="shared" si="604"/>
        <v>NG</v>
      </c>
      <c r="BF453" s="297"/>
      <c r="BG453" s="276" t="str">
        <f>IF(OR(BC$8="判定対象外",BF$8="判定対象外",BF453="-"),"-",IF(BC453=BF453,"OK","NG"))</f>
        <v>OK</v>
      </c>
      <c r="BH453" s="233"/>
      <c r="BI453" s="297"/>
      <c r="BJ453" s="235" t="str">
        <f t="shared" si="625"/>
        <v xml:space="preserve">     </v>
      </c>
      <c r="BK453" s="174" t="str">
        <f t="shared" si="605"/>
        <v>NG</v>
      </c>
      <c r="BL453" s="297"/>
      <c r="BM453" s="276" t="str">
        <f>IF(OR(BI$8="判定対象外",BL$8="判定対象外",BL453="-"),"-",IF(BI453=BL453,"OK","NG"))</f>
        <v>OK</v>
      </c>
      <c r="BN453" s="233"/>
      <c r="BO453" s="297"/>
      <c r="BP453" s="235" t="str">
        <f t="shared" si="626"/>
        <v xml:space="preserve">     </v>
      </c>
      <c r="BQ453" s="174" t="str">
        <f t="shared" si="606"/>
        <v>NG</v>
      </c>
      <c r="BR453" s="297"/>
      <c r="BS453" s="276" t="str">
        <f>IF(OR(BO$8="判定対象外",BR$8="判定対象外",BR453="-"),"-",IF(BO453=BR453,"OK","NG"))</f>
        <v>OK</v>
      </c>
      <c r="BT453" s="233"/>
      <c r="BU453" s="297"/>
      <c r="BV453" s="235" t="str">
        <f t="shared" si="627"/>
        <v xml:space="preserve">     </v>
      </c>
      <c r="BW453" s="174" t="str">
        <f t="shared" si="607"/>
        <v>NG</v>
      </c>
      <c r="BX453" s="297"/>
      <c r="BY453" s="276" t="str">
        <f>IF(OR(BU$8="判定対象外",BX$8="判定対象外",BX453="-"),"-",IF(BU453=BX453,"OK","NG"))</f>
        <v>OK</v>
      </c>
      <c r="BZ453" s="233"/>
      <c r="CA453" s="297"/>
      <c r="CB453" s="235" t="str">
        <f t="shared" si="628"/>
        <v xml:space="preserve">     </v>
      </c>
      <c r="CC453" s="174" t="str">
        <f t="shared" si="608"/>
        <v>NG</v>
      </c>
      <c r="CD453" s="297"/>
      <c r="CE453" s="276" t="str">
        <f>IF(OR(CA$8="判定対象外",CD$8="判定対象外",CD453="-"),"-",IF(CA453=CD453,"OK","NG"))</f>
        <v>OK</v>
      </c>
      <c r="CF453" s="233"/>
      <c r="CG453" s="297"/>
      <c r="CH453" s="235" t="str">
        <f t="shared" si="629"/>
        <v xml:space="preserve">     </v>
      </c>
      <c r="CI453" s="174" t="str">
        <f t="shared" si="609"/>
        <v>NG</v>
      </c>
      <c r="CJ453" s="297"/>
      <c r="CK453" s="276" t="str">
        <f>IF(OR(CG$8="判定対象外",CJ$8="判定対象外",CJ453="-"),"-",IF(CG453=CJ453,"OK","NG"))</f>
        <v>OK</v>
      </c>
      <c r="CL453" s="233"/>
      <c r="CM453" s="297"/>
      <c r="CN453" s="235" t="str">
        <f t="shared" si="630"/>
        <v xml:space="preserve">     </v>
      </c>
      <c r="CO453" s="174" t="str">
        <f t="shared" si="610"/>
        <v>NG</v>
      </c>
      <c r="CP453" s="297"/>
      <c r="CQ453" s="276" t="str">
        <f>IF(OR(CM$8="判定対象外",CP$8="判定対象外",CP453="-"),"-",IF(CM453=CP453,"OK","NG"))</f>
        <v>OK</v>
      </c>
      <c r="CR453" s="233"/>
      <c r="CS453" s="297"/>
      <c r="CT453" s="235" t="str">
        <f t="shared" si="631"/>
        <v xml:space="preserve">     </v>
      </c>
      <c r="CU453" s="174" t="str">
        <f t="shared" si="611"/>
        <v>NG</v>
      </c>
      <c r="CV453" s="297"/>
      <c r="CW453" s="276" t="str">
        <f>IF(OR(CS$8="判定対象外",CV$8="判定対象外",CV453="-"),"-",IF(CS453=CV453,"OK","NG"))</f>
        <v>OK</v>
      </c>
      <c r="CX453" s="233"/>
      <c r="CY453" s="297"/>
      <c r="CZ453" s="235" t="str">
        <f t="shared" si="632"/>
        <v xml:space="preserve">     </v>
      </c>
      <c r="DA453" s="174" t="str">
        <f t="shared" si="612"/>
        <v>NG</v>
      </c>
      <c r="DB453" s="297"/>
      <c r="DC453" s="276" t="str">
        <f>IF(OR(CY$8="判定対象外",DB$8="判定対象外",DB453="-"),"-",IF(CY453=DB453,"OK","NG"))</f>
        <v>OK</v>
      </c>
      <c r="DD453" s="233"/>
      <c r="DE453" s="297"/>
      <c r="DF453" s="235" t="str">
        <f t="shared" si="633"/>
        <v xml:space="preserve">     </v>
      </c>
      <c r="DG453" s="174" t="str">
        <f t="shared" si="613"/>
        <v>NG</v>
      </c>
      <c r="DH453" s="297"/>
      <c r="DI453" s="276" t="str">
        <f>IF(OR(DE$8="判定対象外",DH$8="判定対象外",DH453="-"),"-",IF(DE453=DH453,"OK","NG"))</f>
        <v>OK</v>
      </c>
      <c r="DJ453" s="233"/>
      <c r="DK453" s="297"/>
      <c r="DL453" s="235" t="str">
        <f t="shared" si="634"/>
        <v xml:space="preserve">     </v>
      </c>
      <c r="DM453" s="174" t="str">
        <f t="shared" si="614"/>
        <v>NG</v>
      </c>
      <c r="DN453" s="297"/>
      <c r="DO453" s="276" t="str">
        <f>IF(OR(DK$8="判定対象外",DN$8="判定対象外",DN453="-"),"-",IF(DK453=DN453,"OK","NG"))</f>
        <v>OK</v>
      </c>
      <c r="DP453" s="233"/>
      <c r="DQ453" s="297"/>
      <c r="DR453" s="235" t="str">
        <f t="shared" si="635"/>
        <v xml:space="preserve">     </v>
      </c>
      <c r="DS453" s="174" t="str">
        <f t="shared" si="652"/>
        <v>NG</v>
      </c>
      <c r="DT453" s="297"/>
      <c r="DU453" s="276" t="str">
        <f>IF(OR(DQ$8="判定対象外",DT$8="判定対象外",DT453="-"),"-",IF(DQ453=DT453,"OK","NG"))</f>
        <v>OK</v>
      </c>
      <c r="DV453" s="233"/>
      <c r="DW453" s="297"/>
      <c r="DX453" s="235" t="str">
        <f t="shared" si="636"/>
        <v xml:space="preserve">     </v>
      </c>
      <c r="DY453" s="174" t="str">
        <f t="shared" si="653"/>
        <v>NG</v>
      </c>
      <c r="DZ453" s="297"/>
      <c r="EA453" s="276" t="str">
        <f>IF(OR(DW$8="判定対象外",DZ$8="判定対象外",DZ453="-"),"-",IF(DW453=DZ453,"OK","NG"))</f>
        <v>OK</v>
      </c>
      <c r="EB453" s="233"/>
      <c r="EC453" s="297"/>
      <c r="ED453" s="235" t="str">
        <f t="shared" si="637"/>
        <v xml:space="preserve">     </v>
      </c>
      <c r="EE453" s="174" t="str">
        <f t="shared" si="654"/>
        <v>NG</v>
      </c>
      <c r="EF453" s="297"/>
      <c r="EG453" s="276" t="str">
        <f>IF(OR(EC$8="判定対象外",EF$8="判定対象外",EF453="-"),"-",IF(EC453=EF453,"OK","NG"))</f>
        <v>OK</v>
      </c>
      <c r="EH453" s="233"/>
      <c r="EI453" s="297"/>
      <c r="EJ453" s="235" t="str">
        <f t="shared" si="638"/>
        <v xml:space="preserve">     </v>
      </c>
      <c r="EK453" s="174" t="str">
        <f t="shared" si="655"/>
        <v>NG</v>
      </c>
      <c r="EL453" s="297"/>
      <c r="EM453" s="276" t="str">
        <f>IF(OR(EI$8="判定対象外",EL$8="判定対象外",EL453="-"),"-",IF(EI453=EL453,"OK","NG"))</f>
        <v>OK</v>
      </c>
      <c r="EN453" s="233"/>
      <c r="EO453" s="297"/>
      <c r="EP453" s="235" t="str">
        <f t="shared" si="639"/>
        <v xml:space="preserve">     </v>
      </c>
      <c r="EQ453" s="174" t="str">
        <f t="shared" si="656"/>
        <v>NG</v>
      </c>
      <c r="ER453" s="297"/>
      <c r="ES453" s="276" t="str">
        <f>IF(OR(EO$8="判定対象外",ER$8="判定対象外",ER453="-"),"-",IF(EO453=ER453,"OK","NG"))</f>
        <v>OK</v>
      </c>
      <c r="ET453" s="233"/>
      <c r="EU453" s="297"/>
      <c r="EV453" s="235" t="str">
        <f t="shared" si="640"/>
        <v xml:space="preserve">     </v>
      </c>
      <c r="EW453" s="174" t="str">
        <f t="shared" si="657"/>
        <v>NG</v>
      </c>
      <c r="EX453" s="297"/>
      <c r="EY453" s="276" t="str">
        <f>IF(OR(EU$8="判定対象外",EX$8="判定対象外",EX453="-"),"-",IF(EU453=EX453,"OK","NG"))</f>
        <v>OK</v>
      </c>
      <c r="EZ453" s="233"/>
      <c r="FA453" s="297"/>
      <c r="FB453" s="235" t="str">
        <f t="shared" si="641"/>
        <v xml:space="preserve">     </v>
      </c>
      <c r="FC453" s="174" t="str">
        <f t="shared" si="658"/>
        <v>NG</v>
      </c>
      <c r="FD453" s="297"/>
      <c r="FE453" s="276" t="str">
        <f>IF(OR(FA$8="判定対象外",FD$8="判定対象外",FD453="-"),"-",IF(FA453=FD453,"OK","NG"))</f>
        <v>OK</v>
      </c>
      <c r="FF453" s="233"/>
      <c r="FG453" s="297"/>
      <c r="FH453" s="235" t="str">
        <f t="shared" si="642"/>
        <v xml:space="preserve">     </v>
      </c>
      <c r="FI453" s="174" t="str">
        <f t="shared" si="659"/>
        <v>NG</v>
      </c>
      <c r="FJ453" s="297"/>
      <c r="FK453" s="276" t="str">
        <f>IF(OR(FG$8="判定対象外",FJ$8="判定対象外",FJ453="-"),"-",IF(FG453=FJ453,"OK","NG"))</f>
        <v>OK</v>
      </c>
      <c r="FL453" s="233"/>
      <c r="FM453" s="297"/>
      <c r="FN453" s="235" t="str">
        <f t="shared" si="643"/>
        <v xml:space="preserve">     </v>
      </c>
      <c r="FO453" s="174" t="str">
        <f t="shared" si="615"/>
        <v>NG</v>
      </c>
      <c r="FP453" s="297"/>
      <c r="FQ453" s="276" t="str">
        <f>IF(OR(FM$8="判定対象外",FP$8="判定対象外",FP453="-"),"-",IF(FM453=FP453,"OK","NG"))</f>
        <v>OK</v>
      </c>
      <c r="FR453" s="233"/>
      <c r="FS453" s="297"/>
      <c r="FT453" s="235" t="str">
        <f t="shared" si="644"/>
        <v xml:space="preserve">     </v>
      </c>
      <c r="FU453" s="174" t="str">
        <f t="shared" si="616"/>
        <v>NG</v>
      </c>
      <c r="FV453" s="297"/>
      <c r="FW453" s="276" t="str">
        <f>IF(OR(FS$8="判定対象外",FV$8="判定対象外",FV453="-"),"-",IF(FS453=FV453,"OK","NG"))</f>
        <v>OK</v>
      </c>
      <c r="FX453" s="233"/>
      <c r="FY453" s="297"/>
      <c r="FZ453" s="235" t="str">
        <f t="shared" si="645"/>
        <v xml:space="preserve">     </v>
      </c>
      <c r="GA453" s="174" t="str">
        <f t="shared" si="617"/>
        <v>NG</v>
      </c>
      <c r="GB453" s="297"/>
      <c r="GC453" s="276" t="str">
        <f>IF(OR(FY$8="判定対象外",GB$8="判定対象外",GB453="-"),"-",IF(FY453=GB453,"OK","NG"))</f>
        <v>OK</v>
      </c>
    </row>
    <row r="454" spans="1:185" s="237" customFormat="1" ht="51.75" customHeight="1">
      <c r="B454" s="216">
        <f t="shared" si="646"/>
        <v>447</v>
      </c>
      <c r="C454" s="220"/>
      <c r="D454" s="220"/>
      <c r="E454" s="220"/>
      <c r="F454" s="240" t="s">
        <v>350</v>
      </c>
      <c r="G454" s="241"/>
      <c r="H454" s="242"/>
      <c r="I454" s="225"/>
      <c r="J454" s="225"/>
      <c r="K454" s="226"/>
      <c r="L454" s="226"/>
      <c r="M454" s="227" t="s">
        <v>351</v>
      </c>
      <c r="N454" s="228"/>
      <c r="O454" s="229"/>
      <c r="P454" s="45">
        <f t="shared" si="650"/>
        <v>417</v>
      </c>
      <c r="Q454" s="230">
        <v>64</v>
      </c>
      <c r="R454" s="41" t="str">
        <f t="shared" si="651"/>
        <v>NX</v>
      </c>
      <c r="S454" s="185" t="s">
        <v>251</v>
      </c>
      <c r="T454" s="231"/>
      <c r="U454" s="41" t="s">
        <v>80</v>
      </c>
      <c r="V454" s="229" t="s">
        <v>252</v>
      </c>
      <c r="W454" s="232">
        <v>3</v>
      </c>
      <c r="X454" s="194" t="s">
        <v>253</v>
      </c>
      <c r="Y454" s="194">
        <v>1</v>
      </c>
      <c r="Z454" s="194">
        <v>64</v>
      </c>
      <c r="AA454" s="225" t="s">
        <v>101</v>
      </c>
      <c r="AB454" s="225" t="s">
        <v>57</v>
      </c>
      <c r="AC454" s="243" t="s">
        <v>252</v>
      </c>
      <c r="AD454" s="233"/>
      <c r="AE454" s="297"/>
      <c r="AF454" s="235" t="str">
        <f t="shared" si="621"/>
        <v xml:space="preserve">                                                                </v>
      </c>
      <c r="AG454" s="174" t="str">
        <f t="shared" si="601"/>
        <v>NG</v>
      </c>
      <c r="AH454" s="297"/>
      <c r="AI454" s="276" t="str">
        <f>IF(OR(AE$8="判定対象外",AH$8="判定対象外",AH454="-"),"-",IF(AE454=AH454,"OK","NG"))</f>
        <v>OK</v>
      </c>
      <c r="AJ454" s="233"/>
      <c r="AK454" s="236"/>
      <c r="AL454" s="235" t="str">
        <f t="shared" si="619"/>
        <v xml:space="preserve">                                                                </v>
      </c>
      <c r="AM454" s="174" t="str">
        <f t="shared" si="648"/>
        <v>NG</v>
      </c>
      <c r="AN454" s="269"/>
      <c r="AO454" s="276" t="str">
        <f>IF(OR(AK$8="判定対象外",AN$8="判定対象外",AN454="-"),"-",IF(AK454=AN454,"OK","NG"))</f>
        <v>OK</v>
      </c>
      <c r="AP454" s="233"/>
      <c r="AQ454" s="297"/>
      <c r="AR454" s="235" t="str">
        <f t="shared" si="622"/>
        <v xml:space="preserve">                                                                </v>
      </c>
      <c r="AS454" s="174" t="str">
        <f t="shared" si="602"/>
        <v>NG</v>
      </c>
      <c r="AT454" s="297"/>
      <c r="AU454" s="276" t="str">
        <f>IF(OR(AQ$8="判定対象外",AT$8="判定対象外",AT454="-"),"-",IF(AQ454=AT454,"OK","NG"))</f>
        <v>OK</v>
      </c>
      <c r="AV454" s="233"/>
      <c r="AW454" s="297"/>
      <c r="AX454" s="235" t="str">
        <f t="shared" si="623"/>
        <v xml:space="preserve">                                                                </v>
      </c>
      <c r="AY454" s="174" t="str">
        <f t="shared" si="603"/>
        <v>NG</v>
      </c>
      <c r="AZ454" s="297"/>
      <c r="BA454" s="276" t="str">
        <f>IF(OR(AW$8="判定対象外",AZ$8="判定対象外",AZ454="-"),"-",IF(AW454=AZ454,"OK","NG"))</f>
        <v>OK</v>
      </c>
      <c r="BB454" s="233"/>
      <c r="BC454" s="297"/>
      <c r="BD454" s="235" t="str">
        <f t="shared" si="624"/>
        <v xml:space="preserve">                                                                </v>
      </c>
      <c r="BE454" s="174" t="str">
        <f t="shared" si="604"/>
        <v>NG</v>
      </c>
      <c r="BF454" s="297"/>
      <c r="BG454" s="276" t="str">
        <f>IF(OR(BC$8="判定対象外",BF$8="判定対象外",BF454="-"),"-",IF(BC454=BF454,"OK","NG"))</f>
        <v>OK</v>
      </c>
      <c r="BH454" s="233"/>
      <c r="BI454" s="297"/>
      <c r="BJ454" s="235" t="str">
        <f t="shared" si="625"/>
        <v xml:space="preserve">                                                                </v>
      </c>
      <c r="BK454" s="174" t="str">
        <f t="shared" si="605"/>
        <v>NG</v>
      </c>
      <c r="BL454" s="297"/>
      <c r="BM454" s="276" t="str">
        <f>IF(OR(BI$8="判定対象外",BL$8="判定対象外",BL454="-"),"-",IF(BI454=BL454,"OK","NG"))</f>
        <v>OK</v>
      </c>
      <c r="BN454" s="233"/>
      <c r="BO454" s="297"/>
      <c r="BP454" s="235" t="str">
        <f t="shared" si="626"/>
        <v xml:space="preserve">                                                                </v>
      </c>
      <c r="BQ454" s="174" t="str">
        <f t="shared" si="606"/>
        <v>NG</v>
      </c>
      <c r="BR454" s="297"/>
      <c r="BS454" s="276" t="str">
        <f>IF(OR(BO$8="判定対象外",BR$8="判定対象外",BR454="-"),"-",IF(BO454=BR454,"OK","NG"))</f>
        <v>OK</v>
      </c>
      <c r="BT454" s="233"/>
      <c r="BU454" s="297"/>
      <c r="BV454" s="235" t="str">
        <f t="shared" si="627"/>
        <v xml:space="preserve">                                                                </v>
      </c>
      <c r="BW454" s="174" t="str">
        <f t="shared" si="607"/>
        <v>NG</v>
      </c>
      <c r="BX454" s="297"/>
      <c r="BY454" s="276" t="str">
        <f>IF(OR(BU$8="判定対象外",BX$8="判定対象外",BX454="-"),"-",IF(BU454=BX454,"OK","NG"))</f>
        <v>OK</v>
      </c>
      <c r="BZ454" s="233"/>
      <c r="CA454" s="297"/>
      <c r="CB454" s="235" t="str">
        <f t="shared" si="628"/>
        <v xml:space="preserve">                                                                </v>
      </c>
      <c r="CC454" s="174" t="str">
        <f t="shared" si="608"/>
        <v>NG</v>
      </c>
      <c r="CD454" s="297"/>
      <c r="CE454" s="276" t="str">
        <f>IF(OR(CA$8="判定対象外",CD$8="判定対象外",CD454="-"),"-",IF(CA454=CD454,"OK","NG"))</f>
        <v>OK</v>
      </c>
      <c r="CF454" s="233"/>
      <c r="CG454" s="297"/>
      <c r="CH454" s="235" t="str">
        <f t="shared" si="629"/>
        <v xml:space="preserve">                                                                </v>
      </c>
      <c r="CI454" s="174" t="str">
        <f t="shared" si="609"/>
        <v>NG</v>
      </c>
      <c r="CJ454" s="297"/>
      <c r="CK454" s="276" t="str">
        <f>IF(OR(CG$8="判定対象外",CJ$8="判定対象外",CJ454="-"),"-",IF(CG454=CJ454,"OK","NG"))</f>
        <v>OK</v>
      </c>
      <c r="CL454" s="233"/>
      <c r="CM454" s="297"/>
      <c r="CN454" s="235" t="str">
        <f t="shared" si="630"/>
        <v xml:space="preserve">                                                                </v>
      </c>
      <c r="CO454" s="174" t="str">
        <f t="shared" si="610"/>
        <v>NG</v>
      </c>
      <c r="CP454" s="297"/>
      <c r="CQ454" s="276" t="str">
        <f>IF(OR(CM$8="判定対象外",CP$8="判定対象外",CP454="-"),"-",IF(CM454=CP454,"OK","NG"))</f>
        <v>OK</v>
      </c>
      <c r="CR454" s="233"/>
      <c r="CS454" s="297"/>
      <c r="CT454" s="235" t="str">
        <f t="shared" si="631"/>
        <v xml:space="preserve">                                                                </v>
      </c>
      <c r="CU454" s="174" t="str">
        <f t="shared" si="611"/>
        <v>NG</v>
      </c>
      <c r="CV454" s="297"/>
      <c r="CW454" s="276" t="str">
        <f>IF(OR(CS$8="判定対象外",CV$8="判定対象外",CV454="-"),"-",IF(CS454=CV454,"OK","NG"))</f>
        <v>OK</v>
      </c>
      <c r="CX454" s="233"/>
      <c r="CY454" s="297"/>
      <c r="CZ454" s="235" t="str">
        <f t="shared" si="632"/>
        <v xml:space="preserve">                                                                </v>
      </c>
      <c r="DA454" s="174" t="str">
        <f t="shared" si="612"/>
        <v>NG</v>
      </c>
      <c r="DB454" s="297"/>
      <c r="DC454" s="276" t="str">
        <f>IF(OR(CY$8="判定対象外",DB$8="判定対象外",DB454="-"),"-",IF(CY454=DB454,"OK","NG"))</f>
        <v>OK</v>
      </c>
      <c r="DD454" s="233"/>
      <c r="DE454" s="297"/>
      <c r="DF454" s="235" t="str">
        <f t="shared" si="633"/>
        <v xml:space="preserve">                                                                </v>
      </c>
      <c r="DG454" s="174" t="str">
        <f t="shared" si="613"/>
        <v>NG</v>
      </c>
      <c r="DH454" s="297"/>
      <c r="DI454" s="276" t="str">
        <f>IF(OR(DE$8="判定対象外",DH$8="判定対象外",DH454="-"),"-",IF(DE454=DH454,"OK","NG"))</f>
        <v>OK</v>
      </c>
      <c r="DJ454" s="233"/>
      <c r="DK454" s="297"/>
      <c r="DL454" s="235" t="str">
        <f t="shared" si="634"/>
        <v xml:space="preserve">                                                                </v>
      </c>
      <c r="DM454" s="174" t="str">
        <f t="shared" si="614"/>
        <v>NG</v>
      </c>
      <c r="DN454" s="297"/>
      <c r="DO454" s="276" t="str">
        <f>IF(OR(DK$8="判定対象外",DN$8="判定対象外",DN454="-"),"-",IF(DK454=DN454,"OK","NG"))</f>
        <v>OK</v>
      </c>
      <c r="DP454" s="233"/>
      <c r="DQ454" s="297"/>
      <c r="DR454" s="235" t="str">
        <f t="shared" si="635"/>
        <v xml:space="preserve">                                                                </v>
      </c>
      <c r="DS454" s="174" t="str">
        <f t="shared" si="652"/>
        <v>NG</v>
      </c>
      <c r="DT454" s="297"/>
      <c r="DU454" s="276" t="str">
        <f>IF(OR(DQ$8="判定対象外",DT$8="判定対象外",DT454="-"),"-",IF(DQ454=DT454,"OK","NG"))</f>
        <v>OK</v>
      </c>
      <c r="DV454" s="233"/>
      <c r="DW454" s="297"/>
      <c r="DX454" s="235" t="str">
        <f t="shared" si="636"/>
        <v xml:space="preserve">                                                                </v>
      </c>
      <c r="DY454" s="174" t="str">
        <f t="shared" si="653"/>
        <v>NG</v>
      </c>
      <c r="DZ454" s="297"/>
      <c r="EA454" s="276" t="str">
        <f>IF(OR(DW$8="判定対象外",DZ$8="判定対象外",DZ454="-"),"-",IF(DW454=DZ454,"OK","NG"))</f>
        <v>OK</v>
      </c>
      <c r="EB454" s="233"/>
      <c r="EC454" s="297"/>
      <c r="ED454" s="235" t="str">
        <f t="shared" si="637"/>
        <v xml:space="preserve">                                                                </v>
      </c>
      <c r="EE454" s="174" t="str">
        <f t="shared" si="654"/>
        <v>NG</v>
      </c>
      <c r="EF454" s="297"/>
      <c r="EG454" s="276" t="str">
        <f>IF(OR(EC$8="判定対象外",EF$8="判定対象外",EF454="-"),"-",IF(EC454=EF454,"OK","NG"))</f>
        <v>OK</v>
      </c>
      <c r="EH454" s="233"/>
      <c r="EI454" s="297"/>
      <c r="EJ454" s="235" t="str">
        <f t="shared" si="638"/>
        <v xml:space="preserve">                                                                </v>
      </c>
      <c r="EK454" s="174" t="str">
        <f t="shared" si="655"/>
        <v>NG</v>
      </c>
      <c r="EL454" s="297"/>
      <c r="EM454" s="276" t="str">
        <f>IF(OR(EI$8="判定対象外",EL$8="判定対象外",EL454="-"),"-",IF(EI454=EL454,"OK","NG"))</f>
        <v>OK</v>
      </c>
      <c r="EN454" s="233"/>
      <c r="EO454" s="297"/>
      <c r="EP454" s="235" t="str">
        <f t="shared" si="639"/>
        <v xml:space="preserve">                                                                </v>
      </c>
      <c r="EQ454" s="174" t="str">
        <f t="shared" si="656"/>
        <v>NG</v>
      </c>
      <c r="ER454" s="297"/>
      <c r="ES454" s="276" t="str">
        <f>IF(OR(EO$8="判定対象外",ER$8="判定対象外",ER454="-"),"-",IF(EO454=ER454,"OK","NG"))</f>
        <v>OK</v>
      </c>
      <c r="ET454" s="233"/>
      <c r="EU454" s="297"/>
      <c r="EV454" s="235" t="str">
        <f t="shared" si="640"/>
        <v xml:space="preserve">                                                                </v>
      </c>
      <c r="EW454" s="174" t="str">
        <f t="shared" si="657"/>
        <v>NG</v>
      </c>
      <c r="EX454" s="297"/>
      <c r="EY454" s="276" t="str">
        <f>IF(OR(EU$8="判定対象外",EX$8="判定対象外",EX454="-"),"-",IF(EU454=EX454,"OK","NG"))</f>
        <v>OK</v>
      </c>
      <c r="EZ454" s="233"/>
      <c r="FA454" s="297"/>
      <c r="FB454" s="235" t="str">
        <f t="shared" si="641"/>
        <v xml:space="preserve">                                                                </v>
      </c>
      <c r="FC454" s="174" t="str">
        <f t="shared" si="658"/>
        <v>NG</v>
      </c>
      <c r="FD454" s="297"/>
      <c r="FE454" s="276" t="str">
        <f>IF(OR(FA$8="判定対象外",FD$8="判定対象外",FD454="-"),"-",IF(FA454=FD454,"OK","NG"))</f>
        <v>OK</v>
      </c>
      <c r="FF454" s="233"/>
      <c r="FG454" s="297"/>
      <c r="FH454" s="235" t="str">
        <f t="shared" si="642"/>
        <v xml:space="preserve">                                                                </v>
      </c>
      <c r="FI454" s="174" t="str">
        <f t="shared" si="659"/>
        <v>NG</v>
      </c>
      <c r="FJ454" s="297"/>
      <c r="FK454" s="276" t="str">
        <f>IF(OR(FG$8="判定対象外",FJ$8="判定対象外",FJ454="-"),"-",IF(FG454=FJ454,"OK","NG"))</f>
        <v>OK</v>
      </c>
      <c r="FL454" s="233"/>
      <c r="FM454" s="297"/>
      <c r="FN454" s="235" t="str">
        <f t="shared" si="643"/>
        <v xml:space="preserve">                                                                </v>
      </c>
      <c r="FO454" s="174" t="str">
        <f t="shared" si="615"/>
        <v>NG</v>
      </c>
      <c r="FP454" s="297"/>
      <c r="FQ454" s="276" t="str">
        <f>IF(OR(FM$8="判定対象外",FP$8="判定対象外",FP454="-"),"-",IF(FM454=FP454,"OK","NG"))</f>
        <v>OK</v>
      </c>
      <c r="FR454" s="233"/>
      <c r="FS454" s="297"/>
      <c r="FT454" s="235" t="str">
        <f t="shared" si="644"/>
        <v xml:space="preserve">                                                                </v>
      </c>
      <c r="FU454" s="174" t="str">
        <f t="shared" si="616"/>
        <v>NG</v>
      </c>
      <c r="FV454" s="297"/>
      <c r="FW454" s="276" t="str">
        <f>IF(OR(FS$8="判定対象外",FV$8="判定対象外",FV454="-"),"-",IF(FS454=FV454,"OK","NG"))</f>
        <v>OK</v>
      </c>
      <c r="FX454" s="233"/>
      <c r="FY454" s="297"/>
      <c r="FZ454" s="235" t="str">
        <f t="shared" si="645"/>
        <v xml:space="preserve">                                                                </v>
      </c>
      <c r="GA454" s="174" t="str">
        <f t="shared" si="617"/>
        <v>NG</v>
      </c>
      <c r="GB454" s="297"/>
      <c r="GC454" s="276" t="str">
        <f>IF(OR(FY$8="判定対象外",GB$8="判定対象外",GB454="-"),"-",IF(FY454=GB454,"OK","NG"))</f>
        <v>OK</v>
      </c>
    </row>
    <row r="455" spans="1:185" s="237" customFormat="1" ht="92.25" customHeight="1">
      <c r="B455" s="216">
        <f t="shared" si="646"/>
        <v>448</v>
      </c>
      <c r="C455" s="220"/>
      <c r="D455" s="220"/>
      <c r="E455" s="220"/>
      <c r="F455" s="238" t="s">
        <v>352</v>
      </c>
      <c r="G455" s="168"/>
      <c r="H455" s="239"/>
      <c r="I455" s="225"/>
      <c r="J455" s="225"/>
      <c r="K455" s="226"/>
      <c r="L455" s="226"/>
      <c r="M455" s="279" t="s">
        <v>353</v>
      </c>
      <c r="N455" s="228"/>
      <c r="O455" s="229"/>
      <c r="P455" s="45">
        <f t="shared" si="650"/>
        <v>418</v>
      </c>
      <c r="Q455" s="230">
        <v>7</v>
      </c>
      <c r="R455" s="41" t="s">
        <v>81</v>
      </c>
      <c r="S455" s="185" t="s">
        <v>254</v>
      </c>
      <c r="T455" s="231"/>
      <c r="U455" s="41" t="s">
        <v>80</v>
      </c>
      <c r="V455" s="229"/>
      <c r="W455" s="232">
        <v>3</v>
      </c>
      <c r="X455" s="194" t="s">
        <v>255</v>
      </c>
      <c r="Y455" s="194">
        <v>7</v>
      </c>
      <c r="Z455" s="194">
        <v>7</v>
      </c>
      <c r="AA455" s="225" t="s">
        <v>81</v>
      </c>
      <c r="AB455" s="225" t="s">
        <v>57</v>
      </c>
      <c r="AC455" s="243"/>
      <c r="AD455" s="233"/>
      <c r="AE455" s="268"/>
      <c r="AF455" s="235" t="str">
        <f t="shared" si="621"/>
        <v xml:space="preserve">       </v>
      </c>
      <c r="AG455" s="174" t="str">
        <f t="shared" si="601"/>
        <v>NG</v>
      </c>
      <c r="AH455" s="268"/>
      <c r="AI455" s="276" t="str">
        <f>IF(OR(AE$8="判定対象外",AH$8="判定対象外",AH455="-"),"-",IF(AE455=AH455,"OK","NG"))</f>
        <v>OK</v>
      </c>
      <c r="AJ455" s="233"/>
      <c r="AK455" s="234"/>
      <c r="AL455" s="235" t="str">
        <f t="shared" si="619"/>
        <v xml:space="preserve">       </v>
      </c>
      <c r="AM455" s="174" t="str">
        <f t="shared" si="648"/>
        <v>NG</v>
      </c>
      <c r="AN455" s="268"/>
      <c r="AO455" s="276" t="str">
        <f>IF(OR(AK$8="判定対象外",AN$8="判定対象外",AN455="-"),"-",IF(AK455=AN455,"OK","NG"))</f>
        <v>OK</v>
      </c>
      <c r="AP455" s="233"/>
      <c r="AQ455" s="268"/>
      <c r="AR455" s="235" t="str">
        <f t="shared" si="622"/>
        <v xml:space="preserve">       </v>
      </c>
      <c r="AS455" s="174" t="str">
        <f t="shared" si="602"/>
        <v>NG</v>
      </c>
      <c r="AT455" s="268"/>
      <c r="AU455" s="276" t="str">
        <f>IF(OR(AQ$8="判定対象外",AT$8="判定対象外",AT455="-"),"-",IF(AQ455=AT455,"OK","NG"))</f>
        <v>OK</v>
      </c>
      <c r="AV455" s="233"/>
      <c r="AW455" s="268"/>
      <c r="AX455" s="235" t="str">
        <f t="shared" si="623"/>
        <v xml:space="preserve">       </v>
      </c>
      <c r="AY455" s="174" t="str">
        <f t="shared" si="603"/>
        <v>NG</v>
      </c>
      <c r="AZ455" s="268"/>
      <c r="BA455" s="276" t="str">
        <f>IF(OR(AW$8="判定対象外",AZ$8="判定対象外",AZ455="-"),"-",IF(AW455=AZ455,"OK","NG"))</f>
        <v>OK</v>
      </c>
      <c r="BB455" s="233"/>
      <c r="BC455" s="268"/>
      <c r="BD455" s="235" t="str">
        <f t="shared" si="624"/>
        <v xml:space="preserve">       </v>
      </c>
      <c r="BE455" s="174" t="str">
        <f t="shared" si="604"/>
        <v>NG</v>
      </c>
      <c r="BF455" s="268"/>
      <c r="BG455" s="276" t="str">
        <f>IF(OR(BC$8="判定対象外",BF$8="判定対象外",BF455="-"),"-",IF(BC455=BF455,"OK","NG"))</f>
        <v>OK</v>
      </c>
      <c r="BH455" s="233"/>
      <c r="BI455" s="268"/>
      <c r="BJ455" s="235" t="str">
        <f t="shared" si="625"/>
        <v xml:space="preserve">       </v>
      </c>
      <c r="BK455" s="174" t="str">
        <f t="shared" si="605"/>
        <v>NG</v>
      </c>
      <c r="BL455" s="268"/>
      <c r="BM455" s="276" t="str">
        <f>IF(OR(BI$8="判定対象外",BL$8="判定対象外",BL455="-"),"-",IF(BI455=BL455,"OK","NG"))</f>
        <v>OK</v>
      </c>
      <c r="BN455" s="233"/>
      <c r="BO455" s="268"/>
      <c r="BP455" s="235" t="str">
        <f t="shared" si="626"/>
        <v xml:space="preserve">       </v>
      </c>
      <c r="BQ455" s="174" t="str">
        <f t="shared" si="606"/>
        <v>NG</v>
      </c>
      <c r="BR455" s="268"/>
      <c r="BS455" s="276" t="str">
        <f>IF(OR(BO$8="判定対象外",BR$8="判定対象外",BR455="-"),"-",IF(BO455=BR455,"OK","NG"))</f>
        <v>OK</v>
      </c>
      <c r="BT455" s="233"/>
      <c r="BU455" s="268"/>
      <c r="BV455" s="235" t="str">
        <f t="shared" si="627"/>
        <v xml:space="preserve">       </v>
      </c>
      <c r="BW455" s="174" t="str">
        <f t="shared" si="607"/>
        <v>NG</v>
      </c>
      <c r="BX455" s="268"/>
      <c r="BY455" s="276" t="str">
        <f>IF(OR(BU$8="判定対象外",BX$8="判定対象外",BX455="-"),"-",IF(BU455=BX455,"OK","NG"))</f>
        <v>OK</v>
      </c>
      <c r="BZ455" s="233"/>
      <c r="CA455" s="268"/>
      <c r="CB455" s="235" t="str">
        <f t="shared" si="628"/>
        <v xml:space="preserve">       </v>
      </c>
      <c r="CC455" s="174" t="str">
        <f t="shared" si="608"/>
        <v>NG</v>
      </c>
      <c r="CD455" s="268"/>
      <c r="CE455" s="276" t="str">
        <f>IF(OR(CA$8="判定対象外",CD$8="判定対象外",CD455="-"),"-",IF(CA455=CD455,"OK","NG"))</f>
        <v>OK</v>
      </c>
      <c r="CF455" s="233"/>
      <c r="CG455" s="268"/>
      <c r="CH455" s="235" t="str">
        <f t="shared" si="629"/>
        <v xml:space="preserve">       </v>
      </c>
      <c r="CI455" s="174" t="str">
        <f t="shared" si="609"/>
        <v>NG</v>
      </c>
      <c r="CJ455" s="268"/>
      <c r="CK455" s="276" t="str">
        <f>IF(OR(CG$8="判定対象外",CJ$8="判定対象外",CJ455="-"),"-",IF(CG455=CJ455,"OK","NG"))</f>
        <v>OK</v>
      </c>
      <c r="CL455" s="233"/>
      <c r="CM455" s="268"/>
      <c r="CN455" s="235" t="str">
        <f t="shared" si="630"/>
        <v xml:space="preserve">       </v>
      </c>
      <c r="CO455" s="174" t="str">
        <f t="shared" si="610"/>
        <v>NG</v>
      </c>
      <c r="CP455" s="268"/>
      <c r="CQ455" s="276" t="str">
        <f>IF(OR(CM$8="判定対象外",CP$8="判定対象外",CP455="-"),"-",IF(CM455=CP455,"OK","NG"))</f>
        <v>OK</v>
      </c>
      <c r="CR455" s="233"/>
      <c r="CS455" s="268"/>
      <c r="CT455" s="235" t="str">
        <f t="shared" si="631"/>
        <v xml:space="preserve">       </v>
      </c>
      <c r="CU455" s="174" t="str">
        <f t="shared" si="611"/>
        <v>NG</v>
      </c>
      <c r="CV455" s="268"/>
      <c r="CW455" s="276" t="str">
        <f>IF(OR(CS$8="判定対象外",CV$8="判定対象外",CV455="-"),"-",IF(CS455=CV455,"OK","NG"))</f>
        <v>OK</v>
      </c>
      <c r="CX455" s="233"/>
      <c r="CY455" s="268"/>
      <c r="CZ455" s="235" t="str">
        <f t="shared" si="632"/>
        <v xml:space="preserve">       </v>
      </c>
      <c r="DA455" s="174" t="str">
        <f t="shared" si="612"/>
        <v>NG</v>
      </c>
      <c r="DB455" s="268"/>
      <c r="DC455" s="276" t="str">
        <f>IF(OR(CY$8="判定対象外",DB$8="判定対象外",DB455="-"),"-",IF(CY455=DB455,"OK","NG"))</f>
        <v>OK</v>
      </c>
      <c r="DD455" s="233"/>
      <c r="DE455" s="268"/>
      <c r="DF455" s="235" t="str">
        <f t="shared" si="633"/>
        <v xml:space="preserve">       </v>
      </c>
      <c r="DG455" s="174" t="str">
        <f t="shared" si="613"/>
        <v>NG</v>
      </c>
      <c r="DH455" s="268"/>
      <c r="DI455" s="276" t="str">
        <f>IF(OR(DE$8="判定対象外",DH$8="判定対象外",DH455="-"),"-",IF(DE455=DH455,"OK","NG"))</f>
        <v>OK</v>
      </c>
      <c r="DJ455" s="233"/>
      <c r="DK455" s="268"/>
      <c r="DL455" s="235" t="str">
        <f t="shared" si="634"/>
        <v xml:space="preserve">       </v>
      </c>
      <c r="DM455" s="174" t="str">
        <f t="shared" si="614"/>
        <v>NG</v>
      </c>
      <c r="DN455" s="268"/>
      <c r="DO455" s="276" t="str">
        <f>IF(OR(DK$8="判定対象外",DN$8="判定対象外",DN455="-"),"-",IF(DK455=DN455,"OK","NG"))</f>
        <v>OK</v>
      </c>
      <c r="DP455" s="233"/>
      <c r="DQ455" s="268"/>
      <c r="DR455" s="235" t="str">
        <f t="shared" si="635"/>
        <v xml:space="preserve">       </v>
      </c>
      <c r="DS455" s="174" t="str">
        <f t="shared" si="652"/>
        <v>NG</v>
      </c>
      <c r="DT455" s="268"/>
      <c r="DU455" s="276" t="str">
        <f>IF(OR(DQ$8="判定対象外",DT$8="判定対象外",DT455="-"),"-",IF(DQ455=DT455,"OK","NG"))</f>
        <v>OK</v>
      </c>
      <c r="DV455" s="233"/>
      <c r="DW455" s="268"/>
      <c r="DX455" s="235" t="str">
        <f t="shared" si="636"/>
        <v xml:space="preserve">       </v>
      </c>
      <c r="DY455" s="174" t="str">
        <f t="shared" si="653"/>
        <v>NG</v>
      </c>
      <c r="DZ455" s="268"/>
      <c r="EA455" s="276" t="str">
        <f>IF(OR(DW$8="判定対象外",DZ$8="判定対象外",DZ455="-"),"-",IF(DW455=DZ455,"OK","NG"))</f>
        <v>OK</v>
      </c>
      <c r="EB455" s="233"/>
      <c r="EC455" s="268"/>
      <c r="ED455" s="235" t="str">
        <f t="shared" si="637"/>
        <v xml:space="preserve">       </v>
      </c>
      <c r="EE455" s="174" t="str">
        <f t="shared" si="654"/>
        <v>NG</v>
      </c>
      <c r="EF455" s="268"/>
      <c r="EG455" s="276" t="str">
        <f>IF(OR(EC$8="判定対象外",EF$8="判定対象外",EF455="-"),"-",IF(EC455=EF455,"OK","NG"))</f>
        <v>OK</v>
      </c>
      <c r="EH455" s="233"/>
      <c r="EI455" s="268"/>
      <c r="EJ455" s="235" t="str">
        <f t="shared" si="638"/>
        <v xml:space="preserve">       </v>
      </c>
      <c r="EK455" s="174" t="str">
        <f t="shared" si="655"/>
        <v>NG</v>
      </c>
      <c r="EL455" s="268"/>
      <c r="EM455" s="276" t="str">
        <f>IF(OR(EI$8="判定対象外",EL$8="判定対象外",EL455="-"),"-",IF(EI455=EL455,"OK","NG"))</f>
        <v>OK</v>
      </c>
      <c r="EN455" s="233"/>
      <c r="EO455" s="268"/>
      <c r="EP455" s="235" t="str">
        <f t="shared" si="639"/>
        <v xml:space="preserve">       </v>
      </c>
      <c r="EQ455" s="174" t="str">
        <f t="shared" si="656"/>
        <v>NG</v>
      </c>
      <c r="ER455" s="268"/>
      <c r="ES455" s="276" t="str">
        <f>IF(OR(EO$8="判定対象外",ER$8="判定対象外",ER455="-"),"-",IF(EO455=ER455,"OK","NG"))</f>
        <v>OK</v>
      </c>
      <c r="ET455" s="233"/>
      <c r="EU455" s="268"/>
      <c r="EV455" s="235" t="str">
        <f t="shared" si="640"/>
        <v xml:space="preserve">       </v>
      </c>
      <c r="EW455" s="174" t="str">
        <f t="shared" si="657"/>
        <v>NG</v>
      </c>
      <c r="EX455" s="268"/>
      <c r="EY455" s="276" t="str">
        <f>IF(OR(EU$8="判定対象外",EX$8="判定対象外",EX455="-"),"-",IF(EU455=EX455,"OK","NG"))</f>
        <v>OK</v>
      </c>
      <c r="EZ455" s="233"/>
      <c r="FA455" s="268"/>
      <c r="FB455" s="235" t="str">
        <f t="shared" si="641"/>
        <v xml:space="preserve">       </v>
      </c>
      <c r="FC455" s="174" t="str">
        <f t="shared" si="658"/>
        <v>NG</v>
      </c>
      <c r="FD455" s="268"/>
      <c r="FE455" s="276" t="str">
        <f>IF(OR(FA$8="判定対象外",FD$8="判定対象外",FD455="-"),"-",IF(FA455=FD455,"OK","NG"))</f>
        <v>OK</v>
      </c>
      <c r="FF455" s="233"/>
      <c r="FG455" s="268"/>
      <c r="FH455" s="235" t="str">
        <f t="shared" si="642"/>
        <v xml:space="preserve">       </v>
      </c>
      <c r="FI455" s="174" t="str">
        <f t="shared" si="659"/>
        <v>NG</v>
      </c>
      <c r="FJ455" s="268"/>
      <c r="FK455" s="276" t="str">
        <f>IF(OR(FG$8="判定対象外",FJ$8="判定対象外",FJ455="-"),"-",IF(FG455=FJ455,"OK","NG"))</f>
        <v>OK</v>
      </c>
      <c r="FL455" s="233"/>
      <c r="FM455" s="268"/>
      <c r="FN455" s="235" t="str">
        <f t="shared" si="643"/>
        <v xml:space="preserve">       </v>
      </c>
      <c r="FO455" s="174" t="str">
        <f t="shared" si="615"/>
        <v>NG</v>
      </c>
      <c r="FP455" s="268"/>
      <c r="FQ455" s="276" t="str">
        <f>IF(OR(FM$8="判定対象外",FP$8="判定対象外",FP455="-"),"-",IF(FM455=FP455,"OK","NG"))</f>
        <v>OK</v>
      </c>
      <c r="FR455" s="233"/>
      <c r="FS455" s="268"/>
      <c r="FT455" s="235" t="str">
        <f t="shared" si="644"/>
        <v xml:space="preserve">       </v>
      </c>
      <c r="FU455" s="174" t="str">
        <f t="shared" si="616"/>
        <v>NG</v>
      </c>
      <c r="FV455" s="268"/>
      <c r="FW455" s="276" t="str">
        <f>IF(OR(FS$8="判定対象外",FV$8="判定対象外",FV455="-"),"-",IF(FS455=FV455,"OK","NG"))</f>
        <v>OK</v>
      </c>
      <c r="FX455" s="233"/>
      <c r="FY455" s="268"/>
      <c r="FZ455" s="235" t="str">
        <f t="shared" si="645"/>
        <v xml:space="preserve">       </v>
      </c>
      <c r="GA455" s="174" t="str">
        <f t="shared" si="617"/>
        <v>NG</v>
      </c>
      <c r="GB455" s="268"/>
      <c r="GC455" s="276" t="str">
        <f>IF(OR(FY$8="判定対象外",GB$8="判定対象外",GB455="-"),"-",IF(FY455=GB455,"OK","NG"))</f>
        <v>OK</v>
      </c>
    </row>
    <row r="456" spans="1:185" s="237" customFormat="1" ht="127.9" thickBot="1">
      <c r="A456" s="244"/>
      <c r="B456" s="286">
        <f t="shared" si="646"/>
        <v>449</v>
      </c>
      <c r="C456" s="245"/>
      <c r="D456" s="245"/>
      <c r="E456" s="245"/>
      <c r="F456" s="287" t="s">
        <v>354</v>
      </c>
      <c r="G456" s="288"/>
      <c r="H456" s="289"/>
      <c r="I456" s="290"/>
      <c r="J456" s="290"/>
      <c r="K456" s="290"/>
      <c r="L456" s="290"/>
      <c r="M456" s="291" t="s">
        <v>355</v>
      </c>
      <c r="N456" s="280"/>
      <c r="O456" s="284"/>
      <c r="P456" s="71">
        <f t="shared" si="650"/>
        <v>419</v>
      </c>
      <c r="Q456" s="74">
        <v>1</v>
      </c>
      <c r="R456" s="73">
        <v>9</v>
      </c>
      <c r="S456" s="74" t="s">
        <v>256</v>
      </c>
      <c r="T456" s="74"/>
      <c r="U456" s="73" t="s">
        <v>80</v>
      </c>
      <c r="V456" s="246"/>
      <c r="W456" s="76" t="str">
        <f>IF(C456&lt;&gt;"","0",IF(D456&lt;&gt;"","1",IF(E456&lt;&gt;"","2",IF(F456&lt;&gt;"","3",IF(G456&lt;&gt;"","4",IF(H456&lt;&gt;"","5"))))))</f>
        <v>3</v>
      </c>
      <c r="X456" s="77" t="s">
        <v>258</v>
      </c>
      <c r="Y456" s="77">
        <v>1</v>
      </c>
      <c r="Z456" s="77">
        <v>1</v>
      </c>
      <c r="AA456" s="247">
        <v>9</v>
      </c>
      <c r="AB456" s="68" t="s">
        <v>80</v>
      </c>
      <c r="AC456" s="248"/>
      <c r="AD456" s="249"/>
      <c r="AE456" s="300"/>
      <c r="AF456" s="253" t="str">
        <f t="shared" si="621"/>
        <v xml:space="preserve"> </v>
      </c>
      <c r="AG456" s="177" t="str">
        <f>IF(OR(AE$8="判定対象外",AF$8="判定対象外",AF456="-"),"-",IF(AE456=AF456,"OK","NG"))</f>
        <v>NG</v>
      </c>
      <c r="AH456" s="300"/>
      <c r="AI456" s="276" t="str">
        <f>IF(OR(AE$8="判定対象外",AH$8="判定対象外",AH456="-"),"-",IF(AE456=AH456,"OK","NG"))</f>
        <v>OK</v>
      </c>
      <c r="AJ456" s="249"/>
      <c r="AK456" s="250"/>
      <c r="AL456" s="253" t="str">
        <f t="shared" si="619"/>
        <v xml:space="preserve"> </v>
      </c>
      <c r="AM456" s="177" t="str">
        <f t="shared" si="648"/>
        <v>NG</v>
      </c>
      <c r="AN456" s="250"/>
      <c r="AO456" s="276" t="str">
        <f>IF(OR(AK$8="判定対象外",AN$8="判定対象外",AN456="-"),"-",IF(AK456=AN456,"OK","NG"))</f>
        <v>OK</v>
      </c>
      <c r="AP456" s="249"/>
      <c r="AQ456" s="300"/>
      <c r="AR456" s="253" t="str">
        <f t="shared" si="622"/>
        <v xml:space="preserve"> </v>
      </c>
      <c r="AS456" s="177" t="str">
        <f>IF(OR(AQ$8="判定対象外",AR$8="判定対象外",AR456="-"),"-",IF(AQ456=AR456,"OK","NG"))</f>
        <v>NG</v>
      </c>
      <c r="AT456" s="300"/>
      <c r="AU456" s="276" t="str">
        <f>IF(OR(AQ$8="判定対象外",AT$8="判定対象外",AT456="-"),"-",IF(AQ456=AT456,"OK","NG"))</f>
        <v>OK</v>
      </c>
      <c r="AV456" s="249"/>
      <c r="AW456" s="300"/>
      <c r="AX456" s="253" t="str">
        <f t="shared" si="623"/>
        <v xml:space="preserve"> </v>
      </c>
      <c r="AY456" s="177" t="str">
        <f>IF(OR(AW$8="判定対象外",AX$8="判定対象外",AX456="-"),"-",IF(AW456=AX456,"OK","NG"))</f>
        <v>NG</v>
      </c>
      <c r="AZ456" s="300"/>
      <c r="BA456" s="276" t="str">
        <f>IF(OR(AW$8="判定対象外",AZ$8="判定対象外",AZ456="-"),"-",IF(AW456=AZ456,"OK","NG"))</f>
        <v>OK</v>
      </c>
      <c r="BB456" s="249"/>
      <c r="BC456" s="300"/>
      <c r="BD456" s="253" t="str">
        <f t="shared" si="624"/>
        <v xml:space="preserve"> </v>
      </c>
      <c r="BE456" s="177" t="str">
        <f>IF(OR(BC$8="判定対象外",BD$8="判定対象外",BD456="-"),"-",IF(BC456=BD456,"OK","NG"))</f>
        <v>NG</v>
      </c>
      <c r="BF456" s="300"/>
      <c r="BG456" s="276" t="str">
        <f>IF(OR(BC$8="判定対象外",BF$8="判定対象外",BF456="-"),"-",IF(BC456=BF456,"OK","NG"))</f>
        <v>OK</v>
      </c>
      <c r="BH456" s="249"/>
      <c r="BI456" s="300"/>
      <c r="BJ456" s="253" t="str">
        <f t="shared" si="625"/>
        <v xml:space="preserve"> </v>
      </c>
      <c r="BK456" s="177" t="str">
        <f>IF(OR(BI$8="判定対象外",BJ$8="判定対象外",BJ456="-"),"-",IF(BI456=BJ456,"OK","NG"))</f>
        <v>NG</v>
      </c>
      <c r="BL456" s="300"/>
      <c r="BM456" s="276" t="str">
        <f>IF(OR(BI$8="判定対象外",BL$8="判定対象外",BL456="-"),"-",IF(BI456=BL456,"OK","NG"))</f>
        <v>OK</v>
      </c>
      <c r="BN456" s="249"/>
      <c r="BO456" s="300"/>
      <c r="BP456" s="253" t="str">
        <f t="shared" si="626"/>
        <v xml:space="preserve"> </v>
      </c>
      <c r="BQ456" s="177" t="str">
        <f>IF(OR(BO$8="判定対象外",BP$8="判定対象外",BP456="-"),"-",IF(BO456=BP456,"OK","NG"))</f>
        <v>NG</v>
      </c>
      <c r="BR456" s="300"/>
      <c r="BS456" s="276" t="str">
        <f>IF(OR(BO$8="判定対象外",BR$8="判定対象外",BR456="-"),"-",IF(BO456=BR456,"OK","NG"))</f>
        <v>OK</v>
      </c>
      <c r="BT456" s="249"/>
      <c r="BU456" s="300"/>
      <c r="BV456" s="253" t="str">
        <f t="shared" si="627"/>
        <v xml:space="preserve"> </v>
      </c>
      <c r="BW456" s="177" t="str">
        <f>IF(OR(BU$8="判定対象外",BV$8="判定対象外",BV456="-"),"-",IF(BU456=BV456,"OK","NG"))</f>
        <v>NG</v>
      </c>
      <c r="BX456" s="300"/>
      <c r="BY456" s="276" t="str">
        <f>IF(OR(BU$8="判定対象外",BX$8="判定対象外",BX456="-"),"-",IF(BU456=BX456,"OK","NG"))</f>
        <v>OK</v>
      </c>
      <c r="BZ456" s="249"/>
      <c r="CA456" s="300"/>
      <c r="CB456" s="253" t="str">
        <f t="shared" si="628"/>
        <v xml:space="preserve"> </v>
      </c>
      <c r="CC456" s="177" t="str">
        <f>IF(OR(CA$8="判定対象外",CB$8="判定対象外",CB456="-"),"-",IF(CA456=CB456,"OK","NG"))</f>
        <v>NG</v>
      </c>
      <c r="CD456" s="300"/>
      <c r="CE456" s="276" t="str">
        <f>IF(OR(CA$8="判定対象外",CD$8="判定対象外",CD456="-"),"-",IF(CA456=CD456,"OK","NG"))</f>
        <v>OK</v>
      </c>
      <c r="CF456" s="249"/>
      <c r="CG456" s="300"/>
      <c r="CH456" s="253" t="str">
        <f t="shared" si="629"/>
        <v xml:space="preserve"> </v>
      </c>
      <c r="CI456" s="177" t="str">
        <f>IF(OR(CG$8="判定対象外",CH$8="判定対象外",CH456="-"),"-",IF(CG456=CH456,"OK","NG"))</f>
        <v>NG</v>
      </c>
      <c r="CJ456" s="300"/>
      <c r="CK456" s="276" t="str">
        <f>IF(OR(CG$8="判定対象外",CJ$8="判定対象外",CJ456="-"),"-",IF(CG456=CJ456,"OK","NG"))</f>
        <v>OK</v>
      </c>
      <c r="CL456" s="249"/>
      <c r="CM456" s="300"/>
      <c r="CN456" s="253" t="str">
        <f t="shared" si="630"/>
        <v xml:space="preserve"> </v>
      </c>
      <c r="CO456" s="177" t="str">
        <f>IF(OR(CM$8="判定対象外",CN$8="判定対象外",CN456="-"),"-",IF(CM456=CN456,"OK","NG"))</f>
        <v>NG</v>
      </c>
      <c r="CP456" s="300"/>
      <c r="CQ456" s="276" t="str">
        <f>IF(OR(CM$8="判定対象外",CP$8="判定対象外",CP456="-"),"-",IF(CM456=CP456,"OK","NG"))</f>
        <v>OK</v>
      </c>
      <c r="CR456" s="249"/>
      <c r="CS456" s="300"/>
      <c r="CT456" s="253" t="str">
        <f t="shared" si="631"/>
        <v xml:space="preserve"> </v>
      </c>
      <c r="CU456" s="177" t="str">
        <f>IF(OR(CS$8="判定対象外",CT$8="判定対象外",CT456="-"),"-",IF(CS456=CT456,"OK","NG"))</f>
        <v>NG</v>
      </c>
      <c r="CV456" s="300"/>
      <c r="CW456" s="276" t="str">
        <f>IF(OR(CS$8="判定対象外",CV$8="判定対象外",CV456="-"),"-",IF(CS456=CV456,"OK","NG"))</f>
        <v>OK</v>
      </c>
      <c r="CX456" s="249"/>
      <c r="CY456" s="300"/>
      <c r="CZ456" s="253" t="str">
        <f t="shared" si="632"/>
        <v xml:space="preserve"> </v>
      </c>
      <c r="DA456" s="177" t="str">
        <f>IF(OR(CY$8="判定対象外",CZ$8="判定対象外",CZ456="-"),"-",IF(CY456=CZ456,"OK","NG"))</f>
        <v>NG</v>
      </c>
      <c r="DB456" s="300"/>
      <c r="DC456" s="276" t="str">
        <f>IF(OR(CY$8="判定対象外",DB$8="判定対象外",DB456="-"),"-",IF(CY456=DB456,"OK","NG"))</f>
        <v>OK</v>
      </c>
      <c r="DD456" s="249"/>
      <c r="DE456" s="300"/>
      <c r="DF456" s="253" t="str">
        <f t="shared" si="633"/>
        <v xml:space="preserve"> </v>
      </c>
      <c r="DG456" s="177" t="str">
        <f>IF(OR(DE$8="判定対象外",DF$8="判定対象外",DF456="-"),"-",IF(DE456=DF456,"OK","NG"))</f>
        <v>NG</v>
      </c>
      <c r="DH456" s="300"/>
      <c r="DI456" s="276" t="str">
        <f>IF(OR(DE$8="判定対象外",DH$8="判定対象外",DH456="-"),"-",IF(DE456=DH456,"OK","NG"))</f>
        <v>OK</v>
      </c>
      <c r="DJ456" s="249"/>
      <c r="DK456" s="300"/>
      <c r="DL456" s="253" t="str">
        <f t="shared" si="634"/>
        <v xml:space="preserve"> </v>
      </c>
      <c r="DM456" s="177" t="str">
        <f>IF(OR(DK$8="判定対象外",DL$8="判定対象外",DL456="-"),"-",IF(DK456=DL456,"OK","NG"))</f>
        <v>NG</v>
      </c>
      <c r="DN456" s="300"/>
      <c r="DO456" s="276" t="str">
        <f>IF(OR(DK$8="判定対象外",DN$8="判定対象外",DN456="-"),"-",IF(DK456=DN456,"OK","NG"))</f>
        <v>OK</v>
      </c>
      <c r="DP456" s="249"/>
      <c r="DQ456" s="300"/>
      <c r="DR456" s="253" t="str">
        <f t="shared" si="635"/>
        <v xml:space="preserve"> </v>
      </c>
      <c r="DS456" s="177" t="str">
        <f t="shared" si="652"/>
        <v>NG</v>
      </c>
      <c r="DT456" s="300"/>
      <c r="DU456" s="276" t="str">
        <f>IF(OR(DQ$8="判定対象外",DT$8="判定対象外",DT456="-"),"-",IF(DQ456=DT456,"OK","NG"))</f>
        <v>OK</v>
      </c>
      <c r="DV456" s="249"/>
      <c r="DW456" s="300"/>
      <c r="DX456" s="253" t="str">
        <f t="shared" si="636"/>
        <v xml:space="preserve"> </v>
      </c>
      <c r="DY456" s="177" t="str">
        <f t="shared" si="653"/>
        <v>NG</v>
      </c>
      <c r="DZ456" s="300"/>
      <c r="EA456" s="276" t="str">
        <f>IF(OR(DW$8="判定対象外",DZ$8="判定対象外",DZ456="-"),"-",IF(DW456=DZ456,"OK","NG"))</f>
        <v>OK</v>
      </c>
      <c r="EB456" s="249"/>
      <c r="EC456" s="300"/>
      <c r="ED456" s="253" t="str">
        <f t="shared" si="637"/>
        <v xml:space="preserve"> </v>
      </c>
      <c r="EE456" s="177" t="str">
        <f t="shared" si="654"/>
        <v>NG</v>
      </c>
      <c r="EF456" s="300"/>
      <c r="EG456" s="276" t="str">
        <f>IF(OR(EC$8="判定対象外",EF$8="判定対象外",EF456="-"),"-",IF(EC456=EF456,"OK","NG"))</f>
        <v>OK</v>
      </c>
      <c r="EH456" s="249"/>
      <c r="EI456" s="300"/>
      <c r="EJ456" s="253" t="str">
        <f t="shared" si="638"/>
        <v xml:space="preserve"> </v>
      </c>
      <c r="EK456" s="177" t="str">
        <f t="shared" si="655"/>
        <v>NG</v>
      </c>
      <c r="EL456" s="300"/>
      <c r="EM456" s="276" t="str">
        <f>IF(OR(EI$8="判定対象外",EL$8="判定対象外",EL456="-"),"-",IF(EI456=EL456,"OK","NG"))</f>
        <v>OK</v>
      </c>
      <c r="EN456" s="249"/>
      <c r="EO456" s="300"/>
      <c r="EP456" s="253" t="str">
        <f t="shared" si="639"/>
        <v xml:space="preserve"> </v>
      </c>
      <c r="EQ456" s="177" t="str">
        <f t="shared" si="656"/>
        <v>NG</v>
      </c>
      <c r="ER456" s="300"/>
      <c r="ES456" s="276" t="str">
        <f>IF(OR(EO$8="判定対象外",ER$8="判定対象外",ER456="-"),"-",IF(EO456=ER456,"OK","NG"))</f>
        <v>OK</v>
      </c>
      <c r="ET456" s="249"/>
      <c r="EU456" s="300"/>
      <c r="EV456" s="253" t="str">
        <f t="shared" si="640"/>
        <v xml:space="preserve"> </v>
      </c>
      <c r="EW456" s="177" t="str">
        <f t="shared" si="657"/>
        <v>NG</v>
      </c>
      <c r="EX456" s="300"/>
      <c r="EY456" s="276" t="str">
        <f>IF(OR(EU$8="判定対象外",EX$8="判定対象外",EX456="-"),"-",IF(EU456=EX456,"OK","NG"))</f>
        <v>OK</v>
      </c>
      <c r="EZ456" s="249"/>
      <c r="FA456" s="300"/>
      <c r="FB456" s="253" t="str">
        <f t="shared" si="641"/>
        <v xml:space="preserve"> </v>
      </c>
      <c r="FC456" s="177" t="str">
        <f t="shared" si="658"/>
        <v>NG</v>
      </c>
      <c r="FD456" s="300"/>
      <c r="FE456" s="276" t="str">
        <f>IF(OR(FA$8="判定対象外",FD$8="判定対象外",FD456="-"),"-",IF(FA456=FD456,"OK","NG"))</f>
        <v>OK</v>
      </c>
      <c r="FF456" s="249"/>
      <c r="FG456" s="300"/>
      <c r="FH456" s="253" t="str">
        <f t="shared" si="642"/>
        <v xml:space="preserve"> </v>
      </c>
      <c r="FI456" s="177" t="str">
        <f t="shared" si="659"/>
        <v>NG</v>
      </c>
      <c r="FJ456" s="300"/>
      <c r="FK456" s="276" t="str">
        <f>IF(OR(FG$8="判定対象外",FJ$8="判定対象外",FJ456="-"),"-",IF(FG456=FJ456,"OK","NG"))</f>
        <v>OK</v>
      </c>
      <c r="FL456" s="249"/>
      <c r="FM456" s="300"/>
      <c r="FN456" s="253" t="str">
        <f t="shared" si="643"/>
        <v xml:space="preserve"> </v>
      </c>
      <c r="FO456" s="177" t="str">
        <f>IF(OR(FM$8="判定対象外",FN$8="判定対象外",FN456="-"),"-",IF(FM456=FN456,"OK","NG"))</f>
        <v>NG</v>
      </c>
      <c r="FP456" s="300"/>
      <c r="FQ456" s="276" t="str">
        <f>IF(OR(FM$8="判定対象外",FP$8="判定対象外",FP456="-"),"-",IF(FM456=FP456,"OK","NG"))</f>
        <v>OK</v>
      </c>
      <c r="FR456" s="249"/>
      <c r="FS456" s="300"/>
      <c r="FT456" s="253" t="str">
        <f t="shared" si="644"/>
        <v xml:space="preserve"> </v>
      </c>
      <c r="FU456" s="177" t="str">
        <f>IF(OR(FS$8="判定対象外",FT$8="判定対象外",FT456="-"),"-",IF(FS456=FT456,"OK","NG"))</f>
        <v>NG</v>
      </c>
      <c r="FV456" s="300"/>
      <c r="FW456" s="276" t="str">
        <f>IF(OR(FS$8="判定対象外",FV$8="判定対象外",FV456="-"),"-",IF(FS456=FV456,"OK","NG"))</f>
        <v>OK</v>
      </c>
      <c r="FX456" s="249"/>
      <c r="FY456" s="300"/>
      <c r="FZ456" s="253" t="str">
        <f t="shared" si="645"/>
        <v xml:space="preserve"> </v>
      </c>
      <c r="GA456" s="177" t="str">
        <f>IF(OR(FY$8="判定対象外",FZ$8="判定対象外",FZ456="-"),"-",IF(FY456=FZ456,"OK","NG"))</f>
        <v>NG</v>
      </c>
      <c r="GB456" s="300"/>
      <c r="GC456" s="276" t="str">
        <f>IF(OR(FY$8="判定対象外",GB$8="判定対象外",GB456="-"),"-",IF(FY456=GB456,"OK","NG"))</f>
        <v>OK</v>
      </c>
    </row>
    <row r="457" spans="1:185" ht="13.15" thickTop="1"/>
  </sheetData>
  <autoFilter ref="A7:GC456" xr:uid="{00000000-0009-0000-0000-000002000000}">
    <filterColumn colId="2" showButton="0"/>
    <filterColumn colId="3" showButton="0"/>
    <filterColumn colId="4" showButton="0"/>
    <filterColumn colId="5" showButton="0"/>
    <filterColumn colId="6" showButton="0"/>
  </autoFilter>
  <mergeCells count="46">
    <mergeCell ref="B3:K3"/>
    <mergeCell ref="L3:V3"/>
    <mergeCell ref="AJ6:AO6"/>
    <mergeCell ref="B2:E2"/>
    <mergeCell ref="F2:H2"/>
    <mergeCell ref="I2:K2"/>
    <mergeCell ref="L2:O2"/>
    <mergeCell ref="P2:S2"/>
    <mergeCell ref="T2:V2"/>
    <mergeCell ref="B4:K4"/>
    <mergeCell ref="L4:V4"/>
    <mergeCell ref="B6:O6"/>
    <mergeCell ref="P6:V6"/>
    <mergeCell ref="FX6:GC6"/>
    <mergeCell ref="AD6:AI6"/>
    <mergeCell ref="W6:AC6"/>
    <mergeCell ref="ET6:EY6"/>
    <mergeCell ref="EZ6:FE6"/>
    <mergeCell ref="FF6:FK6"/>
    <mergeCell ref="FR6:FW6"/>
    <mergeCell ref="E28:H28"/>
    <mergeCell ref="E30:H30"/>
    <mergeCell ref="C7:H7"/>
    <mergeCell ref="E24:H24"/>
    <mergeCell ref="E25:H25"/>
    <mergeCell ref="E26:H26"/>
    <mergeCell ref="FL6:FQ6"/>
    <mergeCell ref="E27:H27"/>
    <mergeCell ref="DJ6:DO6"/>
    <mergeCell ref="DP6:DU6"/>
    <mergeCell ref="DV6:EA6"/>
    <mergeCell ref="EB6:EG6"/>
    <mergeCell ref="EH6:EM6"/>
    <mergeCell ref="EN6:ES6"/>
    <mergeCell ref="BZ6:CE6"/>
    <mergeCell ref="CF6:CK6"/>
    <mergeCell ref="CL6:CQ6"/>
    <mergeCell ref="CR6:CW6"/>
    <mergeCell ref="CX6:DC6"/>
    <mergeCell ref="DD6:DI6"/>
    <mergeCell ref="AP6:AU6"/>
    <mergeCell ref="AV6:BA6"/>
    <mergeCell ref="BB6:BG6"/>
    <mergeCell ref="BH6:BM6"/>
    <mergeCell ref="BN6:BS6"/>
    <mergeCell ref="BT6:BY6"/>
  </mergeCells>
  <phoneticPr fontId="3"/>
  <hyperlinks>
    <hyperlink ref="L4" r:id="rId1" xr:uid="{00000000-0004-0000-0200-000000000000}"/>
    <hyperlink ref="L3" r:id="rId2" xr:uid="{00000000-0004-0000-0200-000001000000}"/>
  </hyperlinks>
  <pageMargins left="0.62992125984251968" right="0.55118110236220474" top="0.51181102362204722" bottom="0.47244094488188981" header="0.31496062992125984" footer="0.31496062992125984"/>
  <pageSetup paperSize="9" scale="10" fitToHeight="10" orientation="landscape" r:id="rId3"/>
  <headerFooter alignWithMargins="0">
    <oddHeader xml:space="preserve">&amp;R&amp;"ＭＳ Ｐゴシック"&amp;9 &amp;"ＭＳ Ｐゴシック"&amp;11 &amp;"ＭＳ Ｐゴシック"&amp;9 【社外秘B】&amp;"ＭＳ Ｐゴシック,標準"&amp;11 
</oddHeader>
    <oddFooter xml:space="preserve">&amp;C&amp;"ＭＳ Ｐゴシック"&amp;11 &amp;"ＭＳ Ｐゴシック"&amp;9 KDDI情報システム開発PJ関係各社　情報システム開発関係者のみ&amp;"ＭＳ Ｐゴシック,標準"&amp;11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287676697870445AE99785712142278" ma:contentTypeVersion="0" ma:contentTypeDescription="新しいドキュメントを作成します。" ma:contentTypeScope="" ma:versionID="9cd4863f177160b87af747e3a1c91ef1">
  <xsd:schema xmlns:xsd="http://www.w3.org/2001/XMLSchema" xmlns:xs="http://www.w3.org/2001/XMLSchema" xmlns:p="http://schemas.microsoft.com/office/2006/metadata/properties" targetNamespace="http://schemas.microsoft.com/office/2006/metadata/properties" ma:root="true" ma:fieldsID="e3fc15230516dd5e85220f060eed4ba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D4AA54-7D95-426D-A307-D719F60ECAB9}">
  <ds:schemaRefs>
    <ds:schemaRef ds:uri="http://purl.org/dc/elements/1.1/"/>
    <ds:schemaRef ds:uri="http://purl.org/dc/dcmitype/"/>
    <ds:schemaRef ds:uri="http://schemas.microsoft.com/office/infopath/2007/PartnerControls"/>
    <ds:schemaRef ds:uri="http://schemas.openxmlformats.org/package/2006/metadata/core-properties"/>
    <ds:schemaRef ds:uri="http://www.w3.org/XML/1998/namespace"/>
    <ds:schemaRef ds:uri="http://schemas.microsoft.com/office/2006/documentManagement/typ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C2B186A1-BF90-456C-A261-58B704DE73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3383601-D44B-4393-ACED-D9B90FC74A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Generator</vt:lpstr>
      <vt:lpstr>テスト観点</vt:lpstr>
      <vt:lpstr>B004</vt:lpstr>
      <vt:lpstr>'B004'!Print_Area</vt:lpstr>
      <vt:lpstr>テスト観点!Print_Area</vt:lpstr>
      <vt:lpstr>'B004'!Print_Titles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Liang, Zhao-Fei (ES-Apps-GD-CQ)</dc:creator>
  <cp:lastModifiedBy>Nobuyuki.Sakurai</cp:lastModifiedBy>
  <cp:lastPrinted>2017-10-25T06:48:52Z</cp:lastPrinted>
  <dcterms:created xsi:type="dcterms:W3CDTF">2008-03-12T10:22:56Z</dcterms:created>
  <dcterms:modified xsi:type="dcterms:W3CDTF">2018-06-28T06:51:26Z</dcterms:modified>
</cp:coreProperties>
</file>